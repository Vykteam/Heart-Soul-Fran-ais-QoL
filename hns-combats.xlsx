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des types" sheetId="1" state="visible" r:id="rId1"/>
    <sheet xmlns:r="http://schemas.openxmlformats.org/officeDocument/2006/relationships" name="Combats (hors revanche)" sheetId="2" state="visible" r:id="rId2"/>
    <sheet xmlns:r="http://schemas.openxmlformats.org/officeDocument/2006/relationships" name="Rencontres sauvages" sheetId="3" state="visible" r:id="rId3"/>
    <sheet xmlns:r="http://schemas.openxmlformats.org/officeDocument/2006/relationships" name="Suivi des rencontres" sheetId="4" state="visible" r:id="rId4"/>
    <sheet xmlns:r="http://schemas.openxmlformats.org/officeDocument/2006/relationships" name="Listes" sheetId="5" state="hidden" r:id="rId5"/>
  </sheets>
  <definedNames>
    <definedName name="_xlnm._FilterDatabase" localSheetId="1" hidden="1">'Combats (hors revanche)'!$H$2:$H$3975</definedName>
    <definedName name="_xlnm._FilterDatabase" localSheetId="2" hidden="1">'Rencontres sauvages'!$A$1:$I$3105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7F7F7F"/>
      <sz val="10"/>
    </font>
    <font>
      <name val="Arial"/>
      <i val="1"/>
      <color rgb="00595959"/>
      <sz val="9"/>
    </font>
    <font>
      <name val="Arial"/>
      <b val="1"/>
      <color rgb="00FFC000"/>
      <sz val="10"/>
    </font>
    <font>
      <name val="Arial"/>
      <color rgb="00808080"/>
      <sz val="8"/>
    </font>
    <font>
      <name val="Arial"/>
      <color rgb="00000000"/>
      <sz val="10"/>
    </font>
    <font>
      <name val="Arial"/>
      <color rgb="001F4E79"/>
      <sz val="10"/>
    </font>
    <font>
      <name val="Arial"/>
      <b val="1"/>
      <color rgb="00833C00"/>
      <sz val="10"/>
    </font>
    <font>
      <name val="Arial"/>
      <b val="1"/>
      <color rgb="00375623"/>
      <sz val="10"/>
    </font>
    <font>
      <name val="Arial"/>
      <b val="1"/>
      <color rgb="001F4E79"/>
      <sz val="10"/>
    </font>
    <font>
      <name val="Arial"/>
      <b val="1"/>
      <color rgb="002F5496"/>
      <sz val="10"/>
    </font>
    <font>
      <name val="Arial"/>
      <b val="1"/>
      <color rgb="001F3864"/>
      <sz val="10"/>
    </font>
    <font>
      <name val="Arial"/>
      <color rgb="00FFFFFF"/>
      <sz val="10"/>
    </font>
    <font>
      <name val="Arial"/>
      <color rgb="00808080"/>
      <sz val="10"/>
    </font>
  </fonts>
  <fills count="35">
    <fill>
      <patternFill/>
    </fill>
    <fill>
      <patternFill patternType="gray125"/>
    </fill>
    <fill>
      <patternFill patternType="solid">
        <fgColor rgb="00D9D9F3"/>
      </patternFill>
    </fill>
    <fill>
      <patternFill patternType="solid">
        <fgColor rgb="00B8B8D0"/>
      </patternFill>
    </fill>
    <fill>
      <patternFill patternType="solid">
        <fgColor rgb="00C03028"/>
      </patternFill>
    </fill>
    <fill>
      <patternFill patternType="solid">
        <fgColor rgb="007038F8"/>
      </patternFill>
    </fill>
    <fill>
      <patternFill patternType="solid">
        <fgColor rgb="006890F0"/>
      </patternFill>
    </fill>
    <fill>
      <patternFill patternType="solid">
        <fgColor rgb="00F8D030"/>
      </patternFill>
    </fill>
    <fill>
      <patternFill patternType="solid">
        <fgColor rgb="00EE99AC"/>
      </patternFill>
    </fill>
    <fill>
      <patternFill patternType="solid">
        <fgColor rgb="00F08030"/>
      </patternFill>
    </fill>
    <fill>
      <patternFill patternType="solid">
        <fgColor rgb="0098D8D8"/>
      </patternFill>
    </fill>
    <fill>
      <patternFill patternType="solid">
        <fgColor rgb="00A8B820"/>
      </patternFill>
    </fill>
    <fill>
      <patternFill patternType="solid">
        <fgColor rgb="00A8A878"/>
      </patternFill>
    </fill>
    <fill>
      <patternFill patternType="solid">
        <fgColor rgb="0078C850"/>
      </patternFill>
    </fill>
    <fill>
      <patternFill patternType="solid">
        <fgColor rgb="00A040A0"/>
      </patternFill>
    </fill>
    <fill>
      <patternFill patternType="solid">
        <fgColor rgb="00F85888"/>
      </patternFill>
    </fill>
    <fill>
      <patternFill patternType="solid">
        <fgColor rgb="00B8A038"/>
      </patternFill>
    </fill>
    <fill>
      <patternFill patternType="solid">
        <fgColor rgb="00E0C068"/>
      </patternFill>
    </fill>
    <fill>
      <patternFill patternType="solid">
        <fgColor rgb="00705898"/>
      </patternFill>
    </fill>
    <fill>
      <patternFill patternType="solid">
        <fgColor rgb="00705848"/>
      </patternFill>
    </fill>
    <fill>
      <patternFill patternType="solid">
        <fgColor rgb="00A890F0"/>
      </patternFill>
    </fill>
    <fill>
      <patternFill patternType="solid">
        <fgColor rgb="00C6E0B4"/>
      </patternFill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A6A6A6"/>
      </patternFill>
    </fill>
    <fill>
      <patternFill patternType="solid">
        <fgColor rgb="00262626"/>
      </patternFill>
    </fill>
    <fill>
      <patternFill patternType="solid">
        <fgColor rgb="00F2F2F2"/>
      </patternFill>
    </fill>
    <fill>
      <patternFill patternType="solid">
        <fgColor rgb="00404040"/>
      </patternFill>
    </fill>
    <fill>
      <patternFill patternType="solid">
        <fgColor rgb="00E6CCB3"/>
      </patternFill>
    </fill>
    <fill>
      <patternFill patternType="solid">
        <fgColor rgb="00F7F7F7"/>
      </patternFill>
    </fill>
    <fill>
      <patternFill patternType="solid">
        <fgColor rgb="00BDD7EE"/>
      </patternFill>
    </fill>
    <fill>
      <patternFill patternType="solid">
        <fgColor rgb="00D9E2F3"/>
      </patternFill>
    </fill>
    <fill>
      <patternFill patternType="solid">
        <fgColor rgb="00B4C7E7"/>
      </patternFill>
    </fill>
    <fill>
      <patternFill patternType="solid">
        <fgColor rgb="008EAADB"/>
      </patternFill>
    </fill>
    <fill>
      <patternFill patternType="solid">
        <fgColor rgb="003A3F5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808080"/>
      </top>
      <bottom style="thin">
        <color rgb="00BFBFBF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textRotation="90"/>
    </xf>
    <xf numFmtId="0" fontId="1" fillId="21" borderId="1" applyAlignment="1" pivotButton="0" quotePrefix="0" xfId="0">
      <alignment horizontal="center" vertical="center"/>
    </xf>
    <xf numFmtId="0" fontId="1" fillId="22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1" fillId="24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6" fillId="25" borderId="1" applyAlignment="1" pivotButton="0" quotePrefix="0" xfId="0">
      <alignment horizontal="center" vertical="center"/>
    </xf>
    <xf numFmtId="0" fontId="1" fillId="23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26" borderId="1" applyAlignment="1" pivotButton="0" quotePrefix="0" xfId="0">
      <alignment horizontal="center" vertical="center"/>
    </xf>
    <xf numFmtId="0" fontId="6" fillId="27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indent="1"/>
    </xf>
    <xf numFmtId="0" fontId="10" fillId="28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indent="1"/>
    </xf>
    <xf numFmtId="164" fontId="8" fillId="0" borderId="1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0" fontId="8" fillId="29" borderId="2" applyAlignment="1" pivotButton="0" quotePrefix="0" xfId="0">
      <alignment horizontal="left" vertical="center" indent="1"/>
    </xf>
    <xf numFmtId="0" fontId="8" fillId="29" borderId="2" applyAlignment="1" pivotButton="0" quotePrefix="0" xfId="0">
      <alignment horizontal="center" vertical="center"/>
    </xf>
    <xf numFmtId="0" fontId="11" fillId="21" borderId="2" applyAlignment="1" pivotButton="0" quotePrefix="0" xfId="0">
      <alignment horizontal="center" vertical="center"/>
    </xf>
    <xf numFmtId="0" fontId="1" fillId="29" borderId="2" applyAlignment="1" pivotButton="0" quotePrefix="0" xfId="0">
      <alignment horizontal="left" vertical="center" indent="1"/>
    </xf>
    <xf numFmtId="164" fontId="8" fillId="29" borderId="2" applyAlignment="1" pivotButton="0" quotePrefix="0" xfId="0">
      <alignment horizontal="center" vertical="center"/>
    </xf>
    <xf numFmtId="1" fontId="8" fillId="29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29" borderId="1" applyAlignment="1" pivotButton="0" quotePrefix="0" xfId="0">
      <alignment horizontal="left" vertical="center" indent="1"/>
    </xf>
    <xf numFmtId="0" fontId="8" fillId="29" borderId="1" applyAlignment="1" pivotButton="0" quotePrefix="0" xfId="0">
      <alignment horizontal="center" vertical="center"/>
    </xf>
    <xf numFmtId="0" fontId="11" fillId="21" borderId="1" applyAlignment="1" pivotButton="0" quotePrefix="0" xfId="0">
      <alignment horizontal="center" vertical="center"/>
    </xf>
    <xf numFmtId="0" fontId="1" fillId="29" borderId="1" applyAlignment="1" pivotButton="0" quotePrefix="0" xfId="0">
      <alignment horizontal="left" vertical="center" indent="1"/>
    </xf>
    <xf numFmtId="164" fontId="8" fillId="29" borderId="1" applyAlignment="1" pivotButton="0" quotePrefix="0" xfId="0">
      <alignment horizontal="center" vertical="center"/>
    </xf>
    <xf numFmtId="1" fontId="8" fillId="29" borderId="1" applyAlignment="1" pivotButton="0" quotePrefix="0" xfId="0">
      <alignment horizontal="center" vertical="center"/>
    </xf>
    <xf numFmtId="0" fontId="12" fillId="30" borderId="1" applyAlignment="1" pivotButton="0" quotePrefix="0" xfId="0">
      <alignment horizontal="center" vertical="center"/>
    </xf>
    <xf numFmtId="0" fontId="13" fillId="31" borderId="1" applyAlignment="1" pivotButton="0" quotePrefix="0" xfId="0">
      <alignment horizontal="center" vertical="center"/>
    </xf>
    <xf numFmtId="0" fontId="13" fillId="32" borderId="1" applyAlignment="1" pivotButton="0" quotePrefix="0" xfId="0">
      <alignment horizontal="center" vertical="center"/>
    </xf>
    <xf numFmtId="0" fontId="14" fillId="33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 indent="1"/>
    </xf>
    <xf numFmtId="0" fontId="8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 indent="1"/>
    </xf>
    <xf numFmtId="164" fontId="8" fillId="0" borderId="2" applyAlignment="1" pivotButton="0" quotePrefix="0" xfId="0">
      <alignment horizontal="center" vertical="center"/>
    </xf>
    <xf numFmtId="1" fontId="8" fillId="0" borderId="2" applyAlignment="1" pivotButton="0" quotePrefix="0" xfId="0">
      <alignment horizontal="center" vertical="center"/>
    </xf>
    <xf numFmtId="0" fontId="15" fillId="34" borderId="1" applyAlignment="1" pivotButton="0" quotePrefix="0" xfId="0">
      <alignment horizontal="center" vertical="center"/>
    </xf>
    <xf numFmtId="0" fontId="12" fillId="30" borderId="2" applyAlignment="1" pivotButton="0" quotePrefix="0" xfId="0">
      <alignment horizontal="center" vertical="center"/>
    </xf>
    <xf numFmtId="0" fontId="10" fillId="28" borderId="2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dxfs count="1">
    <dxf>
      <font>
        <color rgb="00BFBFBF"/>
      </font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HnS</author>
  </authors>
  <commentList>
    <comment ref="B5" authorId="0" shapeId="0">
      <text>
        <t>HERICENDRE — Feu
PV 39 · Att 52 · Déf 43
Att.Spé 60 · Déf.Spé 50 · Vit 65
Total 309
Talents : Brasier (caché : Torche)</t>
      </text>
    </comment>
    <comment ref="B8" authorId="0" shapeId="0">
      <text>
        <t>Brasier
Augmente attaques Feu.</t>
      </text>
    </comment>
    <comment ref="B9" authorId="0" shapeId="0">
      <text>
        <t>Charge — Normal, physique
Puissance 40 · Précision 100 % · 35 PP
Charge l'ennemi avec un violent plaquage.</t>
      </text>
    </comment>
    <comment ref="B10" authorId="0" shapeId="0">
      <text>
        <t>Groz'Yeux — Normal, statut
Précision 100 % · 30 PP
Lance un regard noir et baisse la Défense.</t>
      </text>
    </comment>
    <comment ref="B14" authorId="0" shapeId="0">
      <text>
        <t>KAIMINUS — Eau
PV 50 · Att 65 · Déf 64
Att.Spé 44 · Déf.Spé 48 · Vit 43
Total 314
Talents : Torrent (caché : Sans Limite)</t>
      </text>
    </comment>
    <comment ref="B17" authorId="0" shapeId="0">
      <text>
        <t>Torrent
Augmente attaques Eau.</t>
      </text>
    </comment>
    <comment ref="B18" authorId="0" shapeId="0">
      <text>
        <t>Griffe — Normal, physique
Puissance 40 · Précision 100 % · 35 PP
Lacère l'ennemi avec des griffes acérées.</t>
      </text>
    </comment>
    <comment ref="B19" authorId="0" shapeId="0">
      <text>
        <t>Groz'Yeux — Normal, statut
Précision 100 % · 30 PP
Lance un regard noir et baisse la Défense.</t>
      </text>
    </comment>
    <comment ref="B23" authorId="0" shapeId="0">
      <text>
        <t>GERMIGNON — Plante
PV 45 · Att 49 · Déf 65
Att.Spé 49 · Déf.Spé 65 · Vit 45
Total 318
Talents : Engrais (caché : Feuille Garde)</t>
      </text>
    </comment>
    <comment ref="B26" authorId="0" shapeId="0">
      <text>
        <t>Engrais
Augmente attaques Plante.</t>
      </text>
    </comment>
    <comment ref="B27" authorId="0" shapeId="0">
      <text>
        <t>Charge — Normal, physique
Puissance 40 · Précision 100 % · 35 PP
Charge l'ennemi avec un violent plaquage.</t>
      </text>
    </comment>
    <comment ref="B28" authorId="0" shapeId="0">
      <text>
        <t>Rugissement — Normal, statut
Précision 100 % · 40 PP
Rugit gentiment et baisse l'Attaque de
l'ennemi.</t>
      </text>
    </comment>
    <comment ref="B33" authorId="0" shapeId="0">
      <text>
        <t>RATTATA — Normal
PV 30 · Att 56 · Déf 35
Att.Spé 25 · Déf.Spé 35 · Vit 72
Total 253
Talents : Fuite, Cran (caché : Agitation)</t>
      </text>
    </comment>
    <comment ref="B36" authorId="0" shapeId="0">
      <text>
        <t>Fuite
Améliore chances de fuite.</t>
      </text>
    </comment>
    <comment ref="B37" authorId="0" shapeId="0">
      <text>
        <t>Charge — Normal, physique
Puissance 40 · Précision 100 % · 35 PP
Charge l'ennemi avec un violent plaquage.</t>
      </text>
    </comment>
    <comment ref="B38" authorId="0" shapeId="0">
      <text>
        <t>Mimi-Queue — Normal, statut
Précision 100 % · 30 PP
Remue la queue pour baisser la Défense de
l'ennemi.</t>
      </text>
    </comment>
    <comment ref="B39" authorId="0" shapeId="0">
      <text>
        <t>Vive-Attaque — Normal, physique
Puissance 40 · Précision 100 % · 30 PP ·
Priorité +1
Attaque fulgurante qui permet de frapper
d'abord.</t>
      </text>
    </comment>
    <comment ref="B42" authorId="0" shapeId="0">
      <text>
        <t>HOOTHOOT — Normal / Vol
PV 60 · Att 30 · Déf 30
Att.Spé 36 · Déf.Spé 56 · Vit 50
Total 262
Talents : Insomnia, Regard Vif (caché :
  Lentiteintée)</t>
      </text>
    </comment>
    <comment ref="C42" authorId="0" shapeId="0">
      <text>
        <t>FOUINETTE — Normal
PV 35 · Att 46 · Déf 34
Att.Spé 35 · Déf.Spé 45 · Vit 20
Total 215
Talents : Fuite, Regard Vif (caché : Fouille)</t>
      </text>
    </comment>
    <comment ref="B45" authorId="0" shapeId="0">
      <text>
        <t>Insomnia
Empêche de s'endormir.</t>
      </text>
    </comment>
    <comment ref="C45" authorId="0" shapeId="0">
      <text>
        <t>Fuite
Améliore chances de fuite.</t>
      </text>
    </comment>
    <comment ref="B46" authorId="0" shapeId="0">
      <text>
        <t>Charge — Normal, physique
Puissance 40 · Précision 100 % · 35 PP
Charge l'ennemi avec un violent plaquage.</t>
      </text>
    </comment>
    <comment ref="C46" authorId="0" shapeId="0">
      <text>
        <t>Griffe — Normal, physique
Puissance 40 · Précision 100 % · 35 PP
Lacère l'ennemi avec des griffes acérées.</t>
      </text>
    </comment>
    <comment ref="B47" authorId="0" shapeId="0">
      <text>
        <t>Rugissement — Normal, statut
Précision 100 % · 40 PP
Rugit gentiment et baisse l'Attaque de
l'ennemi.</t>
      </text>
    </comment>
    <comment ref="C47" authorId="0" shapeId="0">
      <text>
        <t>Clairvoyance — Normal, statut
40 PP
Empêche l'ennemi d'améliorer son esquive.</t>
      </text>
    </comment>
    <comment ref="B48" authorId="0" shapeId="0">
      <text>
        <t>Clairvoyance — Normal, statut
40 PP
Empêche l'ennemi d'améliorer son esquive.</t>
      </text>
    </comment>
    <comment ref="C48" authorId="0" shapeId="0">
      <text>
        <t>Boul'Armure — Normal, statut
40 PP
S'enroule, cache ses points faibles. Monte la
Défense.</t>
      </text>
    </comment>
    <comment ref="B51" authorId="0" shapeId="0">
      <text>
        <t>COXY — Insecte / Vol
PV 40 · Att 20 · Déf 30
Att.Spé 40 · Déf.Spé 80 · Vit 55
Total 265
Talents : Essaim, Matinal (caché : Phobique)</t>
      </text>
    </comment>
    <comment ref="C51" authorId="0" shapeId="0">
      <text>
        <t>MIMIGAL — Insecte / Poison
PV 40 · Att 60 · Déf 40
Att.Spé 40 · Déf.Spé 40 · Vit 30
Total 250
Talents : Essaim, Insomnia (caché : Sniper)</t>
      </text>
    </comment>
    <comment ref="B54" authorId="0" shapeId="0">
      <text>
        <t>Essaim
Augmente attaques Insect.</t>
      </text>
    </comment>
    <comment ref="C54" authorId="0" shapeId="0">
      <text>
        <t>Essaim
Augmente attaques Insect.</t>
      </text>
    </comment>
    <comment ref="B55" authorId="0" shapeId="0">
      <text>
        <t>Charge — Normal, physique
Puissance 40 · Précision 100 % · 35 PP
Charge l'ennemi avec un violent plaquage.</t>
      </text>
    </comment>
    <comment ref="C55" authorId="0" shapeId="0">
      <text>
        <t>Dard-Venin — Poison, physique
Puissance 30 · Précision 100 % · 35 PP
Une attaque de dards, etc., pouvant
empoisonner.</t>
      </text>
    </comment>
    <comment ref="C56" authorId="0" shapeId="0">
      <text>
        <t>Sécrétion — Insecte, statut
Précision 95 % · 40 PP
Ligote l'ennemi afin de réduire sa Vitesse.</t>
      </text>
    </comment>
    <comment ref="C57" authorId="0" shapeId="0">
      <text>
        <t>Constriction — Normal, physique
Puissance 10 · Précision 100 % · 35 PP
Étrangle pour blesser. Peut baisser la
Vitesse.</t>
      </text>
    </comment>
    <comment ref="B61" authorId="0" shapeId="0">
      <text>
        <t>ASPICOT — Insecte / Poison
PV 40 · Att 35 · Déf 30
Att.Spé 20 · Déf.Spé 20 · Vit 50
Total 195
Talents : Écran Poudre (caché : Fuite)</t>
      </text>
    </comment>
    <comment ref="C61" authorId="0" shapeId="0">
      <text>
        <t>POMDEPIK — Insecte
PV 50 · Att 65 · Déf 90
Att.Spé 35 · Déf.Spé 35 · Vit 15
Total 290
Talents : Fermeté (caché : Envelocape)</t>
      </text>
    </comment>
    <comment ref="B64" authorId="0" shapeId="0">
      <text>
        <t>Écran Poudre
Empêche le cumul d'effets.</t>
      </text>
    </comment>
    <comment ref="C64" authorId="0" shapeId="0">
      <text>
        <t>Fermeté
Ignore les K.O. en un coup.</t>
      </text>
    </comment>
    <comment ref="B65" authorId="0" shapeId="0">
      <text>
        <t>Dard-Venin — Poison, physique
Puissance 30 · Précision 100 % · 35 PP
Une attaque de dards, etc., pouvant
empoisonner.</t>
      </text>
    </comment>
    <comment ref="C65" authorId="0" shapeId="0">
      <text>
        <t>Charge — Normal, physique
Puissance 40 · Précision 100 % · 35 PP
Charge l'ennemi avec un violent plaquage.</t>
      </text>
    </comment>
    <comment ref="B66" authorId="0" shapeId="0">
      <text>
        <t>Sécrétion — Insecte, statut
Précision 95 % · 40 PP
Ligote l'ennemi afin de réduire sa Vitesse.</t>
      </text>
    </comment>
    <comment ref="C66" authorId="0" shapeId="0">
      <text>
        <t>Abri — Normal, statut
10 PP · Priorité +4</t>
      </text>
    </comment>
    <comment ref="B71" authorId="0" shapeId="0">
      <text>
        <t>ROUCOOL — Normal / Vol
PV 40 · Att 45 · Déf 40
Att.Spé 35 · Déf.Spé 35 · Vit 56
Total 251
Talents : Regard Vif, Pieds Confus (caché :
  Cœur de Coq)</t>
      </text>
    </comment>
    <comment ref="C71" authorId="0" shapeId="0">
      <text>
        <t>NATU — Psy / Vol
PV 40 · Att 50 · Déf 45
Att.Spé 70 · Déf.Spé 45 · Vit 70
Total 320
Talents : Synchro, Matinal (caché : Miroir
  Magik)</t>
      </text>
    </comment>
    <comment ref="B74" authorId="0" shapeId="0">
      <text>
        <t>Regard Vif
Empêche perte de précision.</t>
      </text>
    </comment>
    <comment ref="C74" authorId="0" shapeId="0">
      <text>
        <t>Synchro
Transfère statuts.</t>
      </text>
    </comment>
    <comment ref="B75" authorId="0" shapeId="0">
      <text>
        <t>Charge — Normal, physique
Puissance 40 · Précision 100 % · 35 PP
Charge l'ennemi avec un violent plaquage.</t>
      </text>
    </comment>
    <comment ref="C75" authorId="0" shapeId="0">
      <text>
        <t>Picpic — Vol, physique
Puissance 35 · Précision 100 % · 35 PP
Attaque l'ennemi avec une corne, un bec
pointu, etc.</t>
      </text>
    </comment>
    <comment ref="B76" authorId="0" shapeId="0">
      <text>
        <t>Picpic — Vol, physique
Puissance 35 · Précision 100 % · 35 PP
Attaque l'ennemi avec une corne, un bec
pointu, etc.</t>
      </text>
    </comment>
    <comment ref="C76" authorId="0" shapeId="0">
      <text>
        <t>Groz'Yeux — Normal, statut
Précision 100 % · 30 PP
Lance un regard noir et baisse la Défense.</t>
      </text>
    </comment>
    <comment ref="B77" authorId="0" shapeId="0">
      <text>
        <t>Jet de Sable — Sol, statut
Précision 100 % · 15 PP
Lance du sable et baisse la précision de
l'ennemi.</t>
      </text>
    </comment>
    <comment ref="C77" authorId="0" shapeId="0">
      <text>
        <t>Ombre Nocturne — Spectre, spéciale
Puissance 1 · Précision 100 % · 15 PP
Inflige des dégâts selon le niveau du lanceur.</t>
      </text>
    </comment>
    <comment ref="B80" authorId="0" shapeId="0">
      <text>
        <t>PIAFABEC — Normal / Vol
PV 40 · Att 60 · Déf 30
Att.Spé 31 · Déf.Spé 31 · Vit 70
Total 262
Talents : Regard Vif (caché : Sniper)</t>
      </text>
    </comment>
    <comment ref="B83" authorId="0" shapeId="0">
      <text>
        <t>Regard Vif
Empêche perte de précision.</t>
      </text>
    </comment>
    <comment ref="B84" authorId="0" shapeId="0">
      <text>
        <t>Picpic — Vol, physique
Puissance 35 · Précision 100 % · 35 PP
Attaque l'ennemi avec une corne, un bec
pointu, etc.</t>
      </text>
    </comment>
    <comment ref="B85" authorId="0" shapeId="0">
      <text>
        <t>Rugissement — Normal, statut
Précision 100 % · 40 PP
Rugit gentiment et baisse l'Attaque de
l'ennemi.</t>
      </text>
    </comment>
    <comment ref="B86" authorId="0" shapeId="0">
      <text>
        <t>Groz'Yeux — Normal, statut
Précision 100 % · 30 PP
Lance un regard noir et baisse la Défense.</t>
      </text>
    </comment>
    <comment ref="B87" authorId="0" shapeId="0">
      <text>
        <t>Poursuite — Ténèbres, physique
Puissance 40 · Précision 100 % · 20 PP
Inflige de sérieux dégâts lorsque l'ennemi
change.</t>
      </text>
    </comment>
    <comment ref="B89" authorId="0" shapeId="0">
      <text>
        <t>ROUCOOL — Normal / Vol
PV 40 · Att 45 · Déf 40
Att.Spé 35 · Déf.Spé 35 · Vit 56
Total 251
Talents : Regard Vif, Pieds Confus (caché :
  Cœur de Coq)</t>
      </text>
    </comment>
    <comment ref="C89" authorId="0" shapeId="0">
      <text>
        <t>NOARFANG — Normal / Vol
PV 100 · Att 50 · Déf 50
Att.Spé 86 · Déf.Spé 96 · Vit 70
Total 452
Talents : Insomnia, Regard Vif (caché :
  Lentiteintée)</t>
      </text>
    </comment>
    <comment ref="C91" authorId="0" shapeId="0">
      <text>
        <t>Baie Sitrus
Objet tenu qui restaure 30 PV pendant un
combat.</t>
      </text>
    </comment>
    <comment ref="B92" authorId="0" shapeId="0">
      <text>
        <t>Regard Vif
Empêche perte de précision.</t>
      </text>
    </comment>
    <comment ref="C92" authorId="0" shapeId="0">
      <text>
        <t>Insomnia
Empêche de s'endormir.</t>
      </text>
    </comment>
    <comment ref="B93" authorId="0" shapeId="0">
      <text>
        <t>Charge — Normal, physique
Puissance 40 · Précision 100 % · 35 PP
Charge l'ennemi avec un violent plaquage.</t>
      </text>
    </comment>
    <comment ref="C93" authorId="0" shapeId="0">
      <text>
        <t>Charge — Normal, physique
Puissance 40 · Précision 100 % · 35 PP
Charge l'ennemi avec un violent plaquage.</t>
      </text>
    </comment>
    <comment ref="B94" authorId="0" shapeId="0">
      <text>
        <t>Jet de Sable — Sol, statut
Précision 100 % · 15 PP
Lance du sable et baisse la précision de
l'ennemi.</t>
      </text>
    </comment>
    <comment ref="C94" authorId="0" shapeId="0">
      <text>
        <t>Coud'Boue — Sol, spéciale
Puissance 20 · Précision 100 % · 10 PP
Envoie de la boue au visage pour baisser la
précision.</t>
      </text>
    </comment>
    <comment ref="B95" authorId="0" shapeId="0">
      <text>
        <t>Vive-Attaque — Normal, physique
Puissance 40 · Précision 100 % · 30 PP ·
Priorité +1
Attaque fulgurante qui permet de frapper
d'abord.</t>
      </text>
    </comment>
    <comment ref="C95" authorId="0" shapeId="0">
      <text>
        <t>Picpic — Vol, physique
Puissance 35 · Précision 100 % · 35 PP
Attaque l'ennemi avec une corne, un bec
pointu, etc.</t>
      </text>
    </comment>
    <comment ref="B99" authorId="0" shapeId="0">
      <text>
        <t>CHETIFLOR — Plante / Poison
PV 50 · Att 75 · Déf 35
Att.Spé 70 · Déf.Spé 30 · Vit 40
Total 300
Talents : Chlorophylle (caché : Gloutonnerie)</t>
      </text>
    </comment>
    <comment ref="C99" authorId="0" shapeId="0">
      <text>
        <t>TOURNEGRIN — Plante
PV 30 · Att 30 · Déf 30
Att.Spé 30 · Déf.Spé 30 · Vit 30
Total 180
Talents : Chlorophylle, Force Soleil (caché :
  Matinal)</t>
      </text>
    </comment>
    <comment ref="D99" authorId="0" shapeId="0">
      <text>
        <t>CHETIFLOR — Plante / Poison
PV 50 · Att 75 · Déf 35
Att.Spé 70 · Déf.Spé 30 · Vit 40
Total 300
Talents : Chlorophylle (caché : Gloutonnerie)</t>
      </text>
    </comment>
    <comment ref="B102" authorId="0" shapeId="0">
      <text>
        <t>Chlorophylle
Augmente Vitesse au soleil.</t>
      </text>
    </comment>
    <comment ref="C102" authorId="0" shapeId="0">
      <text>
        <t>Chlorophylle
Augmente Vitesse au soleil.</t>
      </text>
    </comment>
    <comment ref="D102" authorId="0" shapeId="0">
      <text>
        <t>Chlorophylle
Augmente Vitesse au soleil.</t>
      </text>
    </comment>
    <comment ref="B103" authorId="0" shapeId="0">
      <text>
        <t>Fouet Lianes — Plante, physique
Puissance 45 · Précision 100 % · 25 PP
Fouette l'ennemi avec de fines lianes.</t>
      </text>
    </comment>
    <comment ref="C103" authorId="0" shapeId="0">
      <text>
        <t>Vole-Vie — Plante, spéciale
Puissance 20 · Précision 100 % · 25 PP
Une attaque qui convertit les dégâts infligés
en PV.</t>
      </text>
    </comment>
    <comment ref="D103" authorId="0" shapeId="0">
      <text>
        <t>Fouet Lianes — Plante, physique
Puissance 45 · Précision 100 % · 25 PP
Fouette l'ennemi avec de fines lianes.</t>
      </text>
    </comment>
    <comment ref="C104" authorId="0" shapeId="0">
      <text>
        <t>Croissance — Normal, statut
20 PP</t>
      </text>
    </comment>
    <comment ref="B109" authorId="0" shapeId="0">
      <text>
        <t>CHETIFLOR — Plante / Poison
PV 50 · Att 75 · Déf 35
Att.Spé 70 · Déf.Spé 30 · Vit 40
Total 300
Talents : Chlorophylle (caché : Gloutonnerie)</t>
      </text>
    </comment>
    <comment ref="C109" authorId="0" shapeId="0">
      <text>
        <t>GRANIVOL — Plante / Vol
PV 35 · Att 35 · Déf 40
Att.Spé 35 · Déf.Spé 55 · Vit 50
Total 250
Talents : Chlorophylle, Feuille Garde (caché :
  Infiltration)</t>
      </text>
    </comment>
    <comment ref="D109" authorId="0" shapeId="0">
      <text>
        <t>CHETIFLOR — Plante / Poison
PV 50 · Att 75 · Déf 35
Att.Spé 70 · Déf.Spé 30 · Vit 40
Total 300
Talents : Chlorophylle (caché : Gloutonnerie)</t>
      </text>
    </comment>
    <comment ref="B112" authorId="0" shapeId="0">
      <text>
        <t>Chlorophylle
Augmente Vitesse au soleil.</t>
      </text>
    </comment>
    <comment ref="C112" authorId="0" shapeId="0">
      <text>
        <t>Chlorophylle
Augmente Vitesse au soleil.</t>
      </text>
    </comment>
    <comment ref="D112" authorId="0" shapeId="0">
      <text>
        <t>Chlorophylle
Augmente Vitesse au soleil.</t>
      </text>
    </comment>
    <comment ref="B113" authorId="0" shapeId="0">
      <text>
        <t>Fouet Lianes — Plante, physique
Puissance 45 · Précision 100 % · 25 PP
Fouette l'ennemi avec de fines lianes.</t>
      </text>
    </comment>
    <comment ref="C113" authorId="0" shapeId="0">
      <text>
        <t>Vole-Vie — Plante, spéciale
Puissance 20 · Précision 100 % · 25 PP
Une attaque qui convertit les dégâts infligés
en PV.</t>
      </text>
    </comment>
    <comment ref="D113" authorId="0" shapeId="0">
      <text>
        <t>Fouet Lianes — Plante, physique
Puissance 45 · Précision 100 % · 25 PP
Fouette l'ennemi avec de fines lianes.</t>
      </text>
    </comment>
    <comment ref="C114" authorId="0" shapeId="0">
      <text>
        <t>Trempette — Normal, statut
40 PP
Éclabousse l'ennemi sans aucun effet.</t>
      </text>
    </comment>
    <comment ref="C115" authorId="0" shapeId="0">
      <text>
        <t>Synthèse — Plante, statut
5 PP
Restaure les PV. La quantité varie suivant le
temps.</t>
      </text>
    </comment>
    <comment ref="B118" authorId="0" shapeId="0">
      <text>
        <t>CHETIFLOR — Plante / Poison
PV 50 · Att 75 · Déf 35
Att.Spé 70 · Déf.Spé 30 · Vit 40
Total 300
Talents : Chlorophylle (caché : Gloutonnerie)</t>
      </text>
    </comment>
    <comment ref="C118" authorId="0" shapeId="0">
      <text>
        <t>CHETIFLOR — Plante / Poison
PV 50 · Att 75 · Déf 35
Att.Spé 70 · Déf.Spé 30 · Vit 40
Total 300
Talents : Chlorophylle (caché : Gloutonnerie)</t>
      </text>
    </comment>
    <comment ref="D118" authorId="0" shapeId="0">
      <text>
        <t>CHETIFLOR — Plante / Poison
PV 50 · Att 75 · Déf 35
Att.Spé 70 · Déf.Spé 30 · Vit 40
Total 300
Talents : Chlorophylle (caché : Gloutonnerie)</t>
      </text>
    </comment>
    <comment ref="B121" authorId="0" shapeId="0">
      <text>
        <t>Chlorophylle
Augmente Vitesse au soleil.</t>
      </text>
    </comment>
    <comment ref="C121" authorId="0" shapeId="0">
      <text>
        <t>Chlorophylle
Augmente Vitesse au soleil.</t>
      </text>
    </comment>
    <comment ref="D121" authorId="0" shapeId="0">
      <text>
        <t>Chlorophylle
Augmente Vitesse au soleil.</t>
      </text>
    </comment>
    <comment ref="B122" authorId="0" shapeId="0">
      <text>
        <t>Fouet Lianes — Plante, physique
Puissance 45 · Précision 100 % · 25 PP
Fouette l'ennemi avec de fines lianes.</t>
      </text>
    </comment>
    <comment ref="C122" authorId="0" shapeId="0">
      <text>
        <t>Fouet Lianes — Plante, physique
Puissance 45 · Précision 100 % · 25 PP
Fouette l'ennemi avec de fines lianes.</t>
      </text>
    </comment>
    <comment ref="D122" authorId="0" shapeId="0">
      <text>
        <t>Fouet Lianes — Plante, physique
Puissance 45 · Précision 100 % · 25 PP
Fouette l'ennemi avec de fines lianes.</t>
      </text>
    </comment>
    <comment ref="B128" authorId="0" shapeId="0">
      <text>
        <t>CHETIFLOR — Plante / Poison
PV 50 · Att 75 · Déf 35
Att.Spé 70 · Déf.Spé 30 · Vit 40
Total 300
Talents : Chlorophylle (caché : Gloutonnerie)</t>
      </text>
    </comment>
    <comment ref="B131" authorId="0" shapeId="0">
      <text>
        <t>Chlorophylle
Augmente Vitesse au soleil.</t>
      </text>
    </comment>
    <comment ref="B132" authorId="0" shapeId="0">
      <text>
        <t>Fouet Lianes — Plante, physique
Puissance 45 · Précision 100 % · 25 PP
Fouette l'ennemi avec de fines lianes.</t>
      </text>
    </comment>
    <comment ref="B137" authorId="0" shapeId="0">
      <text>
        <t>CHETIFLOR — Plante / Poison
PV 50 · Att 75 · Déf 35
Att.Spé 70 · Déf.Spé 30 · Vit 40
Total 300
Talents : Chlorophylle (caché : Gloutonnerie)</t>
      </text>
    </comment>
    <comment ref="B140" authorId="0" shapeId="0">
      <text>
        <t>Chlorophylle
Augmente Vitesse au soleil.</t>
      </text>
    </comment>
    <comment ref="B141" authorId="0" shapeId="0">
      <text>
        <t>Fouet Lianes — Plante, physique
Puissance 45 · Précision 100 % · 25 PP
Fouette l'ennemi avec de fines lianes.</t>
      </text>
    </comment>
    <comment ref="B146" authorId="0" shapeId="0">
      <text>
        <t>GRANIVOL — Plante / Vol
PV 35 · Att 35 · Déf 40
Att.Spé 35 · Déf.Spé 55 · Vit 50
Total 250
Talents : Chlorophylle, Feuille Garde (caché :
  Infiltration)</t>
      </text>
    </comment>
    <comment ref="C146" authorId="0" shapeId="0">
      <text>
        <t>CHETIFLOR — Plante / Poison
PV 50 · Att 75 · Déf 35
Att.Spé 70 · Déf.Spé 30 · Vit 40
Total 300
Talents : Chlorophylle (caché : Gloutonnerie)</t>
      </text>
    </comment>
    <comment ref="B149" authorId="0" shapeId="0">
      <text>
        <t>Chlorophylle
Augmente Vitesse au soleil.</t>
      </text>
    </comment>
    <comment ref="C149" authorId="0" shapeId="0">
      <text>
        <t>Chlorophylle
Augmente Vitesse au soleil.</t>
      </text>
    </comment>
    <comment ref="B150" authorId="0" shapeId="0">
      <text>
        <t>Vole-Vie — Plante, spéciale
Puissance 20 · Précision 100 % · 25 PP
Une attaque qui convertit les dégâts infligés
en PV.</t>
      </text>
    </comment>
    <comment ref="C150" authorId="0" shapeId="0">
      <text>
        <t>Fouet Lianes — Plante, physique
Puissance 45 · Précision 100 % · 25 PP
Fouette l'ennemi avec de fines lianes.</t>
      </text>
    </comment>
    <comment ref="B151" authorId="0" shapeId="0">
      <text>
        <t>Trempette — Normal, statut
40 PP
Éclabousse l'ennemi sans aucun effet.</t>
      </text>
    </comment>
    <comment ref="C151" authorId="0" shapeId="0">
      <text>
        <t>Croissance — Normal, statut
20 PP</t>
      </text>
    </comment>
    <comment ref="B152" authorId="0" shapeId="0">
      <text>
        <t>Synthèse — Plante, statut
5 PP
Restaure les PV. La quantité varie suivant le
temps.</t>
      </text>
    </comment>
    <comment ref="B153" authorId="0" shapeId="0">
      <text>
        <t>Mimi-Queue — Normal, statut
Précision 100 % · 30 PP
Remue la queue pour baisser la Défense de
l'ennemi.</t>
      </text>
    </comment>
    <comment ref="B155" authorId="0" shapeId="0">
      <text>
        <t>MYSTHERBE — Plante / Poison
PV 45 · Att 50 · Déf 55
Att.Spé 75 · Déf.Spé 65 · Vit 30
Total 320
Talents : Chlorophylle (caché : Fuite)</t>
      </text>
    </comment>
    <comment ref="C155" authorId="0" shapeId="0">
      <text>
        <t>TOURNEGRIN — Plante
PV 30 · Att 30 · Déf 30
Att.Spé 30 · Déf.Spé 30 · Vit 30
Total 180
Talents : Chlorophylle, Force Soleil (caché :
  Matinal)</t>
      </text>
    </comment>
    <comment ref="D155" authorId="0" shapeId="0">
      <text>
        <t>CHETIFLOR — Plante / Poison
PV 50 · Att 75 · Déf 35
Att.Spé 70 · Déf.Spé 30 · Vit 40
Total 300
Talents : Chlorophylle (caché : Gloutonnerie)</t>
      </text>
    </comment>
    <comment ref="B158" authorId="0" shapeId="0">
      <text>
        <t>Chlorophylle
Augmente Vitesse au soleil.</t>
      </text>
    </comment>
    <comment ref="C158" authorId="0" shapeId="0">
      <text>
        <t>Chlorophylle
Augmente Vitesse au soleil.</t>
      </text>
    </comment>
    <comment ref="D158" authorId="0" shapeId="0">
      <text>
        <t>Chlorophylle
Augmente Vitesse au soleil.</t>
      </text>
    </comment>
    <comment ref="B159" authorId="0" shapeId="0">
      <text>
        <t>Vole-Vie — Plante, spéciale
Puissance 20 · Précision 100 % · 25 PP
Une attaque qui convertit les dégâts infligés
en PV.</t>
      </text>
    </comment>
    <comment ref="C159" authorId="0" shapeId="0">
      <text>
        <t>Vole-Vie — Plante, spéciale
Puissance 20 · Précision 100 % · 25 PP
Une attaque qui convertit les dégâts infligés
en PV.</t>
      </text>
    </comment>
    <comment ref="D159" authorId="0" shapeId="0">
      <text>
        <t>Fouet Lianes — Plante, physique
Puissance 45 · Précision 100 % · 25 PP
Fouette l'ennemi avec de fines lianes.</t>
      </text>
    </comment>
    <comment ref="B160" authorId="0" shapeId="0">
      <text>
        <t>Croissance — Normal, statut
20 PP</t>
      </text>
    </comment>
    <comment ref="C160" authorId="0" shapeId="0">
      <text>
        <t>Croissance — Normal, statut
20 PP</t>
      </text>
    </comment>
    <comment ref="D160" authorId="0" shapeId="0">
      <text>
        <t>Croissance — Normal, statut
20 PP</t>
      </text>
    </comment>
    <comment ref="B161" authorId="0" shapeId="0">
      <text>
        <t>Doux Parfum — Normal, statut
Précision 100 % · 20 PP</t>
      </text>
    </comment>
    <comment ref="C161" authorId="0" shapeId="0">
      <text>
        <t>Racines — Plante, statut
20 PP
Plante des racines, regagne PV, ne peut plus
changer.</t>
      </text>
    </comment>
    <comment ref="C162" authorId="0" shapeId="0">
      <text>
        <t>Siffl'Herbe — Plante, statut
Précision 55 % · 15 PP
Endort l'ennemi en sifflant une douce mélodie.</t>
      </text>
    </comment>
    <comment ref="B165" authorId="0" shapeId="0">
      <text>
        <t>TENTACOOL — Eau / Poison
PV 40 · Att 40 · Déf 35
Att.Spé 50 · Déf.Spé 100 · Vit 70
Total 335
Talents : Corps Sain, Suintement (caché :
  Cuvette)</t>
      </text>
    </comment>
    <comment ref="B168" authorId="0" shapeId="0">
      <text>
        <t>Corps Sain
Empêche réduction de cap.</t>
      </text>
    </comment>
    <comment ref="B169" authorId="0" shapeId="0">
      <text>
        <t>Dard-Venin — Poison, physique
Puissance 30 · Précision 100 % · 35 PP
Une attaque de dards, etc., pouvant
empoisonner.</t>
      </text>
    </comment>
    <comment ref="B170" authorId="0" shapeId="0">
      <text>
        <t>Ultrason — Normal, statut
Précision 55 % · 20 PP
Étranges ondes sonores pouvant rendre confus.</t>
      </text>
    </comment>
    <comment ref="B171" authorId="0" shapeId="0">
      <text>
        <t>Constriction — Normal, physique
Puissance 10 · Précision 100 % · 35 PP
Étrangle pour blesser. Peut baisser la
Vitesse.</t>
      </text>
    </comment>
    <comment ref="B174" authorId="0" shapeId="0">
      <text>
        <t>POISSIRENE — Eau
PV 45 · Att 67 · Déf 60
Att.Spé 35 · Déf.Spé 50 · Vit 63
Total 320
Talents : Glissade, Ignifu-Voile (caché :
  Paratonnerre)</t>
      </text>
    </comment>
    <comment ref="B177" authorId="0" shapeId="0">
      <text>
        <t>Glissade
Monte Vitesse s'il pleut.</t>
      </text>
    </comment>
    <comment ref="B178" authorId="0" shapeId="0">
      <text>
        <t>Tourniquet — Eau, statut
15 PP
Mouille le lanceur et aug- mente sa résistance
au feu.</t>
      </text>
    </comment>
    <comment ref="B179" authorId="0" shapeId="0">
      <text>
        <t>Écume — Eau, spéciale
Puissance 40 · Précision 100 % · 30 PP
Une attaque de bulles pouvant baisser la
Vitesse.</t>
      </text>
    </comment>
    <comment ref="B180" authorId="0" shapeId="0">
      <text>
        <t>Ultrason — Normal, statut
Précision 55 % · 20 PP
Étranges ondes sonores pouvant rendre confus.</t>
      </text>
    </comment>
    <comment ref="B181" authorId="0" shapeId="0">
      <text>
        <t>Koud'Korne — Normal, physique
Puissance 65 · Précision 100 % · 25 PP
Frappe l'ennemi d'un coup de corne pointue.</t>
      </text>
    </comment>
    <comment ref="B183" authorId="0" shapeId="0">
      <text>
        <t>MARILL — Eau / Fée
PV 70 · Att 20 · Déf 50
Att.Spé 20 · Déf.Spé 50 · Vit 40
Total 250
Talents : Isograisse, Coloforce (caché :
  Herbivore)</t>
      </text>
    </comment>
    <comment ref="C183" authorId="0" shapeId="0">
      <text>
        <t>PTITARD — Eau
PV 40 · Att 50 · Déf 40
Att.Spé 40 · Déf.Spé 40 · Vit 90
Total 300
Talents : Absorbe-Eau, Moiteur (caché :
  Glissade)</t>
      </text>
    </comment>
    <comment ref="B186" authorId="0" shapeId="0">
      <text>
        <t>Isograisse
Contre chaleur et froid.</t>
      </text>
    </comment>
    <comment ref="C186" authorId="0" shapeId="0">
      <text>
        <t>Absorbe-Eau
Change l'eau en PV.</t>
      </text>
    </comment>
    <comment ref="B187" authorId="0" shapeId="0">
      <text>
        <t>Pistolet à O — Eau, spéciale
Puissance 40 · Précision 100 % · 25 PP
Attaque l'ennemi en projetant de l'eau.</t>
      </text>
    </comment>
    <comment ref="C187" authorId="0" shapeId="0">
      <text>
        <t>Tourniquet — Eau, statut
15 PP
Mouille le lanceur et aug- mente sa résistance
au feu.</t>
      </text>
    </comment>
    <comment ref="B188" authorId="0" shapeId="0">
      <text>
        <t>Mimi-Queue — Normal, statut
Précision 100 % · 30 PP
Remue la queue pour baisser la Défense de
l'ennemi.</t>
      </text>
    </comment>
    <comment ref="C188" authorId="0" shapeId="0">
      <text>
        <t>Pistolet à O — Eau, spéciale
Puissance 40 · Précision 100 % · 25 PP
Attaque l'ennemi en projetant de l'eau.</t>
      </text>
    </comment>
    <comment ref="B189" authorId="0" shapeId="0">
      <text>
        <t>Tourniquet — Eau, statut
15 PP
Mouille le lanceur et aug- mente sa résistance
au feu.</t>
      </text>
    </comment>
    <comment ref="B190" authorId="0" shapeId="0">
      <text>
        <t>Écume — Eau, spéciale
Puissance 40 · Précision 100 % · 30 PP
Une attaque de bulles pouvant baisser la
Vitesse.</t>
      </text>
    </comment>
    <comment ref="B192" authorId="0" shapeId="0">
      <text>
        <t>FOUINETTE — Normal
PV 35 · Att 46 · Déf 34
Att.Spé 35 · Déf.Spé 45 · Vit 20
Total 215
Talents : Fuite, Regard Vif (caché : Fouille)</t>
      </text>
    </comment>
    <comment ref="C192" authorId="0" shapeId="0">
      <text>
        <t>NOSFERAPTI — Poison / Vol
PV 40 · Att 45 · Déf 35
Att.Spé 30 · Déf.Spé 40 · Vit 55
Total 245
Talents : Attention (caché : Infiltration)</t>
      </text>
    </comment>
    <comment ref="B195" authorId="0" shapeId="0">
      <text>
        <t>Fuite
Améliore chances de fuite.</t>
      </text>
    </comment>
    <comment ref="C195" authorId="0" shapeId="0">
      <text>
        <t>Attention
Empêche la peur.</t>
      </text>
    </comment>
    <comment ref="B196" authorId="0" shapeId="0">
      <text>
        <t>Griffe — Normal, physique
Puissance 40 · Précision 100 % · 35 PP
Lacère l'ennemi avec des griffes acérées.</t>
      </text>
    </comment>
    <comment ref="C196" authorId="0" shapeId="0">
      <text>
        <t>Vole-Vie — Plante, spéciale
Puissance 20 · Précision 100 % · 25 PP
Une attaque qui convertit les dégâts infligés
en PV.</t>
      </text>
    </comment>
    <comment ref="B197" authorId="0" shapeId="0">
      <text>
        <t>Clairvoyance — Normal, statut
40 PP
Empêche l'ennemi d'améliorer son esquive.</t>
      </text>
    </comment>
    <comment ref="C197" authorId="0" shapeId="0">
      <text>
        <t>Ultrason — Normal, statut
Précision 55 % · 20 PP
Étranges ondes sonores pouvant rendre confus.</t>
      </text>
    </comment>
    <comment ref="B198" authorId="0" shapeId="0">
      <text>
        <t>Boul'Armure — Normal, statut
40 PP
S'enroule, cache ses points faibles. Monte la
Défense.</t>
      </text>
    </comment>
    <comment ref="C198" authorId="0" shapeId="0">
      <text>
        <t>Étonnement — Spectre, physique
Puissance 30 · Précision 100 % · 15 PP
Une attaque qui peut choquer et apeurer
l'ennemi.</t>
      </text>
    </comment>
    <comment ref="B199" authorId="0" shapeId="0">
      <text>
        <t>Vive-Attaque — Normal, physique
Puissance 40 · Précision 100 % · 30 PP ·
Priorité +1
Attaque fulgurante qui permet de frapper
d'abord.</t>
      </text>
    </comment>
    <comment ref="B201" authorId="0" shapeId="0">
      <text>
        <t>AXOLOTO — Eau / Sol
PV 55 · Att 45 · Déf 45
Att.Spé 25 · Déf.Spé 25 · Vit 15
Total 210
Talents : Moiteur, Absorbe-Eau (caché :
  Inconscient)</t>
      </text>
    </comment>
    <comment ref="B204" authorId="0" shapeId="0">
      <text>
        <t>Moiteur
Empêche auto-destruction.</t>
      </text>
    </comment>
    <comment ref="B205" authorId="0" shapeId="0">
      <text>
        <t>Pistolet à O — Eau, spéciale
Puissance 40 · Précision 100 % · 25 PP
Attaque l'ennemi en projetant de l'eau.</t>
      </text>
    </comment>
    <comment ref="B206" authorId="0" shapeId="0">
      <text>
        <t>Mimi-Queue — Normal, statut
Précision 100 % · 30 PP
Remue la queue pour baisser la Défense de
l'ennemi.</t>
      </text>
    </comment>
    <comment ref="B207" authorId="0" shapeId="0">
      <text>
        <t>Lance-Boue — Sol, statut
15 PP
Couvre le lanceur de boue. Augmente résist.
électr.</t>
      </text>
    </comment>
    <comment ref="B208" authorId="0" shapeId="0">
      <text>
        <t>Tir de Boue — Sol, spéciale
Puissance 55 · Précision 95 % · 15 PP
Envoie de la boue à l'ennemi pour réduire sa
Vitesse.</t>
      </text>
    </comment>
    <comment ref="B210" authorId="0" shapeId="0">
      <text>
        <t>NIDORAN♂ — Poison
PV 46 · Att 57 · Déf 40
Att.Spé 40 · Déf.Spé 40 · Vit 50
Total 273
Talents : Point Poison, Rivalité (caché :
  Agitation)</t>
      </text>
    </comment>
    <comment ref="B213" authorId="0" shapeId="0">
      <text>
        <t>Point Poison
Empoisonne quand touché.</t>
      </text>
    </comment>
    <comment ref="B214" authorId="0" shapeId="0">
      <text>
        <t>Picpic — Vol, physique
Puissance 35 · Précision 100 % · 35 PP
Attaque l'ennemi avec une corne, un bec
pointu, etc.</t>
      </text>
    </comment>
    <comment ref="B215" authorId="0" shapeId="0">
      <text>
        <t>Coud'Boue — Sol, spéciale
Puissance 20 · Précision 100 % · 10 PP
Envoie de la boue au visage pour baisser la
précision.</t>
      </text>
    </comment>
    <comment ref="B216" authorId="0" shapeId="0">
      <text>
        <t>Puissance — Normal, statut
30 PP
Concentration pour booster le taux de
critiques.</t>
      </text>
    </comment>
    <comment ref="B217" authorId="0" shapeId="0">
      <text>
        <t>Double Pied — Combat, physique
Puissance 30 · Précision 100 % · 30 PP
Un double coup de pied qui frappe l'ennemi
deux fois.</t>
      </text>
    </comment>
    <comment ref="B219" authorId="0" shapeId="0">
      <text>
        <t>NIDORAN♀ — Poison
PV 55 · Att 47 · Déf 52
Att.Spé 40 · Déf.Spé 40 · Vit 41
Total 275
Talents : Point Poison, Rivalité (caché :
  Agitation)</t>
      </text>
    </comment>
    <comment ref="B222" authorId="0" shapeId="0">
      <text>
        <t>Point Poison
Empoisonne quand touché.</t>
      </text>
    </comment>
    <comment ref="B223" authorId="0" shapeId="0">
      <text>
        <t>Griffe — Normal, physique
Puissance 40 · Précision 100 % · 35 PP
Lacère l'ennemi avec des griffes acérées.</t>
      </text>
    </comment>
    <comment ref="B224" authorId="0" shapeId="0">
      <text>
        <t>Coud'Boue — Sol, spéciale
Puissance 20 · Précision 100 % · 10 PP
Envoie de la boue au visage pour baisser la
précision.</t>
      </text>
    </comment>
    <comment ref="B225" authorId="0" shapeId="0">
      <text>
        <t>Mimi-Queue — Normal, statut
Précision 100 % · 30 PP
Remue la queue pour baisser la Défense de
l'ennemi.</t>
      </text>
    </comment>
    <comment ref="B226" authorId="0" shapeId="0">
      <text>
        <t>Double Pied — Combat, physique
Puissance 30 · Précision 100 % · 30 PP
Un double coup de pied qui frappe l'ennemi
deux fois.</t>
      </text>
    </comment>
    <comment ref="B228" authorId="0" shapeId="0">
      <text>
        <t>PIAFABEC — Normal / Vol
PV 40 · Att 60 · Déf 30
Att.Spé 31 · Déf.Spé 31 · Vit 70
Total 262
Talents : Regard Vif (caché : Sniper)</t>
      </text>
    </comment>
    <comment ref="C228" authorId="0" shapeId="0">
      <text>
        <t>NATU — Psy / Vol
PV 40 · Att 50 · Déf 45
Att.Spé 70 · Déf.Spé 45 · Vit 70
Total 320
Talents : Synchro, Matinal (caché : Miroir
  Magik)</t>
      </text>
    </comment>
    <comment ref="B231" authorId="0" shapeId="0">
      <text>
        <t>Regard Vif
Empêche perte de précision.</t>
      </text>
    </comment>
    <comment ref="C231" authorId="0" shapeId="0">
      <text>
        <t>Synchro
Transfère statuts.</t>
      </text>
    </comment>
    <comment ref="B232" authorId="0" shapeId="0">
      <text>
        <t>Picpic — Vol, physique
Puissance 35 · Précision 100 % · 35 PP
Attaque l'ennemi avec une corne, un bec
pointu, etc.</t>
      </text>
    </comment>
    <comment ref="C232" authorId="0" shapeId="0">
      <text>
        <t>Picpic — Vol, physique
Puissance 35 · Précision 100 % · 35 PP
Attaque l'ennemi avec une corne, un bec
pointu, etc.</t>
      </text>
    </comment>
    <comment ref="B233" authorId="0" shapeId="0">
      <text>
        <t>Rugissement — Normal, statut
Précision 100 % · 40 PP
Rugit gentiment et baisse l'Attaque de
l'ennemi.</t>
      </text>
    </comment>
    <comment ref="C233" authorId="0" shapeId="0">
      <text>
        <t>Groz'Yeux — Normal, statut
Précision 100 % · 30 PP
Lance un regard noir et baisse la Défense.</t>
      </text>
    </comment>
    <comment ref="B234" authorId="0" shapeId="0">
      <text>
        <t>Groz'Yeux — Normal, statut
Précision 100 % · 30 PP
Lance un regard noir et baisse la Défense.</t>
      </text>
    </comment>
    <comment ref="C234" authorId="0" shapeId="0">
      <text>
        <t>Ombre Nocturne — Spectre, spéciale
Puissance 1 · Précision 100 % · 15 PP
Inflige des dégâts selon le niveau du lanceur.</t>
      </text>
    </comment>
    <comment ref="B235" authorId="0" shapeId="0">
      <text>
        <t>Poursuite — Ténèbres, physique
Puissance 40 · Précision 100 % · 20 PP
Inflige de sérieux dégâts lorsque l'ennemi
change.</t>
      </text>
    </comment>
    <comment ref="B238" authorId="0" shapeId="0">
      <text>
        <t>RACAILLOU — Roche / Sol
PV 40 · Att 80 · Déf 100
Att.Spé 30 · Déf.Spé 30 · Vit 20
Total 300
Talents : Tête de Roc, Fermeté (caché : Voile
  Sable)</t>
      </text>
    </comment>
    <comment ref="C238" authorId="0" shapeId="0">
      <text>
        <t>OSSELAIT — Sol
PV 50 · Att 50 · Déf 95
Att.Spé 40 · Déf.Spé 50 · Vit 35
Total 320
Talents : Tête de Roc, Paratonnerre (caché :
  Armurbaston)</t>
      </text>
    </comment>
    <comment ref="B241" authorId="0" shapeId="0">
      <text>
        <t>Tête de Roc
Empêche dégâts du recul.</t>
      </text>
    </comment>
    <comment ref="C241" authorId="0" shapeId="0">
      <text>
        <t>Tête de Roc
Empêche dégâts du recul.</t>
      </text>
    </comment>
    <comment ref="B242" authorId="0" shapeId="0">
      <text>
        <t>Charge — Normal, physique
Puissance 40 · Précision 100 % · 35 PP
Charge l'ennemi avec un violent plaquage.</t>
      </text>
    </comment>
    <comment ref="C242" authorId="0" shapeId="0">
      <text>
        <t>Rugissement — Normal, statut
Précision 100 % · 40 PP
Rugit gentiment et baisse l'Attaque de
l'ennemi.</t>
      </text>
    </comment>
    <comment ref="B243" authorId="0" shapeId="0">
      <text>
        <t>Boul'Armure — Normal, statut
40 PP
S'enroule, cache ses points faibles. Monte la
Défense.</t>
      </text>
    </comment>
    <comment ref="C243" authorId="0" shapeId="0">
      <text>
        <t>Mimi-Queue — Normal, statut
Précision 100 % · 30 PP
Remue la queue pour baisser la Défense de
l'ennemi.</t>
      </text>
    </comment>
    <comment ref="B244" authorId="0" shapeId="0">
      <text>
        <t>Lance-Boue — Sol, statut
15 PP
Couvre le lanceur de boue. Augmente résist.
électr.</t>
      </text>
    </comment>
    <comment ref="C244" authorId="0" shapeId="0">
      <text>
        <t>Massd'Os — Sol, physique
Puissance 65 · Précision 85 % · 20 PP
Cogne l'ennemi avec un os. Peut apeurer.</t>
      </text>
    </comment>
    <comment ref="B245" authorId="0" shapeId="0">
      <text>
        <t>Poliroche — Roche, statut
20 PP
Se polit le corps. Monte beaucoup la Vit.</t>
      </text>
    </comment>
    <comment ref="B247" authorId="0" shapeId="0">
      <text>
        <t>EMBRYLEX — Roche / Sol
PV 50 · Att 64 · Déf 50
Att.Spé 45 · Déf.Spé 50 · Vit 41
Total 300
Talents : Cran (caché : Voile Sable)</t>
      </text>
    </comment>
    <comment ref="B250" authorId="0" shapeId="0">
      <text>
        <t>Cran
Monte l'Attaque si statut.</t>
      </text>
    </comment>
    <comment ref="B251" authorId="0" shapeId="0">
      <text>
        <t>Groz'Yeux — Normal, statut
Précision 100 % · 30 PP
Lance un regard noir et baisse la Défense.</t>
      </text>
    </comment>
    <comment ref="B252" authorId="0" shapeId="0">
      <text>
        <t>Jet-Pierres — Roche, physique
Puissance 50 · Précision 90 % · 15 PP
Envoie des cailloux pour frapper l'ennemi.</t>
      </text>
    </comment>
    <comment ref="B253" authorId="0" shapeId="0">
      <text>
        <t>Tempête de Sable — Roche, statut
10 PP
Une tempête de sable qui souffle pendant 5
tours.</t>
      </text>
    </comment>
    <comment ref="B254" authorId="0" shapeId="0">
      <text>
        <t>Grincement — Normal, statut
Précision 85 % · 40 PP
Cri strident qui baisse la Défense ennemie.</t>
      </text>
    </comment>
    <comment ref="B256" authorId="0" shapeId="0">
      <text>
        <t>ONIX — Roche / Sol
PV 35 · Att 45 · Déf 160
Att.Spé 30 · Déf.Spé 45 · Vit 70
Total 385
Talents : Tête de Roc, Fermeté (caché :
  Armurouillée)</t>
      </text>
    </comment>
    <comment ref="B259" authorId="0" shapeId="0">
      <text>
        <t>Tête de Roc
Empêche dégâts du recul.</t>
      </text>
    </comment>
    <comment ref="B260" authorId="0" shapeId="0">
      <text>
        <t>Étreinte — Normal, physique
Puissance 15 · Précision 85 % · 20 PP</t>
      </text>
    </comment>
    <comment ref="B261" authorId="0" shapeId="0">
      <text>
        <t>Malédiction — Spectre, statut
10 PP
Coup qui fonctionne autre- ment pour les
Spectres.</t>
      </text>
    </comment>
    <comment ref="B262" authorId="0" shapeId="0">
      <text>
        <t>Jet-Pierres — Roche, physique
Puissance 50 · Précision 90 % · 15 PP
Envoie des cailloux pour frapper l'ennemi.</t>
      </text>
    </comment>
    <comment ref="B263" authorId="0" shapeId="0">
      <text>
        <t>Tomberoche — Roche, physique
Puissance 60 · Précision 95 % · 15 PP
Immobilise l'ennemi avec des rochers. Baisse
la Vitesse.</t>
      </text>
    </comment>
    <comment ref="B265" authorId="0" shapeId="0">
      <text>
        <t>CANINOS — Feu
PV 55 · Att 70 · Déf 45
Att.Spé 70 · Déf.Spé 50 · Vit 60
Total 350
Talents : Intimidation, Torche (caché : Cœur
  Noble)</t>
      </text>
    </comment>
    <comment ref="B268" authorId="0" shapeId="0">
      <text>
        <t>Intimidation
Baisse l'Attaque ennemie.</t>
      </text>
    </comment>
    <comment ref="B269" authorId="0" shapeId="0">
      <text>
        <t>Hurlement — Normal, statut
20 PP · Priorité -6
Fait fuir l'ennemi. Contre un Dresseur, le
remplace.</t>
      </text>
    </comment>
    <comment ref="B270" authorId="0" shapeId="0">
      <text>
        <t>Flammèche — Feu, spéciale
Puissance 40 · Précision 100 % · 25 PP
Une faible attaque de feu pouvant brûler
l'ennemi.</t>
      </text>
    </comment>
    <comment ref="B271" authorId="0" shapeId="0">
      <text>
        <t>Groz'Yeux — Normal, statut
Précision 100 % · 30 PP
Lance un regard noir et baisse la Défense.</t>
      </text>
    </comment>
    <comment ref="B272" authorId="0" shapeId="0">
      <text>
        <t>Flair — Normal, statut
40 PP
Empêche l'ennemi d'augmenter son esquive.</t>
      </text>
    </comment>
    <comment ref="B274" authorId="0" shapeId="0">
      <text>
        <t>GOUPIX — Feu
PV 38 · Att 41 · Déf 40
Att.Spé 50 · Déf.Spé 65 · Vit 65
Total 299
Talents : Torche (caché : Sécheresse)</t>
      </text>
    </comment>
    <comment ref="B277" authorId="0" shapeId="0">
      <text>
        <t>Torche
Puissance monte si brûlé.</t>
      </text>
    </comment>
    <comment ref="B278" authorId="0" shapeId="0">
      <text>
        <t>Flammèche — Feu, spéciale
Puissance 40 · Précision 100 % · 25 PP
Une faible attaque de feu pouvant brûler
l'ennemi.</t>
      </text>
    </comment>
    <comment ref="B279" authorId="0" shapeId="0">
      <text>
        <t>Mimi-Queue — Normal, statut
Précision 100 % · 30 PP
Remue la queue pour baisser la Défense de
l'ennemi.</t>
      </text>
    </comment>
    <comment ref="B280" authorId="0" shapeId="0">
      <text>
        <t>Hurlement — Normal, statut
20 PP · Priorité -6
Fait fuir l'ennemi. Contre un Dresseur, le
remplace.</t>
      </text>
    </comment>
    <comment ref="B281" authorId="0" shapeId="0">
      <text>
        <t>Regard Touchant — Fée, statut
Précision 100 % · 30 PP · Priorité +1
Baisse l'Attaque ennemie avant qu'elle agisse.</t>
      </text>
    </comment>
    <comment ref="B284" authorId="0" shapeId="0">
      <text>
        <t>RACAILLOU — Roche / Sol
PV 40 · Att 80 · Déf 100
Att.Spé 30 · Déf.Spé 30 · Vit 20
Total 300
Talents : Tête de Roc, Fermeté (caché : Voile
  Sable)</t>
      </text>
    </comment>
    <comment ref="C284" authorId="0" shapeId="0">
      <text>
        <t>MACHOC — Combat
PV 70 · Att 80 · Déf 50
Att.Spé 35 · Déf.Spé 35 · Vit 35
Total 305
Talents : Cran, Annule Garde (caché :
  Impassible)</t>
      </text>
    </comment>
    <comment ref="B287" authorId="0" shapeId="0">
      <text>
        <t>Tête de Roc
Empêche dégâts du recul.</t>
      </text>
    </comment>
    <comment ref="C287" authorId="0" shapeId="0">
      <text>
        <t>Cran
Monte l'Attaque si statut.</t>
      </text>
    </comment>
    <comment ref="B288" authorId="0" shapeId="0">
      <text>
        <t>Boul'Armure — Normal, statut
40 PP
S'enroule, cache ses points faibles. Monte la
Défense.</t>
      </text>
    </comment>
    <comment ref="C288" authorId="0" shapeId="0">
      <text>
        <t>Groz'Yeux — Normal, statut
Précision 100 % · 30 PP
Lance un regard noir et baisse la Défense.</t>
      </text>
    </comment>
    <comment ref="B289" authorId="0" shapeId="0">
      <text>
        <t>Lance-Boue — Sol, statut
15 PP
Couvre le lanceur de boue. Augmente résist.
électr.</t>
      </text>
    </comment>
    <comment ref="C289" authorId="0" shapeId="0">
      <text>
        <t>Puissance — Normal, statut
30 PP
Concentration pour booster le taux de
critiques.</t>
      </text>
    </comment>
    <comment ref="B290" authorId="0" shapeId="0">
      <text>
        <t>Poliroche — Roche, statut
20 PP
Se polit le corps. Monte beaucoup la Vit.</t>
      </text>
    </comment>
    <comment ref="C290" authorId="0" shapeId="0">
      <text>
        <t>Poing Karaté — Combat, physique
Puissance 50 · Précision 100 % · 25 PP
Une attaque tranchante à taux de critiques
élevé.</t>
      </text>
    </comment>
    <comment ref="B291" authorId="0" shapeId="0">
      <text>
        <t>Roulade — Roche, physique
Puissance 30 · Précision 90 % · 20 PP
Une attaque sur 5 tours, de plus en plus
puissante.</t>
      </text>
    </comment>
    <comment ref="C291" authorId="0" shapeId="0">
      <text>
        <t>Clairvoyance — Normal, statut
40 PP
Empêche l'ennemi d'améliorer son esquive.</t>
      </text>
    </comment>
    <comment ref="B294" authorId="0" shapeId="0">
      <text>
        <t>CHRYSACIER — Insecte
PV 50 · Att 20 · Déf 55
Att.Spé 25 · Déf.Spé 25 · Vit 30
Total 205
Talents : Mue</t>
      </text>
    </comment>
    <comment ref="C294" authorId="0" shapeId="0">
      <text>
        <t>PAPILUSION — Insecte / Vol
PV 60 · Att 45 · Déf 50
Att.Spé 90 · Déf.Spé 80 · Vit 70
Total 395
Talents : Œil Composé (caché : Lentiteintée)</t>
      </text>
    </comment>
    <comment ref="B297" authorId="0" shapeId="0">
      <text>
        <t>Mue
Mue pour se soigner.</t>
      </text>
    </comment>
    <comment ref="C297" authorId="0" shapeId="0">
      <text>
        <t>Œil Composé
Augmente la précision.</t>
      </text>
    </comment>
    <comment ref="B298" authorId="0" shapeId="0">
      <text>
        <t>Armure — Normal, statut
30 PP
Contracte les muscles pour augmenter la
Défense.</t>
      </text>
    </comment>
    <comment ref="C298" authorId="0" shapeId="0">
      <text>
        <t>Tornade — Vol, spéciale
Puissance 40 · Précision 100 % · 35 PP
Envoie une rafale de vent en battant des
ailes.</t>
      </text>
    </comment>
    <comment ref="C299" authorId="0" shapeId="0">
      <text>
        <t>Choc Mental — Psy, spéciale
Puissance 50 · Précision 100 % · 25 PP
Une attaque Psy pouvant rendre l'ennemi
confus.</t>
      </text>
    </comment>
    <comment ref="B303" authorId="0" shapeId="0">
      <text>
        <t>YANMA — Insecte / Vol
PV 65 · Att 65 · Déf 45
Att.Spé 75 · Déf.Spé 45 · Vit 95
Total 390
Talents : Turbo, Œil Composé (caché : Fouille)</t>
      </text>
    </comment>
    <comment ref="B306" authorId="0" shapeId="0">
      <text>
        <t>Turbo
Améliore la Vitesse.</t>
      </text>
    </comment>
    <comment ref="B307" authorId="0" shapeId="0">
      <text>
        <t>Clairvoyance — Normal, statut
40 PP
Empêche l'ennemi d'améliorer son esquive.</t>
      </text>
    </comment>
    <comment ref="B308" authorId="0" shapeId="0">
      <text>
        <t>Vive-Attaque — Normal, physique
Puissance 40 · Précision 100 % · 30 PP ·
Priorité +1
Attaque fulgurante qui permet de frapper
d'abord.</t>
      </text>
    </comment>
    <comment ref="B309" authorId="0" shapeId="0">
      <text>
        <t>Reflet — Normal, statut
15 PP
Crée des images-miroirs pour augmenter
l'esquive.</t>
      </text>
    </comment>
    <comment ref="B310" authorId="0" shapeId="0">
      <text>
        <t>Tornade — Vol, spéciale
Puissance 40 · Précision 100 % · 35 PP
Envoie une rafale de vent en battant des
ailes.</t>
      </text>
    </comment>
    <comment ref="B312" authorId="0" shapeId="0">
      <text>
        <t>COCONFORT — Insecte / Poison
PV 45 · Att 25 · Déf 50
Att.Spé 25 · Déf.Spé 25 · Vit 35
Total 205
Talents : Mue</t>
      </text>
    </comment>
    <comment ref="C312" authorId="0" shapeId="0">
      <text>
        <t>DARDARGNAN — Insecte / Poison
PV 65 · Att 90 · Déf 40
Att.Spé 45 · Déf.Spé 80 · Vit 75
Total 395
Talents : Essaim (caché : Sniper)</t>
      </text>
    </comment>
    <comment ref="B315" authorId="0" shapeId="0">
      <text>
        <t>Mue
Mue pour se soigner.</t>
      </text>
    </comment>
    <comment ref="C315" authorId="0" shapeId="0">
      <text>
        <t>Essaim
Augmente attaques Insect.</t>
      </text>
    </comment>
    <comment ref="B316" authorId="0" shapeId="0">
      <text>
        <t>Armure — Normal, statut
30 PP
Contracte les muscles pour augmenter la
Défense.</t>
      </text>
    </comment>
    <comment ref="C316" authorId="0" shapeId="0">
      <text>
        <t>Double Dard — Insecte, physique
Puissance 25 · Précision 100 % · 20 PP
Les dards des pattes avant frappent deux fois.</t>
      </text>
    </comment>
    <comment ref="C317" authorId="0" shapeId="0">
      <text>
        <t>Furie — Normal, physique
Puissance 15 · Précision 85 % · 20 PP
Frappe l'ennemi 2 à 5 fois avec une corne, un
bec, etc.</t>
      </text>
    </comment>
    <comment ref="B321" authorId="0" shapeId="0">
      <text>
        <t>COXY — Insecte / Vol
PV 40 · Att 20 · Déf 30
Att.Spé 40 · Déf.Spé 80 · Vit 55
Total 265
Talents : Essaim, Matinal (caché : Phobique)</t>
      </text>
    </comment>
    <comment ref="C321" authorId="0" shapeId="0">
      <text>
        <t>MIMIGAL — Insecte / Poison
PV 40 · Att 60 · Déf 40
Att.Spé 40 · Déf.Spé 40 · Vit 30
Total 250
Talents : Essaim, Insomnia (caché : Sniper)</t>
      </text>
    </comment>
    <comment ref="B324" authorId="0" shapeId="0">
      <text>
        <t>Essaim
Augmente attaques Insect.</t>
      </text>
    </comment>
    <comment ref="C324" authorId="0" shapeId="0">
      <text>
        <t>Essaim
Augmente attaques Insect.</t>
      </text>
    </comment>
    <comment ref="B325" authorId="0" shapeId="0">
      <text>
        <t>Harcèlement — Insecte, spéciale
Puissance 20 · Précision 100 % · 20 PP</t>
      </text>
    </comment>
    <comment ref="C325" authorId="0" shapeId="0">
      <text>
        <t>Constriction — Normal, physique
Puissance 10 · Précision 100 % · 35 PP
Étrangle pour blesser. Peut baisser la
Vitesse.</t>
      </text>
    </comment>
    <comment ref="B326" authorId="0" shapeId="0">
      <text>
        <t>Mur Lumière — Psy, statut
30 PP
Crée un mur lumineux et réduit les dégâts
d'Atq. Spé.</t>
      </text>
    </comment>
    <comment ref="C326" authorId="0" shapeId="0">
      <text>
        <t>Vole-Vie — Plante, spéciale
Puissance 20 · Précision 100 % · 25 PP
Une attaque qui convertit les dégâts infligés
en PV.</t>
      </text>
    </comment>
    <comment ref="B327" authorId="0" shapeId="0">
      <text>
        <t>Protection — Psy, statut
20 PP
Crée un mur lumineux. Affaiblit att.
physiques.</t>
      </text>
    </comment>
    <comment ref="C327" authorId="0" shapeId="0">
      <text>
        <t>Harcèlement — Insecte, spéciale
Puissance 20 · Précision 100 % · 20 PP</t>
      </text>
    </comment>
    <comment ref="B328" authorId="0" shapeId="0">
      <text>
        <t>Rune Protect — Normal, statut
25 PP
Force mystique empêchant tout changement de
statut.</t>
      </text>
    </comment>
    <comment ref="C328" authorId="0" shapeId="0">
      <text>
        <t>Grimace — Normal, statut
Précision 100 % · 10 PP
Effraie avec une grimace pour baisser la
Vitesse.</t>
      </text>
    </comment>
    <comment ref="B330" authorId="0" shapeId="0">
      <text>
        <t>POMDEPIK — Insecte
PV 50 · Att 65 · Déf 90
Att.Spé 35 · Déf.Spé 35 · Vit 15
Total 290
Talents : Fermeté (caché : Envelocape)</t>
      </text>
    </comment>
    <comment ref="C330" authorId="0" shapeId="0">
      <text>
        <t>COXYCLAQUE — Insecte / Vol
PV 55 · Att 35 · Déf 50
Att.Spé 55 · Déf.Spé 110 · Vit 85
Total 390
Talents : Essaim, Matinal (caché : Poing de
  Fer)</t>
      </text>
    </comment>
    <comment ref="D330" authorId="0" shapeId="0">
      <text>
        <t>INSECATEUR — Insecte / Vol
PV 70 · Att 110 · Déf 80
Att.Spé 55 · Déf.Spé 80 · Vit 105
Total 500
Talents : Essaim, Technicien (caché :
  Impassible)</t>
      </text>
    </comment>
    <comment ref="D332" authorId="0" shapeId="0">
      <text>
        <t>Jus de Baie
Une boisson 100% pur jus qui restaure 20 PV.</t>
      </text>
    </comment>
    <comment ref="B333" authorId="0" shapeId="0">
      <text>
        <t>Fermeté
Ignore les K.O. en un coup.</t>
      </text>
    </comment>
    <comment ref="C333" authorId="0" shapeId="0">
      <text>
        <t>Essaim
Augmente attaques Insect.</t>
      </text>
    </comment>
    <comment ref="D333" authorId="0" shapeId="0">
      <text>
        <t>Essaim
Augmente attaques Insect.</t>
      </text>
    </comment>
    <comment ref="B334" authorId="0" shapeId="0">
      <text>
        <t>Dard-Nuée — Insecte, physique
Puissance 25 · Précision 95 % · 20 PP
Envoie des dards qui frappent 2 à 5 fois.</t>
      </text>
    </comment>
    <comment ref="C334" authorId="0" shapeId="0">
      <text>
        <t>Poing Éclair — Électrik, physique
Puissance 75 · Précision 100 % · 15 PP
Un poing électrique pouvant paralyser
l'ennemi.</t>
      </text>
    </comment>
    <comment ref="D334" authorId="0" shapeId="0">
      <text>
        <t>Vive-Attaque — Normal, physique
Puissance 40 · Précision 100 % · 30 PP ·
Priorité +1
Attaque fulgurante qui permet de frapper
d'abord.</t>
      </text>
    </comment>
    <comment ref="B335" authorId="0" shapeId="0">
      <text>
        <t>Coup d'Boule — Normal, physique
Puissance 70 · Précision 100 % · 15 PP
Une charge qui peut apeurer l'ennemi.</t>
      </text>
    </comment>
    <comment ref="C335" authorId="0" shapeId="0">
      <text>
        <t>Poing Comète — Normal, physique
Puissance 18 · Précision 85 % · 15 PP
Frappe rapidement l'ennemi de 2 à 5 fois.</t>
      </text>
    </comment>
    <comment ref="D335" authorId="0" shapeId="0">
      <text>
        <t>Taillade — Insecte, physique
Puissance 40 · Précision 95 % · 20 PP
Une attaque qui s'intensifie après chaque
coup.</t>
      </text>
    </comment>
    <comment ref="B336" authorId="0" shapeId="0">
      <text>
        <t>Roulade — Roche, physique
Puissance 30 · Précision 90 % · 20 PP
Une attaque sur 5 tours, de plus en plus
puissante.</t>
      </text>
    </comment>
    <comment ref="C336" authorId="0" shapeId="0">
      <text>
        <t>Ultrason — Normal, statut
Précision 55 % · 20 PP
Étranges ondes sonores pouvant rendre confus.</t>
      </text>
    </comment>
    <comment ref="D336" authorId="0" shapeId="0">
      <text>
        <t>Demi-Tour — Insecte, physique
Puissance 70 · Précision 100 % · 20 PP</t>
      </text>
    </comment>
    <comment ref="B337" authorId="0" shapeId="0">
      <text>
        <t>Armure — Normal, statut
30 PP
Contracte les muscles pour augmenter la
Défense.</t>
      </text>
    </comment>
    <comment ref="C337" authorId="0" shapeId="0">
      <text>
        <t>Protection — Psy, statut
20 PP
Crée un mur lumineux. Affaiblit att.
physiques.</t>
      </text>
    </comment>
    <comment ref="D337" authorId="0" shapeId="0">
      <text>
        <t>Poursuite — Ténèbres, physique
Puissance 40 · Précision 100 % · 20 PP
Inflige de sérieux dégâts lorsque l'ennemi
change.</t>
      </text>
    </comment>
    <comment ref="B340" authorId="0" shapeId="0">
      <text>
        <t>NOSFERAPTI — Poison / Vol
PV 40 · Att 45 · Déf 35
Att.Spé 30 · Déf.Spé 40 · Vit 55
Total 245
Talents : Attention (caché : Infiltration)</t>
      </text>
    </comment>
    <comment ref="C340" authorId="0" shapeId="0">
      <text>
        <t>EMBRYLEX — Roche / Sol
PV 50 · Att 64 · Déf 50
Att.Spé 45 · Déf.Spé 50 · Vit 41
Total 300
Talents : Cran (caché : Voile Sable)</t>
      </text>
    </comment>
    <comment ref="D340" authorId="0" shapeId="0">
      <text>
        <t>FEURISSON — Feu
PV 58 · Att 64 · Déf 58
Att.Spé 80 · Déf.Spé 65 · Vit 80
Total 405
Talents : Brasier (caché : Torche)</t>
      </text>
    </comment>
    <comment ref="B343" authorId="0" shapeId="0">
      <text>
        <t>Attention
Empêche la peur.</t>
      </text>
    </comment>
    <comment ref="C343" authorId="0" shapeId="0">
      <text>
        <t>Cran
Monte l'Attaque si statut.</t>
      </text>
    </comment>
    <comment ref="D343" authorId="0" shapeId="0">
      <text>
        <t>Brasier
Augmente attaques Feu.</t>
      </text>
    </comment>
    <comment ref="B344" authorId="0" shapeId="0">
      <text>
        <t>Vole-Vie — Plante, spéciale
Puissance 20 · Précision 100 % · 25 PP
Une attaque qui convertit les dégâts infligés
en PV.</t>
      </text>
    </comment>
    <comment ref="C344" authorId="0" shapeId="0">
      <text>
        <t>Morsure — Ténèbres, physique
Puissance 60 · Précision 100 % · 25 PP
Mord méchamment l'ennemi et peut l'apeurer.</t>
      </text>
    </comment>
    <comment ref="D344" authorId="0" shapeId="0">
      <text>
        <t>Groz'Yeux — Normal, statut
Précision 100 % · 30 PP
Lance un regard noir et baisse la Défense.</t>
      </text>
    </comment>
    <comment ref="B345" authorId="0" shapeId="0">
      <text>
        <t>Ultrason — Normal, statut
Précision 55 % · 20 PP
Étranges ondes sonores pouvant rendre confus.</t>
      </text>
    </comment>
    <comment ref="C345" authorId="0" shapeId="0">
      <text>
        <t>Jet-Pierres — Roche, physique
Puissance 50 · Précision 90 % · 15 PP
Envoie des cailloux pour frapper l'ennemi.</t>
      </text>
    </comment>
    <comment ref="D345" authorId="0" shapeId="0">
      <text>
        <t>Brouillard — Normal, statut
Précision 100 % · 20 PP
Baisse la précision ennemie utilisant fumée,
encre, etc.</t>
      </text>
    </comment>
    <comment ref="B346" authorId="0" shapeId="0">
      <text>
        <t>Dard-Venin — Poison, physique
Puissance 30 · Précision 100 % · 35 PP
Une attaque de dards, etc., pouvant
empoisonner.</t>
      </text>
    </comment>
    <comment ref="C346" authorId="0" shapeId="0">
      <text>
        <t>Grincement — Normal, statut
Précision 85 % · 40 PP
Cri strident qui baisse la Défense ennemie.</t>
      </text>
    </comment>
    <comment ref="D346" authorId="0" shapeId="0">
      <text>
        <t>Flammèche — Feu, spéciale
Puissance 40 · Précision 100 % · 25 PP
Une faible attaque de feu pouvant brûler
l'ennemi.</t>
      </text>
    </comment>
    <comment ref="B347" authorId="0" shapeId="0">
      <text>
        <t>Étonnement — Spectre, physique
Puissance 30 · Précision 100 % · 15 PP
Une attaque qui peut choquer et apeurer
l'ennemi.</t>
      </text>
    </comment>
    <comment ref="C347" authorId="0" shapeId="0">
      <text>
        <t>Tempête de Sable — Roche, statut
10 PP
Une tempête de sable qui souffle pendant 5
tours.</t>
      </text>
    </comment>
    <comment ref="D347" authorId="0" shapeId="0">
      <text>
        <t>Charge — Normal, physique
Puissance 40 · Précision 100 % · 35 PP
Charge l'ennemi avec un violent plaquage.</t>
      </text>
    </comment>
    <comment ref="B349" authorId="0" shapeId="0">
      <text>
        <t>NOSFERAPTI — Poison / Vol
PV 40 · Att 45 · Déf 35
Att.Spé 30 · Déf.Spé 40 · Vit 55
Total 245
Talents : Attention (caché : Infiltration)</t>
      </text>
    </comment>
    <comment ref="C349" authorId="0" shapeId="0">
      <text>
        <t>EMBRYLEX — Roche / Sol
PV 50 · Att 64 · Déf 50
Att.Spé 45 · Déf.Spé 50 · Vit 41
Total 300
Talents : Cran (caché : Voile Sable)</t>
      </text>
    </comment>
    <comment ref="D349" authorId="0" shapeId="0">
      <text>
        <t>CROCRODIL — Eau
PV 65 · Att 80 · Déf 80
Att.Spé 59 · Déf.Spé 63 · Vit 58
Total 405
Talents : Torrent (caché : Sans Limite)</t>
      </text>
    </comment>
    <comment ref="B352" authorId="0" shapeId="0">
      <text>
        <t>Attention
Empêche la peur.</t>
      </text>
    </comment>
    <comment ref="C352" authorId="0" shapeId="0">
      <text>
        <t>Cran
Monte l'Attaque si statut.</t>
      </text>
    </comment>
    <comment ref="D352" authorId="0" shapeId="0">
      <text>
        <t>Torrent
Augmente attaques Eau.</t>
      </text>
    </comment>
    <comment ref="B353" authorId="0" shapeId="0">
      <text>
        <t>Vole-Vie — Plante, spéciale
Puissance 20 · Précision 100 % · 25 PP
Une attaque qui convertit les dégâts infligés
en PV.</t>
      </text>
    </comment>
    <comment ref="C353" authorId="0" shapeId="0">
      <text>
        <t>Morsure — Ténèbres, physique
Puissance 60 · Précision 100 % · 25 PP
Mord méchamment l'ennemi et peut l'apeurer.</t>
      </text>
    </comment>
    <comment ref="D353" authorId="0" shapeId="0">
      <text>
        <t>Griffe — Normal, physique
Puissance 40 · Précision 100 % · 35 PP
Lacère l'ennemi avec des griffes acérées.</t>
      </text>
    </comment>
    <comment ref="B354" authorId="0" shapeId="0">
      <text>
        <t>Ultrason — Normal, statut
Précision 55 % · 20 PP
Étranges ondes sonores pouvant rendre confus.</t>
      </text>
    </comment>
    <comment ref="C354" authorId="0" shapeId="0">
      <text>
        <t>Jet-Pierres — Roche, physique
Puissance 50 · Précision 90 % · 15 PP
Envoie des cailloux pour frapper l'ennemi.</t>
      </text>
    </comment>
    <comment ref="D354" authorId="0" shapeId="0">
      <text>
        <t>Frénésie — Normal, physique
Puissance 20 · Précision 100 % · 20 PP
Augmente l'Attaque du lanceur à chaque coup
reçu.</t>
      </text>
    </comment>
    <comment ref="B355" authorId="0" shapeId="0">
      <text>
        <t>Dard-Venin — Poison, physique
Puissance 30 · Précision 100 % · 35 PP
Une attaque de dards, etc., pouvant
empoisonner.</t>
      </text>
    </comment>
    <comment ref="C355" authorId="0" shapeId="0">
      <text>
        <t>Grincement — Normal, statut
Précision 85 % · 40 PP
Cri strident qui baisse la Défense ennemie.</t>
      </text>
    </comment>
    <comment ref="D355" authorId="0" shapeId="0">
      <text>
        <t>Bulles d'O — Eau, spéciale
Puissance 65 · Précision 100 % · 20 PP
Envoie des bulles pouvant baisser la Vitesse.</t>
      </text>
    </comment>
    <comment ref="B356" authorId="0" shapeId="0">
      <text>
        <t>Étonnement — Spectre, physique
Puissance 30 · Précision 100 % · 15 PP
Une attaque qui peut choquer et apeurer
l'ennemi.</t>
      </text>
    </comment>
    <comment ref="C356" authorId="0" shapeId="0">
      <text>
        <t>Tempête de Sable — Roche, statut
10 PP
Une tempête de sable qui souffle pendant 5
tours.</t>
      </text>
    </comment>
    <comment ref="D356" authorId="0" shapeId="0">
      <text>
        <t>Groz'Yeux — Normal, statut
Précision 100 % · 30 PP
Lance un regard noir et baisse la Défense.</t>
      </text>
    </comment>
    <comment ref="B358" authorId="0" shapeId="0">
      <text>
        <t>NOSFERAPTI — Poison / Vol
PV 40 · Att 45 · Déf 35
Att.Spé 30 · Déf.Spé 40 · Vit 55
Total 245
Talents : Attention (caché : Infiltration)</t>
      </text>
    </comment>
    <comment ref="C358" authorId="0" shapeId="0">
      <text>
        <t>EMBRYLEX — Roche / Sol
PV 50 · Att 64 · Déf 50
Att.Spé 45 · Déf.Spé 50 · Vit 41
Total 300
Talents : Cran (caché : Voile Sable)</t>
      </text>
    </comment>
    <comment ref="D358" authorId="0" shapeId="0">
      <text>
        <t>MACRONIUM — Plante
PV 60 · Att 62 · Déf 80
Att.Spé 63 · Déf.Spé 80 · Vit 60
Total 405
Talents : Engrais (caché : Feuille Garde)</t>
      </text>
    </comment>
    <comment ref="B361" authorId="0" shapeId="0">
      <text>
        <t>Attention
Empêche la peur.</t>
      </text>
    </comment>
    <comment ref="C361" authorId="0" shapeId="0">
      <text>
        <t>Cran
Monte l'Attaque si statut.</t>
      </text>
    </comment>
    <comment ref="D361" authorId="0" shapeId="0">
      <text>
        <t>Engrais
Augmente attaques Plante.</t>
      </text>
    </comment>
    <comment ref="B362" authorId="0" shapeId="0">
      <text>
        <t>Vole-Vie — Plante, spéciale
Puissance 20 · Précision 100 % · 25 PP
Une attaque qui convertit les dégâts infligés
en PV.</t>
      </text>
    </comment>
    <comment ref="C362" authorId="0" shapeId="0">
      <text>
        <t>Morsure — Ténèbres, physique
Puissance 60 · Précision 100 % · 25 PP
Mord méchamment l'ennemi et peut l'apeurer.</t>
      </text>
    </comment>
    <comment ref="D362" authorId="0" shapeId="0">
      <text>
        <t>Tranch'Herbe — Plante, physique
Puissance 55 · Précision 95 % · 25 PP
Tranche avec des feuilles. Taux de critiques
élevé.</t>
      </text>
    </comment>
    <comment ref="B363" authorId="0" shapeId="0">
      <text>
        <t>Ultrason — Normal, statut
Précision 55 % · 20 PP
Étranges ondes sonores pouvant rendre confus.</t>
      </text>
    </comment>
    <comment ref="C363" authorId="0" shapeId="0">
      <text>
        <t>Jet-Pierres — Roche, physique
Puissance 50 · Précision 90 % · 15 PP
Envoie des cailloux pour frapper l'ennemi.</t>
      </text>
    </comment>
    <comment ref="D363" authorId="0" shapeId="0">
      <text>
        <t>Protection — Psy, statut
20 PP
Crée un mur lumineux. Affaiblit att.
physiques.</t>
      </text>
    </comment>
    <comment ref="B364" authorId="0" shapeId="0">
      <text>
        <t>Dard-Venin — Poison, physique
Puissance 30 · Précision 100 % · 35 PP
Une attaque de dards, etc., pouvant
empoisonner.</t>
      </text>
    </comment>
    <comment ref="C364" authorId="0" shapeId="0">
      <text>
        <t>Grincement — Normal, statut
Précision 85 % · 40 PP
Cri strident qui baisse la Défense ennemie.</t>
      </text>
    </comment>
    <comment ref="D364" authorId="0" shapeId="0">
      <text>
        <t>Poudre Toxik — Poison, statut
Précision 75 % · 35 PP
Répand une poudre toxique pouvant empoisonner.</t>
      </text>
    </comment>
    <comment ref="B365" authorId="0" shapeId="0">
      <text>
        <t>Étonnement — Spectre, physique
Puissance 30 · Précision 100 % · 15 PP
Une attaque qui peut choquer et apeurer
l'ennemi.</t>
      </text>
    </comment>
    <comment ref="C365" authorId="0" shapeId="0">
      <text>
        <t>Tempête de Sable — Roche, statut
10 PP
Une tempête de sable qui souffle pendant 5
tours.</t>
      </text>
    </comment>
    <comment ref="D365" authorId="0" shapeId="0">
      <text>
        <t>Charge — Normal, physique
Puissance 40 · Précision 100 % · 35 PP
Charge l'ennemi avec un violent plaquage.</t>
      </text>
    </comment>
    <comment ref="B368" authorId="0" shapeId="0">
      <text>
        <t>RATTATA — Normal
PV 30 · Att 56 · Déf 35
Att.Spé 25 · Déf.Spé 35 · Vit 72
Total 253
Talents : Fuite, Cran (caché : Agitation)</t>
      </text>
    </comment>
    <comment ref="C368" authorId="0" shapeId="0">
      <text>
        <t>RATTATA — Normal
PV 30 · Att 56 · Déf 35
Att.Spé 25 · Déf.Spé 35 · Vit 72
Total 253
Talents : Fuite, Cran (caché : Agitation)</t>
      </text>
    </comment>
    <comment ref="B371" authorId="0" shapeId="0">
      <text>
        <t>Fuite
Améliore chances de fuite.</t>
      </text>
    </comment>
    <comment ref="C371" authorId="0" shapeId="0">
      <text>
        <t>Fuite
Améliore chances de fuite.</t>
      </text>
    </comment>
    <comment ref="B372" authorId="0" shapeId="0">
      <text>
        <t>Charge — Normal, physique
Puissance 40 · Précision 100 % · 35 PP
Charge l'ennemi avec un violent plaquage.</t>
      </text>
    </comment>
    <comment ref="C372" authorId="0" shapeId="0">
      <text>
        <t>Mimi-Queue — Normal, statut
Précision 100 % · 30 PP
Remue la queue pour baisser la Défense de
l'ennemi.</t>
      </text>
    </comment>
    <comment ref="B373" authorId="0" shapeId="0">
      <text>
        <t>Mimi-Queue — Normal, statut
Précision 100 % · 30 PP
Remue la queue pour baisser la Défense de
l'ennemi.</t>
      </text>
    </comment>
    <comment ref="C373" authorId="0" shapeId="0">
      <text>
        <t>Vive-Attaque — Normal, physique
Puissance 40 · Précision 100 % · 30 PP ·
Priorité +1
Attaque fulgurante qui permet de frapper
d'abord.</t>
      </text>
    </comment>
    <comment ref="B374" authorId="0" shapeId="0">
      <text>
        <t>Vive-Attaque — Normal, physique
Puissance 40 · Précision 100 % · 30 PP ·
Priorité +1
Attaque fulgurante qui permet de frapper
d'abord.</t>
      </text>
    </comment>
    <comment ref="C374" authorId="0" shapeId="0">
      <text>
        <t>Puissance — Normal, statut
30 PP
Concentration pour booster le taux de
critiques.</t>
      </text>
    </comment>
    <comment ref="B375" authorId="0" shapeId="0">
      <text>
        <t>Puissance — Normal, statut
30 PP
Concentration pour booster le taux de
critiques.</t>
      </text>
    </comment>
    <comment ref="C375" authorId="0" shapeId="0">
      <text>
        <t>Morsure — Ténèbres, physique
Puissance 60 · Précision 100 % · 25 PP
Mord méchamment l'ennemi et peut l'apeurer.</t>
      </text>
    </comment>
    <comment ref="B377" authorId="0" shapeId="0">
      <text>
        <t>RATTATA — Normal
PV 30 · Att 56 · Déf 35
Att.Spé 25 · Déf.Spé 35 · Vit 72
Total 253
Talents : Fuite, Cran (caché : Agitation)</t>
      </text>
    </comment>
    <comment ref="C377" authorId="0" shapeId="0">
      <text>
        <t>NOSFERAPTI — Poison / Vol
PV 40 · Att 45 · Déf 35
Att.Spé 30 · Déf.Spé 40 · Vit 55
Total 245
Talents : Attention (caché : Infiltration)</t>
      </text>
    </comment>
    <comment ref="B380" authorId="0" shapeId="0">
      <text>
        <t>Fuite
Améliore chances de fuite.</t>
      </text>
    </comment>
    <comment ref="C380" authorId="0" shapeId="0">
      <text>
        <t>Attention
Empêche la peur.</t>
      </text>
    </comment>
    <comment ref="B381" authorId="0" shapeId="0">
      <text>
        <t>Charge — Normal, physique
Puissance 40 · Précision 100 % · 35 PP
Charge l'ennemi avec un violent plaquage.</t>
      </text>
    </comment>
    <comment ref="C381" authorId="0" shapeId="0">
      <text>
        <t>Vole-Vie — Plante, spéciale
Puissance 20 · Précision 100 % · 25 PP
Une attaque qui convertit les dégâts infligés
en PV.</t>
      </text>
    </comment>
    <comment ref="B382" authorId="0" shapeId="0">
      <text>
        <t>Mimi-Queue — Normal, statut
Précision 100 % · 30 PP
Remue la queue pour baisser la Défense de
l'ennemi.</t>
      </text>
    </comment>
    <comment ref="C382" authorId="0" shapeId="0">
      <text>
        <t>Ultrason — Normal, statut
Précision 55 % · 20 PP
Étranges ondes sonores pouvant rendre confus.</t>
      </text>
    </comment>
    <comment ref="B383" authorId="0" shapeId="0">
      <text>
        <t>Vive-Attaque — Normal, physique
Puissance 40 · Précision 100 % · 30 PP ·
Priorité +1
Attaque fulgurante qui permet de frapper
d'abord.</t>
      </text>
    </comment>
    <comment ref="C383" authorId="0" shapeId="0">
      <text>
        <t>Étonnement — Spectre, physique
Puissance 30 · Précision 100 % · 15 PP
Une attaque qui peut choquer et apeurer
l'ennemi.</t>
      </text>
    </comment>
    <comment ref="B384" authorId="0" shapeId="0">
      <text>
        <t>Puissance — Normal, statut
30 PP
Concentration pour booster le taux de
critiques.</t>
      </text>
    </comment>
    <comment ref="C384" authorId="0" shapeId="0">
      <text>
        <t>Dard-Venin — Poison, physique
Puissance 30 · Précision 100 % · 35 PP
Une attaque de dards, etc., pouvant
empoisonner.</t>
      </text>
    </comment>
    <comment ref="B386" authorId="0" shapeId="0">
      <text>
        <t>ELEKID — Électrik
PV 45 · Att 63 · Déf 37
Att.Spé 65 · Déf.Spé 55 · Vit 95
Total 360
Talents : Statik (caché : Esprit Vital)</t>
      </text>
    </comment>
    <comment ref="C386" authorId="0" shapeId="0">
      <text>
        <t>MAGBY — Feu
PV 45 · Att 75 · Déf 37
Att.Spé 70 · Déf.Spé 55 · Vit 83
Total 365
Talents : Corps Ardent (caché : Esprit Vital)</t>
      </text>
    </comment>
    <comment ref="D386" authorId="0" shapeId="0">
      <text>
        <t>LIPPOUTI — Glace / Psy
PV 45 · Att 30 · Déf 15
Att.Spé 85 · Déf.Spé 65 · Vit 65
Total 305
Talents : Benêt, Prédiction (caché :
  Hydratation)</t>
      </text>
    </comment>
    <comment ref="B389" authorId="0" shapeId="0">
      <text>
        <t>Statik
Paralyse au toucher.</t>
      </text>
    </comment>
    <comment ref="C389" authorId="0" shapeId="0">
      <text>
        <t>Corps Ardent
Brûle l'ennemi au contact.</t>
      </text>
    </comment>
    <comment ref="D389" authorId="0" shapeId="0">
      <text>
        <t>Benêt
Empêche l'attirance.</t>
      </text>
    </comment>
    <comment ref="B390" authorId="0" shapeId="0">
      <text>
        <t>Vive-Attaque — Normal, physique
Puissance 40 · Précision 100 % · 30 PP ·
Priorité +1
Attaque fulgurante qui permet de frapper
d'abord.</t>
      </text>
    </comment>
    <comment ref="C390" authorId="0" shapeId="0">
      <text>
        <t>Purédpois — Poison, spéciale
Puissance 30 · Précision 70 % · 20 PP
Un gaz nocif pouvant empoisonner l'ennemi.</t>
      </text>
    </comment>
    <comment ref="D390" authorId="0" shapeId="0">
      <text>
        <t>Écras'Face — Normal, physique
Puissance 40 · Précision 100 % · 35 PP
Écrase l'ennemi avec les pattes avant ou la
queue.</t>
      </text>
    </comment>
    <comment ref="B391" authorId="0" shapeId="0">
      <text>
        <t>Groz'Yeux — Normal, statut
Précision 100 % · 30 PP
Lance un regard noir et baisse la Défense.</t>
      </text>
    </comment>
    <comment ref="C391" authorId="0" shapeId="0">
      <text>
        <t>Groz'Yeux — Normal, statut
Précision 100 % · 30 PP
Lance un regard noir et baisse la Défense.</t>
      </text>
    </comment>
    <comment ref="D391" authorId="0" shapeId="0">
      <text>
        <t>Léchouille — Spectre, physique
Puissance 30 · Précision 100 % · 30 PP
Blesse avec un long coup de langue. Peut
paralyser.</t>
      </text>
    </comment>
    <comment ref="B392" authorId="0" shapeId="0">
      <text>
        <t>Éclair — Électrik, spéciale
Puissance 40 · Précision 100 % · 30 PP
Une attaque électrique pouvant paralyser
l'ennemi.</t>
      </text>
    </comment>
    <comment ref="C392" authorId="0" shapeId="0">
      <text>
        <t>Flammèche — Feu, spéciale
Puissance 40 · Précision 100 % · 25 PP
Une faible attaque de feu pouvant brûler
l'ennemi.</t>
      </text>
    </comment>
    <comment ref="D392" authorId="0" shapeId="0">
      <text>
        <t>Doux Baiser — Fée, statut
Précision 75 % · 10 PP
Demande un bisou tout mignon. Peut rendre
confus.</t>
      </text>
    </comment>
    <comment ref="B393" authorId="0" shapeId="0">
      <text>
        <t>Balayage — Combat, physique
Puissance 1 · Précision 100 % · 20 PP
Un coup de pied faisant plus mal aux ennemis
lourds.</t>
      </text>
    </comment>
    <comment ref="C393" authorId="0" shapeId="0">
      <text>
        <t>Brouillard — Normal, statut
Précision 100 % · 20 PP
Baisse la précision ennemie utilisant fumée,
encre, etc.</t>
      </text>
    </comment>
    <comment ref="D393" authorId="0" shapeId="0">
      <text>
        <t>Poudreuse — Glace, spéciale
Puissance 40 · Précision 100 % · 25 PP</t>
      </text>
    </comment>
    <comment ref="B395" authorId="0" shapeId="0">
      <text>
        <t>SMOGO — Poison
PV 40 · Att 65 · Déf 95
Att.Spé 60 · Déf.Spé 45 · Vit 35
Total 340
Talents : Lévitation, Gaz Inhibiteur (caché :
  Puanteur)</t>
      </text>
    </comment>
    <comment ref="C395" authorId="0" shapeId="0">
      <text>
        <t>RAMOLOSS — Eau / Psy
PV 90 · Att 65 · Déf 65
Att.Spé 40 · Déf.Spé 40 · Vit 15
Total 315
Talents : Benêt, Tempo Perso (caché : Régé-
  Force)</t>
      </text>
    </comment>
    <comment ref="D395" authorId="0" shapeId="0">
      <text>
        <t>MALOSSE — Ténèbres / Feu
PV 45 · Att 60 · Déf 30
Att.Spé 80 · Déf.Spé 50 · Vit 65
Total 330
Talents : Matinal, Torche (caché : Tension)</t>
      </text>
    </comment>
    <comment ref="B398" authorId="0" shapeId="0">
      <text>
        <t>Lévitation
Ignore les attaques Sol.</t>
      </text>
    </comment>
    <comment ref="C398" authorId="0" shapeId="0">
      <text>
        <t>Benêt
Empêche l'attirance.</t>
      </text>
    </comment>
    <comment ref="D398" authorId="0" shapeId="0">
      <text>
        <t>Matinal
Se réveille rapidement.</t>
      </text>
    </comment>
    <comment ref="B399" authorId="0" shapeId="0">
      <text>
        <t>Charge — Normal, physique
Puissance 40 · Précision 100 % · 35 PP
Charge l'ennemi avec un violent plaquage.</t>
      </text>
    </comment>
    <comment ref="C399" authorId="0" shapeId="0">
      <text>
        <t>Bâillement — Normal, statut
10 PP
Fait bâiller l'ennemi qui s'endort au tour
suivant.</t>
      </text>
    </comment>
    <comment ref="D399" authorId="0" shapeId="0">
      <text>
        <t>Flammèche — Feu, spéciale
Puissance 40 · Précision 100 % · 25 PP
Une faible attaque de feu pouvant brûler
l'ennemi.</t>
      </text>
    </comment>
    <comment ref="B400" authorId="0" shapeId="0">
      <text>
        <t>Purédpois — Poison, spéciale
Puissance 30 · Précision 70 % · 20 PP
Un gaz nocif pouvant empoisonner l'ennemi.</t>
      </text>
    </comment>
    <comment ref="C400" authorId="0" shapeId="0">
      <text>
        <t>Charge — Normal, physique
Puissance 40 · Précision 100 % · 35 PP
Charge l'ennemi avec un violent plaquage.</t>
      </text>
    </comment>
    <comment ref="D400" authorId="0" shapeId="0">
      <text>
        <t>Grondement — Normal, statut
40 PP
Grogne pour se rassurer et booster l'Attaque.</t>
      </text>
    </comment>
    <comment ref="B401" authorId="0" shapeId="0">
      <text>
        <t>Brouillard — Normal, statut
Précision 100 % · 20 PP
Baisse la précision ennemie utilisant fumée,
encre, etc.</t>
      </text>
    </comment>
    <comment ref="C401" authorId="0" shapeId="0">
      <text>
        <t>Rugissement — Normal, statut
Précision 100 % · 40 PP
Rugit gentiment et baisse l'Attaque de
l'ennemi.</t>
      </text>
    </comment>
    <comment ref="D401" authorId="0" shapeId="0">
      <text>
        <t>Purédpois — Poison, spéciale
Puissance 30 · Précision 70 % · 20 PP
Un gaz nocif pouvant empoisonner l'ennemi.</t>
      </text>
    </comment>
    <comment ref="B402" authorId="0" shapeId="0">
      <text>
        <t>Assurance — Ténèbres, physique
Puissance 60 · Précision 100 % · 10 PP
Plus puissant si l'ennemi a déjà été blessé.</t>
      </text>
    </comment>
    <comment ref="C402" authorId="0" shapeId="0">
      <text>
        <t>Pistolet à O — Eau, spéciale
Puissance 40 · Précision 100 % · 25 PP
Attaque l'ennemi en projetant de l'eau.</t>
      </text>
    </comment>
    <comment ref="D402" authorId="0" shapeId="0">
      <text>
        <t>Hurlement — Normal, statut
20 PP · Priorité -6
Fait fuir l'ennemi. Contre un Dresseur, le
remplace.</t>
      </text>
    </comment>
    <comment ref="B405" authorId="0" shapeId="0">
      <text>
        <t>PARAS — Insecte / Plante
PV 35 · Att 70 · Déf 55
Att.Spé 45 · Déf.Spé 55 · Vit 25
Total 285
Talents : Pose Spore, Peau Sèche (caché :
  Moiteur)</t>
      </text>
    </comment>
    <comment ref="C405" authorId="0" shapeId="0">
      <text>
        <t>MYSTHERBE — Plante / Poison
PV 45 · Att 50 · Déf 55
Att.Spé 75 · Déf.Spé 65 · Vit 30
Total 320
Talents : Chlorophylle (caché : Fuite)</t>
      </text>
    </comment>
    <comment ref="B408" authorId="0" shapeId="0">
      <text>
        <t>Pose Spore
Laisse spores si touché.</t>
      </text>
    </comment>
    <comment ref="C408" authorId="0" shapeId="0">
      <text>
        <t>Chlorophylle
Augmente Vitesse au soleil.</t>
      </text>
    </comment>
    <comment ref="B409" authorId="0" shapeId="0">
      <text>
        <t>Griffe — Normal, physique
Puissance 40 · Précision 100 % · 35 PP
Lacère l'ennemi avec des griffes acérées.</t>
      </text>
    </comment>
    <comment ref="C409" authorId="0" shapeId="0">
      <text>
        <t>Acide — Poison, spéciale
Puissance 40 · Précision 100 % · 30 PP</t>
      </text>
    </comment>
    <comment ref="B410" authorId="0" shapeId="0">
      <text>
        <t>Para-Spore — Plante, statut
Précision 75 % · 30 PP
Répand une poudre pouvant paralyser l'ennemi.</t>
      </text>
    </comment>
    <comment ref="C410" authorId="0" shapeId="0">
      <text>
        <t>Poudre Toxik — Poison, statut
Précision 75 % · 35 PP
Répand une poudre toxique pouvant empoisonner.</t>
      </text>
    </comment>
    <comment ref="B411" authorId="0" shapeId="0">
      <text>
        <t>Poudre Toxik — Poison, statut
Précision 75 % · 35 PP
Répand une poudre toxique pouvant empoisonner.</t>
      </text>
    </comment>
    <comment ref="C411" authorId="0" shapeId="0">
      <text>
        <t>Para-Spore — Plante, statut
Précision 75 % · 30 PP
Répand une poudre pouvant paralyser l'ennemi.</t>
      </text>
    </comment>
    <comment ref="B412" authorId="0" shapeId="0">
      <text>
        <t>Vole-Vie — Plante, spéciale
Puissance 20 · Précision 100 % · 25 PP
Une attaque qui convertit les dégâts infligés
en PV.</t>
      </text>
    </comment>
    <comment ref="C412" authorId="0" shapeId="0">
      <text>
        <t>Poudre Dodo — Plante, statut
Précision 75 % · 15 PP
Répand une poudre pouvant endormir l'ennemi.</t>
      </text>
    </comment>
    <comment ref="B415" authorId="0" shapeId="0">
      <text>
        <t>TEDDIURSA — Normal
PV 60 · Att 80 · Déf 50
Att.Spé 50 · Déf.Spé 50 · Vit 40
Total 330
Talents : Ramassage, Pied Véloce (caché :
  Cherche Miel)</t>
      </text>
    </comment>
    <comment ref="C415" authorId="0" shapeId="0">
      <text>
        <t>SABELETTE — Sol
PV 50 · Att 75 · Déf 85
Att.Spé 20 · Déf.Spé 30 · Vit 40
Total 300
Talents : Voile Sable (caché : Baigne Sable)</t>
      </text>
    </comment>
    <comment ref="D415" authorId="0" shapeId="0">
      <text>
        <t>PIAFABEC — Normal / Vol
PV 40 · Att 60 · Déf 30
Att.Spé 31 · Déf.Spé 31 · Vit 70
Total 262
Talents : Regard Vif (caché : Sniper)</t>
      </text>
    </comment>
    <comment ref="B418" authorId="0" shapeId="0">
      <text>
        <t>Ramassage
Peut ramasser des objets.</t>
      </text>
    </comment>
    <comment ref="C418" authorId="0" shapeId="0">
      <text>
        <t>Voile Sable
Evasion si tempête sable.</t>
      </text>
    </comment>
    <comment ref="D418" authorId="0" shapeId="0">
      <text>
        <t>Regard Vif
Empêche perte de précision.</t>
      </text>
    </comment>
    <comment ref="B419" authorId="0" shapeId="0">
      <text>
        <t>Regard Touchant — Fée, statut
Précision 100 % · 30 PP · Priorité +1
Baisse l'Attaque ennemie avant qu'elle agisse.</t>
      </text>
    </comment>
    <comment ref="C419" authorId="0" shapeId="0">
      <text>
        <t>Coud'Boue — Sol, spéciale
Puissance 20 · Précision 100 % · 10 PP
Envoie de la boue au visage pour baisser la
précision.</t>
      </text>
    </comment>
    <comment ref="D419" authorId="0" shapeId="0">
      <text>
        <t>Rugissement — Normal, statut
Précision 100 % · 40 PP
Rugit gentiment et baisse l'Attaque de
l'ennemi.</t>
      </text>
    </comment>
    <comment ref="B420" authorId="0" shapeId="0">
      <text>
        <t>Léchouille — Spectre, physique
Puissance 30 · Précision 100 % · 30 PP
Blesse avec un long coup de langue. Peut
paralyser.</t>
      </text>
    </comment>
    <comment ref="C420" authorId="0" shapeId="0">
      <text>
        <t>Dard-Venin — Poison, physique
Puissance 30 · Précision 100 % · 35 PP
Une attaque de dards, etc., pouvant
empoisonner.</t>
      </text>
    </comment>
    <comment ref="D420" authorId="0" shapeId="0">
      <text>
        <t>Groz'Yeux — Normal, statut
Précision 100 % · 30 PP
Lance un regard noir et baisse la Défense.</t>
      </text>
    </comment>
    <comment ref="B421" authorId="0" shapeId="0">
      <text>
        <t>Croco Larme — Ténèbres, statut
Précision 100 % · 20 PP
Fait semblant de pleurer pour baisser la Déf.
Spé.</t>
      </text>
    </comment>
    <comment ref="C421" authorId="0" shapeId="0">
      <text>
        <t>Roulade — Roche, physique
Puissance 30 · Précision 90 % · 20 PP
Une attaque sur 5 tours, de plus en plus
puissante.</t>
      </text>
    </comment>
    <comment ref="D421" authorId="0" shapeId="0">
      <text>
        <t>Poursuite — Ténèbres, physique
Puissance 40 · Précision 100 % · 20 PP
Inflige de sérieux dégâts lorsque l'ennemi
change.</t>
      </text>
    </comment>
    <comment ref="B422" authorId="0" shapeId="0">
      <text>
        <t>Combo-Griffe — Normal, physique
Puissance 18 · Précision 80 % · 15 PP
Ecorche l'ennemi avec des griffes, etc., de 2
à 5 fois.</t>
      </text>
    </comment>
    <comment ref="C422" authorId="0" shapeId="0">
      <text>
        <t>Tour Rapide — Normal, physique
Puissance 50 · Précision 100 % · 40 PP</t>
      </text>
    </comment>
    <comment ref="D422" authorId="0" shapeId="0">
      <text>
        <t>Furie — Normal, physique
Puissance 15 · Précision 85 % · 20 PP
Frappe l'ennemi 2 à 5 fois avec une corne, un
bec, etc.</t>
      </text>
    </comment>
    <comment ref="B424" authorId="0" shapeId="0">
      <text>
        <t>FEROSINGE — Combat
PV 40 · Att 80 · Déf 35
Att.Spé 35 · Déf.Spé 45 · Vit 70
Total 305
Talents : Esprit Vital, Colérique (caché :
  Acharné)</t>
      </text>
    </comment>
    <comment ref="C424" authorId="0" shapeId="0">
      <text>
        <t>TAUPIQUEUR — Sol
PV 10 · Att 55 · Déf 25
Att.Spé 35 · Déf.Spé 45 · Vit 95
Total 265
Talents : Voile Sable, Piège Sable (caché :
  Force Sable)</t>
      </text>
    </comment>
    <comment ref="B427" authorId="0" shapeId="0">
      <text>
        <t>Esprit Vital
Empêche le sommeil.</t>
      </text>
    </comment>
    <comment ref="C427" authorId="0" shapeId="0">
      <text>
        <t>Voile Sable
Evasion si tempête sable.</t>
      </text>
    </comment>
    <comment ref="B428" authorId="0" shapeId="0">
      <text>
        <t>Puissance — Normal, statut
30 PP
Concentration pour booster le taux de
critiques.</t>
      </text>
    </comment>
    <comment ref="C428" authorId="0" shapeId="0">
      <text>
        <t>Rugissement — Normal, statut
Précision 100 % · 40 PP
Rugit gentiment et baisse l'Attaque de
l'ennemi.</t>
      </text>
    </comment>
    <comment ref="B429" authorId="0" shapeId="0">
      <text>
        <t>Combo-Griffe — Normal, physique
Puissance 18 · Précision 80 % · 15 PP
Ecorche l'ennemi avec des griffes, etc., de 2
à 5 fois.</t>
      </text>
    </comment>
    <comment ref="C429" authorId="0" shapeId="0">
      <text>
        <t>Étonnement — Spectre, physique
Puissance 30 · Précision 100 % · 15 PP
Une attaque qui peut choquer et apeurer
l'ennemi.</t>
      </text>
    </comment>
    <comment ref="B430" authorId="0" shapeId="0">
      <text>
        <t>Poing Karaté — Combat, physique
Puissance 50 · Précision 100 % · 25 PP
Une attaque tranchante à taux de critiques
élevé.</t>
      </text>
    </comment>
    <comment ref="C430" authorId="0" shapeId="0">
      <text>
        <t>Coud'Boue — Sol, spéciale
Puissance 20 · Précision 100 % · 10 PP
Envoie de la boue au visage pour baisser la
précision.</t>
      </text>
    </comment>
    <comment ref="B431" authorId="0" shapeId="0">
      <text>
        <t>Poursuite — Ténèbres, physique
Puissance 40 · Précision 100 % · 20 PP
Inflige de sérieux dégâts lorsque l'ennemi
change.</t>
      </text>
    </comment>
    <comment ref="C431" authorId="0" shapeId="0">
      <text>
        <t>Ampleur — Sol, physique
Puissance 1 · Précision 100 % · 30 PP
Un tremblement de terre d'intensité variable.</t>
      </text>
    </comment>
    <comment ref="B433" authorId="0" shapeId="0">
      <text>
        <t>AZUMARILL — Eau / Fée
PV 100 · Att 50 · Déf 80
Att.Spé 60 · Déf.Spé 80 · Vit 50
Total 420
Talents : Isograisse, Coloforce (caché :
  Herbivore)</t>
      </text>
    </comment>
    <comment ref="B436" authorId="0" shapeId="0">
      <text>
        <t>Isograisse
Contre chaleur et froid.</t>
      </text>
    </comment>
    <comment ref="B437" authorId="0" shapeId="0">
      <text>
        <t>Écume — Eau, spéciale
Puissance 40 · Précision 100 % · 30 PP
Une attaque de bulles pouvant baisser la
Vitesse.</t>
      </text>
    </comment>
    <comment ref="B438" authorId="0" shapeId="0">
      <text>
        <t>Boul'Armure — Normal, statut
40 PP
S'enroule, cache ses points faibles. Monte la
Défense.</t>
      </text>
    </comment>
    <comment ref="B439" authorId="0" shapeId="0">
      <text>
        <t>Roulade — Roche, physique
Puissance 30 · Précision 90 % · 20 PP
Une attaque sur 5 tours, de plus en plus
puissante.</t>
      </text>
    </comment>
    <comment ref="B440" authorId="0" shapeId="0">
      <text>
        <t>Bulles d'O — Eau, spéciale
Puissance 65 · Précision 100 % · 20 PP
Envoie des bulles pouvant baisser la Vitesse.</t>
      </text>
    </comment>
    <comment ref="B442" authorId="0" shapeId="0">
      <text>
        <t>FLORAVOL — Plante / Vol
PV 55 · Att 45 · Déf 50
Att.Spé 45 · Déf.Spé 65 · Vit 80
Total 340
Talents : Chlorophylle, Feuille Garde (caché :
  Infiltration)</t>
      </text>
    </comment>
    <comment ref="C442" authorId="0" shapeId="0">
      <text>
        <t>BULBIZARRE — Plante / Poison
PV 45 · Att 49 · Déf 49
Att.Spé 65 · Déf.Spé 65 · Vit 45
Total 318
Talents : Engrais (caché : Chlorophylle)</t>
      </text>
    </comment>
    <comment ref="B445" authorId="0" shapeId="0">
      <text>
        <t>Chlorophylle
Augmente Vitesse au soleil.</t>
      </text>
    </comment>
    <comment ref="C445" authorId="0" shapeId="0">
      <text>
        <t>Engrais
Augmente attaques Plante.</t>
      </text>
    </comment>
    <comment ref="B446" authorId="0" shapeId="0">
      <text>
        <t>Charge — Normal, physique
Puissance 40 · Précision 100 % · 35 PP
Charge l'ennemi avec un violent plaquage.</t>
      </text>
    </comment>
    <comment ref="C446" authorId="0" shapeId="0">
      <text>
        <t>Vampigraine — Plante, statut
Précision 90 % · 10 PP
Plante des graines pour voler des PV à chaque
tour.</t>
      </text>
    </comment>
    <comment ref="B447" authorId="0" shapeId="0">
      <text>
        <t>Vent Féérique — Fée, spéciale
Puissance 40 · Précision 100 % · 30 PP
Déchaîne un vent magique qui cingle l’ennemi.</t>
      </text>
    </comment>
    <comment ref="C447" authorId="0" shapeId="0">
      <text>
        <t>Fouet Lianes — Plante, physique
Puissance 45 · Précision 100 % · 25 PP
Fouette l'ennemi avec de fines lianes.</t>
      </text>
    </comment>
    <comment ref="B448" authorId="0" shapeId="0">
      <text>
        <t>Poudre Toxik — Poison, statut
Précision 75 % · 35 PP
Répand une poudre toxique pouvant empoisonner.</t>
      </text>
    </comment>
    <comment ref="C448" authorId="0" shapeId="0">
      <text>
        <t>Poudre Toxik — Poison, statut
Précision 75 % · 35 PP
Répand une poudre toxique pouvant empoisonner.</t>
      </text>
    </comment>
    <comment ref="B449" authorId="0" shapeId="0">
      <text>
        <t>Para-Spore — Plante, statut
Précision 75 % · 30 PP
Répand une poudre pouvant paralyser l'ennemi.</t>
      </text>
    </comment>
    <comment ref="C449" authorId="0" shapeId="0">
      <text>
        <t>Poudre Dodo — Plante, statut
Précision 75 % · 15 PP
Répand une poudre pouvant endormir l'ennemi.</t>
      </text>
    </comment>
    <comment ref="B451" authorId="0" shapeId="0">
      <text>
        <t>CANINOS — Feu
PV 55 · Att 70 · Déf 45
Att.Spé 70 · Déf.Spé 50 · Vit 60
Total 350
Talents : Intimidation, Torche (caché : Cœur
  Noble)</t>
      </text>
    </comment>
    <comment ref="B454" authorId="0" shapeId="0">
      <text>
        <t>Intimidation
Baisse l'Attaque ennemie.</t>
      </text>
    </comment>
    <comment ref="B455" authorId="0" shapeId="0">
      <text>
        <t>Flammèche — Feu, spéciale
Puissance 40 · Précision 100 % · 25 PP
Une faible attaque de feu pouvant brûler
l'ennemi.</t>
      </text>
    </comment>
    <comment ref="B456" authorId="0" shapeId="0">
      <text>
        <t>Groz'Yeux — Normal, statut
Précision 100 % · 30 PP
Lance un regard noir et baisse la Défense.</t>
      </text>
    </comment>
    <comment ref="B457" authorId="0" shapeId="0">
      <text>
        <t>Flair — Normal, statut
40 PP
Empêche l'ennemi d'augmenter son esquive.</t>
      </text>
    </comment>
    <comment ref="B458" authorId="0" shapeId="0">
      <text>
        <t>Coup d'Main — Normal, statut
20 PP · Priorité +5
Améliore la puissance d'attaque du receveur.</t>
      </text>
    </comment>
    <comment ref="B460" authorId="0" shapeId="0">
      <text>
        <t>SNUBBULL — Fée
PV 60 · Att 80 · Déf 50
Att.Spé 40 · Déf.Spé 40 · Vit 30
Total 300
Talents : Intimidation, Fuite (caché :
  Phobique)</t>
      </text>
    </comment>
    <comment ref="B463" authorId="0" shapeId="0">
      <text>
        <t>Intimidation
Baisse l'Attaque ennemie.</t>
      </text>
    </comment>
    <comment ref="B464" authorId="0" shapeId="0">
      <text>
        <t>Charme — Fée, statut
Précision 100 % · 20 PP
Charme l'ennemi et baisse beaucoup son
Attaque.</t>
      </text>
    </comment>
    <comment ref="B465" authorId="0" shapeId="0">
      <text>
        <t>Voix Enjôleuse — Fée, spéciale
Puissance 40 · Ne rate jamais · 15 PP
Un cri charmant qui ne peut être esquivé.</t>
      </text>
    </comment>
    <comment ref="B466" authorId="0" shapeId="0">
      <text>
        <t>Morsure — Ténèbres, physique
Puissance 60 · Précision 100 % · 25 PP
Mord méchamment l'ennemi et peut l'apeurer.</t>
      </text>
    </comment>
    <comment ref="B467" authorId="0" shapeId="0">
      <text>
        <t>Léchouille — Spectre, physique
Puissance 30 · Précision 100 % · 30 PP
Blesse avec un long coup de langue. Peut
paralyser.</t>
      </text>
    </comment>
    <comment ref="B470" authorId="0" shapeId="0">
      <text>
        <t>PTIRAVI — Normal
PV 100 · Att 5 · Déf 5
Att.Spé 15 · Déf.Spé 65 · Vit 30
Total 220
Talents : Médic Nature, Sérénité (caché :
  Garde-Ami)</t>
      </text>
    </comment>
    <comment ref="B473" authorId="0" shapeId="0">
      <text>
        <t>Médic Nature
Soigne Pokémon changeant.</t>
      </text>
    </comment>
    <comment ref="B474" authorId="0" shapeId="0">
      <text>
        <t>Charme — Fée, statut
Précision 100 % · 20 PP
Charme l'ennemi et baisse beaucoup son
Attaque.</t>
      </text>
    </comment>
    <comment ref="B475" authorId="0" shapeId="0">
      <text>
        <t>Photocopie — Normal, statut
20 PP
Copie la dernière capacité utilisée.</t>
      </text>
    </comment>
    <comment ref="B476" authorId="0" shapeId="0">
      <text>
        <t>Régénération — Normal, statut
20 PP
Soigne un empoisonnement, une paralysie ou une
brûlure.</t>
      </text>
    </comment>
    <comment ref="B477" authorId="0" shapeId="0">
      <text>
        <t>Doux Baiser — Fée, statut
Précision 75 % · 10 PP
Demande un bisou tout mignon. Peut rendre
confus.</t>
      </text>
    </comment>
    <comment ref="B479" authorId="0" shapeId="0">
      <text>
        <t>CAPUMAIN — Normal
PV 55 · Att 70 · Déf 55
Att.Spé 40 · Déf.Spé 55 · Vit 85
Total 360
Talents : Fuite, Ramassage (caché : Multi-
  Coups)</t>
      </text>
    </comment>
    <comment ref="C479" authorId="0" shapeId="0">
      <text>
        <t>GOINFREX — Normal
PV 135 · Att 85 · Déf 40
Att.Spé 40 · Déf.Spé 85 · Vit 5
Total 390
Talents : Ramassage, Isograisse (caché :
  Gloutonnerie)</t>
      </text>
    </comment>
    <comment ref="B482" authorId="0" shapeId="0">
      <text>
        <t>Fuite
Améliore chances de fuite.</t>
      </text>
    </comment>
    <comment ref="C482" authorId="0" shapeId="0">
      <text>
        <t>Ramassage
Peut ramasser des objets.</t>
      </text>
    </comment>
    <comment ref="B483" authorId="0" shapeId="0">
      <text>
        <t>Jet de Sable — Sol, statut
Précision 100 % · 15 PP
Lance du sable et baisse la précision de
l'ennemi.</t>
      </text>
    </comment>
    <comment ref="C483" authorId="0" shapeId="0">
      <text>
        <t>Charge — Normal, physique
Puissance 40 · Précision 100 % · 35 PP
Charge l'ennemi avec un violent plaquage.</t>
      </text>
    </comment>
    <comment ref="B484" authorId="0" shapeId="0">
      <text>
        <t>Étonnement — Spectre, physique
Puissance 30 · Précision 100 % · 15 PP
Une attaque qui peut choquer et apeurer
l'ennemi.</t>
      </text>
    </comment>
    <comment ref="C484" authorId="0" shapeId="0">
      <text>
        <t>Boul'Armure — Normal, statut
40 PP
S'enroule, cache ses points faibles. Monte la
Défense.</t>
      </text>
    </comment>
    <comment ref="B485" authorId="0" shapeId="0">
      <text>
        <t>Relais — Normal, statut
40 PP
Change de lanceur, mais garde les effets en
cours.</t>
      </text>
    </comment>
    <comment ref="C485" authorId="0" shapeId="0">
      <text>
        <t>Amnésie — Psy, statut
20 PP
Oublie quelque chose et booste la Déf. Spé.</t>
      </text>
    </comment>
    <comment ref="B486" authorId="0" shapeId="0">
      <text>
        <t>Chatouille — Normal, statut
Précision 100 % · 20 PP
Fait rire l'ennemi et baisse son Attaque et sa
Défense.</t>
      </text>
    </comment>
    <comment ref="C486" authorId="0" shapeId="0">
      <text>
        <t>Léchouille — Spectre, physique
Puissance 30 · Précision 100 % · 30 PP
Blesse avec un long coup de langue. Peut
paralyser.</t>
      </text>
    </comment>
    <comment ref="B488" authorId="0" shapeId="0">
      <text>
        <t>TEDDIURSA — Normal
PV 60 · Att 80 · Déf 50
Att.Spé 50 · Déf.Spé 50 · Vit 40
Total 330
Talents : Ramassage, Pied Véloce (caché :
  Cherche Miel)</t>
      </text>
    </comment>
    <comment ref="C488" authorId="0" shapeId="0">
      <text>
        <t>FOUINAR — Normal
PV 85 · Att 76 · Déf 64
Att.Spé 45 · Déf.Spé 55 · Vit 90
Total 415
Talents : Fuite, Regard Vif (caché : Fouille)</t>
      </text>
    </comment>
    <comment ref="B491" authorId="0" shapeId="0">
      <text>
        <t>Ramassage
Peut ramasser des objets.</t>
      </text>
    </comment>
    <comment ref="C491" authorId="0" shapeId="0">
      <text>
        <t>Fuite
Améliore chances de fuite.</t>
      </text>
    </comment>
    <comment ref="B492" authorId="0" shapeId="0">
      <text>
        <t>Léchouille — Spectre, physique
Puissance 30 · Précision 100 % · 30 PP
Blesse avec un long coup de langue. Peut
paralyser.</t>
      </text>
    </comment>
    <comment ref="C492" authorId="0" shapeId="0">
      <text>
        <t>Boul'Armure — Normal, statut
40 PP
S'enroule, cache ses points faibles. Monte la
Défense.</t>
      </text>
    </comment>
    <comment ref="B493" authorId="0" shapeId="0">
      <text>
        <t>Croco Larme — Ténèbres, statut
Précision 100 % · 20 PP
Fait semblant de pleurer pour baisser la Déf.
Spé.</t>
      </text>
    </comment>
    <comment ref="C493" authorId="0" shapeId="0">
      <text>
        <t>Vive-Attaque — Normal, physique
Puissance 40 · Précision 100 % · 30 PP ·
Priorité +1
Attaque fulgurante qui permet de frapper
d'abord.</t>
      </text>
    </comment>
    <comment ref="B494" authorId="0" shapeId="0">
      <text>
        <t>Combo-Griffe — Normal, physique
Puissance 18 · Précision 80 % · 15 PP
Ecorche l'ennemi avec des griffes, etc., de 2
à 5 fois.</t>
      </text>
    </comment>
    <comment ref="C494" authorId="0" shapeId="0">
      <text>
        <t>Combo-Griffe — Normal, physique
Puissance 18 · Précision 80 % · 15 PP
Ecorche l'ennemi avec des griffes, etc., de 2
à 5 fois.</t>
      </text>
    </comment>
    <comment ref="B495" authorId="0" shapeId="0">
      <text>
        <t>Feinte — Ténèbres, physique
Puissance 60 · Ne rate jamais · 20 PP
Approche l'ennemi et frappe à coup sûr.</t>
      </text>
    </comment>
    <comment ref="C495" authorId="0" shapeId="0">
      <text>
        <t>Coup d'Main — Normal, statut
20 PP · Priorité +5
Améliore la puissance d'attaque du receveur.</t>
      </text>
    </comment>
    <comment ref="B497" authorId="0" shapeId="0">
      <text>
        <t>MIAOUSS — Normal
PV 40 · Att 45 · Déf 35
Att.Spé 40 · Déf.Spé 40 · Vit 90
Total 290
Talents : Ramassage, Technicien (caché :
  Tension)</t>
      </text>
    </comment>
    <comment ref="B500" authorId="0" shapeId="0">
      <text>
        <t>Ramassage
Peut ramasser des objets.</t>
      </text>
    </comment>
    <comment ref="B501" authorId="0" shapeId="0">
      <text>
        <t>Morsure — Ténèbres, physique
Puissance 60 · Précision 100 % · 25 PP
Mord méchamment l'ennemi et peut l'apeurer.</t>
      </text>
    </comment>
    <comment ref="B502" authorId="0" shapeId="0">
      <text>
        <t>Bluff — Normal, physique
Puissance 40 · Précision 100 % · 10 PP ·
Priorité +3
Une attaque en début de bataille pour apeurer.</t>
      </text>
    </comment>
    <comment ref="B503" authorId="0" shapeId="0">
      <text>
        <t>Combo-Griffe — Normal, physique
Puissance 18 · Précision 80 % · 15 PP
Ecorche l'ennemi avec des griffes, etc., de 2
à 5 fois.</t>
      </text>
    </comment>
    <comment ref="B504" authorId="0" shapeId="0">
      <text>
        <t>Grincement — Normal, statut
Précision 85 % · 40 PP
Cri strident qui baisse la Défense ennemie.</t>
      </text>
    </comment>
    <comment ref="B506" authorId="0" shapeId="0">
      <text>
        <t>MELOFEE
PV 70 · Att 45 · Déf 48
Att.Spé 60 · Déf.Spé 65 · Vit 35
Total 323
Talents : Joli Sourire, Garde Magik (caché :
  Garde-Ami)</t>
      </text>
    </comment>
    <comment ref="C506" authorId="0" shapeId="0">
      <text>
        <t>TEDDIURSA — Normal
PV 60 · Att 80 · Déf 50
Att.Spé 50 · Déf.Spé 50 · Vit 40
Total 330
Talents : Ramassage, Pied Véloce (caché :
  Cherche Miel)</t>
      </text>
    </comment>
    <comment ref="D506" authorId="0" shapeId="0">
      <text>
        <t>ECREMEUH — Normal
PV 95 · Att 80 · Déf 105
Att.Spé 40 · Déf.Spé 70 · Vit 100
Total 490
Talents : Isograisse, Querelleur (caché :
  Herbivore)</t>
      </text>
    </comment>
    <comment ref="D508" authorId="0" shapeId="0">
      <text>
        <t>Baie Sitrus
Objet tenu qui restaure 30 PV pendant un
combat.</t>
      </text>
    </comment>
    <comment ref="B509" authorId="0" shapeId="0">
      <text>
        <t>Joli Sourire
Séduit quand touché.</t>
      </text>
    </comment>
    <comment ref="C509" authorId="0" shapeId="0">
      <text>
        <t>Ramassage
Peut ramasser des objets.</t>
      </text>
    </comment>
    <comment ref="D509" authorId="0" shapeId="0">
      <text>
        <t>Isograisse
Contre chaleur et froid.</t>
      </text>
    </comment>
    <comment ref="B510" authorId="0" shapeId="0">
      <text>
        <t>Coup d'Boule — Normal, physique
Puissance 70 · Précision 100 % · 15 PP
Une charge qui peut apeurer l'ennemi.</t>
      </text>
    </comment>
    <comment ref="C510" authorId="0" shapeId="0">
      <text>
        <t>Combo-Griffe — Normal, physique
Puissance 18 · Précision 80 % · 15 PP
Ecorche l'ennemi avec des griffes, etc., de 2
à 5 fois.</t>
      </text>
    </comment>
    <comment ref="D510" authorId="0" shapeId="0">
      <text>
        <t>Roulade — Roche, physique
Puissance 30 · Précision 90 % · 20 PP
Une attaque sur 5 tours, de plus en plus
puissante.</t>
      </text>
    </comment>
    <comment ref="B511" authorId="0" shapeId="0">
      <text>
        <t>Charme — Fée, statut
Précision 100 % · 20 PP
Charme l'ennemi et baisse beaucoup son
Attaque.</t>
      </text>
    </comment>
    <comment ref="C511" authorId="0" shapeId="0">
      <text>
        <t>Croco Larme — Ténèbres, statut
Précision 100 % · 20 PP
Fait semblant de pleurer pour baisser la Déf.
Spé.</t>
      </text>
    </comment>
    <comment ref="D511" authorId="0" shapeId="0">
      <text>
        <t>Attraction — Normal, statut
Précision 100 % · 15 PP
Le genre opposé a moins de chances d'attaquer.</t>
      </text>
    </comment>
    <comment ref="B512" authorId="0" shapeId="0">
      <text>
        <t>Doux Baiser — Fée, statut
Précision 75 % · 10 PP
Demande un bisou tout mignon. Peut rendre
confus.</t>
      </text>
    </comment>
    <comment ref="C512" authorId="0" shapeId="0">
      <text>
        <t>Léchouille — Spectre, physique
Puissance 30 · Précision 100 % · 30 PP
Blesse avec un long coup de langue. Peut
paralyser.</t>
      </text>
    </comment>
    <comment ref="D512" authorId="0" shapeId="0">
      <text>
        <t>Écrasement — Normal, physique
Puissance 65 · Précision 100 % · 20 PP
Écrase avec un énorme pied. Peut apeurer
l'ennemi.</t>
      </text>
    </comment>
    <comment ref="B513" authorId="0" shapeId="0">
      <text>
        <t>Métronome — Normal, statut
10 PP
Remue un doigt et lance une attaque Pokémon au
hasard.</t>
      </text>
    </comment>
    <comment ref="C513" authorId="0" shapeId="0">
      <text>
        <t>Coud'Boue — Sol, spéciale
Puissance 20 · Précision 100 % · 10 PP
Envoie de la boue au visage pour baisser la
précision.</t>
      </text>
    </comment>
    <comment ref="D513" authorId="0" shapeId="0">
      <text>
        <t>Lait à Boire — Normal, statut
5 PP
Regagne jusqu'à la moitié des PV max du
lanceur.</t>
      </text>
    </comment>
    <comment ref="B516" authorId="0" shapeId="0">
      <text>
        <t>TADMORV — Poison
PV 80 · Att 80 · Déf 50
Att.Spé 40 · Déf.Spé 50 · Vit 25
Total 325
Talents : Puanteur, Glu (caché : Toxitouche)</t>
      </text>
    </comment>
    <comment ref="C516" authorId="0" shapeId="0">
      <text>
        <t>OSSELAIT — Sol
PV 50 · Att 50 · Déf 95
Att.Spé 40 · Déf.Spé 50 · Vit 35
Total 320
Talents : Tête de Roc, Paratonnerre (caché :
  Armurbaston)</t>
      </text>
    </comment>
    <comment ref="B519" authorId="0" shapeId="0">
      <text>
        <t>Puanteur
Repousse Pokémon sauvage.</t>
      </text>
    </comment>
    <comment ref="C519" authorId="0" shapeId="0">
      <text>
        <t>Tête de Roc
Empêche dégâts du recul.</t>
      </text>
    </comment>
    <comment ref="B520" authorId="0" shapeId="0">
      <text>
        <t>Purédpois — Poison, spéciale
Puissance 30 · Précision 70 % · 20 PP
Un gaz nocif pouvant empoisonner l'ennemi.</t>
      </text>
    </comment>
    <comment ref="C520" authorId="0" shapeId="0">
      <text>
        <t>Mimi-Queue — Normal, statut
Précision 100 % · 30 PP
Remue la queue pour baisser la Défense de
l'ennemi.</t>
      </text>
    </comment>
    <comment ref="B521" authorId="0" shapeId="0">
      <text>
        <t>Coud'Boue — Sol, spéciale
Puissance 20 · Précision 100 % · 10 PP
Envoie de la boue au visage pour baisser la
précision.</t>
      </text>
    </comment>
    <comment ref="C521" authorId="0" shapeId="0">
      <text>
        <t>Massd'Os — Sol, physique
Puissance 65 · Précision 85 % · 20 PP
Cogne l'ennemi avec un os. Peut apeurer.</t>
      </text>
    </comment>
    <comment ref="B522" authorId="0" shapeId="0">
      <text>
        <t>Entrave — Normal, statut
Précision 100 % · 20 PP</t>
      </text>
    </comment>
    <comment ref="C522" authorId="0" shapeId="0">
      <text>
        <t>Coup d'Boule — Normal, physique
Puissance 70 · Précision 100 % · 15 PP
Une charge qui peut apeurer l'ennemi.</t>
      </text>
    </comment>
    <comment ref="B523" authorId="0" shapeId="0">
      <text>
        <t>Détritus — Poison, spéciale
Puissance 65 · Précision 100 % · 20 PP
Blesse en envoyant des détritus. Peut
empoisonner.</t>
      </text>
    </comment>
    <comment ref="C523" authorId="0" shapeId="0">
      <text>
        <t>Groz'Yeux — Normal, statut
Précision 100 % · 30 PP
Lance un regard noir et baisse la Défense.</t>
      </text>
    </comment>
    <comment ref="B525" authorId="0" shapeId="0">
      <text>
        <t>VOLTORBE — Électrik
PV 40 · Att 30 · Déf 50
Att.Spé 55 · Déf.Spé 55 · Vit 100
Total 330
Talents : Anti-Bruit, Statik (caché : Boom
  Final)</t>
      </text>
    </comment>
    <comment ref="C525" authorId="0" shapeId="0">
      <text>
        <t>MAGNETI — Électrik
PV 25 · Att 35 · Déf 70
Att.Spé 95 · Déf.Spé 55 · Vit 45
Total 325
Talents : Magnépiège, Fermeté (caché :
  Analyste)</t>
      </text>
    </comment>
    <comment ref="D525" authorId="0" shapeId="0">
      <text>
        <t>PORYGON — Normal
PV 65 · Att 60 · Déf 70
Att.Spé 85 · Déf.Spé 75 · Vit 40
Total 395
Talents : Calque, Télécharge (caché :
  Analyste)</t>
      </text>
    </comment>
    <comment ref="B528" authorId="0" shapeId="0">
      <text>
        <t>Anti-Bruit
Évite les coups sonores.</t>
      </text>
    </comment>
    <comment ref="C528" authorId="0" shapeId="0">
      <text>
        <t>Magnépiège
Piège les Pokémon Acier.</t>
      </text>
    </comment>
    <comment ref="D528" authorId="0" shapeId="0">
      <text>
        <t>Calque
Imite la capacité spéciale.</t>
      </text>
    </comment>
    <comment ref="B529" authorId="0" shapeId="0">
      <text>
        <t>Ondes Étranges — Électrik, statut
Précision 100 % · 15 PP
Une onde qui baisse beaucoup l'Atq. Spé.</t>
      </text>
    </comment>
    <comment ref="C529" authorId="0" shapeId="0">
      <text>
        <t>Éclair — Électrik, spéciale
Puissance 40 · Précision 100 % · 30 PP
Une attaque électrique pouvant paralyser
l'ennemi.</t>
      </text>
    </comment>
    <comment ref="D529" authorId="0" shapeId="0">
      <text>
        <t>Conversion — Normal, statut
30 PP</t>
      </text>
    </comment>
    <comment ref="B530" authorId="0" shapeId="0">
      <text>
        <t>Étincelle — Électrik, physique
Puissance 65 · Précision 100 % · 20 PP
Une charge électrique qui peut paralyser
l'ennemi.</t>
      </text>
    </comment>
    <comment ref="C530" authorId="0" shapeId="0">
      <text>
        <t>Cage Éclair — Électrik, statut
Précision 90 % · 20 PP
Un faible choc électrique qui paralyse
l'ennemi.</t>
      </text>
    </comment>
    <comment ref="D530" authorId="0" shapeId="0">
      <text>
        <t>Affûtage — Normal, statut
30 PP
Réduit les polygones et augmente l'Attaque.</t>
      </text>
    </comment>
    <comment ref="B531" authorId="0" shapeId="0">
      <text>
        <t>Roulade — Roche, physique
Puissance 30 · Précision 90 % · 20 PP
Une attaque sur 5 tours, de plus en plus
puissante.</t>
      </text>
    </comment>
    <comment ref="C531" authorId="0" shapeId="0">
      <text>
        <t>Bombe Aimant — Acier, physique
Puissance 60 · Ne rate jamais · 20 PP
Un aimant qui frappe à coup sûr.</t>
      </text>
    </comment>
    <comment ref="D531" authorId="0" shapeId="0">
      <text>
        <t>Rafale Psy — Psy, spéciale
Puissance 65 · Précision 100 % · 20 PP
Étrange rayon pouvant rendre l'ennemi confus.</t>
      </text>
    </comment>
    <comment ref="B532" authorId="0" shapeId="0">
      <text>
        <t>Grincement — Normal, statut
Précision 85 % · 40 PP
Cri strident qui baisse la Défense ennemie.</t>
      </text>
    </comment>
    <comment ref="C532" authorId="0" shapeId="0">
      <text>
        <t>Mur Lumière — Psy, statut
30 PP
Crée un mur lumineux et réduit les dégâts
d'Atq. Spé.</t>
      </text>
    </comment>
    <comment ref="D532" authorId="0" shapeId="0">
      <text>
        <t>Hâte — Psy, statut
30 PP
Relaxation du corps pour booster la Vitesse.</t>
      </text>
    </comment>
    <comment ref="B534" authorId="0" shapeId="0">
      <text>
        <t>EXCELANGUE — Normal
PV 90 · Att 55 · Déf 75
Att.Spé 60 · Déf.Spé 75 · Vit 30
Total 385
Talents : Tempo Perso, Benêt (caché : Ciel
  Gris)</t>
      </text>
    </comment>
    <comment ref="B537" authorId="0" shapeId="0">
      <text>
        <t>Tempo Perso
Empêche la confusion.</t>
      </text>
    </comment>
    <comment ref="B538" authorId="0" shapeId="0">
      <text>
        <t>Léchouille — Spectre, physique
Puissance 30 · Précision 100 % · 30 PP
Blesse avec un long coup de langue. Peut
paralyser.</t>
      </text>
    </comment>
    <comment ref="B539" authorId="0" shapeId="0">
      <text>
        <t>Ultrason — Normal, statut
Précision 55 % · 20 PP
Étranges ondes sonores pouvant rendre confus.</t>
      </text>
    </comment>
    <comment ref="B540" authorId="0" shapeId="0">
      <text>
        <t>Boul'Armure — Normal, statut
40 PP
S'enroule, cache ses points faibles. Monte la
Défense.</t>
      </text>
    </comment>
    <comment ref="B541" authorId="0" shapeId="0">
      <text>
        <t>Sabotage — Ténèbres, physique
Puissance 65 · Précision 100 % · 20 PP
Frappe l'objet tenu pour le rendre
inutilisable.</t>
      </text>
    </comment>
    <comment ref="B543" authorId="0" shapeId="0">
      <text>
        <t>RAMOLOSS — Eau / Psy
PV 90 · Att 65 · Déf 65
Att.Spé 40 · Déf.Spé 40 · Vit 15
Total 315
Talents : Benêt, Tempo Perso (caché : Régé-
  Force)</t>
      </text>
    </comment>
    <comment ref="C543" authorId="0" shapeId="0">
      <text>
        <t>RAMOLOSS — Eau / Psy
PV 90 · Att 65 · Déf 65
Att.Spé 40 · Déf.Spé 40 · Vit 15
Total 315
Talents : Benêt, Tempo Perso (caché : Régé-
  Force)</t>
      </text>
    </comment>
    <comment ref="B546" authorId="0" shapeId="0">
      <text>
        <t>Benêt
Empêche l'attirance.</t>
      </text>
    </comment>
    <comment ref="C546" authorId="0" shapeId="0">
      <text>
        <t>Benêt
Empêche l'attirance.</t>
      </text>
    </comment>
    <comment ref="B547" authorId="0" shapeId="0">
      <text>
        <t>Charge — Normal, physique
Puissance 40 · Précision 100 % · 35 PP
Charge l'ennemi avec un violent plaquage.</t>
      </text>
    </comment>
    <comment ref="C547" authorId="0" shapeId="0">
      <text>
        <t>Charge — Normal, physique
Puissance 40 · Précision 100 % · 35 PP
Charge l'ennemi avec un violent plaquage.</t>
      </text>
    </comment>
    <comment ref="B548" authorId="0" shapeId="0">
      <text>
        <t>Rugissement — Normal, statut
Précision 100 % · 40 PP
Rugit gentiment et baisse l'Attaque de
l'ennemi.</t>
      </text>
    </comment>
    <comment ref="C548" authorId="0" shapeId="0">
      <text>
        <t>Rugissement — Normal, statut
Précision 100 % · 40 PP
Rugit gentiment et baisse l'Attaque de
l'ennemi.</t>
      </text>
    </comment>
    <comment ref="B549" authorId="0" shapeId="0">
      <text>
        <t>Pistolet à O — Eau, spéciale
Puissance 40 · Précision 100 % · 25 PP
Attaque l'ennemi en projetant de l'eau.</t>
      </text>
    </comment>
    <comment ref="C549" authorId="0" shapeId="0">
      <text>
        <t>Pistolet à O — Eau, spéciale
Puissance 40 · Précision 100 % · 25 PP
Attaque l'ennemi en projetant de l'eau.</t>
      </text>
    </comment>
    <comment ref="B550" authorId="0" shapeId="0">
      <text>
        <t>Choc Mental — Psy, spéciale
Puissance 50 · Précision 100 % · 25 PP
Une attaque Psy pouvant rendre l'ennemi
confus.</t>
      </text>
    </comment>
    <comment ref="C550" authorId="0" shapeId="0">
      <text>
        <t>Choc Mental — Psy, spéciale
Puissance 50 · Précision 100 % · 25 PP
Une attaque Psy pouvant rendre l'ennemi
confus.</t>
      </text>
    </comment>
    <comment ref="B553" authorId="0" shapeId="0">
      <text>
        <t>EVOLI — Normal
PV 55 · Att 55 · Déf 50
Att.Spé 45 · Déf.Spé 65 · Vit 55
Total 325
Talents : Fuite, Adaptabilité (caché :
  Anticipation)</t>
      </text>
    </comment>
    <comment ref="C553" authorId="0" shapeId="0">
      <text>
        <t>TAUPIQUEUR — Sol
PV 10 · Att 55 · Déf 25
Att.Spé 35 · Déf.Spé 45 · Vit 95
Total 265
Talents : Voile Sable, Piège Sable (caché :
  Force Sable)</t>
      </text>
    </comment>
    <comment ref="B556" authorId="0" shapeId="0">
      <text>
        <t>Fuite
Améliore chances de fuite.</t>
      </text>
    </comment>
    <comment ref="C556" authorId="0" shapeId="0">
      <text>
        <t>Voile Sable
Evasion si tempête sable.</t>
      </text>
    </comment>
    <comment ref="B557" authorId="0" shapeId="0">
      <text>
        <t>Mimi-Queue — Normal, statut
Précision 100 % · 30 PP
Remue la queue pour baisser la Défense de
l'ennemi.</t>
      </text>
    </comment>
    <comment ref="C557" authorId="0" shapeId="0">
      <text>
        <t>Rugissement — Normal, statut
Précision 100 % · 40 PP
Rugit gentiment et baisse l'Attaque de
l'ennemi.</t>
      </text>
    </comment>
    <comment ref="B558" authorId="0" shapeId="0">
      <text>
        <t>Jet de Sable — Sol, statut
Précision 100 % · 15 PP
Lance du sable et baisse la précision de
l'ennemi.</t>
      </text>
    </comment>
    <comment ref="C558" authorId="0" shapeId="0">
      <text>
        <t>Étonnement — Spectre, physique
Puissance 30 · Précision 100 % · 15 PP
Une attaque qui peut choquer et apeurer
l'ennemi.</t>
      </text>
    </comment>
    <comment ref="B559" authorId="0" shapeId="0">
      <text>
        <t>Regard Touchant — Fée, statut
Précision 100 % · 30 PP · Priorité +1
Baisse l'Attaque ennemie avant qu'elle agisse.</t>
      </text>
    </comment>
    <comment ref="C559" authorId="0" shapeId="0">
      <text>
        <t>Coud'Boue — Sol, spéciale
Puissance 20 · Précision 100 % · 10 PP
Envoie de la boue au visage pour baisser la
précision.</t>
      </text>
    </comment>
    <comment ref="B560" authorId="0" shapeId="0">
      <text>
        <t>Vive-Attaque — Normal, physique
Puissance 40 · Précision 100 % · 30 PP ·
Priorité +1
Attaque fulgurante qui permet de frapper
d'abord.</t>
      </text>
    </comment>
    <comment ref="C560" authorId="0" shapeId="0">
      <text>
        <t>Ampleur — Sol, physique
Puissance 1 · Précision 100 % · 30 PP
Un tremblement de terre d'intensité variable.</t>
      </text>
    </comment>
    <comment ref="B562" authorId="0" shapeId="0">
      <text>
        <t>SABELETTE — Sol
PV 50 · Att 75 · Déf 85
Att.Spé 20 · Déf.Spé 30 · Vit 40
Total 300
Talents : Voile Sable (caché : Baigne Sable)</t>
      </text>
    </comment>
    <comment ref="C562" authorId="0" shapeId="0">
      <text>
        <t>MARILL — Eau / Fée
PV 70 · Att 20 · Déf 50
Att.Spé 20 · Déf.Spé 50 · Vit 40
Total 250
Talents : Isograisse, Coloforce (caché :
  Herbivore)</t>
      </text>
    </comment>
    <comment ref="B565" authorId="0" shapeId="0">
      <text>
        <t>Voile Sable
Evasion si tempête sable.</t>
      </text>
    </comment>
    <comment ref="C565" authorId="0" shapeId="0">
      <text>
        <t>Isograisse
Contre chaleur et froid.</t>
      </text>
    </comment>
    <comment ref="B566" authorId="0" shapeId="0">
      <text>
        <t>Roulade — Roche, physique
Puissance 30 · Précision 90 % · 20 PP
Une attaque sur 5 tours, de plus en plus
puissante.</t>
      </text>
    </comment>
    <comment ref="C566" authorId="0" shapeId="0">
      <text>
        <t>Boul'Armure — Normal, statut
40 PP
S'enroule, cache ses points faibles. Monte la
Défense.</t>
      </text>
    </comment>
    <comment ref="B567" authorId="0" shapeId="0">
      <text>
        <t>Tour Rapide — Normal, physique
Puissance 50 · Précision 100 % · 40 PP</t>
      </text>
    </comment>
    <comment ref="C567" authorId="0" shapeId="0">
      <text>
        <t>Roulade — Roche, physique
Puissance 30 · Précision 90 % · 20 PP
Une attaque sur 5 tours, de plus en plus
puissante.</t>
      </text>
    </comment>
    <comment ref="B568" authorId="0" shapeId="0">
      <text>
        <t>Taillade — Insecte, physique
Puissance 40 · Précision 95 % · 20 PP
Une attaque qui s'intensifie après chaque
coup.</t>
      </text>
    </comment>
    <comment ref="C568" authorId="0" shapeId="0">
      <text>
        <t>Bulles d'O — Eau, spéciale
Puissance 65 · Précision 100 % · 20 PP
Envoie des bulles pouvant baisser la Vitesse.</t>
      </text>
    </comment>
    <comment ref="B569" authorId="0" shapeId="0">
      <text>
        <t>Ampleur — Sol, physique
Puissance 1 · Précision 100 % · 30 PP
Un tremblement de terre d'intensité variable.</t>
      </text>
    </comment>
    <comment ref="C569" authorId="0" shapeId="0">
      <text>
        <t>Coup d'Main — Normal, statut
20 PP · Priorité +5
Améliore la puissance d'attaque du receveur.</t>
      </text>
    </comment>
    <comment ref="B571" authorId="0" shapeId="0">
      <text>
        <t>PIKACHU — Électrik
PV 35 · Att 55 · Déf 40
Att.Spé 50 · Déf.Spé 50 · Vit 90
Total 320
Talents : Statik (caché : Paratonnerre)</t>
      </text>
    </comment>
    <comment ref="B574" authorId="0" shapeId="0">
      <text>
        <t>Statik
Paralyse au toucher.</t>
      </text>
    </comment>
    <comment ref="B575" authorId="0" shapeId="0">
      <text>
        <t>Camaraderie — Normal, statut
20 PP
Amadoue l'ennemi et baisse son Attaque.</t>
      </text>
    </comment>
    <comment ref="B576" authorId="0" shapeId="0">
      <text>
        <t>Vive-Attaque — Normal, physique
Puissance 40 · Précision 100 % · 30 PP ·
Priorité +1
Attaque fulgurante qui permet de frapper
d'abord.</t>
      </text>
    </comment>
    <comment ref="B577" authorId="0" shapeId="0">
      <text>
        <t>Boule Élek — Électrik, spéciale
Puissance 1 · Précision 100 % · 10 PP
Une orbe qui blesse plus un ennemi lent.</t>
      </text>
    </comment>
    <comment ref="B578" authorId="0" shapeId="0">
      <text>
        <t>Cage Éclair — Électrik, statut
Précision 90 % · 20 PP
Un faible choc électrique qui paralyse
l'ennemi.</t>
      </text>
    </comment>
    <comment ref="B580" authorId="0" shapeId="0">
      <text>
        <t>GOUPIX — Feu
PV 38 · Att 41 · Déf 40
Att.Spé 50 · Déf.Spé 65 · Vit 65
Total 299
Talents : Torche (caché : Sécheresse)</t>
      </text>
    </comment>
    <comment ref="B583" authorId="0" shapeId="0">
      <text>
        <t>Torche
Puissance monte si brûlé.</t>
      </text>
    </comment>
    <comment ref="B584" authorId="0" shapeId="0">
      <text>
        <t>Vive-Attaque — Normal, physique
Puissance 40 · Précision 100 % · 30 PP ·
Priorité +1
Attaque fulgurante qui permet de frapper
d'abord.</t>
      </text>
    </comment>
    <comment ref="B585" authorId="0" shapeId="0">
      <text>
        <t>Onde Folie — Spectre, statut
Précision 100 % · 10 PP
Un horrible rayon qui rend l'ennemi confus.</t>
      </text>
    </comment>
    <comment ref="B586" authorId="0" shapeId="0">
      <text>
        <t>Danse Flammes — Feu, spéciale
Puissance 35 · Précision 85 % · 15 PP</t>
      </text>
    </comment>
    <comment ref="B587" authorId="0" shapeId="0">
      <text>
        <t>Représailles — Ténèbres, physique
Puissance 50 · Précision 100 % · 10 PP
Plus puissant si le lanceur agit en dernier.</t>
      </text>
    </comment>
    <comment ref="B589" authorId="0" shapeId="0">
      <text>
        <t>ROUCOOL — Normal / Vol
PV 40 · Att 45 · Déf 40
Att.Spé 35 · Déf.Spé 35 · Vit 56
Total 251
Talents : Regard Vif, Pieds Confus (caché :
  Cœur de Coq)</t>
      </text>
    </comment>
    <comment ref="C589" authorId="0" shapeId="0">
      <text>
        <t>ROUCOUPS — Normal / Vol
PV 63 · Att 60 · Déf 55
Att.Spé 50 · Déf.Spé 50 · Vit 71
Total 349
Talents : Regard Vif, Pieds Confus (caché :
  Cœur de Coq)</t>
      </text>
    </comment>
    <comment ref="D589" authorId="0" shapeId="0">
      <text>
        <t>PIAFABEC — Normal / Vol
PV 40 · Att 60 · Déf 30
Att.Spé 31 · Déf.Spé 31 · Vit 70
Total 262
Talents : Regard Vif (caché : Sniper)</t>
      </text>
    </comment>
    <comment ref="B592" authorId="0" shapeId="0">
      <text>
        <t>Regard Vif
Empêche perte de précision.</t>
      </text>
    </comment>
    <comment ref="C592" authorId="0" shapeId="0">
      <text>
        <t>Regard Vif
Empêche perte de précision.</t>
      </text>
    </comment>
    <comment ref="D592" authorId="0" shapeId="0">
      <text>
        <t>Regard Vif
Empêche perte de précision.</t>
      </text>
    </comment>
    <comment ref="B593" authorId="0" shapeId="0">
      <text>
        <t>Picpic — Vol, physique
Puissance 35 · Précision 100 % · 35 PP
Attaque l'ennemi avec une corne, un bec
pointu, etc.</t>
      </text>
    </comment>
    <comment ref="C593" authorId="0" shapeId="0">
      <text>
        <t>Jet de Sable — Sol, statut
Précision 100 % · 15 PP
Lance du sable et baisse la précision de
l'ennemi.</t>
      </text>
    </comment>
    <comment ref="D593" authorId="0" shapeId="0">
      <text>
        <t>Poursuite — Ténèbres, physique
Puissance 40 · Précision 100 % · 20 PP
Inflige de sérieux dégâts lorsque l'ennemi
change.</t>
      </text>
    </comment>
    <comment ref="B594" authorId="0" shapeId="0">
      <text>
        <t>Jet de Sable — Sol, statut
Précision 100 % · 15 PP
Lance du sable et baisse la précision de
l'ennemi.</t>
      </text>
    </comment>
    <comment ref="C594" authorId="0" shapeId="0">
      <text>
        <t>Tornade — Vol, spéciale
Puissance 40 · Précision 100 % · 35 PP
Envoie une rafale de vent en battant des
ailes.</t>
      </text>
    </comment>
    <comment ref="D594" authorId="0" shapeId="0">
      <text>
        <t>Furie — Normal, physique
Puissance 15 · Précision 85 % · 20 PP
Frappe l'ennemi 2 à 5 fois avec une corne, un
bec, etc.</t>
      </text>
    </comment>
    <comment ref="B595" authorId="0" shapeId="0">
      <text>
        <t>Tornade — Vol, spéciale
Puissance 40 · Précision 100 % · 35 PP
Envoie une rafale de vent en battant des
ailes.</t>
      </text>
    </comment>
    <comment ref="C595" authorId="0" shapeId="0">
      <text>
        <t>Vive-Attaque — Normal, physique
Puissance 40 · Précision 100 % · 30 PP ·
Priorité +1
Attaque fulgurante qui permet de frapper
d'abord.</t>
      </text>
    </comment>
    <comment ref="D595" authorId="0" shapeId="0">
      <text>
        <t>Aéropique — Vol, physique
Puissance 60 · Ne rate jamais · 20 PP
Attaque très rapide et imparable.</t>
      </text>
    </comment>
    <comment ref="B596" authorId="0" shapeId="0">
      <text>
        <t>Vive-Attaque — Normal, physique
Puissance 40 · Précision 100 % · 30 PP ·
Priorité +1
Attaque fulgurante qui permet de frapper
d'abord.</t>
      </text>
    </comment>
    <comment ref="C596" authorId="0" shapeId="0">
      <text>
        <t>Cyclone — Normal, statut
20 PP · Priorité -6
Souffle l'ennemi. Contre un Dresseur, le
remplace.</t>
      </text>
    </comment>
    <comment ref="D596" authorId="0" shapeId="0">
      <text>
        <t>Mimique — Vol, statut
20 PP
Contre l'attaque de l'ennemi avec la même
attaque.</t>
      </text>
    </comment>
    <comment ref="B598" authorId="0" shapeId="0">
      <text>
        <t>VOLTORBE — Électrik
PV 40 · Att 30 · Déf 50
Att.Spé 55 · Déf.Spé 55 · Vit 100
Total 330
Talents : Anti-Bruit, Statik (caché : Boom
  Final)</t>
      </text>
    </comment>
    <comment ref="C598" authorId="0" shapeId="0">
      <text>
        <t>POMDEPIK — Insecte
PV 50 · Att 65 · Déf 90
Att.Spé 35 · Déf.Spé 35 · Vit 15
Total 290
Talents : Fermeté (caché : Envelocape)</t>
      </text>
    </comment>
    <comment ref="D598" authorId="0" shapeId="0">
      <text>
        <t>VOLTORBE — Électrik
PV 40 · Att 30 · Déf 50
Att.Spé 55 · Déf.Spé 55 · Vit 100
Total 330
Talents : Anti-Bruit, Statik (caché : Boom
  Final)</t>
      </text>
    </comment>
    <comment ref="B601" authorId="0" shapeId="0">
      <text>
        <t>Anti-Bruit
Évite les coups sonores.</t>
      </text>
    </comment>
    <comment ref="C601" authorId="0" shapeId="0">
      <text>
        <t>Fermeté
Ignore les K.O. en un coup.</t>
      </text>
    </comment>
    <comment ref="D601" authorId="0" shapeId="0">
      <text>
        <t>Anti-Bruit
Évite les coups sonores.</t>
      </text>
    </comment>
    <comment ref="B602" authorId="0" shapeId="0">
      <text>
        <t>Étincelle — Électrik, physique
Puissance 65 · Précision 100 % · 20 PP
Une charge électrique qui peut paralyser
l'ennemi.</t>
      </text>
    </comment>
    <comment ref="C602" authorId="0" shapeId="0">
      <text>
        <t>Abri — Normal, statut
10 PP · Priorité +4</t>
      </text>
    </comment>
    <comment ref="D602" authorId="0" shapeId="0">
      <text>
        <t>Étincelle — Électrik, physique
Puissance 65 · Précision 100 % · 20 PP
Une charge électrique qui peut paralyser
l'ennemi.</t>
      </text>
    </comment>
    <comment ref="B603" authorId="0" shapeId="0">
      <text>
        <t>Roulade — Roche, physique
Puissance 30 · Précision 90 % · 20 PP
Une attaque sur 5 tours, de plus en plus
puissante.</t>
      </text>
    </comment>
    <comment ref="C603" authorId="0" shapeId="0">
      <text>
        <t>Destruction — Normal, physique
Puissance 200 · Précision 100 % · 5 PP
Inflige de sérieux dégâts, mais met le lanceur
KO.</t>
      </text>
    </comment>
    <comment ref="D603" authorId="0" shapeId="0">
      <text>
        <t>Roulade — Roche, physique
Puissance 30 · Précision 90 % · 20 PP
Une attaque sur 5 tours, de plus en plus
puissante.</t>
      </text>
    </comment>
    <comment ref="B604" authorId="0" shapeId="0">
      <text>
        <t>Grincement — Normal, statut
Précision 85 % · 40 PP
Cri strident qui baisse la Défense ennemie.</t>
      </text>
    </comment>
    <comment ref="C604" authorId="0" shapeId="0">
      <text>
        <t>Piqûre — Insecte, physique
Puissance 60 · Précision 100 % · 20 PP</t>
      </text>
    </comment>
    <comment ref="D604" authorId="0" shapeId="0">
      <text>
        <t>Grincement — Normal, statut
Précision 85 % · 40 PP
Cri strident qui baisse la Défense ennemie.</t>
      </text>
    </comment>
    <comment ref="B605" authorId="0" shapeId="0">
      <text>
        <t>Rayon Chargé — Électrik, spéciale
Puissance 50 · Précision 90 % · 10 PP
Un rayon électrique. Peut monter l'Atq. Spé.</t>
      </text>
    </comment>
    <comment ref="C605" authorId="0" shapeId="0">
      <text>
        <t>Bélier — Normal, physique
Puissance 90 · Précision 85 % · 20 PP
Une charge violente qui blesse aussi le
lanceur.</t>
      </text>
    </comment>
    <comment ref="D605" authorId="0" shapeId="0">
      <text>
        <t>Rayon Chargé — Électrik, spéciale
Puissance 50 · Précision 90 % · 10 PP
Un rayon électrique. Peut monter l'Atq. Spé.</t>
      </text>
    </comment>
    <comment ref="B607" authorId="0" shapeId="0">
      <text>
        <t>YANMA — Insecte / Vol
PV 65 · Att 65 · Déf 45
Att.Spé 75 · Déf.Spé 45 · Vit 95
Total 390
Talents : Turbo, Œil Composé (caché : Fouille)</t>
      </text>
    </comment>
    <comment ref="C607" authorId="0" shapeId="0">
      <text>
        <t>MIMITOSS — Insecte / Poison
PV 60 · Att 55 · Déf 50
Att.Spé 40 · Déf.Spé 55 · Vit 45
Total 305
Talents : Œil Composé, Lentiteintée (caché :
  Fuite)</t>
      </text>
    </comment>
    <comment ref="B610" authorId="0" shapeId="0">
      <text>
        <t>Turbo
Améliore la Vitesse.</t>
      </text>
    </comment>
    <comment ref="C610" authorId="0" shapeId="0">
      <text>
        <t>Œil Composé
Augmente la précision.</t>
      </text>
    </comment>
    <comment ref="B611" authorId="0" shapeId="0">
      <text>
        <t>Reflet — Normal, statut
15 PP
Crée des images-miroirs pour augmenter
l'esquive.</t>
      </text>
    </comment>
    <comment ref="C611" authorId="0" shapeId="0">
      <text>
        <t>Vampirisme — Insecte, physique
Puissance 60 · Précision 100 % · 10 PP
Une attaque qui aspire la moitié des dégâts
infligés.</t>
      </text>
    </comment>
    <comment ref="B612" authorId="0" shapeId="0">
      <text>
        <t>Tornade — Vol, spéciale
Puissance 40 · Précision 100 % · 35 PP
Envoie une rafale de vent en battant des
ailes.</t>
      </text>
    </comment>
    <comment ref="C612" authorId="0" shapeId="0">
      <text>
        <t>Choc Mental — Psy, spéciale
Puissance 50 · Précision 100 % · 25 PP
Une attaque Psy pouvant rendre l'ennemi
confus.</t>
      </text>
    </comment>
    <comment ref="B613" authorId="0" shapeId="0">
      <text>
        <t>Sonic Boom — Normal, spéciale
Puissance 1 · Précision 90 % · 20 PP
Envoie des ondes de choc infligeant 20 PV de
dégâts.</t>
      </text>
    </comment>
    <comment ref="C613" authorId="0" shapeId="0">
      <text>
        <t>Poudre Toxik — Poison, statut
Précision 75 % · 35 PP
Répand une poudre toxique pouvant empoisonner.</t>
      </text>
    </comment>
    <comment ref="B614" authorId="0" shapeId="0">
      <text>
        <t>Détection — Combat, statut
5 PP · Priorité +4</t>
      </text>
    </comment>
    <comment ref="C614" authorId="0" shapeId="0">
      <text>
        <t>Rafale Psy — Psy, spéciale
Puissance 65 · Précision 100 % · 20 PP
Étrange rayon pouvant rendre l'ennemi confus.</t>
      </text>
    </comment>
    <comment ref="B616" authorId="0" shapeId="0">
      <text>
        <t>MAGMAR — Feu
PV 65 · Att 95 · Déf 57
Att.Spé 100 · Déf.Spé 85 · Vit 93
Total 495
Talents : Corps Ardent (caché : Esprit Vital)</t>
      </text>
    </comment>
    <comment ref="C616" authorId="0" shapeId="0">
      <text>
        <t>MAGMAR — Feu
PV 65 · Att 95 · Déf 57
Att.Spé 100 · Déf.Spé 85 · Vit 93
Total 495
Talents : Corps Ardent (caché : Esprit Vital)</t>
      </text>
    </comment>
    <comment ref="B619" authorId="0" shapeId="0">
      <text>
        <t>Corps Ardent
Brûle l'ennemi au contact.</t>
      </text>
    </comment>
    <comment ref="C619" authorId="0" shapeId="0">
      <text>
        <t>Corps Ardent
Brûle l'ennemi au contact.</t>
      </text>
    </comment>
    <comment ref="B620" authorId="0" shapeId="0">
      <text>
        <t>Flammèche — Feu, spéciale
Puissance 40 · Précision 100 % · 25 PP
Une faible attaque de feu pouvant brûler
l'ennemi.</t>
      </text>
    </comment>
    <comment ref="C620" authorId="0" shapeId="0">
      <text>
        <t>Flammèche — Feu, spéciale
Puissance 40 · Précision 100 % · 25 PP
Une faible attaque de feu pouvant brûler
l'ennemi.</t>
      </text>
    </comment>
    <comment ref="B621" authorId="0" shapeId="0">
      <text>
        <t>Brouillard — Normal, statut
Précision 100 % · 20 PP
Baisse la précision ennemie utilisant fumée,
encre, etc.</t>
      </text>
    </comment>
    <comment ref="C621" authorId="0" shapeId="0">
      <text>
        <t>Brouillard — Normal, statut
Précision 100 % · 20 PP
Baisse la précision ennemie utilisant fumée,
encre, etc.</t>
      </text>
    </comment>
    <comment ref="B622" authorId="0" shapeId="0">
      <text>
        <t>Feinte — Ténèbres, physique
Puissance 60 · Ne rate jamais · 20 PP
Approche l'ennemi et frappe à coup sûr.</t>
      </text>
    </comment>
    <comment ref="C622" authorId="0" shapeId="0">
      <text>
        <t>Feinte — Ténèbres, physique
Puissance 60 · Ne rate jamais · 20 PP
Approche l'ennemi et frappe à coup sûr.</t>
      </text>
    </comment>
    <comment ref="B623" authorId="0" shapeId="0">
      <text>
        <t>Danse Flammes — Feu, spéciale
Puissance 35 · Précision 85 % · 15 PP</t>
      </text>
    </comment>
    <comment ref="C623" authorId="0" shapeId="0">
      <text>
        <t>Danse Flammes — Feu, spéciale
Puissance 35 · Précision 85 % · 15 PP</t>
      </text>
    </comment>
    <comment ref="B625" authorId="0" shapeId="0">
      <text>
        <t>CANINOS — Feu
PV 55 · Att 70 · Déf 45
Att.Spé 70 · Déf.Spé 50 · Vit 60
Total 350
Talents : Intimidation, Torche (caché : Cœur
  Noble)</t>
      </text>
    </comment>
    <comment ref="C625" authorId="0" shapeId="0">
      <text>
        <t>MALOSSE — Ténèbres / Feu
PV 45 · Att 60 · Déf 30
Att.Spé 80 · Déf.Spé 50 · Vit 65
Total 330
Talents : Matinal, Torche (caché : Tension)</t>
      </text>
    </comment>
    <comment ref="B628" authorId="0" shapeId="0">
      <text>
        <t>Intimidation
Baisse l'Attaque ennemie.</t>
      </text>
    </comment>
    <comment ref="C628" authorId="0" shapeId="0">
      <text>
        <t>Matinal
Se réveille rapidement.</t>
      </text>
    </comment>
    <comment ref="B629" authorId="0" shapeId="0">
      <text>
        <t>Flammèche — Feu, spéciale
Puissance 40 · Précision 100 % · 25 PP
Une faible attaque de feu pouvant brûler
l'ennemi.</t>
      </text>
    </comment>
    <comment ref="C629" authorId="0" shapeId="0">
      <text>
        <t>Grondement — Normal, statut
40 PP
Grogne pour se rassurer et booster l'Attaque.</t>
      </text>
    </comment>
    <comment ref="B630" authorId="0" shapeId="0">
      <text>
        <t>Groz'Yeux — Normal, statut
Précision 100 % · 30 PP
Lance un regard noir et baisse la Défense.</t>
      </text>
    </comment>
    <comment ref="C630" authorId="0" shapeId="0">
      <text>
        <t>Purédpois — Poison, spéciale
Puissance 30 · Précision 70 % · 20 PP
Un gaz nocif pouvant empoisonner l'ennemi.</t>
      </text>
    </comment>
    <comment ref="B631" authorId="0" shapeId="0">
      <text>
        <t>Flair — Normal, statut
40 PP
Empêche l'ennemi d'augmenter son esquive.</t>
      </text>
    </comment>
    <comment ref="C631" authorId="0" shapeId="0">
      <text>
        <t>Hurlement — Normal, statut
20 PP · Priorité -6
Fait fuir l'ennemi. Contre un Dresseur, le
remplace.</t>
      </text>
    </comment>
    <comment ref="B632" authorId="0" shapeId="0">
      <text>
        <t>Coup d'Main — Normal, statut
20 PP · Priorité +5
Améliore la puissance d'attaque du receveur.</t>
      </text>
    </comment>
    <comment ref="C632" authorId="0" shapeId="0">
      <text>
        <t>Morsure — Ténèbres, physique
Puissance 60 · Précision 100 % · 25 PP
Mord méchamment l'ennemi et peut l'apeurer.</t>
      </text>
    </comment>
    <comment ref="B635" authorId="0" shapeId="0">
      <text>
        <t>HELIATRONC — Plante
PV 75 · Att 75 · Déf 55
Att.Spé 105 · Déf.Spé 85 · Vit 30
Total 425
Talents : Chlorophylle, Force Soleil (caché :
  Matinal)</t>
      </text>
    </comment>
    <comment ref="C635" authorId="0" shapeId="0">
      <text>
        <t>VOLTORBE — Électrik
PV 40 · Att 30 · Déf 50
Att.Spé 55 · Déf.Spé 55 · Vit 100
Total 330
Talents : Anti-Bruit, Statik (caché : Boom
  Final)</t>
      </text>
    </comment>
    <comment ref="B638" authorId="0" shapeId="0">
      <text>
        <t>Chlorophylle
Augmente Vitesse au soleil.</t>
      </text>
    </comment>
    <comment ref="C638" authorId="0" shapeId="0">
      <text>
        <t>Anti-Bruit
Évite les coups sonores.</t>
      </text>
    </comment>
    <comment ref="B639" authorId="0" shapeId="0">
      <text>
        <t>Siffl'Herbe — Plante, statut
Précision 55 % · 15 PP
Endort l'ennemi en sifflant une douce mélodie.</t>
      </text>
    </comment>
    <comment ref="C639" authorId="0" shapeId="0">
      <text>
        <t>Étincelle — Électrik, physique
Puissance 65 · Précision 100 % · 20 PP
Une charge électrique qui peut paralyser
l'ennemi.</t>
      </text>
    </comment>
    <comment ref="B640" authorId="0" shapeId="0">
      <text>
        <t>Méga-Sangsue — Plante, spéciale
Puissance 40 · Précision 100 % · 25 PP</t>
      </text>
    </comment>
    <comment ref="C640" authorId="0" shapeId="0">
      <text>
        <t>Roulade — Roche, physique
Puissance 30 · Précision 90 % · 20 PP
Une attaque sur 5 tours, de plus en plus
puissante.</t>
      </text>
    </comment>
    <comment ref="B641" authorId="0" shapeId="0">
      <text>
        <t>Vampigraine — Plante, statut
Précision 90 % · 10 PP
Plante des graines pour voler des PV à chaque
tour.</t>
      </text>
    </comment>
    <comment ref="C641" authorId="0" shapeId="0">
      <text>
        <t>Grincement — Normal, statut
Précision 85 % · 40 PP
Cri strident qui baisse la Défense ennemie.</t>
      </text>
    </comment>
    <comment ref="B642" authorId="0" shapeId="0">
      <text>
        <t>Tranch'Herbe — Plante, physique
Puissance 55 · Précision 95 % · 25 PP
Tranche avec des feuilles. Taux de critiques
élevé.</t>
      </text>
    </comment>
    <comment ref="C642" authorId="0" shapeId="0">
      <text>
        <t>Rayon Chargé — Électrik, spéciale
Puissance 50 · Précision 90 % · 10 PP
Un rayon électrique. Peut monter l'Atq. Spé.</t>
      </text>
    </comment>
    <comment ref="B644" authorId="0" shapeId="0">
      <text>
        <t>SNUBBULL — Fée
PV 60 · Att 80 · Déf 50
Att.Spé 40 · Déf.Spé 40 · Vit 30
Total 300
Talents : Intimidation, Fuite (caché :
  Phobique)</t>
      </text>
    </comment>
    <comment ref="B647" authorId="0" shapeId="0">
      <text>
        <t>Intimidation
Baisse l'Attaque ennemie.</t>
      </text>
    </comment>
    <comment ref="B648" authorId="0" shapeId="0">
      <text>
        <t>Voix Enjôleuse — Fée, spéciale
Puissance 40 · Ne rate jamais · 15 PP
Un cri charmant qui ne peut être esquivé.</t>
      </text>
    </comment>
    <comment ref="B649" authorId="0" shapeId="0">
      <text>
        <t>Morsure — Ténèbres, physique
Puissance 60 · Précision 100 % · 25 PP
Mord méchamment l'ennemi et peut l'apeurer.</t>
      </text>
    </comment>
    <comment ref="B650" authorId="0" shapeId="0">
      <text>
        <t>Léchouille — Spectre, physique
Puissance 30 · Précision 100 % · 30 PP
Blesse avec un long coup de langue. Peut
paralyser.</t>
      </text>
    </comment>
    <comment ref="B651" authorId="0" shapeId="0">
      <text>
        <t>Coup d'Boule — Normal, physique
Puissance 70 · Précision 100 % · 15 PP
Une charge qui peut apeurer l'ennemi.</t>
      </text>
    </comment>
    <comment ref="B653" authorId="0" shapeId="0">
      <text>
        <t>RAICHU — Électrik
PV 60 · Att 90 · Déf 55
Att.Spé 90 · Déf.Spé 80 · Vit 110
Total 485
Talents : Statik (caché : Paratonnerre)</t>
      </text>
    </comment>
    <comment ref="B656" authorId="0" shapeId="0">
      <text>
        <t>Statik
Paralyse au toucher.</t>
      </text>
    </comment>
    <comment ref="B657" authorId="0" shapeId="0">
      <text>
        <t>Éclair — Électrik, spéciale
Puissance 40 · Précision 100 % · 30 PP
Une attaque électrique pouvant paralyser
l'ennemi.</t>
      </text>
    </comment>
    <comment ref="B658" authorId="0" shapeId="0">
      <text>
        <t>Mimi-Queue — Normal, statut
Précision 100 % · 30 PP
Remue la queue pour baisser la Défense de
l'ennemi.</t>
      </text>
    </comment>
    <comment ref="B659" authorId="0" shapeId="0">
      <text>
        <t>Vive-Attaque — Normal, physique
Puissance 40 · Précision 100 % · 30 PP ·
Priorité +1
Attaque fulgurante qui permet de frapper
d'abord.</t>
      </text>
    </comment>
    <comment ref="B660" authorId="0" shapeId="0">
      <text>
        <t>Tonnerre — Électrik, spéciale
Puissance 90 · Précision 100 % · 15 PP
Forte attaque électrique pouvant paralyser
l'ennemi.</t>
      </text>
    </comment>
    <comment ref="B662" authorId="0" shapeId="0">
      <text>
        <t>FLORAVOL — Plante / Vol
PV 55 · Att 45 · Déf 50
Att.Spé 45 · Déf.Spé 65 · Vit 80
Total 340
Talents : Chlorophylle, Feuille Garde (caché :
  Infiltration)</t>
      </text>
    </comment>
    <comment ref="C662" authorId="0" shapeId="0">
      <text>
        <t>OSSELAIT — Sol
PV 50 · Att 50 · Déf 95
Att.Spé 40 · Déf.Spé 50 · Vit 35
Total 320
Talents : Tête de Roc, Paratonnerre (caché :
  Armurbaston)</t>
      </text>
    </comment>
    <comment ref="B665" authorId="0" shapeId="0">
      <text>
        <t>Chlorophylle
Augmente Vitesse au soleil.</t>
      </text>
    </comment>
    <comment ref="C665" authorId="0" shapeId="0">
      <text>
        <t>Tête de Roc
Empêche dégâts du recul.</t>
      </text>
    </comment>
    <comment ref="B666" authorId="0" shapeId="0">
      <text>
        <t>Vent Féérique — Fée, spéciale
Puissance 40 · Précision 100 % · 30 PP
Déchaîne un vent magique qui cingle l’ennemi.</t>
      </text>
    </comment>
    <comment ref="C666" authorId="0" shapeId="0">
      <text>
        <t>Mimi-Queue — Normal, statut
Précision 100 % · 30 PP
Remue la queue pour baisser la Défense de
l'ennemi.</t>
      </text>
    </comment>
    <comment ref="B667" authorId="0" shapeId="0">
      <text>
        <t>Poudre Toxik — Poison, statut
Précision 75 % · 35 PP
Répand une poudre toxique pouvant empoisonner.</t>
      </text>
    </comment>
    <comment ref="C667" authorId="0" shapeId="0">
      <text>
        <t>Massd'Os — Sol, physique
Puissance 65 · Précision 85 % · 20 PP
Cogne l'ennemi avec un os. Peut apeurer.</t>
      </text>
    </comment>
    <comment ref="B668" authorId="0" shapeId="0">
      <text>
        <t>Para-Spore — Plante, statut
Précision 75 % · 30 PP
Répand une poudre pouvant paralyser l'ennemi.</t>
      </text>
    </comment>
    <comment ref="C668" authorId="0" shapeId="0">
      <text>
        <t>Coup d'Boule — Normal, physique
Puissance 70 · Précision 100 % · 15 PP
Une charge qui peut apeurer l'ennemi.</t>
      </text>
    </comment>
    <comment ref="B669" authorId="0" shapeId="0">
      <text>
        <t>Poudre Dodo — Plante, statut
Précision 75 % · 15 PP
Répand une poudre pouvant endormir l'ennemi.</t>
      </text>
    </comment>
    <comment ref="C669" authorId="0" shapeId="0">
      <text>
        <t>Groz'Yeux — Normal, statut
Précision 100 % · 30 PP
Lance un regard noir et baisse la Défense.</t>
      </text>
    </comment>
    <comment ref="B672" authorId="0" shapeId="0">
      <text>
        <t>ABRA — Psy
PV 25 · Att 20 · Déf 15
Att.Spé 105 · Déf.Spé 55 · Vit 90
Total 310
Talents : Synchro, Attention (caché : Garde
  Magik)</t>
      </text>
    </comment>
    <comment ref="C672" authorId="0" shapeId="0">
      <text>
        <t>ABRA — Psy
PV 25 · Att 20 · Déf 15
Att.Spé 105 · Déf.Spé 55 · Vit 90
Total 310
Talents : Synchro, Attention (caché : Garde
  Magik)</t>
      </text>
    </comment>
    <comment ref="D672" authorId="0" shapeId="0">
      <text>
        <t>KADABRA — Psy
PV 40 · Att 35 · Déf 30
Att.Spé 120 · Déf.Spé 70 · Vit 105
Total 400
Talents : Synchro, Attention (caché : Garde
  Magik)</t>
      </text>
    </comment>
    <comment ref="B675" authorId="0" shapeId="0">
      <text>
        <t>Synchro
Transfère statuts.</t>
      </text>
    </comment>
    <comment ref="C675" authorId="0" shapeId="0">
      <text>
        <t>Synchro
Transfère statuts.</t>
      </text>
    </comment>
    <comment ref="D675" authorId="0" shapeId="0">
      <text>
        <t>Synchro
Transfère statuts.</t>
      </text>
    </comment>
    <comment ref="B676" authorId="0" shapeId="0">
      <text>
        <t>Téléport — Psy, statut
20 PP · Priorité -6
Attaque Psy permettant de prendre aussitôt la
fuite.</t>
      </text>
    </comment>
    <comment ref="C676" authorId="0" shapeId="0">
      <text>
        <t>Téléport — Psy, statut
20 PP · Priorité -6
Attaque Psy permettant de prendre aussitôt la
fuite.</t>
      </text>
    </comment>
    <comment ref="D676" authorId="0" shapeId="0">
      <text>
        <t>Télékinésie — Psy, statut
Précision 80 % · 15 PP
Distrait l'ennemi. Peut baisser la précision.</t>
      </text>
    </comment>
    <comment ref="D677" authorId="0" shapeId="0">
      <text>
        <t>Téléport — Psy, statut
20 PP · Priorité -6
Attaque Psy permettant de prendre aussitôt la
fuite.</t>
      </text>
    </comment>
    <comment ref="D678" authorId="0" shapeId="0">
      <text>
        <t>Choc Mental — Psy, spéciale
Puissance 50 · Précision 100 % · 25 PP
Une attaque Psy pouvant rendre l'ennemi
confus.</t>
      </text>
    </comment>
    <comment ref="B681" authorId="0" shapeId="0">
      <text>
        <t>SAQUEDENEU — Plante
PV 65 · Att 55 · Déf 115
Att.Spé 100 · Déf.Spé 40 · Vit 60
Total 435
Talents : Chlorophylle, Feuille Garde (caché :
  Régé-Force)</t>
      </text>
    </comment>
    <comment ref="C681" authorId="0" shapeId="0">
      <text>
        <t>CANINOS — Feu
PV 55 · Att 70 · Déf 45
Att.Spé 70 · Déf.Spé 50 · Vit 60
Total 350
Talents : Intimidation, Torche (caché : Cœur
  Noble)</t>
      </text>
    </comment>
    <comment ref="B684" authorId="0" shapeId="0">
      <text>
        <t>Chlorophylle
Augmente Vitesse au soleil.</t>
      </text>
    </comment>
    <comment ref="C684" authorId="0" shapeId="0">
      <text>
        <t>Intimidation
Baisse l'Attaque ennemie.</t>
      </text>
    </comment>
    <comment ref="B685" authorId="0" shapeId="0">
      <text>
        <t>Vole-Vie — Plante, spéciale
Puissance 20 · Précision 100 % · 25 PP
Une attaque qui convertit les dégâts infligés
en PV.</t>
      </text>
    </comment>
    <comment ref="C685" authorId="0" shapeId="0">
      <text>
        <t>Flair — Normal, statut
40 PP
Empêche l'ennemi d'augmenter son esquive.</t>
      </text>
    </comment>
    <comment ref="B686" authorId="0" shapeId="0">
      <text>
        <t>Poudre Toxik — Poison, statut
Précision 75 % · 35 PP
Répand une poudre toxique pouvant empoisonner.</t>
      </text>
    </comment>
    <comment ref="C686" authorId="0" shapeId="0">
      <text>
        <t>Coup d'Main — Normal, statut
20 PP · Priorité +5
Améliore la puissance d'attaque du receveur.</t>
      </text>
    </comment>
    <comment ref="B687" authorId="0" shapeId="0">
      <text>
        <t>Étreinte — Normal, physique
Puissance 15 · Précision 85 % · 20 PP</t>
      </text>
    </comment>
    <comment ref="C687" authorId="0" shapeId="0">
      <text>
        <t>Roue de Feu — Feu, physique
Puissance 60 · Précision 100 % · 25 PP
Une charge enflammée qui peut brûler l'ennemi.</t>
      </text>
    </comment>
    <comment ref="B688" authorId="0" shapeId="0">
      <text>
        <t>Croissance — Normal, statut
20 PP</t>
      </text>
    </comment>
    <comment ref="C688" authorId="0" shapeId="0">
      <text>
        <t>Contre — Combat, physique
Puissance 1 · Précision 100 % · 15 PP
Inflige plus de dégâts si les PV du lanceur
sont faibles.</t>
      </text>
    </comment>
    <comment ref="B691" authorId="0" shapeId="0">
      <text>
        <t>MELOFEE
PV 70 · Att 45 · Déf 48
Att.Spé 60 · Déf.Spé 65 · Vit 35
Total 323
Talents : Joli Sourire, Garde Magik (caché :
  Garde-Ami)</t>
      </text>
    </comment>
    <comment ref="C691" authorId="0" shapeId="0">
      <text>
        <t>FOUINAR — Normal
PV 85 · Att 76 · Déf 64
Att.Spé 45 · Déf.Spé 55 · Vit 90
Total 415
Talents : Fuite, Regard Vif (caché : Fouille)</t>
      </text>
    </comment>
    <comment ref="B694" authorId="0" shapeId="0">
      <text>
        <t>Joli Sourire
Séduit quand touché.</t>
      </text>
    </comment>
    <comment ref="C694" authorId="0" shapeId="0">
      <text>
        <t>Fuite
Améliore chances de fuite.</t>
      </text>
    </comment>
    <comment ref="B695" authorId="0" shapeId="0">
      <text>
        <t>Torgnoles — Normal, physique
Puissance 15 · Précision 85 % · 10 PP
Gifle rapidement l'ennemi de 2 à 5 fois.</t>
      </text>
    </comment>
    <comment ref="C695" authorId="0" shapeId="0">
      <text>
        <t>Boul'Armure — Normal, statut
40 PP
S'enroule, cache ses points faibles. Monte la
Défense.</t>
      </text>
    </comment>
    <comment ref="B696" authorId="0" shapeId="0">
      <text>
        <t>Boul'Armure — Normal, statut
40 PP
S'enroule, cache ses points faibles. Monte la
Défense.</t>
      </text>
    </comment>
    <comment ref="C696" authorId="0" shapeId="0">
      <text>
        <t>Vive-Attaque — Normal, physique
Puissance 40 · Précision 100 % · 30 PP ·
Priorité +1
Attaque fulgurante qui permet de frapper
d'abord.</t>
      </text>
    </comment>
    <comment ref="B697" authorId="0" shapeId="0">
      <text>
        <t>Par Ici — Normal, statut
20 PP · Priorité +2
Attire l'attention. Les adv. n'attaquent que
le lanceur.</t>
      </text>
    </comment>
    <comment ref="C697" authorId="0" shapeId="0">
      <text>
        <t>Combo-Griffe — Normal, physique
Puissance 18 · Précision 80 % · 15 PP
Ecorche l'ennemi avec des griffes, etc., de 2
à 5 fois.</t>
      </text>
    </comment>
    <comment ref="B698" authorId="0" shapeId="0">
      <text>
        <t>Voix Envoûtante — Fée, spéciale
Puissance 80 · Précision 100 % · 10 PP
Rend confus l'ennemi si ses stats ont monté ce
tour.</t>
      </text>
    </comment>
    <comment ref="C698" authorId="0" shapeId="0">
      <text>
        <t>Coup d'Main — Normal, statut
20 PP · Priorité +5
Améliore la puissance d'attaque du receveur.</t>
      </text>
    </comment>
    <comment ref="B700" authorId="0" shapeId="0">
      <text>
        <t>CERFROUSSE — Normal
PV 73 · Att 95 · Déf 62
Att.Spé 85 · Déf.Spé 65 · Vit 85
Total 465
Talents : Intimidation, Fouille (caché :
  Herbivore)</t>
      </text>
    </comment>
    <comment ref="B703" authorId="0" shapeId="0">
      <text>
        <t>Intimidation
Baisse l'Attaque ennemie.</t>
      </text>
    </comment>
    <comment ref="B704" authorId="0" shapeId="0">
      <text>
        <t>Hypnose — Psy, statut
Précision 60 % · 20 PP
Une attaque hypnotique pouvant endormir
l'ennemi.</t>
      </text>
    </comment>
    <comment ref="B705" authorId="0" shapeId="0">
      <text>
        <t>Écrasement — Normal, physique
Puissance 65 · Précision 100 % · 20 PP
Écrase avec un énorme pied. Peut apeurer
l'ennemi.</t>
      </text>
    </comment>
    <comment ref="B706" authorId="0" shapeId="0">
      <text>
        <t>Jet de Sable — Sol, statut
Précision 100 % · 15 PP
Lance du sable et baisse la précision de
l'ennemi.</t>
      </text>
    </comment>
    <comment ref="B707" authorId="0" shapeId="0">
      <text>
        <t>Bélier — Normal, physique
Puissance 90 · Précision 85 % · 20 PP
Une charge violente qui blesse aussi le
lanceur.</t>
      </text>
    </comment>
    <comment ref="B710" authorId="0" shapeId="0">
      <text>
        <t>FANTOMINUS — Spectre / Poison
PV 30 · Att 35 · Déf 30
Att.Spé 100 · Déf.Spé 35 · Vit 80
Total 310
Talents : Lévitation</t>
      </text>
    </comment>
    <comment ref="C710" authorId="0" shapeId="0">
      <text>
        <t>SPECTRUM — Spectre / Poison
PV 45 · Att 50 · Déf 45
Att.Spé 115 · Déf.Spé 55 · Vit 95
Total 405
Talents : Lévitation</t>
      </text>
    </comment>
    <comment ref="D710" authorId="0" shapeId="0">
      <text>
        <t>CORNEBRE — Ténèbres / Vol
PV 60 · Att 85 · Déf 42
Att.Spé 85 · Déf.Spé 42 · Vit 91
Total 405
Talents : Insomnia, Chanceux (caché : Farceur)</t>
      </text>
    </comment>
    <comment ref="B713" authorId="0" shapeId="0">
      <text>
        <t>Lévitation
Ignore les attaques Sol.</t>
      </text>
    </comment>
    <comment ref="C713" authorId="0" shapeId="0">
      <text>
        <t>Lévitation
Ignore les attaques Sol.</t>
      </text>
    </comment>
    <comment ref="D713" authorId="0" shapeId="0">
      <text>
        <t>Insomnia
Empêche de s'endormir.</t>
      </text>
    </comment>
    <comment ref="B714" authorId="0" shapeId="0">
      <text>
        <t>Regard Noir — Normal, statut
5 PP
Lance un regard méchant pour empêcher la
fuite.</t>
      </text>
    </comment>
    <comment ref="C714" authorId="0" shapeId="0">
      <text>
        <t>Regard Noir — Normal, statut
5 PP
Lance un regard méchant pour empêcher la
fuite.</t>
      </text>
    </comment>
    <comment ref="D714" authorId="0" shapeId="0">
      <text>
        <t>Poursuite — Ténèbres, physique
Puissance 40 · Précision 100 % · 20 PP
Inflige de sérieux dégâts lorsque l'ennemi
change.</t>
      </text>
    </comment>
    <comment ref="B715" authorId="0" shapeId="0">
      <text>
        <t>Malédiction — Spectre, statut
10 PP
Coup qui fonctionne autre- ment pour les
Spectres.</t>
      </text>
    </comment>
    <comment ref="C715" authorId="0" shapeId="0">
      <text>
        <t>Malédiction — Spectre, statut
10 PP
Coup qui fonctionne autre- ment pour les
Spectres.</t>
      </text>
    </comment>
    <comment ref="D715" authorId="0" shapeId="0">
      <text>
        <t>Buée Noire — Glace, statut
30 PP
Crée un nuage noir annulant tout changement
d'état.</t>
      </text>
    </comment>
    <comment ref="B716" authorId="0" shapeId="0">
      <text>
        <t>Ombre Nocturne — Spectre, spéciale
Puissance 1 · Précision 100 % · 15 PP
Inflige des dégâts selon le niveau du lanceur.</t>
      </text>
    </comment>
    <comment ref="C716" authorId="0" shapeId="0">
      <text>
        <t>Ombre Nocturne — Spectre, spéciale
Puissance 1 · Précision 100 % · 15 PP
Inflige des dégâts selon le niveau du lanceur.</t>
      </text>
    </comment>
    <comment ref="D716" authorId="0" shapeId="0">
      <text>
        <t>Cru-Ailes — Vol, physique
Puissance 60 · Précision 100 % · 35 PP
Frappe l'ennemi en déployant les ailes.</t>
      </text>
    </comment>
    <comment ref="B717" authorId="0" shapeId="0">
      <text>
        <t>Onde Folie — Spectre, statut
Précision 100 % · 10 PP
Un horrible rayon qui rend l'ennemi confus.</t>
      </text>
    </comment>
    <comment ref="C717" authorId="0" shapeId="0">
      <text>
        <t>Onde Folie — Spectre, statut
Précision 100 % · 10 PP
Un horrible rayon qui rend l'ennemi confus.</t>
      </text>
    </comment>
    <comment ref="D717" authorId="0" shapeId="0">
      <text>
        <t>Ombre Nocturne — Spectre, spéciale
Puissance 1 · Précision 100 % · 15 PP
Inflige des dégâts selon le niveau du lanceur.</t>
      </text>
    </comment>
    <comment ref="B719" authorId="0" shapeId="0">
      <text>
        <t>FEUFOREVE — Spectre
PV 60 · Att 60 · Déf 60
Att.Spé 85 · Déf.Spé 85 · Vit 85
Total 435
Talents : Lévitation</t>
      </text>
    </comment>
    <comment ref="B722" authorId="0" shapeId="0">
      <text>
        <t>Lévitation
Ignore les attaques Sol.</t>
      </text>
    </comment>
    <comment ref="B723" authorId="0" shapeId="0">
      <text>
        <t>Dépit — Spectre, statut
Précision 100 % · 10 PP</t>
      </text>
    </comment>
    <comment ref="B724" authorId="0" shapeId="0">
      <text>
        <t>Étonnement — Spectre, physique
Puissance 30 · Précision 100 % · 15 PP
Une attaque qui peut choquer et apeurer
l'ennemi.</t>
      </text>
    </comment>
    <comment ref="B725" authorId="0" shapeId="0">
      <text>
        <t>Onde Folie — Spectre, statut
Précision 100 % · 10 PP
Un horrible rayon qui rend l'ennemi confus.</t>
      </text>
    </comment>
    <comment ref="B726" authorId="0" shapeId="0">
      <text>
        <t>Regard Noir — Normal, statut
5 PP
Lance un regard méchant pour empêcher la
fuite.</t>
      </text>
    </comment>
    <comment ref="B728" authorId="0" shapeId="0">
      <text>
        <t>SPECTRUM — Spectre / Poison
PV 45 · Att 50 · Déf 45
Att.Spé 115 · Déf.Spé 55 · Vit 95
Total 405
Talents : Lévitation</t>
      </text>
    </comment>
    <comment ref="C728" authorId="0" shapeId="0">
      <text>
        <t>MALOSSE — Ténèbres / Feu
PV 45 · Att 60 · Déf 30
Att.Spé 80 · Déf.Spé 50 · Vit 65
Total 330
Talents : Matinal, Torche (caché : Tension)</t>
      </text>
    </comment>
    <comment ref="B731" authorId="0" shapeId="0">
      <text>
        <t>Lévitation
Ignore les attaques Sol.</t>
      </text>
    </comment>
    <comment ref="C731" authorId="0" shapeId="0">
      <text>
        <t>Matinal
Se réveille rapidement.</t>
      </text>
    </comment>
    <comment ref="B732" authorId="0" shapeId="0">
      <text>
        <t>Regard Noir — Normal, statut
5 PP
Lance un regard méchant pour empêcher la
fuite.</t>
      </text>
    </comment>
    <comment ref="C732" authorId="0" shapeId="0">
      <text>
        <t>Purédpois — Poison, spéciale
Puissance 30 · Précision 70 % · 20 PP
Un gaz nocif pouvant empoisonner l'ennemi.</t>
      </text>
    </comment>
    <comment ref="B733" authorId="0" shapeId="0">
      <text>
        <t>Malédiction — Spectre, statut
10 PP
Coup qui fonctionne autre- ment pour les
Spectres.</t>
      </text>
    </comment>
    <comment ref="C733" authorId="0" shapeId="0">
      <text>
        <t>Hurlement — Normal, statut
20 PP · Priorité -6
Fait fuir l'ennemi. Contre un Dresseur, le
remplace.</t>
      </text>
    </comment>
    <comment ref="B734" authorId="0" shapeId="0">
      <text>
        <t>Ombre Nocturne — Spectre, spéciale
Puissance 1 · Précision 100 % · 15 PP
Inflige des dégâts selon le niveau du lanceur.</t>
      </text>
    </comment>
    <comment ref="C734" authorId="0" shapeId="0">
      <text>
        <t>Morsure — Ténèbres, physique
Puissance 60 · Précision 100 % · 25 PP
Mord méchamment l'ennemi et peut l'apeurer.</t>
      </text>
    </comment>
    <comment ref="B735" authorId="0" shapeId="0">
      <text>
        <t>Onde Folie — Spectre, statut
Précision 100 % · 10 PP
Un horrible rayon qui rend l'ennemi confus.</t>
      </text>
    </comment>
    <comment ref="C735" authorId="0" shapeId="0">
      <text>
        <t>Flair — Normal, statut
40 PP
Empêche l'ennemi d'augmenter son esquive.</t>
      </text>
    </comment>
    <comment ref="B737" authorId="0" shapeId="0">
      <text>
        <t>SPECTRUM — Spectre / Poison
PV 45 · Att 50 · Déf 45
Att.Spé 115 · Déf.Spé 55 · Vit 95
Total 405
Talents : Lévitation</t>
      </text>
    </comment>
    <comment ref="C737" authorId="0" shapeId="0">
      <text>
        <t>CORNEBRE — Ténèbres / Vol
PV 60 · Att 85 · Déf 42
Att.Spé 85 · Déf.Spé 42 · Vit 91
Total 405
Talents : Insomnia, Chanceux (caché : Farceur)</t>
      </text>
    </comment>
    <comment ref="B740" authorId="0" shapeId="0">
      <text>
        <t>Lévitation
Ignore les attaques Sol.</t>
      </text>
    </comment>
    <comment ref="C740" authorId="0" shapeId="0">
      <text>
        <t>Insomnia
Empêche de s'endormir.</t>
      </text>
    </comment>
    <comment ref="B741" authorId="0" shapeId="0">
      <text>
        <t>Regard Noir — Normal, statut
5 PP
Lance un regard méchant pour empêcher la
fuite.</t>
      </text>
    </comment>
    <comment ref="C741" authorId="0" shapeId="0">
      <text>
        <t>Étonnement — Spectre, physique
Puissance 30 · Précision 100 % · 15 PP
Une attaque qui peut choquer et apeurer
l'ennemi.</t>
      </text>
    </comment>
    <comment ref="B742" authorId="0" shapeId="0">
      <text>
        <t>Malédiction — Spectre, statut
10 PP
Coup qui fonctionne autre- ment pour les
Spectres.</t>
      </text>
    </comment>
    <comment ref="C742" authorId="0" shapeId="0">
      <text>
        <t>Poursuite — Ténèbres, physique
Puissance 40 · Précision 100 % · 20 PP
Inflige de sérieux dégâts lorsque l'ennemi
change.</t>
      </text>
    </comment>
    <comment ref="B743" authorId="0" shapeId="0">
      <text>
        <t>Ombre Nocturne — Spectre, spéciale
Puissance 1 · Précision 100 % · 15 PP
Inflige des dégâts selon le niveau du lanceur.</t>
      </text>
    </comment>
    <comment ref="C743" authorId="0" shapeId="0">
      <text>
        <t>Buée Noire — Glace, statut
30 PP
Crée un nuage noir annulant tout changement
d'état.</t>
      </text>
    </comment>
    <comment ref="B744" authorId="0" shapeId="0">
      <text>
        <t>Onde Folie — Spectre, statut
Précision 100 % · 10 PP
Un horrible rayon qui rend l'ennemi confus.</t>
      </text>
    </comment>
    <comment ref="C744" authorId="0" shapeId="0">
      <text>
        <t>Cru-Ailes — Vol, physique
Puissance 60 · Précision 100 % · 35 PP
Frappe l'ennemi en déployant les ailes.</t>
      </text>
    </comment>
    <comment ref="B746" authorId="0" shapeId="0">
      <text>
        <t>SPECTRUM — Spectre / Poison
PV 45 · Att 50 · Déf 45
Att.Spé 115 · Déf.Spé 55 · Vit 95
Total 405
Talents : Lévitation</t>
      </text>
    </comment>
    <comment ref="C746" authorId="0" shapeId="0">
      <text>
        <t>CERFROUSSE — Normal
PV 73 · Att 95 · Déf 62
Att.Spé 85 · Déf.Spé 65 · Vit 85
Total 465
Talents : Intimidation, Fouille (caché :
  Herbivore)</t>
      </text>
    </comment>
    <comment ref="D746" authorId="0" shapeId="0">
      <text>
        <t>FEUFOREVE — Spectre
PV 60 · Att 60 · Déf 60
Att.Spé 85 · Déf.Spé 85 · Vit 85
Total 435
Talents : Lévitation</t>
      </text>
    </comment>
    <comment ref="E746" authorId="0" shapeId="0">
      <text>
        <t>ECTOPLASMA — Spectre / Poison
PV 60 · Att 65 · Déf 60
Att.Spé 130 · Déf.Spé 75 · Vit 110
Total 500
Talents : Lévitation, Corps Maudit</t>
      </text>
    </comment>
    <comment ref="E748" authorId="0" shapeId="0">
      <text>
        <t>Baie Sitrus
Objet tenu qui restaure 30 PV pendant un
combat.</t>
      </text>
    </comment>
    <comment ref="B749" authorId="0" shapeId="0">
      <text>
        <t>Lévitation
Ignore les attaques Sol.</t>
      </text>
    </comment>
    <comment ref="C749" authorId="0" shapeId="0">
      <text>
        <t>Intimidation
Baisse l'Attaque ennemie.</t>
      </text>
    </comment>
    <comment ref="D749" authorId="0" shapeId="0">
      <text>
        <t>Lévitation
Ignore les attaques Sol.</t>
      </text>
    </comment>
    <comment ref="E749" authorId="0" shapeId="0">
      <text>
        <t>Lévitation
Ignore les attaques Sol.</t>
      </text>
    </comment>
    <comment ref="B750" authorId="0" shapeId="0">
      <text>
        <t>Hypnose — Psy, statut
Précision 60 % · 20 PP
Une attaque hypnotique pouvant endormir
l'ennemi.</t>
      </text>
    </comment>
    <comment ref="C750" authorId="0" shapeId="0">
      <text>
        <t>Météores — Normal, spéciale
Puissance 60 · Ne rate jamais · 20 PP
Envoie des rayons en forme d'étoile. Touche
toujours.</t>
      </text>
    </comment>
    <comment ref="D750" authorId="0" shapeId="0">
      <text>
        <t>Ball'Ombre — Spectre, spéciale
Puissance 80 · Précision 100 % · 15 PP
Projette une grande tache qui peut baisser la
Déf. Spé.</t>
      </text>
    </comment>
    <comment ref="E750" authorId="0" shapeId="0">
      <text>
        <t>Hypnose — Psy, statut
Précision 60 % · 20 PP
Une attaque hypnotique pouvant endormir
l'ennemi.</t>
      </text>
    </comment>
    <comment ref="B751" authorId="0" shapeId="0">
      <text>
        <t>Cauchemar — Spectre, statut
Précision 100 % · 15 PP
Inflige 1/4 de dégâts à un ennemi endormi
chaque tour.</t>
      </text>
    </comment>
    <comment ref="C751" authorId="0" shapeId="0">
      <text>
        <t>Hypnose — Psy, statut
Précision 60 % · 20 PP
Une attaque hypnotique pouvant endormir
l'ennemi.</t>
      </text>
    </comment>
    <comment ref="D751" authorId="0" shapeId="0">
      <text>
        <t>Balance — Normal, statut
20 PP
Ajoute les PV des deux combattants et les
partage.</t>
      </text>
    </comment>
    <comment ref="E751" authorId="0" shapeId="0">
      <text>
        <t>Ball'Ombre — Spectre, spéciale
Puissance 80 · Précision 100 % · 15 PP
Projette une grande tache qui peut baisser la
Déf. Spé.</t>
      </text>
    </comment>
    <comment ref="B752" authorId="0" shapeId="0">
      <text>
        <t>Malédiction — Spectre, statut
10 PP
Coup qui fonctionne autre- ment pour les
Spectres.</t>
      </text>
    </comment>
    <comment ref="C752" authorId="0" shapeId="0">
      <text>
        <t>Cauchemar — Spectre, statut
Précision 100 % · 15 PP
Inflige 1/4 de dégâts à un ennemi endormi
chaque tour.</t>
      </text>
    </comment>
    <comment ref="D752" authorId="0" shapeId="0">
      <text>
        <t>Requiem — Normal, statut
5 PP
Un Pokémon qui entend ce requiem est KO en 3
tours.</t>
      </text>
    </comment>
    <comment ref="E752" authorId="0" shapeId="0">
      <text>
        <t>Regard Noir — Normal, statut
5 PP
Lance un regard méchant pour empêcher la
fuite.</t>
      </text>
    </comment>
    <comment ref="B753" authorId="0" shapeId="0">
      <text>
        <t>Ombre Nocturne — Spectre, spéciale
Puissance 1 · Précision 100 % · 15 PP
Inflige des dégâts selon le niveau du lanceur.</t>
      </text>
    </comment>
    <comment ref="C753" authorId="0" shapeId="0">
      <text>
        <t>Groz'Yeux — Normal, statut
Précision 100 % · 30 PP
Lance un regard noir et baisse la Défense.</t>
      </text>
    </comment>
    <comment ref="D753" authorId="0" shapeId="0">
      <text>
        <t>Vague Psy — Psy, spéciale
Puissance 1 · Précision 100 % · 15 PP
Envoie une onde Psy d'intensité variable.</t>
      </text>
    </comment>
    <comment ref="E753" authorId="0" shapeId="0">
      <text>
        <t>Dévorêve — Psy, spéciale
Puissance 100 · Précision 100 % · 15 PP
Aspire la moitié des dégâts infligés à
l'ennemi endormi.</t>
      </text>
    </comment>
    <comment ref="B756" authorId="0" shapeId="0">
      <text>
        <t>SMOGO — Poison
PV 40 · Att 65 · Déf 95
Att.Spé 60 · Déf.Spé 45 · Vit 35
Total 340
Talents : Lévitation, Gaz Inhibiteur (caché :
  Puanteur)</t>
      </text>
    </comment>
    <comment ref="B759" authorId="0" shapeId="0">
      <text>
        <t>Lévitation
Ignore les attaques Sol.</t>
      </text>
    </comment>
    <comment ref="B760" authorId="0" shapeId="0">
      <text>
        <t>Brouillard — Normal, statut
Précision 100 % · 20 PP
Baisse la précision ennemie utilisant fumée,
encre, etc.</t>
      </text>
    </comment>
    <comment ref="B761" authorId="0" shapeId="0">
      <text>
        <t>Assurance — Ténèbres, physique
Puissance 60 · Précision 100 % · 10 PP
Plus puissant si l'ennemi a déjà été blessé.</t>
      </text>
    </comment>
    <comment ref="B762" authorId="0" shapeId="0">
      <text>
        <t>Bain de Smog — Poison, spéciale
Puissance 50 · Ne rate jamais · 15 PP
Une brume qui annule tous les changements.</t>
      </text>
    </comment>
    <comment ref="B763" authorId="0" shapeId="0">
      <text>
        <t>Détritus — Poison, spéciale
Puissance 65 · Précision 100 % · 20 PP
Blesse en envoyant des détritus. Peut
empoisonner.</t>
      </text>
    </comment>
    <comment ref="B766" authorId="0" shapeId="0">
      <text>
        <t>EMBRYLEX — Roche / Sol
PV 50 · Att 64 · Déf 50
Att.Spé 45 · Déf.Spé 50 · Vit 41
Total 300
Talents : Cran (caché : Voile Sable)</t>
      </text>
    </comment>
    <comment ref="C766" authorId="0" shapeId="0">
      <text>
        <t>BOUSTIFLOR — Plante / Poison
PV 65 · Att 90 · Déf 50
Att.Spé 85 · Déf.Spé 45 · Vit 55
Total 390
Talents : Chlorophylle (caché : Gloutonnerie)</t>
      </text>
    </comment>
    <comment ref="D766" authorId="0" shapeId="0">
      <text>
        <t>NOSFERALTO — Poison / Vol
PV 75 · Att 80 · Déf 70
Att.Spé 65 · Déf.Spé 75 · Vit 90
Total 455
Talents : Attention (caché : Infiltration)</t>
      </text>
    </comment>
    <comment ref="E766" authorId="0" shapeId="0">
      <text>
        <t>FEURISSON — Feu
PV 58 · Att 64 · Déf 58
Att.Spé 80 · Déf.Spé 65 · Vit 80
Total 405
Talents : Brasier (caché : Torche)</t>
      </text>
    </comment>
    <comment ref="B769" authorId="0" shapeId="0">
      <text>
        <t>Cran
Monte l'Attaque si statut.</t>
      </text>
    </comment>
    <comment ref="C769" authorId="0" shapeId="0">
      <text>
        <t>Chlorophylle
Augmente Vitesse au soleil.</t>
      </text>
    </comment>
    <comment ref="D769" authorId="0" shapeId="0">
      <text>
        <t>Attention
Empêche la peur.</t>
      </text>
    </comment>
    <comment ref="E769" authorId="0" shapeId="0">
      <text>
        <t>Brasier
Augmente attaques Feu.</t>
      </text>
    </comment>
    <comment ref="B770" authorId="0" shapeId="0">
      <text>
        <t>Morsure — Ténèbres, physique
Puissance 60 · Précision 100 % · 25 PP
Mord méchamment l'ennemi et peut l'apeurer.</t>
      </text>
    </comment>
    <comment ref="C770" authorId="0" shapeId="0">
      <text>
        <t>Tranch'Herbe — Plante, physique
Puissance 55 · Précision 95 % · 25 PP
Tranche avec des feuilles. Taux de critiques
élevé.</t>
      </text>
    </comment>
    <comment ref="D770" authorId="0" shapeId="0">
      <text>
        <t>Morsure — Ténèbres, physique
Puissance 60 · Précision 100 % · 25 PP
Mord méchamment l'ennemi et peut l'apeurer.</t>
      </text>
    </comment>
    <comment ref="E770" authorId="0" shapeId="0">
      <text>
        <t>Roue de Feu — Feu, physique
Puissance 60 · Précision 100 % · 25 PP
Une charge enflammée qui peut brûler l'ennemi.</t>
      </text>
    </comment>
    <comment ref="B771" authorId="0" shapeId="0">
      <text>
        <t>Jet-Pierres — Roche, physique
Puissance 50 · Précision 90 % · 15 PP
Envoie des cailloux pour frapper l'ennemi.</t>
      </text>
    </comment>
    <comment ref="C771" authorId="0" shapeId="0">
      <text>
        <t>Croissance — Normal, statut
20 PP</t>
      </text>
    </comment>
    <comment ref="D771" authorId="0" shapeId="0">
      <text>
        <t>Onde Folie — Spectre, statut
Précision 100 % · 10 PP
Un horrible rayon qui rend l'ennemi confus.</t>
      </text>
    </comment>
    <comment ref="E771" authorId="0" shapeId="0">
      <text>
        <t>Tunnel — Sol, physique
Puissance 80 · Précision 100 % · 10 PP
Creuse sous terre au 1{SUPER_ER} tour et
frappe au 2{SUPER_E}.</t>
      </text>
    </comment>
    <comment ref="B772" authorId="0" shapeId="0">
      <text>
        <t>Grincement — Normal, statut
Précision 85 % · 40 PP
Cri strident qui baisse la Défense ennemie.</t>
      </text>
    </comment>
    <comment ref="C772" authorId="0" shapeId="0">
      <text>
        <t>Poudre Dodo — Plante, statut
Précision 75 % · 15 PP
Répand une poudre pouvant endormir l'ennemi.</t>
      </text>
    </comment>
    <comment ref="D772" authorId="0" shapeId="0">
      <text>
        <t>Dard-Venin — Poison, physique
Puissance 30 · Précision 100 % · 35 PP
Une attaque de dards, etc., pouvant
empoisonner.</t>
      </text>
    </comment>
    <comment ref="E772" authorId="0" shapeId="0">
      <text>
        <t>Vive-Attaque — Normal, physique
Puissance 40 · Précision 100 % · 30 PP ·
Priorité +1
Attaque fulgurante qui permet de frapper
d'abord.</t>
      </text>
    </comment>
    <comment ref="B773" authorId="0" shapeId="0">
      <text>
        <t>Tempête de Sable — Roche, statut
10 PP
Une tempête de sable qui souffle pendant 5
tours.</t>
      </text>
    </comment>
    <comment ref="C773" authorId="0" shapeId="0">
      <text>
        <t>Para-Spore — Plante, statut
Précision 75 % · 30 PP
Répand une poudre pouvant paralyser l'ennemi.</t>
      </text>
    </comment>
    <comment ref="D773" authorId="0" shapeId="0">
      <text>
        <t>Tranch'Air — Vol, spéciale
Puissance 60 · Précision 95 % · 25 PP
Un vent tranchant. Taux de critiques élevé.</t>
      </text>
    </comment>
    <comment ref="E773" authorId="0" shapeId="0">
      <text>
        <t>Brouillard — Normal, statut
Précision 100 % · 20 PP
Baisse la précision ennemie utilisant fumée,
encre, etc.</t>
      </text>
    </comment>
    <comment ref="B775" authorId="0" shapeId="0">
      <text>
        <t>EMBRYLEX — Roche / Sol
PV 50 · Att 64 · Déf 50
Att.Spé 45 · Déf.Spé 50 · Vit 41
Total 300
Talents : Cran (caché : Voile Sable)</t>
      </text>
    </comment>
    <comment ref="C775" authorId="0" shapeId="0">
      <text>
        <t>MALOSSE — Ténèbres / Feu
PV 45 · Att 60 · Déf 30
Att.Spé 80 · Déf.Spé 50 · Vit 65
Total 330
Talents : Matinal, Torche (caché : Tension)</t>
      </text>
    </comment>
    <comment ref="D775" authorId="0" shapeId="0">
      <text>
        <t>NOSFERALTO — Poison / Vol
PV 75 · Att 80 · Déf 70
Att.Spé 65 · Déf.Spé 75 · Vit 90
Total 455
Talents : Attention (caché : Infiltration)</t>
      </text>
    </comment>
    <comment ref="E775" authorId="0" shapeId="0">
      <text>
        <t>CROCRODIL — Eau
PV 65 · Att 80 · Déf 80
Att.Spé 59 · Déf.Spé 63 · Vit 58
Total 405
Talents : Torrent (caché : Sans Limite)</t>
      </text>
    </comment>
    <comment ref="B778" authorId="0" shapeId="0">
      <text>
        <t>Cran
Monte l'Attaque si statut.</t>
      </text>
    </comment>
    <comment ref="C778" authorId="0" shapeId="0">
      <text>
        <t>Matinal
Se réveille rapidement.</t>
      </text>
    </comment>
    <comment ref="D778" authorId="0" shapeId="0">
      <text>
        <t>Attention
Empêche la peur.</t>
      </text>
    </comment>
    <comment ref="E778" authorId="0" shapeId="0">
      <text>
        <t>Torrent
Augmente attaques Eau.</t>
      </text>
    </comment>
    <comment ref="B779" authorId="0" shapeId="0">
      <text>
        <t>Morsure — Ténèbres, physique
Puissance 60 · Précision 100 % · 25 PP
Mord méchamment l'ennemi et peut l'apeurer.</t>
      </text>
    </comment>
    <comment ref="C779" authorId="0" shapeId="0">
      <text>
        <t>Flammèche — Feu, spéciale
Puissance 40 · Précision 100 % · 25 PP
Une faible attaque de feu pouvant brûler
l'ennemi.</t>
      </text>
    </comment>
    <comment ref="D779" authorId="0" shapeId="0">
      <text>
        <t>Morsure — Ténèbres, physique
Puissance 60 · Précision 100 % · 25 PP
Mord méchamment l'ennemi et peut l'apeurer.</t>
      </text>
    </comment>
    <comment ref="E779" authorId="0" shapeId="0">
      <text>
        <t>Morsure — Ténèbres, physique
Puissance 60 · Précision 100 % · 25 PP
Mord méchamment l'ennemi et peut l'apeurer.</t>
      </text>
    </comment>
    <comment ref="B780" authorId="0" shapeId="0">
      <text>
        <t>Jet-Pierres — Roche, physique
Puissance 50 · Précision 90 % · 15 PP
Envoie des cailloux pour frapper l'ennemi.</t>
      </text>
    </comment>
    <comment ref="C780" authorId="0" shapeId="0">
      <text>
        <t>Morsure — Ténèbres, physique
Puissance 60 · Précision 100 % · 25 PP
Mord méchamment l'ennemi et peut l'apeurer.</t>
      </text>
    </comment>
    <comment ref="D780" authorId="0" shapeId="0">
      <text>
        <t>Onde Folie — Spectre, statut
Précision 100 % · 10 PP
Un horrible rayon qui rend l'ennemi confus.</t>
      </text>
    </comment>
    <comment ref="E780" authorId="0" shapeId="0">
      <text>
        <t>Poing Glace — Glace, physique
Puissance 75 · Précision 100 % · 15 PP</t>
      </text>
    </comment>
    <comment ref="B781" authorId="0" shapeId="0">
      <text>
        <t>Grincement — Normal, statut
Précision 85 % · 40 PP
Cri strident qui baisse la Défense ennemie.</t>
      </text>
    </comment>
    <comment ref="C781" authorId="0" shapeId="0">
      <text>
        <t>Purédpois — Poison, spéciale
Puissance 30 · Précision 70 % · 20 PP
Un gaz nocif pouvant empoisonner l'ennemi.</t>
      </text>
    </comment>
    <comment ref="D781" authorId="0" shapeId="0">
      <text>
        <t>Dard-Venin — Poison, physique
Puissance 30 · Précision 100 % · 35 PP
Une attaque de dards, etc., pouvant
empoisonner.</t>
      </text>
    </comment>
    <comment ref="E781" authorId="0" shapeId="0">
      <text>
        <t>Bulles d'O — Eau, spéciale
Puissance 65 · Précision 100 % · 20 PP
Envoie des bulles pouvant baisser la Vitesse.</t>
      </text>
    </comment>
    <comment ref="B782" authorId="0" shapeId="0">
      <text>
        <t>Tempête de Sable — Roche, statut
10 PP
Une tempête de sable qui souffle pendant 5
tours.</t>
      </text>
    </comment>
    <comment ref="C782" authorId="0" shapeId="0">
      <text>
        <t>Hurlement — Normal, statut
20 PP · Priorité -6
Fait fuir l'ennemi. Contre un Dresseur, le
remplace.</t>
      </text>
    </comment>
    <comment ref="D782" authorId="0" shapeId="0">
      <text>
        <t>Tranch'Air — Vol, spéciale
Puissance 60 · Précision 95 % · 25 PP
Un vent tranchant. Taux de critiques élevé.</t>
      </text>
    </comment>
    <comment ref="E782" authorId="0" shapeId="0">
      <text>
        <t>Coud'Boue — Sol, spéciale
Puissance 20 · Précision 100 % · 10 PP
Envoie de la boue au visage pour baisser la
précision.</t>
      </text>
    </comment>
    <comment ref="B784" authorId="0" shapeId="0">
      <text>
        <t>EMBRYLEX — Roche / Sol
PV 50 · Att 64 · Déf 50
Att.Spé 45 · Déf.Spé 50 · Vit 41
Total 300
Talents : Cran (caché : Voile Sable)</t>
      </text>
    </comment>
    <comment ref="C784" authorId="0" shapeId="0">
      <text>
        <t>REMORAID — Eau
PV 35 · Att 65 · Déf 35
Att.Spé 65 · Déf.Spé 35 · Vit 65
Total 300
Talents : Agitation, Sniper (caché :
  Lunatique)</t>
      </text>
    </comment>
    <comment ref="D784" authorId="0" shapeId="0">
      <text>
        <t>NOSFERALTO — Poison / Vol
PV 75 · Att 80 · Déf 70
Att.Spé 65 · Déf.Spé 75 · Vit 90
Total 455
Talents : Attention (caché : Infiltration)</t>
      </text>
    </comment>
    <comment ref="E784" authorId="0" shapeId="0">
      <text>
        <t>MACRONIUM — Plante
PV 60 · Att 62 · Déf 80
Att.Spé 63 · Déf.Spé 80 · Vit 60
Total 405
Talents : Engrais (caché : Feuille Garde)</t>
      </text>
    </comment>
    <comment ref="B787" authorId="0" shapeId="0">
      <text>
        <t>Cran
Monte l'Attaque si statut.</t>
      </text>
    </comment>
    <comment ref="C787" authorId="0" shapeId="0">
      <text>
        <t>Agitation
Substitue préc. par puiss.</t>
      </text>
    </comment>
    <comment ref="D787" authorId="0" shapeId="0">
      <text>
        <t>Attention
Empêche la peur.</t>
      </text>
    </comment>
    <comment ref="E787" authorId="0" shapeId="0">
      <text>
        <t>Engrais
Augmente attaques Plante.</t>
      </text>
    </comment>
    <comment ref="B788" authorId="0" shapeId="0">
      <text>
        <t>Morsure — Ténèbres, physique
Puissance 60 · Précision 100 % · 25 PP
Mord méchamment l'ennemi et peut l'apeurer.</t>
      </text>
    </comment>
    <comment ref="C788" authorId="0" shapeId="0">
      <text>
        <t>Bulles d'O — Eau, spéciale
Puissance 65 · Précision 100 % · 20 PP
Envoie des bulles pouvant baisser la Vitesse.</t>
      </text>
    </comment>
    <comment ref="D788" authorId="0" shapeId="0">
      <text>
        <t>Morsure — Ténèbres, physique
Puissance 60 · Précision 100 % · 25 PP
Mord méchamment l'ennemi et peut l'apeurer.</t>
      </text>
    </comment>
    <comment ref="E788" authorId="0" shapeId="0">
      <text>
        <t>Méga-Sangsue — Plante, spéciale
Puissance 40 · Précision 100 % · 25 PP</t>
      </text>
    </comment>
    <comment ref="B789" authorId="0" shapeId="0">
      <text>
        <t>Jet-Pierres — Roche, physique
Puissance 50 · Précision 90 % · 15 PP
Envoie des cailloux pour frapper l'ennemi.</t>
      </text>
    </comment>
    <comment ref="C789" authorId="0" shapeId="0">
      <text>
        <t>Onde Boréale — Glace, spéciale
Puissance 65 · Précision 100 % · 20 PP
Envoie un rayon arc-en-ciel pouvant baisser
l'Attaque.</t>
      </text>
    </comment>
    <comment ref="D789" authorId="0" shapeId="0">
      <text>
        <t>Onde Folie — Spectre, statut
Précision 100 % · 10 PP
Un horrible rayon qui rend l'ennemi confus.</t>
      </text>
    </comment>
    <comment ref="E789" authorId="0" shapeId="0">
      <text>
        <t>Feuille Magik — Plante, spéciale
Puissance 60 · Ne rate jamais · 20 PP
Envoie des feuilles ne pouvant être esquivées.</t>
      </text>
    </comment>
    <comment ref="B790" authorId="0" shapeId="0">
      <text>
        <t>Grincement — Normal, statut
Précision 85 % · 40 PP
Cri strident qui baisse la Défense ennemie.</t>
      </text>
    </comment>
    <comment ref="C790" authorId="0" shapeId="0">
      <text>
        <t>Rafale Psy — Psy, spéciale
Puissance 65 · Précision 100 % · 20 PP
Étrange rayon pouvant rendre l'ennemi confus.</t>
      </text>
    </comment>
    <comment ref="D790" authorId="0" shapeId="0">
      <text>
        <t>Dard-Venin — Poison, physique
Puissance 30 · Précision 100 % · 35 PP
Une attaque de dards, etc., pouvant
empoisonner.</t>
      </text>
    </comment>
    <comment ref="E790" authorId="0" shapeId="0">
      <text>
        <t>Charge — Normal, physique
Puissance 40 · Précision 100 % · 35 PP
Charge l'ennemi avec un violent plaquage.</t>
      </text>
    </comment>
    <comment ref="B791" authorId="0" shapeId="0">
      <text>
        <t>Tempête de Sable — Roche, statut
10 PP
Une tempête de sable qui souffle pendant 5
tours.</t>
      </text>
    </comment>
    <comment ref="C791" authorId="0" shapeId="0">
      <text>
        <t>Verrouillage — Normal, statut
5 PP
Verrouille la cible pour ne pas la rater au
tour suivant.</t>
      </text>
    </comment>
    <comment ref="D791" authorId="0" shapeId="0">
      <text>
        <t>Tranch'Air — Vol, spéciale
Puissance 60 · Précision 95 % · 25 PP
Un vent tranchant. Taux de critiques élevé.</t>
      </text>
    </comment>
    <comment ref="E791" authorId="0" shapeId="0">
      <text>
        <t>Vampigraine — Plante, statut
Précision 90 % · 10 PP
Plante des graines pour voler des PV à chaque
tour.</t>
      </text>
    </comment>
    <comment ref="B793" authorId="0" shapeId="0">
      <text>
        <t>REPTINCEL — Feu
PV 58 · Att 64 · Déf 58
Att.Spé 80 · Déf.Spé 65 · Vit 80
Total 405
Talents : Brasier (caché : Force Soleil)</t>
      </text>
    </comment>
    <comment ref="B796" authorId="0" shapeId="0">
      <text>
        <t>Brasier
Augmente attaques Feu.</t>
      </text>
    </comment>
    <comment ref="B797" authorId="0" shapeId="0">
      <text>
        <t>Griffe Acier — Acier, physique
Puissance 50 · Précision 95 % · 35 PP
Attaque avec des griffes. Peut augmenter
l'Attaque.</t>
      </text>
    </comment>
    <comment ref="B798" authorId="0" shapeId="0">
      <text>
        <t>Brouillard — Normal, statut
Précision 100 % · 20 PP
Baisse la précision ennemie utilisant fumée,
encre, etc.</t>
      </text>
    </comment>
    <comment ref="B799" authorId="0" shapeId="0">
      <text>
        <t>Draco-Rage — Dragon, spéciale
Puissance 1 · Précision 100 % · 10 PP
Envoie des ondes de choc infligeant 40 PV de
dégâts.</t>
      </text>
    </comment>
    <comment ref="B800" authorId="0" shapeId="0">
      <text>
        <t>Grimace — Normal, statut
Précision 100 % · 10 PP
Effraie avec une grimace pour baisser la
Vitesse.</t>
      </text>
    </comment>
    <comment ref="B802" authorId="0" shapeId="0">
      <text>
        <t>SMOGO — Poison
PV 40 · Att 65 · Déf 95
Att.Spé 60 · Déf.Spé 45 · Vit 35
Total 340
Talents : Lévitation, Gaz Inhibiteur (caché :
  Puanteur)</t>
      </text>
    </comment>
    <comment ref="C802" authorId="0" shapeId="0">
      <text>
        <t>CANINOS — Feu
PV 55 · Att 70 · Déf 45
Att.Spé 70 · Déf.Spé 50 · Vit 60
Total 350
Talents : Intimidation, Torche (caché : Cœur
  Noble)</t>
      </text>
    </comment>
    <comment ref="B805" authorId="0" shapeId="0">
      <text>
        <t>Lévitation
Ignore les attaques Sol.</t>
      </text>
    </comment>
    <comment ref="C805" authorId="0" shapeId="0">
      <text>
        <t>Intimidation
Baisse l'Attaque ennemie.</t>
      </text>
    </comment>
    <comment ref="B806" authorId="0" shapeId="0">
      <text>
        <t>Brouillard — Normal, statut
Précision 100 % · 20 PP
Baisse la précision ennemie utilisant fumée,
encre, etc.</t>
      </text>
    </comment>
    <comment ref="C806" authorId="0" shapeId="0">
      <text>
        <t>Flair — Normal, statut
40 PP
Empêche l'ennemi d'augmenter son esquive.</t>
      </text>
    </comment>
    <comment ref="B807" authorId="0" shapeId="0">
      <text>
        <t>Assurance — Ténèbres, physique
Puissance 60 · Précision 100 % · 10 PP
Plus puissant si l'ennemi a déjà été blessé.</t>
      </text>
    </comment>
    <comment ref="C807" authorId="0" shapeId="0">
      <text>
        <t>Coup d'Main — Normal, statut
20 PP · Priorité +5
Améliore la puissance d'attaque du receveur.</t>
      </text>
    </comment>
    <comment ref="B808" authorId="0" shapeId="0">
      <text>
        <t>Bain de Smog — Poison, spéciale
Puissance 50 · Ne rate jamais · 15 PP
Une brume qui annule tous les changements.</t>
      </text>
    </comment>
    <comment ref="C808" authorId="0" shapeId="0">
      <text>
        <t>Roue de Feu — Feu, physique
Puissance 60 · Précision 100 % · 25 PP
Une charge enflammée qui peut brûler l'ennemi.</t>
      </text>
    </comment>
    <comment ref="B809" authorId="0" shapeId="0">
      <text>
        <t>Détritus — Poison, spéciale
Puissance 65 · Précision 100 % · 20 PP
Blesse en envoyant des détritus. Peut
empoisonner.</t>
      </text>
    </comment>
    <comment ref="C809" authorId="0" shapeId="0">
      <text>
        <t>Contre — Combat, physique
Puissance 1 · Précision 100 % · 15 PP
Inflige plus de dégâts si les PV du lanceur
sont faibles.</t>
      </text>
    </comment>
    <comment ref="B812" authorId="0" shapeId="0">
      <text>
        <t>POISSIRENE — Eau
PV 45 · Att 67 · Déf 60
Att.Spé 35 · Déf.Spé 50 · Vit 63
Total 320
Talents : Glissade, Ignifu-Voile (caché :
  Paratonnerre)</t>
      </text>
    </comment>
    <comment ref="C812" authorId="0" shapeId="0">
      <text>
        <t>POISSOROY — Eau
PV 80 · Att 92 · Déf 65
Att.Spé 65 · Déf.Spé 80 · Vit 68
Total 450
Talents : Glissade, Ignifu-Voile (caché :
  Paratonnerre)</t>
      </text>
    </comment>
    <comment ref="B815" authorId="0" shapeId="0">
      <text>
        <t>Glissade
Monte Vitesse s'il pleut.</t>
      </text>
    </comment>
    <comment ref="C815" authorId="0" shapeId="0">
      <text>
        <t>Glissade
Monte Vitesse s'il pleut.</t>
      </text>
    </comment>
    <comment ref="B816" authorId="0" shapeId="0">
      <text>
        <t>Koud'Korne — Normal, physique
Puissance 65 · Précision 100 % · 25 PP
Frappe l'ennemi d'un coup de corne pointue.</t>
      </text>
    </comment>
    <comment ref="C816" authorId="0" shapeId="0">
      <text>
        <t>Gigotage — Normal, physique
Puissance 1 · Précision 100 % · 15 PP
Inflige plus de dégâts si les PV du lanceur
sont faibles.</t>
      </text>
    </comment>
    <comment ref="B817" authorId="0" shapeId="0">
      <text>
        <t>Gigotage — Normal, physique
Puissance 1 · Précision 100 % · 15 PP
Inflige plus de dégâts si les PV du lanceur
sont faibles.</t>
      </text>
    </comment>
    <comment ref="C817" authorId="0" shapeId="0">
      <text>
        <t>Vibraqua — Eau, spéciale
Puissance 60 · Précision 100 % · 20 PP
Envoi des ondes aquatiques. Peut rendre
confus.</t>
      </text>
    </comment>
    <comment ref="B818" authorId="0" shapeId="0">
      <text>
        <t>Vibraqua — Eau, spéciale
Puissance 60 · Précision 100 % · 20 PP
Envoi des ondes aquatiques. Peut rendre
confus.</t>
      </text>
    </comment>
    <comment ref="C818" authorId="0" shapeId="0">
      <text>
        <t>Anneau Hydro — Eau, statut
20 PP
Un voile d'eau qui restaure des PV.</t>
      </text>
    </comment>
    <comment ref="B819" authorId="0" shapeId="0">
      <text>
        <t>Anneau Hydro — Eau, statut
20 PP
Un voile d'eau qui restaure des PV.</t>
      </text>
    </comment>
    <comment ref="C819" authorId="0" shapeId="0">
      <text>
        <t>Furie — Normal, physique
Puissance 15 · Précision 85 % · 20 PP
Frappe l'ennemi 2 à 5 fois avec une corne, un
bec, etc.</t>
      </text>
    </comment>
    <comment ref="B821" authorId="0" shapeId="0">
      <text>
        <t>STARI — Eau
PV 30 · Att 45 · Déf 55
Att.Spé 70 · Déf.Spé 55 · Vit 85
Total 340
Talents : Lumiattirance, Médic Nature (caché :
  Analyste)</t>
      </text>
    </comment>
    <comment ref="C821" authorId="0" shapeId="0">
      <text>
        <t>STAROSS — Eau / Psy
PV 60 · Att 75 · Déf 85
Att.Spé 100 · Déf.Spé 85 · Vit 115
Total 520
Talents : Lumiattirance, Médic Nature (caché :
  Analyste)</t>
      </text>
    </comment>
    <comment ref="B824" authorId="0" shapeId="0">
      <text>
        <t>Lumiattirance
Augmente les rencontres.</t>
      </text>
    </comment>
    <comment ref="C824" authorId="0" shapeId="0">
      <text>
        <t>Lumiattirance
Augmente les rencontres.</t>
      </text>
    </comment>
    <comment ref="B825" authorId="0" shapeId="0">
      <text>
        <t>Météores — Normal, spéciale
Puissance 60 · Ne rate jamais · 20 PP
Envoie des rayons en forme d'étoile. Touche
toujours.</t>
      </text>
    </comment>
    <comment ref="C825" authorId="0" shapeId="0">
      <text>
        <t>Pistolet à O — Eau, spéciale
Puissance 40 · Précision 100 % · 25 PP
Attaque l'ennemi en projetant de l'eau.</t>
      </text>
    </comment>
    <comment ref="B826" authorId="0" shapeId="0">
      <text>
        <t>Bulles d'O — Eau, spéciale
Puissance 65 · Précision 100 % · 20 PP
Envoie des bulles pouvant baisser la Vitesse.</t>
      </text>
    </comment>
    <comment ref="C826" authorId="0" shapeId="0">
      <text>
        <t>Tour Rapide — Normal, physique
Puissance 50 · Précision 100 % · 40 PP</t>
      </text>
    </comment>
    <comment ref="B827" authorId="0" shapeId="0">
      <text>
        <t>Camouflage — Normal, statut
20 PP
Change le type du Pokémon selon le lieu.</t>
      </text>
    </comment>
    <comment ref="C827" authorId="0" shapeId="0">
      <text>
        <t>Soin — Normal, statut
5 PP
Restaure jusqu'à la moitié des PV max du
lanceur.</t>
      </text>
    </comment>
    <comment ref="B828" authorId="0" shapeId="0">
      <text>
        <t>Gyroballe — Acier, physique
Puissance 1 · Précision 100 % · 5 PP
Une toupie qui blesse plus un ennemi rapide.</t>
      </text>
    </comment>
    <comment ref="C828" authorId="0" shapeId="0">
      <text>
        <t>Météores — Normal, spéciale
Puissance 60 · Ne rate jamais · 20 PP
Envoie des rayons en forme d'étoile. Touche
toujours.</t>
      </text>
    </comment>
    <comment ref="B830" authorId="0" shapeId="0">
      <text>
        <t>KOKIYAS — Eau
PV 30 · Att 65 · Déf 100
Att.Spé 45 · Déf.Spé 25 · Vit 40
Total 305
Talents : Coque Armure, Multi-Coups (caché :
  Envelocape)</t>
      </text>
    </comment>
    <comment ref="C830" authorId="0" shapeId="0">
      <text>
        <t>CRUSTABRI — Eau / Glace
PV 50 · Att 95 · Déf 180
Att.Spé 85 · Déf.Spé 45 · Vit 70
Total 525
Talents : Coque Armure, Multi-Coups (caché :
  Envelocape)</t>
      </text>
    </comment>
    <comment ref="B833" authorId="0" shapeId="0">
      <text>
        <t>Coque Armure
Bloque les coups critiques.</t>
      </text>
    </comment>
    <comment ref="C833" authorId="0" shapeId="0">
      <text>
        <t>Coque Armure
Bloque les coups critiques.</t>
      </text>
    </comment>
    <comment ref="B834" authorId="0" shapeId="0">
      <text>
        <t>Stalactite — Glace, physique
Puissance 25 · Précision 100 % · 30 PP
Mitraille l'ennemi avec 2 à 5 glaçons à la
suite.</t>
      </text>
    </comment>
    <comment ref="C834" authorId="0" shapeId="0">
      <text>
        <t>Abri — Normal, statut
10 PP · Priorité +4</t>
      </text>
    </comment>
    <comment ref="B835" authorId="0" shapeId="0">
      <text>
        <t>Abri — Normal, statut
10 PP · Priorité +4</t>
      </text>
    </comment>
    <comment ref="C835" authorId="0" shapeId="0">
      <text>
        <t>Onde Boréale — Glace, spéciale
Puissance 65 · Précision 100 % · 20 PP
Envoie un rayon arc-en-ciel pouvant baisser
l'Attaque.</t>
      </text>
    </comment>
    <comment ref="B836" authorId="0" shapeId="0">
      <text>
        <t>Groz'Yeux — Normal, statut
Précision 100 % · 30 PP
Lance un regard noir et baisse la Défense.</t>
      </text>
    </comment>
    <comment ref="C836" authorId="0" shapeId="0">
      <text>
        <t>Picanon — Normal, physique
Puissance 20 · Précision 100 % · 15 PP
Lance des pointes qui frappent 2 à 5 fois.</t>
      </text>
    </comment>
    <comment ref="B837" authorId="0" shapeId="0">
      <text>
        <t>Claquoir — Eau, physique
Puissance 35 · Précision 85 % · 15 PP</t>
      </text>
    </comment>
    <comment ref="C837" authorId="0" shapeId="0">
      <text>
        <t>Picots — Sol, statut
20 PP
Pointes blessant lors d'un changement
d'adversaire.</t>
      </text>
    </comment>
    <comment ref="B840" authorId="0" shapeId="0">
      <text>
        <t>TADMORV — Poison
PV 80 · Att 80 · Déf 50
Att.Spé 40 · Déf.Spé 50 · Vit 25
Total 325
Talents : Puanteur, Glu (caché : Toxitouche)</t>
      </text>
    </comment>
    <comment ref="B843" authorId="0" shapeId="0">
      <text>
        <t>Puanteur
Repousse Pokémon sauvage.</t>
      </text>
    </comment>
    <comment ref="B844" authorId="0" shapeId="0">
      <text>
        <t>Coud'Boue — Sol, spéciale
Puissance 20 · Précision 100 % · 10 PP
Envoie de la boue au visage pour baisser la
précision.</t>
      </text>
    </comment>
    <comment ref="B845" authorId="0" shapeId="0">
      <text>
        <t>Entrave — Normal, statut
Précision 100 % · 20 PP</t>
      </text>
    </comment>
    <comment ref="B846" authorId="0" shapeId="0">
      <text>
        <t>Détritus — Poison, spéciale
Puissance 65 · Précision 100 % · 20 PP
Blesse en envoyant des détritus. Peut
empoisonner.</t>
      </text>
    </comment>
    <comment ref="B847" authorId="0" shapeId="0">
      <text>
        <t>Boue-Bombe — Sol, spéciale
Puissance 65 · Précision 85 % · 10 PP
Une boule de boue qui baisse la Précision.</t>
      </text>
    </comment>
    <comment ref="B849" authorId="0" shapeId="0">
      <text>
        <t>GIRAFARIG — Normal / Psy
PV 70 · Att 80 · Déf 65
Att.Spé 90 · Déf.Spé 65 · Vit 85
Total 455
Talents : Attention, Matinal (caché :
  Herbivore)</t>
      </text>
    </comment>
    <comment ref="B852" authorId="0" shapeId="0">
      <text>
        <t>Attention
Empêche la peur.</t>
      </text>
    </comment>
    <comment ref="B853" authorId="0" shapeId="0">
      <text>
        <t>Assurance — Ténèbres, physique
Puissance 60 · Précision 100 % · 10 PP
Plus puissant si l'ennemi a déjà été blessé.</t>
      </text>
    </comment>
    <comment ref="B854" authorId="0" shapeId="0">
      <text>
        <t>Écrasement — Normal, physique
Puissance 65 · Précision 100 % · 20 PP
Écrase avec un énorme pied. Peut apeurer
l'ennemi.</t>
      </text>
    </comment>
    <comment ref="B855" authorId="0" shapeId="0">
      <text>
        <t>Rafale Psy — Psy, spéciale
Puissance 65 · Précision 100 % · 20 PP
Étrange rayon pouvant rendre l'ennemi confus.</t>
      </text>
    </comment>
    <comment ref="B856" authorId="0" shapeId="0">
      <text>
        <t>Hâte — Psy, statut
30 PP
Relaxation du corps pour booster la Vitesse.</t>
      </text>
    </comment>
    <comment ref="B859" authorId="0" shapeId="0">
      <text>
        <t>RACAILLOU — Roche / Sol
PV 40 · Att 80 · Déf 100
Att.Spé 30 · Déf.Spé 30 · Vit 20
Total 300
Talents : Tête de Roc, Fermeté (caché : Voile
  Sable)</t>
      </text>
    </comment>
    <comment ref="C859" authorId="0" shapeId="0">
      <text>
        <t>RACAILLOU — Roche / Sol
PV 40 · Att 80 · Déf 100
Att.Spé 30 · Déf.Spé 30 · Vit 20
Total 300
Talents : Tête de Roc, Fermeté (caché : Voile
  Sable)</t>
      </text>
    </comment>
    <comment ref="D859" authorId="0" shapeId="0">
      <text>
        <t>GRAVALANCH — Roche / Sol
PV 55 · Att 95 · Déf 115
Att.Spé 45 · Déf.Spé 45 · Vit 35
Total 390
Talents : Tête de Roc, Fermeté (caché : Voile
  Sable)</t>
      </text>
    </comment>
    <comment ref="B862" authorId="0" shapeId="0">
      <text>
        <t>Tête de Roc
Empêche dégâts du recul.</t>
      </text>
    </comment>
    <comment ref="C862" authorId="0" shapeId="0">
      <text>
        <t>Tête de Roc
Empêche dégâts du recul.</t>
      </text>
    </comment>
    <comment ref="D862" authorId="0" shapeId="0">
      <text>
        <t>Tête de Roc
Empêche dégâts du recul.</t>
      </text>
    </comment>
    <comment ref="B863" authorId="0" shapeId="0">
      <text>
        <t>Ampleur — Sol, physique
Puissance 1 · Précision 100 % · 30 PP
Un tremblement de terre d'intensité variable.</t>
      </text>
    </comment>
    <comment ref="C863" authorId="0" shapeId="0">
      <text>
        <t>Ampleur — Sol, physique
Puissance 1 · Précision 100 % · 30 PP
Un tremblement de terre d'intensité variable.</t>
      </text>
    </comment>
    <comment ref="D863" authorId="0" shapeId="0">
      <text>
        <t>Ampleur — Sol, physique
Puissance 1 · Précision 100 % · 30 PP
Un tremblement de terre d'intensité variable.</t>
      </text>
    </comment>
    <comment ref="B864" authorId="0" shapeId="0">
      <text>
        <t>Jet-Pierres — Roche, physique
Puissance 50 · Précision 90 % · 15 PP
Envoie des cailloux pour frapper l'ennemi.</t>
      </text>
    </comment>
    <comment ref="C864" authorId="0" shapeId="0">
      <text>
        <t>Jet-Pierres — Roche, physique
Puissance 50 · Précision 90 % · 15 PP
Envoie des cailloux pour frapper l'ennemi.</t>
      </text>
    </comment>
    <comment ref="D864" authorId="0" shapeId="0">
      <text>
        <t>Jet-Pierres — Roche, physique
Puissance 50 · Précision 90 % · 15 PP
Envoie des cailloux pour frapper l'ennemi.</t>
      </text>
    </comment>
    <comment ref="B865" authorId="0" shapeId="0">
      <text>
        <t>Anti-Air — Roche, physique
Puissance 50 · Précision 100 % · 15 PP
Une pierre qui fait tomber l'ennemi au sol.</t>
      </text>
    </comment>
    <comment ref="C865" authorId="0" shapeId="0">
      <text>
        <t>Anti-Air — Roche, physique
Puissance 50 · Précision 100 % · 15 PP
Une pierre qui fait tomber l'ennemi au sol.</t>
      </text>
    </comment>
    <comment ref="D865" authorId="0" shapeId="0">
      <text>
        <t>Anti-Air — Roche, physique
Puissance 50 · Précision 100 % · 15 PP
Une pierre qui fait tomber l'ennemi au sol.</t>
      </text>
    </comment>
    <comment ref="B866" authorId="0" shapeId="0">
      <text>
        <t>Piétisol — Sol, physique
Puissance 60 · Précision 100 % · 20 PP
Piétine le sol. Touche tout et baisse la Vit.</t>
      </text>
    </comment>
    <comment ref="C866" authorId="0" shapeId="0">
      <text>
        <t>Piétisol — Sol, physique
Puissance 60 · Précision 100 % · 20 PP
Piétine le sol. Touche tout et baisse la Vit.</t>
      </text>
    </comment>
    <comment ref="D866" authorId="0" shapeId="0">
      <text>
        <t>Piétisol — Sol, physique
Puissance 60 · Précision 100 % · 20 PP
Piétine le sol. Touche tout et baisse la Vit.</t>
      </text>
    </comment>
    <comment ref="B868" authorId="0" shapeId="0">
      <text>
        <t>RACAILLOU — Roche / Sol
PV 40 · Att 80 · Déf 100
Att.Spé 30 · Déf.Spé 30 · Vit 20
Total 300
Talents : Tête de Roc, Fermeté (caché : Voile
  Sable)</t>
      </text>
    </comment>
    <comment ref="C868" authorId="0" shapeId="0">
      <text>
        <t>MACHOC — Combat
PV 70 · Att 80 · Déf 50
Att.Spé 35 · Déf.Spé 35 · Vit 35
Total 305
Talents : Cran, Annule Garde (caché :
  Impassible)</t>
      </text>
    </comment>
    <comment ref="B871" authorId="0" shapeId="0">
      <text>
        <t>Tête de Roc
Empêche dégâts du recul.</t>
      </text>
    </comment>
    <comment ref="C871" authorId="0" shapeId="0">
      <text>
        <t>Cran
Monte l'Attaque si statut.</t>
      </text>
    </comment>
    <comment ref="B872" authorId="0" shapeId="0">
      <text>
        <t>Ampleur — Sol, physique
Puissance 1 · Précision 100 % · 30 PP
Un tremblement de terre d'intensité variable.</t>
      </text>
    </comment>
    <comment ref="C872" authorId="0" shapeId="0">
      <text>
        <t>Frappe Atlas — Combat, physique
Puissance 1 · Précision 100 % · 20 PP
Inflige des dégâts selon le niveau du lanceur.</t>
      </text>
    </comment>
    <comment ref="B873" authorId="0" shapeId="0">
      <text>
        <t>Jet-Pierres — Roche, physique
Puissance 50 · Précision 90 % · 15 PP
Envoie des cailloux pour frapper l'ennemi.</t>
      </text>
    </comment>
    <comment ref="C873" authorId="0" shapeId="0">
      <text>
        <t>Vendetta — Combat, physique
Puissance 60 · Précision 100 % · 10 PP ·
Priorité -4</t>
      </text>
    </comment>
    <comment ref="B874" authorId="0" shapeId="0">
      <text>
        <t>Anti-Air — Roche, physique
Puissance 50 · Précision 100 % · 15 PP
Une pierre qui fait tomber l'ennemi au sol.</t>
      </text>
    </comment>
    <comment ref="C874" authorId="0" shapeId="0">
      <text>
        <t>Sabotage — Ténèbres, physique
Puissance 65 · Précision 100 % · 20 PP
Frappe l'objet tenu pour le rendre
inutilisable.</t>
      </text>
    </comment>
    <comment ref="B875" authorId="0" shapeId="0">
      <text>
        <t>Piétisol — Sol, physique
Puissance 60 · Précision 100 % · 20 PP
Piétine le sol. Touche tout et baisse la Vit.</t>
      </text>
    </comment>
    <comment ref="C875" authorId="0" shapeId="0">
      <text>
        <t>Corps Perdu — Combat, physique
Puissance 70 · Ne rate jamais · 10 PP ·
Priorité -1
Attaque après l'ennemi, mais n'échoue jamais.</t>
      </text>
    </comment>
    <comment ref="B877" authorId="0" shapeId="0">
      <text>
        <t>OSSATUEUR — Sol
PV 60 · Att 80 · Déf 110
Att.Spé 50 · Déf.Spé 80 · Vit 45
Total 425
Talents : Tête de Roc, Paratonnerre (caché :
  Armurbaston)</t>
      </text>
    </comment>
    <comment ref="C877" authorId="0" shapeId="0">
      <text>
        <t>OSSATUEUR — Sol
PV 60 · Att 80 · Déf 110
Att.Spé 50 · Déf.Spé 80 · Vit 45
Total 425
Talents : Tête de Roc, Paratonnerre (caché :
  Armurbaston)</t>
      </text>
    </comment>
    <comment ref="B880" authorId="0" shapeId="0">
      <text>
        <t>Tête de Roc
Empêche dégâts du recul.</t>
      </text>
    </comment>
    <comment ref="C880" authorId="0" shapeId="0">
      <text>
        <t>Tête de Roc
Empêche dégâts du recul.</t>
      </text>
    </comment>
    <comment ref="B881" authorId="0" shapeId="0">
      <text>
        <t>Groz'Yeux — Normal, statut
Précision 100 % · 30 PP
Lance un regard noir et baisse la Défense.</t>
      </text>
    </comment>
    <comment ref="C881" authorId="0" shapeId="0">
      <text>
        <t>Groz'Yeux — Normal, statut
Précision 100 % · 30 PP
Lance un regard noir et baisse la Défense.</t>
      </text>
    </comment>
    <comment ref="B882" authorId="0" shapeId="0">
      <text>
        <t>Puissance — Normal, statut
30 PP
Concentration pour booster le taux de
critiques.</t>
      </text>
    </comment>
    <comment ref="C882" authorId="0" shapeId="0">
      <text>
        <t>Puissance — Normal, statut
30 PP
Concentration pour booster le taux de
critiques.</t>
      </text>
    </comment>
    <comment ref="B883" authorId="0" shapeId="0">
      <text>
        <t>Osmerang — Sol, physique
Puissance 50 · Précision 90 % · 10 PP
Lance un boomerang en os qui frappe deux fois.</t>
      </text>
    </comment>
    <comment ref="C883" authorId="0" shapeId="0">
      <text>
        <t>Osmerang — Sol, physique
Puissance 50 · Précision 90 % · 10 PP
Lance un boomerang en os qui frappe deux fois.</t>
      </text>
    </comment>
    <comment ref="B884" authorId="0" shapeId="0">
      <text>
        <t>Frénésie — Normal, physique
Puissance 20 · Précision 100 % · 20 PP
Augmente l'Attaque du lanceur à chaque coup
reçu.</t>
      </text>
    </comment>
    <comment ref="C884" authorId="0" shapeId="0">
      <text>
        <t>Frénésie — Normal, physique
Puissance 20 · Précision 100 % · 20 PP
Augmente l'Attaque du lanceur à chaque coup
reçu.</t>
      </text>
    </comment>
    <comment ref="B886" authorId="0" shapeId="0">
      <text>
        <t>KANGOUREX — Normal
PV 105 · Att 95 · Déf 80
Att.Spé 40 · Déf.Spé 80 · Vit 90
Total 490
Talents : Matinal, Querelleur (caché :
  Attention)</t>
      </text>
    </comment>
    <comment ref="B889" authorId="0" shapeId="0">
      <text>
        <t>Matinal
Se réveille rapidement.</t>
      </text>
    </comment>
    <comment ref="B890" authorId="0" shapeId="0">
      <text>
        <t>Morsure — Ténèbres, physique
Puissance 60 · Précision 100 % · 25 PP
Mord méchamment l'ennemi et peut l'apeurer.</t>
      </text>
    </comment>
    <comment ref="B891" authorId="0" shapeId="0">
      <text>
        <t>Coup Double — Normal, physique
Puissance 35 · Précision 90 % · 10 PP
Frappe deux fois avec la queue ou autre.</t>
      </text>
    </comment>
    <comment ref="B892" authorId="0" shapeId="0">
      <text>
        <t>Frénésie — Normal, physique
Puissance 20 · Précision 100 % · 20 PP
Augmente l'Attaque du lanceur à chaque coup
reçu.</t>
      </text>
    </comment>
    <comment ref="B893" authorId="0" shapeId="0">
      <text>
        <t>Ultimapoing — Normal, physique
Puissance 80 · Précision 85 % · 20 PP
Un coup de poing d'une puissance incroyable.</t>
      </text>
    </comment>
    <comment ref="B896" authorId="0" shapeId="0">
      <text>
        <t>SALAMECHE — Feu
PV 39 · Att 52 · Déf 43
Att.Spé 60 · Déf.Spé 50 · Vit 65
Total 309
Talents : Brasier (caché : Force Soleil)</t>
      </text>
    </comment>
    <comment ref="C896" authorId="0" shapeId="0">
      <text>
        <t>CARAPUCE — Eau
PV 44 · Att 48 · Déf 65
Att.Spé 50 · Déf.Spé 64 · Vit 43
Total 314
Talents : Torrent (caché : Cuvette)</t>
      </text>
    </comment>
    <comment ref="D896" authorId="0" shapeId="0">
      <text>
        <t>BULBIZARRE — Plante / Poison
PV 45 · Att 49 · Déf 49
Att.Spé 65 · Déf.Spé 65 · Vit 45
Total 318
Talents : Engrais (caché : Chlorophylle)</t>
      </text>
    </comment>
    <comment ref="B899" authorId="0" shapeId="0">
      <text>
        <t>Brasier
Augmente attaques Feu.</t>
      </text>
    </comment>
    <comment ref="C899" authorId="0" shapeId="0">
      <text>
        <t>Torrent
Augmente attaques Eau.</t>
      </text>
    </comment>
    <comment ref="D899" authorId="0" shapeId="0">
      <text>
        <t>Engrais
Augmente attaques Plante.</t>
      </text>
    </comment>
    <comment ref="B900" authorId="0" shapeId="0">
      <text>
        <t>Brouillard — Normal, statut
Précision 100 % · 20 PP
Baisse la précision ennemie utilisant fumée,
encre, etc.</t>
      </text>
    </comment>
    <comment ref="C900" authorId="0" shapeId="0">
      <text>
        <t>Morsure — Ténèbres, physique
Puissance 60 · Précision 100 % · 25 PP
Mord méchamment l'ennemi et peut l'apeurer.</t>
      </text>
    </comment>
    <comment ref="D900" authorId="0" shapeId="0">
      <text>
        <t>Bélier — Normal, physique
Puissance 90 · Précision 85 % · 20 PP
Une charge violente qui blesse aussi le
lanceur.</t>
      </text>
    </comment>
    <comment ref="B901" authorId="0" shapeId="0">
      <text>
        <t>Draco-Rage — Dragon, spéciale
Puissance 1 · Précision 100 % · 10 PP
Envoie des ondes de choc infligeant 40 PV de
dégâts.</t>
      </text>
    </comment>
    <comment ref="C901" authorId="0" shapeId="0">
      <text>
        <t>Tour Rapide — Normal, physique
Puissance 50 · Précision 100 % · 40 PP</t>
      </text>
    </comment>
    <comment ref="D901" authorId="0" shapeId="0">
      <text>
        <t>Tranch'Herbe — Plante, physique
Puissance 55 · Précision 95 % · 25 PP
Tranche avec des feuilles. Taux de critiques
élevé.</t>
      </text>
    </comment>
    <comment ref="B902" authorId="0" shapeId="0">
      <text>
        <t>Grimace — Normal, statut
Précision 100 % · 10 PP
Effraie avec une grimace pour baisser la
Vitesse.</t>
      </text>
    </comment>
    <comment ref="C902" authorId="0" shapeId="0">
      <text>
        <t>Abri — Normal, statut
10 PP · Priorité +4</t>
      </text>
    </comment>
    <comment ref="D902" authorId="0" shapeId="0">
      <text>
        <t>Doux Parfum — Normal, statut
Précision 100 % · 20 PP</t>
      </text>
    </comment>
    <comment ref="B903" authorId="0" shapeId="0">
      <text>
        <t>Crocs Feu — Feu, physique
Puissance 65 · Précision 95 % · 15 PP
Peut apeurer l'ennemi ou le brûler.</t>
      </text>
    </comment>
    <comment ref="C903" authorId="0" shapeId="0">
      <text>
        <t>Vibraqua — Eau, spéciale
Puissance 60 · Précision 100 % · 20 PP
Envoi des ondes aquatiques. Peut rendre
confus.</t>
      </text>
    </comment>
    <comment ref="D903" authorId="0" shapeId="0">
      <text>
        <t>Croissance — Normal, statut
20 PP</t>
      </text>
    </comment>
    <comment ref="B905" authorId="0" shapeId="0">
      <text>
        <t>EVOLI — Normal
PV 55 · Att 55 · Déf 50
Att.Spé 45 · Déf.Spé 65 · Vit 55
Total 325
Talents : Fuite, Adaptabilité (caché :
  Anticipation)</t>
      </text>
    </comment>
    <comment ref="C905" authorId="0" shapeId="0">
      <text>
        <t>PYROLI — Feu
PV 65 · Att 130 · Déf 60
Att.Spé 95 · Déf.Spé 110 · Vit 65
Total 525
Talents : Torche, Torche (caché : Cran)</t>
      </text>
    </comment>
    <comment ref="D905" authorId="0" shapeId="0">
      <text>
        <t>AQUALI — Eau
PV 130 · Att 65 · Déf 60
Att.Spé 110 · Déf.Spé 95 · Vit 65
Total 525
Talents : Absorbe-Eau, Absorbe-Eau (caché :
  Hydratation)</t>
      </text>
    </comment>
    <comment ref="E905" authorId="0" shapeId="0">
      <text>
        <t>VOLTALI — Électrik
PV 65 · Att 65 · Déf 60
Att.Spé 110 · Déf.Spé 95 · Vit 130
Total 525
Talents : Absorbe-Volt, Absorbe-Volt (caché :
  Pied Véloce)</t>
      </text>
    </comment>
    <comment ref="B908" authorId="0" shapeId="0">
      <text>
        <t>Fuite
Améliore chances de fuite.</t>
      </text>
    </comment>
    <comment ref="C908" authorId="0" shapeId="0">
      <text>
        <t>Torche
Puissance monte si brûlé.</t>
      </text>
    </comment>
    <comment ref="D908" authorId="0" shapeId="0">
      <text>
        <t>Absorbe-Eau
Change l'eau en PV.</t>
      </text>
    </comment>
    <comment ref="E908" authorId="0" shapeId="0">
      <text>
        <t>Absorbe-Volt
Change l'électricité en PV.</t>
      </text>
    </comment>
    <comment ref="B909" authorId="0" shapeId="0">
      <text>
        <t>Morsure — Ténèbres, physique
Puissance 60 · Précision 100 % · 25 PP
Mord méchamment l'ennemi et peut l'apeurer.</t>
      </text>
    </comment>
    <comment ref="C909" authorId="0" shapeId="0">
      <text>
        <t>Regard Touchant — Fée, statut
Précision 100 % · 30 PP · Priorité +1
Baisse l'Attaque ennemie avant qu'elle agisse.</t>
      </text>
    </comment>
    <comment ref="D909" authorId="0" shapeId="0">
      <text>
        <t>Regard Touchant — Fée, statut
Précision 100 % · 30 PP · Priorité +1
Baisse l'Attaque ennemie avant qu'elle agisse.</t>
      </text>
    </comment>
    <comment ref="E909" authorId="0" shapeId="0">
      <text>
        <t>Vive-Attaque — Normal, physique
Puissance 40 · Précision 100 % · 30 PP ·
Priorité +1
Attaque fulgurante qui permet de frapper
d'abord.</t>
      </text>
    </comment>
    <comment ref="B910" authorId="0" shapeId="0">
      <text>
        <t>Météores — Normal, spéciale
Puissance 60 · Ne rate jamais · 20 PP
Envoie des rayons en forme d'étoile. Touche
toujours.</t>
      </text>
    </comment>
    <comment ref="C910" authorId="0" shapeId="0">
      <text>
        <t>Vive-Attaque — Normal, physique
Puissance 40 · Précision 100 % · 30 PP ·
Priorité +1
Attaque fulgurante qui permet de frapper
d'abord.</t>
      </text>
    </comment>
    <comment ref="D910" authorId="0" shapeId="0">
      <text>
        <t>Vive-Attaque — Normal, physique
Puissance 40 · Précision 100 % · 30 PP ·
Priorité +1
Attaque fulgurante qui permet de frapper
d'abord.</t>
      </text>
    </comment>
    <comment ref="E910" authorId="0" shapeId="0">
      <text>
        <t>Double Pied — Combat, physique
Puissance 30 · Précision 100 % · 30 PP
Un double coup de pied qui frappe l'ennemi
deux fois.</t>
      </text>
    </comment>
    <comment ref="B911" authorId="0" shapeId="0">
      <text>
        <t>Régénération — Normal, statut
20 PP
Soigne un empoisonnement, une paralysie ou une
brûlure.</t>
      </text>
    </comment>
    <comment ref="C911" authorId="0" shapeId="0">
      <text>
        <t>Morsure — Ténèbres, physique
Puissance 60 · Précision 100 % · 25 PP
Mord méchamment l'ennemi et peut l'apeurer.</t>
      </text>
    </comment>
    <comment ref="D911" authorId="0" shapeId="0">
      <text>
        <t>Vibraqua — Eau, spéciale
Puissance 60 · Précision 100 % · 20 PP
Envoi des ondes aquatiques. Peut rendre
confus.</t>
      </text>
    </comment>
    <comment ref="E911" authorId="0" shapeId="0">
      <text>
        <t>Crocs Éclair — Électrik, physique
Puissance 65 · Précision 95 % · 15 PP
Peut apeurer l'ennemi ou le paralyser.</t>
      </text>
    </comment>
    <comment ref="B912" authorId="0" shapeId="0">
      <text>
        <t>Bélier — Normal, physique
Puissance 90 · Précision 85 % · 20 PP
Une charge violente qui blesse aussi le
lanceur.</t>
      </text>
    </comment>
    <comment ref="C912" authorId="0" shapeId="0">
      <text>
        <t>Crocs Feu — Feu, physique
Puissance 65 · Précision 95 % · 15 PP
Peut apeurer l'ennemi ou le brûler.</t>
      </text>
    </comment>
    <comment ref="D912" authorId="0" shapeId="0">
      <text>
        <t>Onde Boréale — Glace, spéciale
Puissance 65 · Précision 100 % · 20 PP
Envoie un rayon arc-en-ciel pouvant baisser
l'Attaque.</t>
      </text>
    </comment>
    <comment ref="E912" authorId="0" shapeId="0">
      <text>
        <t>Dard-Nuée — Insecte, physique
Puissance 25 · Précision 95 % · 20 PP
Envoie des dards qui frappent 2 à 5 fois.</t>
      </text>
    </comment>
    <comment ref="B914" authorId="0" shapeId="0">
      <text>
        <t>TETARTE — Eau
PV 65 · Att 65 · Déf 65
Att.Spé 50 · Déf.Spé 50 · Vit 90
Total 385
Talents : Absorbe-Eau, Moiteur (caché :
  Glissade)</t>
      </text>
    </comment>
    <comment ref="B917" authorId="0" shapeId="0">
      <text>
        <t>Absorbe-Eau
Change l'eau en PV.</t>
      </text>
    </comment>
    <comment ref="B918" authorId="0" shapeId="0">
      <text>
        <t>Torgnoles — Normal, physique
Puissance 15 · Précision 85 % · 10 PP
Gifle rapidement l'ennemi de 2 à 5 fois.</t>
      </text>
    </comment>
    <comment ref="B919" authorId="0" shapeId="0">
      <text>
        <t>Danse Pluie — Eau, statut
5 PP
Améliore les attaques Eau pendant 5 tours.</t>
      </text>
    </comment>
    <comment ref="B920" authorId="0" shapeId="0">
      <text>
        <t>Plaquage — Normal, physique
Puissance 85 · Précision 100 % · 15 PP
Une attaque en charge. Peut paralyser
l'ennemi.</t>
      </text>
    </comment>
    <comment ref="B921" authorId="0" shapeId="0">
      <text>
        <t>Bulles d'O — Eau, spéciale
Puissance 65 · Précision 100 % · 20 PP
Envoie des bulles pouvant baisser la Vitesse.</t>
      </text>
    </comment>
    <comment ref="B924" authorId="0" shapeId="0">
      <text>
        <t>DODUO — Normal / Vol
PV 35 · Att 85 · Déf 45
Att.Spé 35 · Déf.Spé 35 · Vit 75
Total 310
Talents : Fuite, Matinal (caché : Pieds
  Confus)</t>
      </text>
    </comment>
    <comment ref="C924" authorId="0" shapeId="0">
      <text>
        <t>DODUO — Normal / Vol
PV 35 · Att 85 · Déf 45
Att.Spé 35 · Déf.Spé 35 · Vit 75
Total 310
Talents : Fuite, Matinal (caché : Pieds
  Confus)</t>
      </text>
    </comment>
    <comment ref="B927" authorId="0" shapeId="0">
      <text>
        <t>Fuite
Améliore chances de fuite.</t>
      </text>
    </comment>
    <comment ref="C927" authorId="0" shapeId="0">
      <text>
        <t>Fuite
Améliore chances de fuite.</t>
      </text>
    </comment>
    <comment ref="B928" authorId="0" shapeId="0">
      <text>
        <t>Furie — Normal, physique
Puissance 15 · Précision 85 % · 20 PP
Frappe l'ennemi 2 à 5 fois avec une corne, un
bec, etc.</t>
      </text>
    </comment>
    <comment ref="C928" authorId="0" shapeId="0">
      <text>
        <t>Furie — Normal, physique
Puissance 15 · Précision 85 % · 20 PP
Frappe l'ennemi 2 à 5 fois avec une corne, un
bec, etc.</t>
      </text>
    </comment>
    <comment ref="B929" authorId="0" shapeId="0">
      <text>
        <t>Poursuite — Ténèbres, physique
Puissance 40 · Précision 100 % · 20 PP
Inflige de sérieux dégâts lorsque l'ennemi
change.</t>
      </text>
    </comment>
    <comment ref="C929" authorId="0" shapeId="0">
      <text>
        <t>Poursuite — Ténèbres, physique
Puissance 40 · Précision 100 % · 20 PP
Inflige de sérieux dégâts lorsque l'ennemi
change.</t>
      </text>
    </comment>
    <comment ref="B930" authorId="0" shapeId="0">
      <text>
        <t>Picore — Vol, physique
Puissance 60 · Précision 100 % · 20 PP</t>
      </text>
    </comment>
    <comment ref="C930" authorId="0" shapeId="0">
      <text>
        <t>Picore — Vol, physique
Puissance 60 · Précision 100 % · 20 PP</t>
      </text>
    </comment>
    <comment ref="B931" authorId="0" shapeId="0">
      <text>
        <t>Coup Double — Normal, physique
Puissance 35 · Précision 90 % · 10 PP
Frappe deux fois avec la queue ou autre.</t>
      </text>
    </comment>
    <comment ref="C931" authorId="0" shapeId="0">
      <text>
        <t>Coup Double — Normal, physique
Puissance 35 · Précision 90 % · 10 PP
Frappe deux fois avec la queue ou autre.</t>
      </text>
    </comment>
    <comment ref="B933" authorId="0" shapeId="0">
      <text>
        <t>M. MIME — Psy / Fée
PV 40 · Att 45 · Déf 65
Att.Spé 100 · Déf.Spé 120 · Vit 90
Total 460
Talents : Anti-Bruit, Filtre (caché :
  Technicien)</t>
      </text>
    </comment>
    <comment ref="C933" authorId="0" shapeId="0">
      <text>
        <t>MAGNETI — Électrik
PV 25 · Att 35 · Déf 70
Att.Spé 95 · Déf.Spé 55 · Vit 45
Total 325
Talents : Magnépiège, Fermeté (caché :
  Analyste)</t>
      </text>
    </comment>
    <comment ref="B936" authorId="0" shapeId="0">
      <text>
        <t>Anti-Bruit
Évite les coups sonores.</t>
      </text>
    </comment>
    <comment ref="C936" authorId="0" shapeId="0">
      <text>
        <t>Magnépiège
Piège les Pokémon Acier.</t>
      </text>
    </comment>
    <comment ref="B937" authorId="0" shapeId="0">
      <text>
        <t>Vague Psy — Psy, spéciale
Puissance 1 · Précision 100 % · 15 PP
Envoie une onde Psy d'intensité variable.</t>
      </text>
    </comment>
    <comment ref="C937" authorId="0" shapeId="0">
      <text>
        <t>Bombe Aimant — Acier, physique
Puissance 60 · Ne rate jamais · 20 PP
Un aimant qui frappe à coup sûr.</t>
      </text>
    </comment>
    <comment ref="B938" authorId="0" shapeId="0">
      <text>
        <t>Encore — Normal, statut
Précision 100 % · 5 PP
Oblige l'ennemi à répéter sa dernière capacité
3 tours.</t>
      </text>
    </comment>
    <comment ref="C938" authorId="0" shapeId="0">
      <text>
        <t>Mur Lumière — Psy, statut
30 PP
Crée un mur lumineux et réduit les dégâts
d'Atq. Spé.</t>
      </text>
    </comment>
    <comment ref="B939" authorId="0" shapeId="0">
      <text>
        <t>Mur Lumière — Psy, statut
30 PP
Crée un mur lumineux et réduit les dégâts
d'Atq. Spé.</t>
      </text>
    </comment>
    <comment ref="C939" authorId="0" shapeId="0">
      <text>
        <t>Sonic Boom — Normal, spéciale
Puissance 1 · Précision 90 % · 20 PP
Envoie des ondes de choc infligeant 20 PV de
dégâts.</t>
      </text>
    </comment>
    <comment ref="B940" authorId="0" shapeId="0">
      <text>
        <t>Protection — Psy, statut
20 PP
Crée un mur lumineux. Affaiblit att.
physiques.</t>
      </text>
    </comment>
    <comment ref="C940" authorId="0" shapeId="0">
      <text>
        <t>Étincelle — Électrik, physique
Puissance 65 · Précision 100 % · 20 PP
Une charge électrique qui peut paralyser
l'ennemi.</t>
      </text>
    </comment>
    <comment ref="B942" authorId="0" shapeId="0">
      <text>
        <t>LAINERGIE — Électrik
PV 70 · Att 55 · Déf 55
Att.Spé 80 · Déf.Spé 60 · Vit 45
Total 365
Talents : Statik (caché : Plus)</t>
      </text>
    </comment>
    <comment ref="C942" authorId="0" shapeId="0">
      <text>
        <t>PSYKOKWAK — Eau
PV 50 · Att 52 · Déf 48
Att.Spé 65 · Déf.Spé 50 · Vit 55
Total 320
Talents : Moiteur, Ciel Gris (caché :
  Glissade)</t>
      </text>
    </comment>
    <comment ref="B945" authorId="0" shapeId="0">
      <text>
        <t>Statik
Paralyse au toucher.</t>
      </text>
    </comment>
    <comment ref="C945" authorId="0" shapeId="0">
      <text>
        <t>Moiteur
Empêche auto-destruction.</t>
      </text>
    </comment>
    <comment ref="B946" authorId="0" shapeId="0">
      <text>
        <t>Cage Éclair — Électrik, statut
Précision 90 % · 20 PP
Un faible choc électrique qui paralyse
l'ennemi.</t>
      </text>
    </comment>
    <comment ref="C946" authorId="0" shapeId="0">
      <text>
        <t>Choc Mental — Psy, spéciale
Puissance 50 · Précision 100 % · 25 PP
Une attaque Psy pouvant rendre l'ennemi
confus.</t>
      </text>
    </comment>
    <comment ref="B947" authorId="0" shapeId="0">
      <text>
        <t>Éclair — Électrik, spéciale
Puissance 40 · Précision 100 % · 30 PP
Une attaque électrique pouvant paralyser
l'ennemi.</t>
      </text>
    </comment>
    <comment ref="C947" authorId="0" shapeId="0">
      <text>
        <t>Combo-Griffe — Normal, physique
Puissance 18 · Précision 80 % · 15 PP
Ecorche l'ennemi avec des griffes, etc., de 2
à 5 fois.</t>
      </text>
    </comment>
    <comment ref="B948" authorId="0" shapeId="0">
      <text>
        <t>Spore Coton — Plante, statut
Précision 100 % · 40 PP</t>
      </text>
    </comment>
    <comment ref="C948" authorId="0" shapeId="0">
      <text>
        <t>Vibraqua — Eau, spéciale
Puissance 60 · Précision 100 % · 20 PP
Envoi des ondes aquatiques. Peut rendre
confus.</t>
      </text>
    </comment>
    <comment ref="B949" authorId="0" shapeId="0">
      <text>
        <t>Chargeur — Électrik, statut
20 PP
Accumule de l'énergie pour la prochaine
capacité Électrik.</t>
      </text>
    </comment>
    <comment ref="C949" authorId="0" shapeId="0">
      <text>
        <t>Entrave — Normal, statut
Précision 100 % · 20 PP</t>
      </text>
    </comment>
    <comment ref="B951" authorId="0" shapeId="0">
      <text>
        <t>FLORAVOL — Plante / Vol
PV 55 · Att 45 · Déf 50
Att.Spé 45 · Déf.Spé 65 · Vit 80
Total 340
Talents : Chlorophylle, Feuille Garde (caché :
  Infiltration)</t>
      </text>
    </comment>
    <comment ref="C951" authorId="0" shapeId="0">
      <text>
        <t>ECREMEUH — Normal
PV 95 · Att 80 · Déf 105
Att.Spé 40 · Déf.Spé 70 · Vit 100
Total 490
Talents : Isograisse, Querelleur (caché :
  Herbivore)</t>
      </text>
    </comment>
    <comment ref="B954" authorId="0" shapeId="0">
      <text>
        <t>Chlorophylle
Augmente Vitesse au soleil.</t>
      </text>
    </comment>
    <comment ref="C954" authorId="0" shapeId="0">
      <text>
        <t>Isograisse
Contre chaleur et froid.</t>
      </text>
    </comment>
    <comment ref="B955" authorId="0" shapeId="0">
      <text>
        <t>Poudre Toxik — Poison, statut
Précision 75 % · 35 PP
Répand une poudre toxique pouvant empoisonner.</t>
      </text>
    </comment>
    <comment ref="C955" authorId="0" shapeId="0">
      <text>
        <t>Écrasement — Normal, physique
Puissance 65 · Précision 100 % · 20 PP
Écrase avec un énorme pied. Peut apeurer
l'ennemi.</t>
      </text>
    </comment>
    <comment ref="B956" authorId="0" shapeId="0">
      <text>
        <t>Para-Spore — Plante, statut
Précision 75 % · 30 PP
Répand une poudre pouvant paralyser l'ennemi.</t>
      </text>
    </comment>
    <comment ref="C956" authorId="0" shapeId="0">
      <text>
        <t>Lait à Boire — Normal, statut
5 PP
Regagne jusqu'à la moitié des PV max du
lanceur.</t>
      </text>
    </comment>
    <comment ref="B957" authorId="0" shapeId="0">
      <text>
        <t>Poudre Dodo — Plante, statut
Précision 75 % · 15 PP
Répand une poudre pouvant endormir l'ennemi.</t>
      </text>
    </comment>
    <comment ref="C957" authorId="0" shapeId="0">
      <text>
        <t>Patience — Normal, physique
Puissance 1 · Ne rate jamais · 10 PP ·
Priorité +1
Encaisse les attaques sur 2 tours et renvoie
le double.</t>
      </text>
    </comment>
    <comment ref="B958" authorId="0" shapeId="0">
      <text>
        <t>Balle Graine — Plante, physique
Puissance 25 · Précision 100 % · 30 PP
Mitraille l'ennemi avec 2 à 5 graines à la
suite.</t>
      </text>
    </comment>
    <comment ref="C958" authorId="0" shapeId="0">
      <text>
        <t>Roulade — Roche, physique
Puissance 30 · Précision 90 % · 20 PP
Une attaque sur 5 tours, de plus en plus
puissante.</t>
      </text>
    </comment>
    <comment ref="B960" authorId="0" shapeId="0">
      <text>
        <t>MARAISTE — Eau / Sol
PV 95 · Att 85 · Déf 85
Att.Spé 65 · Déf.Spé 65 · Vit 35
Total 430
Talents : Moiteur, Absorbe-Eau (caché :
  Inconscient)</t>
      </text>
    </comment>
    <comment ref="B963" authorId="0" shapeId="0">
      <text>
        <t>Moiteur
Empêche auto-destruction.</t>
      </text>
    </comment>
    <comment ref="B964" authorId="0" shapeId="0">
      <text>
        <t>Lance-Boue — Sol, statut
15 PP
Couvre le lanceur de boue. Augmente résist.
électr.</t>
      </text>
    </comment>
    <comment ref="B965" authorId="0" shapeId="0">
      <text>
        <t>Tir de Boue — Sol, spéciale
Puissance 55 · Précision 95 % · 15 PP
Envoie de la boue à l'ennemi pour réduire sa
Vitesse.</t>
      </text>
    </comment>
    <comment ref="B966" authorId="0" shapeId="0">
      <text>
        <t>Souplesse — Normal, physique
Puissance 80 · Précision 75 % · 20 PP
Fouette l'ennemi avec la queue, une liane,
etc.</t>
      </text>
    </comment>
    <comment ref="B967" authorId="0" shapeId="0">
      <text>
        <t>Boue-Bombe — Sol, spéciale
Puissance 65 · Précision 85 % · 10 PP
Une boule de boue qui baisse la Précision.</t>
      </text>
    </comment>
    <comment ref="B969" authorId="0" shapeId="0">
      <text>
        <t>CORAYON — Eau / Roche
PV 65 · Att 55 · Déf 95
Att.Spé 65 · Déf.Spé 95 · Vit 35
Total 410
Talents : Agitation, Médic Nature (caché :
  Régé-Force)</t>
      </text>
    </comment>
    <comment ref="B972" authorId="0" shapeId="0">
      <text>
        <t>Agitation
Substitue préc. par puiss.</t>
      </text>
    </comment>
    <comment ref="B973" authorId="0" shapeId="0">
      <text>
        <t>Bulles d'O — Eau, spéciale
Puissance 65 · Précision 100 % · 20 PP
Envoie des bulles pouvant baisser la Vitesse.</t>
      </text>
    </comment>
    <comment ref="B974" authorId="0" shapeId="0">
      <text>
        <t>Régénération — Normal, statut
20 PP
Soigne un empoisonnement, une paralysie ou une
brûlure.</t>
      </text>
    </comment>
    <comment ref="B975" authorId="0" shapeId="0">
      <text>
        <t>Pouvoir Antique — Roche, spéciale
Puissance 60 · Précision 100 % · 5 PP
Une attaque pouvant augmenter toutes les
stats.</t>
      </text>
    </comment>
    <comment ref="B976" authorId="0" shapeId="0">
      <text>
        <t>Picanon — Normal, physique
Puissance 20 · Précision 100 % · 15 PP
Lance des pointes qui frappent 2 à 5 fois.</t>
      </text>
    </comment>
    <comment ref="B979" authorId="0" shapeId="0">
      <text>
        <t>TETARTE — Eau
PV 65 · Att 65 · Déf 65
Att.Spé 50 · Déf.Spé 50 · Vit 90
Total 385
Talents : Absorbe-Eau, Moiteur (caché :
  Glissade)</t>
      </text>
    </comment>
    <comment ref="C979" authorId="0" shapeId="0">
      <text>
        <t>TAUROS — Normal
PV 75 · Att 100 · Déf 95
Att.Spé 40 · Déf.Spé 70 · Vit 110
Total 490
Talents : Intimidation, Colérique (caché :
  Sans Limite)</t>
      </text>
    </comment>
    <comment ref="B982" authorId="0" shapeId="0">
      <text>
        <t>Absorbe-Eau
Change l'eau en PV.</t>
      </text>
    </comment>
    <comment ref="C982" authorId="0" shapeId="0">
      <text>
        <t>Intimidation
Baisse l'Attaque ennemie.</t>
      </text>
    </comment>
    <comment ref="B983" authorId="0" shapeId="0">
      <text>
        <t>Hypnose — Psy, statut
Précision 60 % · 20 PP
Une attaque hypnotique pouvant endormir
l'ennemi.</t>
      </text>
    </comment>
    <comment ref="C983" authorId="0" shapeId="0">
      <text>
        <t>Koud'Korne — Normal, physique
Puissance 65 · Précision 100 % · 25 PP
Frappe l'ennemi d'un coup de corne pointue.</t>
      </text>
    </comment>
    <comment ref="B984" authorId="0" shapeId="0">
      <text>
        <t>Écume — Eau, spéciale
Puissance 40 · Précision 100 % · 30 PP
Une attaque de bulles pouvant baisser la
Vitesse.</t>
      </text>
    </comment>
    <comment ref="C984" authorId="0" shapeId="0">
      <text>
        <t>Grimace — Normal, statut
Précision 100 % · 10 PP
Effraie avec une grimace pour baisser la
Vitesse.</t>
      </text>
    </comment>
    <comment ref="B985" authorId="0" shapeId="0">
      <text>
        <t>Torgnoles — Normal, physique
Puissance 15 · Précision 85 % · 10 PP
Gifle rapidement l'ennemi de 2 à 5 fois.</t>
      </text>
    </comment>
    <comment ref="C985" authorId="0" shapeId="0">
      <text>
        <t>Poursuite — Ténèbres, physique
Puissance 40 · Précision 100 % · 20 PP
Inflige de sérieux dégâts lorsque l'ennemi
change.</t>
      </text>
    </comment>
    <comment ref="B986" authorId="0" shapeId="0">
      <text>
        <t>Danse Pluie — Eau, statut
5 PP
Améliore les attaques Eau pendant 5 tours.</t>
      </text>
    </comment>
    <comment ref="C986" authorId="0" shapeId="0">
      <text>
        <t>Repos — Psy, statut
5 PP
Le lanceur dort 2 tours et regagne PV et
statut.</t>
      </text>
    </comment>
    <comment ref="B988" authorId="0" shapeId="0">
      <text>
        <t>PIKACHU — Électrik
PV 35 · Att 55 · Déf 40
Att.Spé 50 · Déf.Spé 50 · Vit 90
Total 320
Talents : Statik (caché : Paratonnerre)</t>
      </text>
    </comment>
    <comment ref="C988" authorId="0" shapeId="0">
      <text>
        <t>PONYTA — Feu
PV 50 · Att 85 · Déf 55
Att.Spé 65 · Déf.Spé 65 · Vit 90
Total 410
Talents : Fuite, Torche (caché : Corps Ardent)</t>
      </text>
    </comment>
    <comment ref="B991" authorId="0" shapeId="0">
      <text>
        <t>Statik
Paralyse au toucher.</t>
      </text>
    </comment>
    <comment ref="C991" authorId="0" shapeId="0">
      <text>
        <t>Fuite
Améliore chances de fuite.</t>
      </text>
    </comment>
    <comment ref="B992" authorId="0" shapeId="0">
      <text>
        <t>Vive-Attaque — Normal, physique
Puissance 40 · Précision 100 % · 30 PP ·
Priorité +1
Attaque fulgurante qui permet de frapper
d'abord.</t>
      </text>
    </comment>
    <comment ref="C992" authorId="0" shapeId="0">
      <text>
        <t>Flammèche — Feu, spéciale
Puissance 40 · Précision 100 % · 25 PP
Une faible attaque de feu pouvant brûler
l'ennemi.</t>
      </text>
    </comment>
    <comment ref="B993" authorId="0" shapeId="0">
      <text>
        <t>Boule Élek — Électrik, spéciale
Puissance 1 · Précision 100 % · 10 PP
Une orbe qui blesse plus un ennemi lent.</t>
      </text>
    </comment>
    <comment ref="C993" authorId="0" shapeId="0">
      <text>
        <t>Roue de Feu — Feu, physique
Puissance 60 · Précision 100 % · 25 PP
Une charge enflammée qui peut brûler l'ennemi.</t>
      </text>
    </comment>
    <comment ref="B994" authorId="0" shapeId="0">
      <text>
        <t>Cage Éclair — Électrik, statut
Précision 90 % · 20 PP
Un faible choc électrique qui paralyse
l'ennemi.</t>
      </text>
    </comment>
    <comment ref="C994" authorId="0" shapeId="0">
      <text>
        <t>Écrasement — Normal, physique
Puissance 65 · Précision 100 % · 20 PP
Écrase avec un énorme pied. Peut apeurer
l'ennemi.</t>
      </text>
    </comment>
    <comment ref="B995" authorId="0" shapeId="0">
      <text>
        <t>Ruse — Normal, physique
Puissance 30 · Précision 100 % · 10 PP ·
Priorité +2</t>
      </text>
    </comment>
    <comment ref="C995" authorId="0" shapeId="0">
      <text>
        <t>Nitrocharge — Feu, physique
Puissance 50 · Précision 100 % · 20 PP
Une charge enflammée. Monte la Vitesse.</t>
      </text>
    </comment>
    <comment ref="B997" authorId="0" shapeId="0">
      <text>
        <t>PIKACHU — Électrik
PV 35 · Att 55 · Déf 40
Att.Spé 50 · Déf.Spé 50 · Vit 90
Total 320
Talents : Statik (caché : Paratonnerre)</t>
      </text>
    </comment>
    <comment ref="B1000" authorId="0" shapeId="0">
      <text>
        <t>Statik
Paralyse au toucher.</t>
      </text>
    </comment>
    <comment ref="B1001" authorId="0" shapeId="0">
      <text>
        <t>Boule Élek — Électrik, spéciale
Puissance 1 · Précision 100 % · 10 PP
Une orbe qui blesse plus un ennemi lent.</t>
      </text>
    </comment>
    <comment ref="B1002" authorId="0" shapeId="0">
      <text>
        <t>Cage Éclair — Électrik, statut
Précision 90 % · 20 PP
Un faible choc électrique qui paralyse
l'ennemi.</t>
      </text>
    </comment>
    <comment ref="B1003" authorId="0" shapeId="0">
      <text>
        <t>Ruse — Normal, physique
Puissance 30 · Précision 100 % · 10 PP ·
Priorité +2</t>
      </text>
    </comment>
    <comment ref="B1004" authorId="0" shapeId="0">
      <text>
        <t>Reflet — Normal, statut
15 PP
Crée des images-miroirs pour augmenter
l'esquive.</t>
      </text>
    </comment>
    <comment ref="B1006" authorId="0" shapeId="0">
      <text>
        <t>RAMOLOSS — Eau / Psy
PV 90 · Att 65 · Déf 65
Att.Spé 40 · Déf.Spé 40 · Vit 15
Total 315
Talents : Benêt, Tempo Perso (caché : Régé-
  Force)</t>
      </text>
    </comment>
    <comment ref="C1006" authorId="0" shapeId="0">
      <text>
        <t>RAMOLOSS — Eau / Psy
PV 90 · Att 65 · Déf 65
Att.Spé 40 · Déf.Spé 40 · Vit 15
Total 315
Talents : Benêt, Tempo Perso (caché : Régé-
  Force)</t>
      </text>
    </comment>
    <comment ref="B1009" authorId="0" shapeId="0">
      <text>
        <t>Benêt
Empêche l'attirance.</t>
      </text>
    </comment>
    <comment ref="C1009" authorId="0" shapeId="0">
      <text>
        <t>Benêt
Empêche l'attirance.</t>
      </text>
    </comment>
    <comment ref="B1010" authorId="0" shapeId="0">
      <text>
        <t>Rugissement — Normal, statut
Précision 100 % · 40 PP
Rugit gentiment et baisse l'Attaque de
l'ennemi.</t>
      </text>
    </comment>
    <comment ref="C1010" authorId="0" shapeId="0">
      <text>
        <t>Pistolet à O — Eau, spéciale
Puissance 40 · Précision 100 % · 25 PP
Attaque l'ennemi en projetant de l'eau.</t>
      </text>
    </comment>
    <comment ref="B1011" authorId="0" shapeId="0">
      <text>
        <t>Pistolet à O — Eau, spéciale
Puissance 40 · Précision 100 % · 25 PP
Attaque l'ennemi en projetant de l'eau.</t>
      </text>
    </comment>
    <comment ref="C1011" authorId="0" shapeId="0">
      <text>
        <t>Choc Mental — Psy, spéciale
Puissance 50 · Précision 100 % · 25 PP
Une attaque Psy pouvant rendre l'ennemi
confus.</t>
      </text>
    </comment>
    <comment ref="B1012" authorId="0" shapeId="0">
      <text>
        <t>Choc Mental — Psy, spéciale
Puissance 50 · Précision 100 % · 25 PP
Une attaque Psy pouvant rendre l'ennemi
confus.</t>
      </text>
    </comment>
    <comment ref="C1012" authorId="0" shapeId="0">
      <text>
        <t>Entrave — Normal, statut
Précision 100 % · 20 PP</t>
      </text>
    </comment>
    <comment ref="B1013" authorId="0" shapeId="0">
      <text>
        <t>Entrave — Normal, statut
Précision 100 % · 20 PP</t>
      </text>
    </comment>
    <comment ref="C1013" authorId="0" shapeId="0">
      <text>
        <t>Coup d'Boule — Normal, physique
Puissance 70 · Précision 100 % · 15 PP
Une charge qui peut apeurer l'ennemi.</t>
      </text>
    </comment>
    <comment ref="B1015" authorId="0" shapeId="0">
      <text>
        <t>NOCTALI — Ténèbres
PV 95 · Att 65 · Déf 110
Att.Spé 60 · Déf.Spé 130 · Vit 65
Total 525
Talents : Synchro, Synchro (caché : Attention)</t>
      </text>
    </comment>
    <comment ref="B1018" authorId="0" shapeId="0">
      <text>
        <t>Synchro
Transfère statuts.</t>
      </text>
    </comment>
    <comment ref="B1019" authorId="0" shapeId="0">
      <text>
        <t>Regard Touchant — Fée, statut
Précision 100 % · 30 PP · Priorité +1
Baisse l'Attaque ennemie avant qu'elle agisse.</t>
      </text>
    </comment>
    <comment ref="B1020" authorId="0" shapeId="0">
      <text>
        <t>Vive-Attaque — Normal, physique
Puissance 40 · Précision 100 % · 30 PP ·
Priorité +1
Attaque fulgurante qui permet de frapper
d'abord.</t>
      </text>
    </comment>
    <comment ref="B1021" authorId="0" shapeId="0">
      <text>
        <t>Onde Folie — Spectre, statut
Précision 100 % · 10 PP
Un horrible rayon qui rend l'ennemi confus.</t>
      </text>
    </comment>
    <comment ref="B1022" authorId="0" shapeId="0">
      <text>
        <t>Feinte — Ténèbres, physique
Puissance 60 · Ne rate jamais · 20 PP
Approche l'ennemi et frappe à coup sûr.</t>
      </text>
    </comment>
    <comment ref="B1025" authorId="0" shapeId="0">
      <text>
        <t>AIRMURE — Acier / Vol
PV 65 · Att 80 · Déf 140
Att.Spé 40 · Déf.Spé 70 · Vit 70
Total 465
Talents : Regard Vif, Fermeté (caché :
  Armurouillée)</t>
      </text>
    </comment>
    <comment ref="C1025" authorId="0" shapeId="0">
      <text>
        <t>CORAYON — Eau / Roche
PV 65 · Att 55 · Déf 95
Att.Spé 65 · Déf.Spé 95 · Vit 35
Total 410
Talents : Agitation, Médic Nature (caché :
  Régé-Force)</t>
      </text>
    </comment>
    <comment ref="D1025" authorId="0" shapeId="0">
      <text>
        <t>MAGNETON — Électrik
PV 50 · Att 60 · Déf 95
Att.Spé 120 · Déf.Spé 70 · Vit 70
Total 465
Talents : Magnépiège, Fermeté (caché :
  Analyste)</t>
      </text>
    </comment>
    <comment ref="E1025" authorId="0" shapeId="0">
      <text>
        <t>CIZAYOX — Insecte / Acier
PV 70 · Att 130 · Déf 100
Att.Spé 55 · Déf.Spé 80 · Vit 65
Total 500
Talents : Essaim, Technicien (caché : Light
  Metal)</t>
      </text>
    </comment>
    <comment ref="F1025" authorId="0" shapeId="0">
      <text>
        <t>STEELIX — Acier / Sol
PV 75 · Att 85 · Déf 200
Att.Spé 55 · Déf.Spé 65 · Vit 30
Total 510
Talents : Tête de Roc, Fermeté (caché : Sans
  Limite)</t>
      </text>
    </comment>
    <comment ref="E1027" authorId="0" shapeId="0">
      <text>
        <t>Bandeau
Objet tenu pouvant parfois empêcher d'être mis
KO.</t>
      </text>
    </comment>
    <comment ref="F1027" authorId="0" shapeId="0">
      <text>
        <t>Vive Griffe
Objet tenu qui permet parfois de frapper le
premier.</t>
      </text>
    </comment>
    <comment ref="B1028" authorId="0" shapeId="0">
      <text>
        <t>Regard Vif
Empêche perte de précision.</t>
      </text>
    </comment>
    <comment ref="C1028" authorId="0" shapeId="0">
      <text>
        <t>Agitation
Substitue préc. par puiss.</t>
      </text>
    </comment>
    <comment ref="D1028" authorId="0" shapeId="0">
      <text>
        <t>Magnépiège
Piège les Pokémon Acier.</t>
      </text>
    </comment>
    <comment ref="E1028" authorId="0" shapeId="0">
      <text>
        <t>Essaim
Augmente attaques Insect.</t>
      </text>
    </comment>
    <comment ref="F1028" authorId="0" shapeId="0">
      <text>
        <t>Tête de Roc
Empêche dégâts du recul.</t>
      </text>
    </comment>
    <comment ref="B1029" authorId="0" shapeId="0">
      <text>
        <t>Picots — Sol, statut
20 PP
Pointes blessant lors d'un changement
d'adversaire.</t>
      </text>
    </comment>
    <comment ref="C1029" authorId="0" shapeId="0">
      <text>
        <t>Danse Pluie — Eau, statut
5 PP
Améliore les attaques Eau pendant 5 tours.</t>
      </text>
    </comment>
    <comment ref="D1029" authorId="0" shapeId="0">
      <text>
        <t>Tonnerre — Électrik, spéciale
Puissance 90 · Précision 100 % · 15 PP
Forte attaque électrique pouvant paralyser
l'ennemi.</t>
      </text>
    </comment>
    <comment ref="E1029" authorId="0" shapeId="0">
      <text>
        <t>Pisto-Poing — Acier, physique
Puissance 40 · Précision 100 % · 30 PP ·
Priorité +1
Un poing comme une balle. Frappe d'abord.</t>
      </text>
    </comment>
    <comment ref="F1029" authorId="0" shapeId="0">
      <text>
        <t>Mâchouille — Ténèbres, physique
Puissance 80 · Précision 100 % · 15 PP</t>
      </text>
    </comment>
    <comment ref="B1030" authorId="0" shapeId="0">
      <text>
        <t>Bec Vrille — Vol, physique
Puissance 80 · Précision 100 % · 20 PP
Une attaque utilisant le bec comme une
perceuse.</t>
      </text>
    </comment>
    <comment ref="C1030" authorId="0" shapeId="0">
      <text>
        <t>Saumure — Eau, spéciale
Puissance 65 · Précision 100 % · 10 PP
Double les dégâts si l'ennemi a mi-PV ou
moins.</t>
      </text>
    </comment>
    <comment ref="D1030" authorId="0" shapeId="0">
      <text>
        <t>Triplattaque — Normal, spéciale
Puissance 80 · Précision 100 % · 10 PP
Envoie trois types de rayons en même temps.</t>
      </text>
    </comment>
    <comment ref="E1030" authorId="0" shapeId="0">
      <text>
        <t>Griffe Acier — Acier, physique
Puissance 50 · Précision 95 % · 35 PP
Attaque avec des griffes. Peut augmenter
l'Attaque.</t>
      </text>
    </comment>
    <comment ref="F1030" authorId="0" shapeId="0">
      <text>
        <t>Séisme — Sol, physique
Puissance 100 · Précision 100 % · 10 PP
Secousse sans effet sur les adversaires
volants.</t>
      </text>
    </comment>
    <comment ref="B1031" authorId="0" shapeId="0">
      <text>
        <t>Vantardise — Normal, statut
Précision 85 % · 15 PP
Rend l'ennemi confus et booste l'Attaque.</t>
      </text>
    </comment>
    <comment ref="C1031" authorId="0" shapeId="0">
      <text>
        <t>Soin — Normal, statut
5 PP
Restaure jusqu'à la moitié des PV max du
lanceur.</t>
      </text>
    </comment>
    <comment ref="D1031" authorId="0" shapeId="0">
      <text>
        <t>Danse Pluie — Eau, statut
5 PP
Améliore les attaques Eau pendant 5 tours.</t>
      </text>
    </comment>
    <comment ref="E1031" authorId="0" shapeId="0">
      <text>
        <t>Hâte — Psy, statut
30 PP
Relaxation du corps pour booster la Vitesse.</t>
      </text>
    </comment>
    <comment ref="F1031" authorId="0" shapeId="0">
      <text>
        <t>Éboulement — Roche, physique
Puissance 75 · Précision 90 % · 10 PP
Envoie de gros rochers. Peut apeurer l'ennemi.</t>
      </text>
    </comment>
    <comment ref="B1032" authorId="0" shapeId="0">
      <text>
        <t>Ailes d'Acier — Acier, physique
Puissance 70 · Précision 90 % · 25 PP
Frappe l'ennemi en déployant des ailes
d'acier.</t>
      </text>
    </comment>
    <comment ref="C1032" authorId="0" shapeId="0">
      <text>
        <t>Pouvoir Antique — Roche, spéciale
Puissance 60 · Précision 100 % · 5 PP
Une attaque pouvant augmenter toutes les
stats.</t>
      </text>
    </comment>
    <comment ref="D1032" authorId="0" shapeId="0">
      <text>
        <t>Fatal-Foudre — Électrik, spéciale
Puissance 110 · Précision 70 % · 10 PP
Une attaque foudroyante pouvant paralyser
l'ennemi.</t>
      </text>
    </comment>
    <comment ref="E1032" authorId="0" shapeId="0">
      <text>
        <t>Danse Lames — Normal, statut
20 PP
Une danse de combat pour booster l'Attaque.</t>
      </text>
    </comment>
    <comment ref="F1032" authorId="0" shapeId="0">
      <text>
        <t>Queue de Fer — Acier, physique
Puissance 100 · Précision 75 % · 15 PP
Attaque avec la queue. Peut baisser la
Défense.</t>
      </text>
    </comment>
    <comment ref="B1034" authorId="0" shapeId="0">
      <text>
        <t>AIRMURE — Acier / Vol
PV 65 · Att 80 · Déf 140
Att.Spé 40 · Déf.Spé 70 · Vit 70
Total 465
Talents : Regard Vif, Fermeté (caché :
  Armurouillée)</t>
      </text>
    </comment>
    <comment ref="C1034" authorId="0" shapeId="0">
      <text>
        <t>CORAYON — Eau / Roche
PV 65 · Att 55 · Déf 95
Att.Spé 65 · Déf.Spé 95 · Vit 35
Total 410
Talents : Agitation, Médic Nature (caché :
  Régé-Force)</t>
      </text>
    </comment>
    <comment ref="D1034" authorId="0" shapeId="0">
      <text>
        <t>MAGNETON — Électrik
PV 50 · Att 60 · Déf 95
Att.Spé 120 · Déf.Spé 70 · Vit 70
Total 465
Talents : Magnépiège, Fermeté (caché :
  Analyste)</t>
      </text>
    </comment>
    <comment ref="E1034" authorId="0" shapeId="0">
      <text>
        <t>CIZAYOX — Insecte / Acier
PV 70 · Att 130 · Déf 100
Att.Spé 55 · Déf.Spé 80 · Vit 65
Total 500
Talents : Essaim, Technicien (caché : Light
  Metal)</t>
      </text>
    </comment>
    <comment ref="F1034" authorId="0" shapeId="0">
      <text>
        <t>STEELIX — Acier / Sol
PV 75 · Att 85 · Déf 200
Att.Spé 55 · Déf.Spé 65 · Vit 30
Total 510
Talents : Tête de Roc, Fermeté (caché : Sans
  Limite)</t>
      </text>
    </comment>
    <comment ref="E1036" authorId="0" shapeId="0">
      <text>
        <t>Bandeau
Objet tenu pouvant parfois empêcher d'être mis
KO.</t>
      </text>
    </comment>
    <comment ref="F1036" authorId="0" shapeId="0">
      <text>
        <t>Vive Griffe
Objet tenu qui permet parfois de frapper le
premier.</t>
      </text>
    </comment>
    <comment ref="B1037" authorId="0" shapeId="0">
      <text>
        <t>Regard Vif
Empêche perte de précision.</t>
      </text>
    </comment>
    <comment ref="C1037" authorId="0" shapeId="0">
      <text>
        <t>Agitation
Substitue préc. par puiss.</t>
      </text>
    </comment>
    <comment ref="D1037" authorId="0" shapeId="0">
      <text>
        <t>Magnépiège
Piège les Pokémon Acier.</t>
      </text>
    </comment>
    <comment ref="E1037" authorId="0" shapeId="0">
      <text>
        <t>Essaim
Augmente attaques Insect.</t>
      </text>
    </comment>
    <comment ref="F1037" authorId="0" shapeId="0">
      <text>
        <t>Tête de Roc
Empêche dégâts du recul.</t>
      </text>
    </comment>
    <comment ref="B1038" authorId="0" shapeId="0">
      <text>
        <t>Picots — Sol, statut
20 PP
Pointes blessant lors d'un changement
d'adversaire.</t>
      </text>
    </comment>
    <comment ref="C1038" authorId="0" shapeId="0">
      <text>
        <t>Danse Pluie — Eau, statut
5 PP
Améliore les attaques Eau pendant 5 tours.</t>
      </text>
    </comment>
    <comment ref="D1038" authorId="0" shapeId="0">
      <text>
        <t>Tonnerre — Électrik, spéciale
Puissance 90 · Précision 100 % · 15 PP
Forte attaque électrique pouvant paralyser
l'ennemi.</t>
      </text>
    </comment>
    <comment ref="E1038" authorId="0" shapeId="0">
      <text>
        <t>Pisto-Poing — Acier, physique
Puissance 40 · Précision 100 % · 30 PP ·
Priorité +1
Un poing comme une balle. Frappe d'abord.</t>
      </text>
    </comment>
    <comment ref="F1038" authorId="0" shapeId="0">
      <text>
        <t>Mâchouille — Ténèbres, physique
Puissance 80 · Précision 100 % · 15 PP</t>
      </text>
    </comment>
    <comment ref="B1039" authorId="0" shapeId="0">
      <text>
        <t>Bec Vrille — Vol, physique
Puissance 80 · Précision 100 % · 20 PP
Une attaque utilisant le bec comme une
perceuse.</t>
      </text>
    </comment>
    <comment ref="C1039" authorId="0" shapeId="0">
      <text>
        <t>Saumure — Eau, spéciale
Puissance 65 · Précision 100 % · 10 PP
Double les dégâts si l'ennemi a mi-PV ou
moins.</t>
      </text>
    </comment>
    <comment ref="D1039" authorId="0" shapeId="0">
      <text>
        <t>Triplattaque — Normal, spéciale
Puissance 80 · Précision 100 % · 10 PP
Envoie trois types de rayons en même temps.</t>
      </text>
    </comment>
    <comment ref="E1039" authorId="0" shapeId="0">
      <text>
        <t>Griffe Acier — Acier, physique
Puissance 50 · Précision 95 % · 35 PP
Attaque avec des griffes. Peut augmenter
l'Attaque.</t>
      </text>
    </comment>
    <comment ref="F1039" authorId="0" shapeId="0">
      <text>
        <t>Séisme — Sol, physique
Puissance 100 · Précision 100 % · 10 PP
Secousse sans effet sur les adversaires
volants.</t>
      </text>
    </comment>
    <comment ref="B1040" authorId="0" shapeId="0">
      <text>
        <t>Vantardise — Normal, statut
Précision 85 % · 15 PP
Rend l'ennemi confus et booste l'Attaque.</t>
      </text>
    </comment>
    <comment ref="C1040" authorId="0" shapeId="0">
      <text>
        <t>Anneau Hydro — Eau, statut
20 PP
Un voile d'eau qui restaure des PV.</t>
      </text>
    </comment>
    <comment ref="D1040" authorId="0" shapeId="0">
      <text>
        <t>Danse Pluie — Eau, statut
5 PP
Améliore les attaques Eau pendant 5 tours.</t>
      </text>
    </comment>
    <comment ref="E1040" authorId="0" shapeId="0">
      <text>
        <t>Hâte — Psy, statut
30 PP
Relaxation du corps pour booster la Vitesse.</t>
      </text>
    </comment>
    <comment ref="F1040" authorId="0" shapeId="0">
      <text>
        <t>Éboulement — Roche, physique
Puissance 75 · Précision 90 % · 10 PP
Envoie de gros rochers. Peut apeurer l'ennemi.</t>
      </text>
    </comment>
    <comment ref="B1041" authorId="0" shapeId="0">
      <text>
        <t>Ailes d'Acier — Acier, physique
Puissance 70 · Précision 90 % · 25 PP
Frappe l'ennemi en déployant des ailes
d'acier.</t>
      </text>
    </comment>
    <comment ref="C1041" authorId="0" shapeId="0">
      <text>
        <t>Pouvoir Antique — Roche, spéciale
Puissance 60 · Précision 100 % · 5 PP
Une attaque pouvant augmenter toutes les
stats.</t>
      </text>
    </comment>
    <comment ref="D1041" authorId="0" shapeId="0">
      <text>
        <t>Fatal-Foudre — Électrik, spéciale
Puissance 110 · Précision 70 % · 10 PP
Une attaque foudroyante pouvant paralyser
l'ennemi.</t>
      </text>
    </comment>
    <comment ref="E1041" authorId="0" shapeId="0">
      <text>
        <t>Danse Lames — Normal, statut
20 PP
Une danse de combat pour booster l'Attaque.</t>
      </text>
    </comment>
    <comment ref="F1041" authorId="0" shapeId="0">
      <text>
        <t>Queue de Fer — Acier, physique
Puissance 100 · Précision 75 % · 15 PP
Attaque avec la queue. Peut baisser la
Défense.</t>
      </text>
    </comment>
    <comment ref="B1043" authorId="0" shapeId="0">
      <text>
        <t>AIRMURE — Acier / Vol
PV 65 · Att 80 · Déf 140
Att.Spé 40 · Déf.Spé 70 · Vit 70
Total 465
Talents : Regard Vif, Fermeté (caché :
  Armurouillée)</t>
      </text>
    </comment>
    <comment ref="C1043" authorId="0" shapeId="0">
      <text>
        <t>CORAYON — Eau / Roche
PV 65 · Att 55 · Déf 95
Att.Spé 65 · Déf.Spé 95 · Vit 35
Total 410
Talents : Agitation, Médic Nature (caché :
  Régé-Force)</t>
      </text>
    </comment>
    <comment ref="D1043" authorId="0" shapeId="0">
      <text>
        <t>MAGNEZONE — Électrik / Acier
PV 70 · Att 70 · Déf 115
Att.Spé 130 · Déf.Spé 90 · Vit 60
Total 535
Talents : Magnépiège, Fermeté (caché :
  Analyste)</t>
      </text>
    </comment>
    <comment ref="E1043" authorId="0" shapeId="0">
      <text>
        <t>CIZAYOX — Insecte / Acier
PV 70 · Att 130 · Déf 100
Att.Spé 55 · Déf.Spé 80 · Vit 65
Total 500
Talents : Essaim, Technicien (caché : Light
  Metal)</t>
      </text>
    </comment>
    <comment ref="F1043" authorId="0" shapeId="0">
      <text>
        <t>STEELIX — Acier / Sol
PV 75 · Att 85 · Déf 200
Att.Spé 55 · Déf.Spé 65 · Vit 30
Total 510
Talents : Tête de Roc, Fermeté (caché : Sans
  Limite)</t>
      </text>
    </comment>
    <comment ref="E1045" authorId="0" shapeId="0">
      <text>
        <t>Bandeau
Objet tenu pouvant parfois empêcher d'être mis
KO.</t>
      </text>
    </comment>
    <comment ref="F1045" authorId="0" shapeId="0">
      <text>
        <t>Vive Griffe
Objet tenu qui permet parfois de frapper le
premier.</t>
      </text>
    </comment>
    <comment ref="B1046" authorId="0" shapeId="0">
      <text>
        <t>Regard Vif
Empêche perte de précision.</t>
      </text>
    </comment>
    <comment ref="C1046" authorId="0" shapeId="0">
      <text>
        <t>Agitation
Substitue préc. par puiss.</t>
      </text>
    </comment>
    <comment ref="D1046" authorId="0" shapeId="0">
      <text>
        <t>Magnépiège
Piège les Pokémon Acier.</t>
      </text>
    </comment>
    <comment ref="E1046" authorId="0" shapeId="0">
      <text>
        <t>Essaim
Augmente attaques Insect.</t>
      </text>
    </comment>
    <comment ref="F1046" authorId="0" shapeId="0">
      <text>
        <t>Tête de Roc
Empêche dégâts du recul.</t>
      </text>
    </comment>
    <comment ref="B1047" authorId="0" shapeId="0">
      <text>
        <t>Picots — Sol, statut
20 PP
Pointes blessant lors d'un changement
d'adversaire.</t>
      </text>
    </comment>
    <comment ref="C1047" authorId="0" shapeId="0">
      <text>
        <t>Danse Pluie — Eau, statut
5 PP
Améliore les attaques Eau pendant 5 tours.</t>
      </text>
    </comment>
    <comment ref="D1047" authorId="0" shapeId="0">
      <text>
        <t>Tonnerre — Électrik, spéciale
Puissance 90 · Précision 100 % · 15 PP
Forte attaque électrique pouvant paralyser
l'ennemi.</t>
      </text>
    </comment>
    <comment ref="E1047" authorId="0" shapeId="0">
      <text>
        <t>Plaie Croix — Insecte, physique
Puissance 80 · Précision 100 % · 15 PP
Taillade l'ennemi de ses faux croisées.</t>
      </text>
    </comment>
    <comment ref="F1047" authorId="0" shapeId="0">
      <text>
        <t>Mâchouille — Ténèbres, physique
Puissance 80 · Précision 100 % · 15 PP</t>
      </text>
    </comment>
    <comment ref="B1048" authorId="0" shapeId="0">
      <text>
        <t>Bec Vrille — Vol, physique
Puissance 80 · Précision 100 % · 20 PP
Une attaque utilisant le bec comme une
perceuse.</t>
      </text>
    </comment>
    <comment ref="C1048" authorId="0" shapeId="0">
      <text>
        <t>Surf — Eau, spéciale
Puissance 90 · Précision 100 % · 15 PP</t>
      </text>
    </comment>
    <comment ref="D1048" authorId="0" shapeId="0">
      <text>
        <t>Triplattaque — Normal, spéciale
Puissance 80 · Précision 100 % · 10 PP
Envoie trois types de rayons en même temps.</t>
      </text>
    </comment>
    <comment ref="E1048" authorId="0" shapeId="0">
      <text>
        <t>Griffe Acier — Acier, physique
Puissance 50 · Précision 95 % · 35 PP
Attaque avec des griffes. Peut augmenter
l'Attaque.</t>
      </text>
    </comment>
    <comment ref="F1048" authorId="0" shapeId="0">
      <text>
        <t>Séisme — Sol, physique
Puissance 100 · Précision 100 % · 10 PP
Secousse sans effet sur les adversaires
volants.</t>
      </text>
    </comment>
    <comment ref="B1049" authorId="0" shapeId="0">
      <text>
        <t>Vantardise — Normal, statut
Précision 85 % · 15 PP
Rend l'ennemi confus et booste l'Attaque.</t>
      </text>
    </comment>
    <comment ref="C1049" authorId="0" shapeId="0">
      <text>
        <t>Anneau Hydro — Eau, statut
20 PP
Un voile d'eau qui restaure des PV.</t>
      </text>
    </comment>
    <comment ref="D1049" authorId="0" shapeId="0">
      <text>
        <t>Danse Pluie — Eau, statut
5 PP
Améliore les attaques Eau pendant 5 tours.</t>
      </text>
    </comment>
    <comment ref="E1049" authorId="0" shapeId="0">
      <text>
        <t>Hâte — Psy, statut
30 PP
Relaxation du corps pour booster la Vitesse.</t>
      </text>
    </comment>
    <comment ref="F1049" authorId="0" shapeId="0">
      <text>
        <t>Éboulement — Roche, physique
Puissance 75 · Précision 90 % · 10 PP
Envoie de gros rochers. Peut apeurer l'ennemi.</t>
      </text>
    </comment>
    <comment ref="B1050" authorId="0" shapeId="0">
      <text>
        <t>Ailes d'Acier — Acier, physique
Puissance 70 · Précision 90 % · 25 PP
Frappe l'ennemi en déployant des ailes
d'acier.</t>
      </text>
    </comment>
    <comment ref="C1050" authorId="0" shapeId="0">
      <text>
        <t>Pouvoir Antique — Roche, spéciale
Puissance 60 · Précision 100 % · 5 PP
Une attaque pouvant augmenter toutes les
stats.</t>
      </text>
    </comment>
    <comment ref="D1050" authorId="0" shapeId="0">
      <text>
        <t>Gyroballe — Acier, physique
Puissance 1 · Précision 100 % · 5 PP
Une toupie qui blesse plus un ennemi rapide.</t>
      </text>
    </comment>
    <comment ref="E1050" authorId="0" shapeId="0">
      <text>
        <t>Danse Lames — Normal, statut
20 PP
Une danse de combat pour booster l'Attaque.</t>
      </text>
    </comment>
    <comment ref="F1050" authorId="0" shapeId="0">
      <text>
        <t>Queue de Fer — Acier, physique
Puissance 100 · Précision 75 % · 15 PP
Attaque avec la queue. Peut baisser la
Défense.</t>
      </text>
    </comment>
    <comment ref="B1053" authorId="0" shapeId="0">
      <text>
        <t>TETARTE — Eau
PV 65 · Att 65 · Déf 65
Att.Spé 50 · Déf.Spé 50 · Vit 90
Total 385
Talents : Absorbe-Eau, Moiteur (caché :
  Glissade)</t>
      </text>
    </comment>
    <comment ref="C1053" authorId="0" shapeId="0">
      <text>
        <t>MACHOC — Combat
PV 70 · Att 80 · Déf 50
Att.Spé 35 · Déf.Spé 35 · Vit 35
Total 305
Talents : Cran, Annule Garde (caché :
  Impassible)</t>
      </text>
    </comment>
    <comment ref="B1056" authorId="0" shapeId="0">
      <text>
        <t>Absorbe-Eau
Change l'eau en PV.</t>
      </text>
    </comment>
    <comment ref="C1056" authorId="0" shapeId="0">
      <text>
        <t>Cran
Monte l'Attaque si statut.</t>
      </text>
    </comment>
    <comment ref="B1057" authorId="0" shapeId="0">
      <text>
        <t>Hypnose — Psy, statut
Précision 60 % · 20 PP
Une attaque hypnotique pouvant endormir
l'ennemi.</t>
      </text>
    </comment>
    <comment ref="C1057" authorId="0" shapeId="0">
      <text>
        <t>Balayette — Combat, physique
Puissance 65 · Précision 100 % · 20 PP
Frappe les jambes et baisse la Vitesse.</t>
      </text>
    </comment>
    <comment ref="B1058" authorId="0" shapeId="0">
      <text>
        <t>Écume — Eau, spéciale
Puissance 40 · Précision 100 % · 30 PP
Une attaque de bulles pouvant baisser la
Vitesse.</t>
      </text>
    </comment>
    <comment ref="C1058" authorId="0" shapeId="0">
      <text>
        <t>Frappe Atlas — Combat, physique
Puissance 1 · Précision 100 % · 20 PP
Inflige des dégâts selon le niveau du lanceur.</t>
      </text>
    </comment>
    <comment ref="B1059" authorId="0" shapeId="0">
      <text>
        <t>Torgnoles — Normal, physique
Puissance 15 · Précision 85 % · 10 PP
Gifle rapidement l'ennemi de 2 à 5 fois.</t>
      </text>
    </comment>
    <comment ref="C1059" authorId="0" shapeId="0">
      <text>
        <t>Vendetta — Combat, physique
Puissance 60 · Précision 100 % · 10 PP ·
Priorité -4</t>
      </text>
    </comment>
    <comment ref="B1060" authorId="0" shapeId="0">
      <text>
        <t>Danse Pluie — Eau, statut
5 PP
Améliore les attaques Eau pendant 5 tours.</t>
      </text>
    </comment>
    <comment ref="C1060" authorId="0" shapeId="0">
      <text>
        <t>Sabotage — Ténèbres, physique
Puissance 65 · Précision 100 % · 20 PP
Frappe l'objet tenu pour le rendre
inutilisable.</t>
      </text>
    </comment>
    <comment ref="B1062" authorId="0" shapeId="0">
      <text>
        <t>NOARFANG — Normal / Vol
PV 100 · Att 50 · Déf 50
Att.Spé 86 · Déf.Spé 96 · Vit 70
Total 452
Talents : Insomnia, Regard Vif (caché :
  Lentiteintée)</t>
      </text>
    </comment>
    <comment ref="B1065" authorId="0" shapeId="0">
      <text>
        <t>Insomnia
Empêche de s'endormir.</t>
      </text>
    </comment>
    <comment ref="B1066" authorId="0" shapeId="0">
      <text>
        <t>Choc Mental — Psy, spéciale
Puissance 50 · Précision 100 % · 25 PP
Une attaque Psy pouvant rendre l'ennemi
confus.</t>
      </text>
    </comment>
    <comment ref="B1067" authorId="0" shapeId="0">
      <text>
        <t>Écho — Normal, spéciale
Puissance 40 · Précision 100 % · 15 PP
Plus puissant à chaque tour d'utilisation.</t>
      </text>
    </comment>
    <comment ref="B1068" authorId="0" shapeId="0">
      <text>
        <t>Psykoud'Boul — Psy, physique
Puissance 80 · Précision 90 % · 15 PP
Un coup de tête. Peut apeurer l'ennemi.</t>
      </text>
    </comment>
    <comment ref="B1069" authorId="0" shapeId="0">
      <text>
        <t>Échange Psy — Psy, statut
Précision 100 % · 10 PP
Transfère ses problèmes de statut à l'ennemi.</t>
      </text>
    </comment>
    <comment ref="B1071" authorId="0" shapeId="0">
      <text>
        <t>CORNEBRE — Ténèbres / Vol
PV 60 · Att 85 · Déf 42
Att.Spé 85 · Déf.Spé 42 · Vit 91
Total 405
Talents : Insomnia, Chanceux (caché : Farceur)</t>
      </text>
    </comment>
    <comment ref="B1074" authorId="0" shapeId="0">
      <text>
        <t>Insomnia
Empêche de s'endormir.</t>
      </text>
    </comment>
    <comment ref="B1075" authorId="0" shapeId="0">
      <text>
        <t>Poursuite — Ténèbres, physique
Puissance 40 · Précision 100 % · 20 PP
Inflige de sérieux dégâts lorsque l'ennemi
change.</t>
      </text>
    </comment>
    <comment ref="B1076" authorId="0" shapeId="0">
      <text>
        <t>Buée Noire — Glace, statut
30 PP
Crée un nuage noir annulant tout changement
d'état.</t>
      </text>
    </comment>
    <comment ref="B1077" authorId="0" shapeId="0">
      <text>
        <t>Cru-Ailes — Vol, physique
Puissance 60 · Précision 100 % · 35 PP
Frappe l'ennemi en déployant les ailes.</t>
      </text>
    </comment>
    <comment ref="B1078" authorId="0" shapeId="0">
      <text>
        <t>Ombre Nocturne — Spectre, spéciale
Puissance 1 · Précision 100 % · 15 PP
Inflige des dégâts selon le niveau du lanceur.</t>
      </text>
    </comment>
    <comment ref="B1080" authorId="0" shapeId="0">
      <text>
        <t>TETARTE — Eau
PV 65 · Att 65 · Déf 65
Att.Spé 50 · Déf.Spé 50 · Vit 90
Total 385
Talents : Absorbe-Eau, Moiteur (caché :
  Glissade)</t>
      </text>
    </comment>
    <comment ref="B1083" authorId="0" shapeId="0">
      <text>
        <t>Absorbe-Eau
Change l'eau en PV.</t>
      </text>
    </comment>
    <comment ref="B1084" authorId="0" shapeId="0">
      <text>
        <t>Écume — Eau, spéciale
Puissance 40 · Précision 100 % · 30 PP
Une attaque de bulles pouvant baisser la
Vitesse.</t>
      </text>
    </comment>
    <comment ref="B1085" authorId="0" shapeId="0">
      <text>
        <t>Torgnoles — Normal, physique
Puissance 15 · Précision 85 % · 10 PP
Gifle rapidement l'ennemi de 2 à 5 fois.</t>
      </text>
    </comment>
    <comment ref="B1086" authorId="0" shapeId="0">
      <text>
        <t>Danse Pluie — Eau, statut
5 PP
Améliore les attaques Eau pendant 5 tours.</t>
      </text>
    </comment>
    <comment ref="B1087" authorId="0" shapeId="0">
      <text>
        <t>Plaquage — Normal, physique
Puissance 85 · Précision 100 % · 15 PP
Une attaque en charge. Peut paralyser
l'ennemi.</t>
      </text>
    </comment>
    <comment ref="B1089" authorId="0" shapeId="0">
      <text>
        <t>CANINOS — Feu
PV 55 · Att 70 · Déf 45
Att.Spé 70 · Déf.Spé 50 · Vit 60
Total 350
Talents : Intimidation, Torche (caché : Cœur
  Noble)</t>
      </text>
    </comment>
    <comment ref="C1089" authorId="0" shapeId="0">
      <text>
        <t>GOUPIX — Feu
PV 38 · Att 41 · Déf 40
Att.Spé 50 · Déf.Spé 65 · Vit 65
Total 299
Talents : Torche (caché : Sécheresse)</t>
      </text>
    </comment>
    <comment ref="B1092" authorId="0" shapeId="0">
      <text>
        <t>Intimidation
Baisse l'Attaque ennemie.</t>
      </text>
    </comment>
    <comment ref="C1092" authorId="0" shapeId="0">
      <text>
        <t>Torche
Puissance monte si brûlé.</t>
      </text>
    </comment>
    <comment ref="B1093" authorId="0" shapeId="0">
      <text>
        <t>Coup d'Main — Normal, statut
20 PP · Priorité +5
Améliore la puissance d'attaque du receveur.</t>
      </text>
    </comment>
    <comment ref="C1093" authorId="0" shapeId="0">
      <text>
        <t>Onde Folie — Spectre, statut
Précision 100 % · 10 PP
Un horrible rayon qui rend l'ennemi confus.</t>
      </text>
    </comment>
    <comment ref="B1094" authorId="0" shapeId="0">
      <text>
        <t>Roue de Feu — Feu, physique
Puissance 60 · Précision 100 % · 25 PP
Une charge enflammée qui peut brûler l'ennemi.</t>
      </text>
    </comment>
    <comment ref="C1094" authorId="0" shapeId="0">
      <text>
        <t>Danse Flammes — Feu, spéciale
Puissance 35 · Précision 85 % · 15 PP</t>
      </text>
    </comment>
    <comment ref="B1095" authorId="0" shapeId="0">
      <text>
        <t>Contre — Combat, physique
Puissance 1 · Précision 100 % · 15 PP
Inflige plus de dégâts si les PV du lanceur
sont faibles.</t>
      </text>
    </comment>
    <comment ref="C1095" authorId="0" shapeId="0">
      <text>
        <t>Représailles — Ténèbres, physique
Puissance 50 · Précision 100 % · 10 PP
Plus puissant si le lanceur agit en dernier.</t>
      </text>
    </comment>
    <comment ref="B1096" authorId="0" shapeId="0">
      <text>
        <t>Crocs Feu — Feu, physique
Puissance 65 · Précision 95 % · 15 PP
Peut apeurer l'ennemi ou le brûler.</t>
      </text>
    </comment>
    <comment ref="C1096" authorId="0" shapeId="0">
      <text>
        <t>Feu Follet — Feu, statut
Précision 85 % · 15 PP
Inflige une douloureuse brûlure à l'ennemi.</t>
      </text>
    </comment>
    <comment ref="B1098" authorId="0" shapeId="0">
      <text>
        <t>KOKIYAS — Eau
PV 30 · Att 65 · Déf 100
Att.Spé 45 · Déf.Spé 25 · Vit 40
Total 305
Talents : Coque Armure, Multi-Coups (caché :
  Envelocape)</t>
      </text>
    </comment>
    <comment ref="C1098" authorId="0" shapeId="0">
      <text>
        <t>LOUPIO — Eau / Électrik
PV 75 · Att 38 · Déf 38
Att.Spé 56 · Déf.Spé 56 · Vit 67
Total 330
Talents : Absorbe-Volt, Lumiattirance (caché :
  Absorbe-Eau)</t>
      </text>
    </comment>
    <comment ref="B1101" authorId="0" shapeId="0">
      <text>
        <t>Coque Armure
Bloque les coups critiques.</t>
      </text>
    </comment>
    <comment ref="C1101" authorId="0" shapeId="0">
      <text>
        <t>Absorbe-Volt
Change l'électricité en PV.</t>
      </text>
    </comment>
    <comment ref="B1102" authorId="0" shapeId="0">
      <text>
        <t>Ultrason — Normal, statut
Précision 55 % · 20 PP
Étranges ondes sonores pouvant rendre confus.</t>
      </text>
    </comment>
    <comment ref="C1102" authorId="0" shapeId="0">
      <text>
        <t>Pistolet à O — Eau, spéciale
Puissance 40 · Précision 100 % · 25 PP
Attaque l'ennemi en projetant de l'eau.</t>
      </text>
    </comment>
    <comment ref="B1103" authorId="0" shapeId="0">
      <text>
        <t>Stalactite — Glace, physique
Puissance 25 · Précision 100 % · 30 PP
Mitraille l'ennemi avec 2 à 5 glaçons à la
suite.</t>
      </text>
    </comment>
    <comment ref="C1103" authorId="0" shapeId="0">
      <text>
        <t>Onde Folie — Spectre, statut
Précision 100 % · 10 PP
Un horrible rayon qui rend l'ennemi confus.</t>
      </text>
    </comment>
    <comment ref="B1104" authorId="0" shapeId="0">
      <text>
        <t>Abri — Normal, statut
10 PP · Priorité +4</t>
      </text>
    </comment>
    <comment ref="C1104" authorId="0" shapeId="0">
      <text>
        <t>Bulles d'O — Eau, spéciale
Puissance 65 · Précision 100 % · 20 PP
Envoie des bulles pouvant baisser la Vitesse.</t>
      </text>
    </comment>
    <comment ref="B1105" authorId="0" shapeId="0">
      <text>
        <t>Groz'Yeux — Normal, statut
Précision 100 % · 30 PP
Lance un regard noir et baisse la Défense.</t>
      </text>
    </comment>
    <comment ref="C1105" authorId="0" shapeId="0">
      <text>
        <t>Étincelle — Électrik, physique
Puissance 65 · Précision 100 % · 20 PP
Une charge électrique qui peut paralyser
l'ennemi.</t>
      </text>
    </comment>
    <comment ref="B1107" authorId="0" shapeId="0">
      <text>
        <t>PONYTA — Feu
PV 50 · Att 85 · Déf 55
Att.Spé 65 · Déf.Spé 65 · Vit 90
Total 410
Talents : Fuite, Torche (caché : Corps Ardent)</t>
      </text>
    </comment>
    <comment ref="C1107" authorId="0" shapeId="0">
      <text>
        <t>BOUSTIFLOR — Plante / Poison
PV 65 · Att 90 · Déf 50
Att.Spé 85 · Déf.Spé 45 · Vit 55
Total 390
Talents : Chlorophylle (caché : Gloutonnerie)</t>
      </text>
    </comment>
    <comment ref="B1110" authorId="0" shapeId="0">
      <text>
        <t>Fuite
Améliore chances de fuite.</t>
      </text>
    </comment>
    <comment ref="C1110" authorId="0" shapeId="0">
      <text>
        <t>Chlorophylle
Augmente Vitesse au soleil.</t>
      </text>
    </comment>
    <comment ref="B1111" authorId="0" shapeId="0">
      <text>
        <t>Flammèche — Feu, spéciale
Puissance 40 · Précision 100 % · 25 PP
Une faible attaque de feu pouvant brûler
l'ennemi.</t>
      </text>
    </comment>
    <comment ref="C1111" authorId="0" shapeId="0">
      <text>
        <t>Ligotage — Normal, physique
Puissance 15 · Précision 90 % · 20 PP</t>
      </text>
    </comment>
    <comment ref="B1112" authorId="0" shapeId="0">
      <text>
        <t>Roue de Feu — Feu, physique
Puissance 60 · Précision 100 % · 25 PP
Une charge enflammée qui peut brûler l'ennemi.</t>
      </text>
    </comment>
    <comment ref="C1112" authorId="0" shapeId="0">
      <text>
        <t>Poudre Dodo — Plante, statut
Précision 75 % · 15 PP
Répand une poudre pouvant endormir l'ennemi.</t>
      </text>
    </comment>
    <comment ref="B1113" authorId="0" shapeId="0">
      <text>
        <t>Écrasement — Normal, physique
Puissance 65 · Précision 100 % · 20 PP
Écrase avec un énorme pied. Peut apeurer
l'ennemi.</t>
      </text>
    </comment>
    <comment ref="C1113" authorId="0" shapeId="0">
      <text>
        <t>Poudre Toxik — Poison, statut
Précision 75 % · 35 PP
Répand une poudre toxique pouvant empoisonner.</t>
      </text>
    </comment>
    <comment ref="B1114" authorId="0" shapeId="0">
      <text>
        <t>Nitrocharge — Feu, physique
Puissance 50 · Précision 100 % · 20 PP
Une charge enflammée. Monte la Vitesse.</t>
      </text>
    </comment>
    <comment ref="C1114" authorId="0" shapeId="0">
      <text>
        <t>Para-Spore — Plante, statut
Précision 75 % · 30 PP
Répand une poudre pouvant paralyser l'ennemi.</t>
      </text>
    </comment>
    <comment ref="B1116" authorId="0" shapeId="0">
      <text>
        <t>MACHOC — Combat
PV 70 · Att 80 · Déf 50
Att.Spé 35 · Déf.Spé 35 · Vit 35
Total 305
Talents : Cran, Annule Garde (caché :
  Impassible)</t>
      </text>
    </comment>
    <comment ref="C1116" authorId="0" shapeId="0">
      <text>
        <t>TETARTE — Eau
PV 65 · Att 65 · Déf 65
Att.Spé 50 · Déf.Spé 50 · Vit 90
Total 385
Talents : Absorbe-Eau, Moiteur (caché :
  Glissade)</t>
      </text>
    </comment>
    <comment ref="D1116" authorId="0" shapeId="0">
      <text>
        <t>MARAISTE — Eau / Sol
PV 95 · Att 85 · Déf 85
Att.Spé 65 · Déf.Spé 65 · Vit 35
Total 430
Talents : Moiteur, Absorbe-Eau (caché :
  Inconscient)</t>
      </text>
    </comment>
    <comment ref="B1119" authorId="0" shapeId="0">
      <text>
        <t>Cran
Monte l'Attaque si statut.</t>
      </text>
    </comment>
    <comment ref="C1119" authorId="0" shapeId="0">
      <text>
        <t>Absorbe-Eau
Change l'eau en PV.</t>
      </text>
    </comment>
    <comment ref="D1119" authorId="0" shapeId="0">
      <text>
        <t>Moiteur
Empêche auto-destruction.</t>
      </text>
    </comment>
    <comment ref="B1120" authorId="0" shapeId="0">
      <text>
        <t>Balayette — Combat, physique
Puissance 65 · Précision 100 % · 20 PP
Frappe les jambes et baisse la Vitesse.</t>
      </text>
    </comment>
    <comment ref="C1120" authorId="0" shapeId="0">
      <text>
        <t>Écume — Eau, spéciale
Puissance 40 · Précision 100 % · 30 PP
Une attaque de bulles pouvant baisser la
Vitesse.</t>
      </text>
    </comment>
    <comment ref="D1120" authorId="0" shapeId="0">
      <text>
        <t>Tir de Boue — Sol, spéciale
Puissance 55 · Précision 95 % · 15 PP
Envoie de la boue à l'ennemi pour réduire sa
Vitesse.</t>
      </text>
    </comment>
    <comment ref="B1121" authorId="0" shapeId="0">
      <text>
        <t>Frappe Atlas — Combat, physique
Puissance 1 · Précision 100 % · 20 PP
Inflige des dégâts selon le niveau du lanceur.</t>
      </text>
    </comment>
    <comment ref="C1121" authorId="0" shapeId="0">
      <text>
        <t>Torgnoles — Normal, physique
Puissance 15 · Précision 85 % · 10 PP
Gifle rapidement l'ennemi de 2 à 5 fois.</t>
      </text>
    </comment>
    <comment ref="D1121" authorId="0" shapeId="0">
      <text>
        <t>Souplesse — Normal, physique
Puissance 80 · Précision 75 % · 20 PP
Fouette l'ennemi avec la queue, une liane,
etc.</t>
      </text>
    </comment>
    <comment ref="B1122" authorId="0" shapeId="0">
      <text>
        <t>Vendetta — Combat, physique
Puissance 60 · Précision 100 % · 10 PP ·
Priorité -4</t>
      </text>
    </comment>
    <comment ref="C1122" authorId="0" shapeId="0">
      <text>
        <t>Danse Pluie — Eau, statut
5 PP
Améliore les attaques Eau pendant 5 tours.</t>
      </text>
    </comment>
    <comment ref="D1122" authorId="0" shapeId="0">
      <text>
        <t>Boue-Bombe — Sol, spéciale
Puissance 65 · Précision 85 % · 10 PP
Une boule de boue qui baisse la Précision.</t>
      </text>
    </comment>
    <comment ref="B1123" authorId="0" shapeId="0">
      <text>
        <t>Sabotage — Ténèbres, physique
Puissance 65 · Précision 100 % · 20 PP
Frappe l'objet tenu pour le rendre
inutilisable.</t>
      </text>
    </comment>
    <comment ref="C1123" authorId="0" shapeId="0">
      <text>
        <t>Plaquage — Normal, physique
Puissance 85 · Précision 100 % · 15 PP
Une attaque en charge. Peut paralyser
l'ennemi.</t>
      </text>
    </comment>
    <comment ref="D1123" authorId="0" shapeId="0">
      <text>
        <t>Amnésie — Psy, statut
20 PP
Oublie quelque chose et booste la Déf. Spé.</t>
      </text>
    </comment>
    <comment ref="B1125" authorId="0" shapeId="0">
      <text>
        <t>ROUCOUPS — Normal / Vol
PV 63 · Att 60 · Déf 55
Att.Spé 50 · Déf.Spé 50 · Vit 71
Total 349
Talents : Regard Vif, Pieds Confus (caché :
  Cœur de Coq)</t>
      </text>
    </comment>
    <comment ref="C1125" authorId="0" shapeId="0">
      <text>
        <t>RAPASDEPIC — Normal / Vol
PV 65 · Att 90 · Déf 65
Att.Spé 61 · Déf.Spé 61 · Vit 100
Total 442
Talents : Regard Vif (caché : Sniper)</t>
      </text>
    </comment>
    <comment ref="B1128" authorId="0" shapeId="0">
      <text>
        <t>Regard Vif
Empêche perte de précision.</t>
      </text>
    </comment>
    <comment ref="C1128" authorId="0" shapeId="0">
      <text>
        <t>Regard Vif
Empêche perte de précision.</t>
      </text>
    </comment>
    <comment ref="B1129" authorId="0" shapeId="0">
      <text>
        <t>Cyclone — Normal, statut
20 PP · Priorité -6
Souffle l'ennemi. Contre un Dresseur, le
remplace.</t>
      </text>
    </comment>
    <comment ref="C1129" authorId="0" shapeId="0">
      <text>
        <t>Furie — Normal, physique
Puissance 15 · Précision 85 % · 20 PP
Frappe l'ennemi 2 à 5 fois avec une corne, un
bec, etc.</t>
      </text>
    </comment>
    <comment ref="B1130" authorId="0" shapeId="0">
      <text>
        <t>Roulade — Roche, physique
Puissance 30 · Précision 90 % · 20 PP
Une attaque sur 5 tours, de plus en plus
puissante.</t>
      </text>
    </comment>
    <comment ref="C1130" authorId="0" shapeId="0">
      <text>
        <t>Aéropique — Vol, physique
Puissance 60 · Ne rate jamais · 20 PP
Attaque très rapide et imparable.</t>
      </text>
    </comment>
    <comment ref="B1131" authorId="0" shapeId="0">
      <text>
        <t>Ouragan — Dragon, spéciale
Puissance 40 · Précision 100 % · 20 PP
Déclenche un terrible ouragan blessant
l'ennemi.</t>
      </text>
    </comment>
    <comment ref="C1131" authorId="0" shapeId="0">
      <text>
        <t>Mimique — Vol, statut
20 PP
Contre l'attaque de l'ennemi avec la même
attaque.</t>
      </text>
    </comment>
    <comment ref="B1132" authorId="0" shapeId="0">
      <text>
        <t>Cru-Ailes — Vol, physique
Puissance 60 · Précision 100 % · 35 PP
Frappe l'ennemi en déployant les ailes.</t>
      </text>
    </comment>
    <comment ref="C1132" authorId="0" shapeId="0">
      <text>
        <t>Assurance — Ténèbres, physique
Puissance 60 · Précision 100 % · 10 PP
Plus puissant si l'ennemi a déjà été blessé.</t>
      </text>
    </comment>
    <comment ref="B1135" authorId="0" shapeId="0">
      <text>
        <t>TENTACOOL — Eau / Poison
PV 40 · Att 40 · Déf 35
Att.Spé 50 · Déf.Spé 100 · Vit 70
Total 335
Talents : Corps Sain, Suintement (caché :
  Cuvette)</t>
      </text>
    </comment>
    <comment ref="C1135" authorId="0" shapeId="0">
      <text>
        <t>TENTACOOL — Eau / Poison
PV 40 · Att 40 · Déf 35
Att.Spé 50 · Déf.Spé 100 · Vit 70
Total 335
Talents : Corps Sain, Suintement (caché :
  Cuvette)</t>
      </text>
    </comment>
    <comment ref="B1138" authorId="0" shapeId="0">
      <text>
        <t>Corps Sain
Empêche réduction de cap.</t>
      </text>
    </comment>
    <comment ref="C1138" authorId="0" shapeId="0">
      <text>
        <t>Corps Sain
Empêche réduction de cap.</t>
      </text>
    </comment>
    <comment ref="B1139" authorId="0" shapeId="0">
      <text>
        <t>Vibraqua — Eau, spéciale
Puissance 60 · Précision 100 % · 20 PP
Envoi des ondes aquatiques. Peut rendre
confus.</t>
      </text>
    </comment>
    <comment ref="C1139" authorId="0" shapeId="0">
      <text>
        <t>Vibraqua — Eau, spéciale
Puissance 60 · Précision 100 % · 20 PP
Envoi des ondes aquatiques. Peut rendre
confus.</t>
      </text>
    </comment>
    <comment ref="B1140" authorId="0" shapeId="0">
      <text>
        <t>Ligotage — Normal, physique
Puissance 15 · Précision 90 % · 20 PP</t>
      </text>
    </comment>
    <comment ref="C1140" authorId="0" shapeId="0">
      <text>
        <t>Ligotage — Normal, physique
Puissance 15 · Précision 90 % · 20 PP</t>
      </text>
    </comment>
    <comment ref="B1141" authorId="0" shapeId="0">
      <text>
        <t>Bombe Acide — Poison, spéciale
Puissance 40 · Précision 100 % · 20 PP
Un acide qui baisse beaucoup la Déf. Spé.</t>
      </text>
    </comment>
    <comment ref="C1141" authorId="0" shapeId="0">
      <text>
        <t>Bombe Acide — Poison, spéciale
Puissance 40 · Précision 100 % · 20 PP
Un acide qui baisse beaucoup la Déf. Spé.</t>
      </text>
    </comment>
    <comment ref="B1142" authorId="0" shapeId="0">
      <text>
        <t>Bulles d'O — Eau, spéciale
Puissance 65 · Précision 100 % · 20 PP
Envoie des bulles pouvant baisser la Vitesse.</t>
      </text>
    </comment>
    <comment ref="C1142" authorId="0" shapeId="0">
      <text>
        <t>Bulles d'O — Eau, spéciale
Puissance 65 · Précision 100 % · 20 PP
Envoie des bulles pouvant baisser la Vitesse.</t>
      </text>
    </comment>
    <comment ref="B1144" authorId="0" shapeId="0">
      <text>
        <t>KOKIYAS — Eau
PV 30 · Att 65 · Déf 100
Att.Spé 45 · Déf.Spé 25 · Vit 40
Total 305
Talents : Coque Armure, Multi-Coups (caché :
  Envelocape)</t>
      </text>
    </comment>
    <comment ref="C1144" authorId="0" shapeId="0">
      <text>
        <t>CARABAFFE — Eau
PV 59 · Att 63 · Déf 80
Att.Spé 65 · Déf.Spé 80 · Vit 58
Total 405
Talents : Torrent (caché : Cuvette)</t>
      </text>
    </comment>
    <comment ref="B1147" authorId="0" shapeId="0">
      <text>
        <t>Coque Armure
Bloque les coups critiques.</t>
      </text>
    </comment>
    <comment ref="C1147" authorId="0" shapeId="0">
      <text>
        <t>Torrent
Augmente attaques Eau.</t>
      </text>
    </comment>
    <comment ref="B1148" authorId="0" shapeId="0">
      <text>
        <t>Stalactite — Glace, physique
Puissance 25 · Précision 100 % · 30 PP
Mitraille l'ennemi avec 2 à 5 glaçons à la
suite.</t>
      </text>
    </comment>
    <comment ref="C1148" authorId="0" shapeId="0">
      <text>
        <t>Écume — Eau, spéciale
Puissance 40 · Précision 100 % · 30 PP
Une attaque de bulles pouvant baisser la
Vitesse.</t>
      </text>
    </comment>
    <comment ref="B1149" authorId="0" shapeId="0">
      <text>
        <t>Abri — Normal, statut
10 PP · Priorité +4</t>
      </text>
    </comment>
    <comment ref="C1149" authorId="0" shapeId="0">
      <text>
        <t>Morsure — Ténèbres, physique
Puissance 60 · Précision 100 % · 25 PP
Mord méchamment l'ennemi et peut l'apeurer.</t>
      </text>
    </comment>
    <comment ref="B1150" authorId="0" shapeId="0">
      <text>
        <t>Groz'Yeux — Normal, statut
Précision 100 % · 30 PP
Lance un regard noir et baisse la Défense.</t>
      </text>
    </comment>
    <comment ref="C1150" authorId="0" shapeId="0">
      <text>
        <t>Tour Rapide — Normal, physique
Puissance 50 · Précision 100 % · 40 PP</t>
      </text>
    </comment>
    <comment ref="B1151" authorId="0" shapeId="0">
      <text>
        <t>Claquoir — Eau, physique
Puissance 35 · Précision 85 % · 15 PP</t>
      </text>
    </comment>
    <comment ref="C1151" authorId="0" shapeId="0">
      <text>
        <t>Abri — Normal, statut
10 PP · Priorité +4</t>
      </text>
    </comment>
    <comment ref="B1153" authorId="0" shapeId="0">
      <text>
        <t>STAROSS — Eau / Psy
PV 60 · Att 75 · Déf 85
Att.Spé 100 · Déf.Spé 85 · Vit 115
Total 520
Talents : Lumiattirance, Médic Nature (caché :
  Analyste)</t>
      </text>
    </comment>
    <comment ref="B1156" authorId="0" shapeId="0">
      <text>
        <t>Lumiattirance
Augmente les rencontres.</t>
      </text>
    </comment>
    <comment ref="B1157" authorId="0" shapeId="0">
      <text>
        <t>Pistolet à O — Eau, spéciale
Puissance 40 · Précision 100 % · 25 PP
Attaque l'ennemi en projetant de l'eau.</t>
      </text>
    </comment>
    <comment ref="B1158" authorId="0" shapeId="0">
      <text>
        <t>Tour Rapide — Normal, physique
Puissance 50 · Précision 100 % · 40 PP</t>
      </text>
    </comment>
    <comment ref="B1159" authorId="0" shapeId="0">
      <text>
        <t>Soin — Normal, statut
5 PP
Restaure jusqu'à la moitié des PV max du
lanceur.</t>
      </text>
    </comment>
    <comment ref="B1160" authorId="0" shapeId="0">
      <text>
        <t>Météores — Normal, spéciale
Puissance 60 · Ne rate jamais · 20 PP
Envoie des rayons en forme d'étoile. Touche
toujours.</t>
      </text>
    </comment>
    <comment ref="B1162" authorId="0" shapeId="0">
      <text>
        <t>STARI — Eau
PV 30 · Att 45 · Déf 55
Att.Spé 70 · Déf.Spé 55 · Vit 85
Total 340
Talents : Lumiattirance, Médic Nature (caché :
  Analyste)</t>
      </text>
    </comment>
    <comment ref="C1162" authorId="0" shapeId="0">
      <text>
        <t>KOKIYAS — Eau
PV 30 · Att 65 · Déf 100
Att.Spé 45 · Déf.Spé 25 · Vit 40
Total 305
Talents : Coque Armure, Multi-Coups (caché :
  Envelocape)</t>
      </text>
    </comment>
    <comment ref="B1165" authorId="0" shapeId="0">
      <text>
        <t>Lumiattirance
Augmente les rencontres.</t>
      </text>
    </comment>
    <comment ref="C1165" authorId="0" shapeId="0">
      <text>
        <t>Coque Armure
Bloque les coups critiques.</t>
      </text>
    </comment>
    <comment ref="B1166" authorId="0" shapeId="0">
      <text>
        <t>Météores — Normal, spéciale
Puissance 60 · Ne rate jamais · 20 PP
Envoie des rayons en forme d'étoile. Touche
toujours.</t>
      </text>
    </comment>
    <comment ref="C1166" authorId="0" shapeId="0">
      <text>
        <t>Stalactite — Glace, physique
Puissance 25 · Précision 100 % · 30 PP
Mitraille l'ennemi avec 2 à 5 glaçons à la
suite.</t>
      </text>
    </comment>
    <comment ref="B1167" authorId="0" shapeId="0">
      <text>
        <t>Bulles d'O — Eau, spéciale
Puissance 65 · Précision 100 % · 20 PP
Envoie des bulles pouvant baisser la Vitesse.</t>
      </text>
    </comment>
    <comment ref="C1167" authorId="0" shapeId="0">
      <text>
        <t>Abri — Normal, statut
10 PP · Priorité +4</t>
      </text>
    </comment>
    <comment ref="B1168" authorId="0" shapeId="0">
      <text>
        <t>Camouflage — Normal, statut
20 PP
Change le type du Pokémon selon le lieu.</t>
      </text>
    </comment>
    <comment ref="C1168" authorId="0" shapeId="0">
      <text>
        <t>Groz'Yeux — Normal, statut
Précision 100 % · 30 PP
Lance un regard noir et baisse la Défense.</t>
      </text>
    </comment>
    <comment ref="B1169" authorId="0" shapeId="0">
      <text>
        <t>Gyroballe — Acier, physique
Puissance 1 · Précision 100 % · 5 PP
Une toupie qui blesse plus un ennemi rapide.</t>
      </text>
    </comment>
    <comment ref="C1169" authorId="0" shapeId="0">
      <text>
        <t>Claquoir — Eau, physique
Puissance 35 · Précision 85 % · 15 PP</t>
      </text>
    </comment>
    <comment ref="B1172" authorId="0" shapeId="0">
      <text>
        <t>CRUSTABRI — Eau / Glace
PV 50 · Att 95 · Déf 180
Att.Spé 85 · Déf.Spé 45 · Vit 70
Total 525
Talents : Coque Armure, Multi-Coups (caché :
  Envelocape)</t>
      </text>
    </comment>
    <comment ref="C1172" authorId="0" shapeId="0">
      <text>
        <t>TENTACRUEL — Eau / Poison
PV 80 · Att 70 · Déf 65
Att.Spé 80 · Déf.Spé 120 · Vit 100
Total 515
Talents : Corps Sain, Suintement (caché :
  Cuvette)</t>
      </text>
    </comment>
    <comment ref="B1175" authorId="0" shapeId="0">
      <text>
        <t>Coque Armure
Bloque les coups critiques.</t>
      </text>
    </comment>
    <comment ref="C1175" authorId="0" shapeId="0">
      <text>
        <t>Corps Sain
Empêche réduction de cap.</t>
      </text>
    </comment>
    <comment ref="B1176" authorId="0" shapeId="0">
      <text>
        <t>Ultrason — Normal, statut
Précision 55 % · 20 PP
Étranges ondes sonores pouvant rendre confus.</t>
      </text>
    </comment>
    <comment ref="C1176" authorId="0" shapeId="0">
      <text>
        <t>Vibraqua — Eau, spéciale
Puissance 60 · Précision 100 % · 20 PP
Envoi des ondes aquatiques. Peut rendre
confus.</t>
      </text>
    </comment>
    <comment ref="B1177" authorId="0" shapeId="0">
      <text>
        <t>Abri — Normal, statut
10 PP · Priorité +4</t>
      </text>
    </comment>
    <comment ref="C1177" authorId="0" shapeId="0">
      <text>
        <t>Ligotage — Normal, physique
Puissance 15 · Précision 90 % · 20 PP</t>
      </text>
    </comment>
    <comment ref="B1178" authorId="0" shapeId="0">
      <text>
        <t>Onde Boréale — Glace, spéciale
Puissance 65 · Précision 100 % · 20 PP
Envoie un rayon arc-en-ciel pouvant baisser
l'Attaque.</t>
      </text>
    </comment>
    <comment ref="C1178" authorId="0" shapeId="0">
      <text>
        <t>Bombe Acide — Poison, spéciale
Puissance 40 · Précision 100 % · 20 PP
Un acide qui baisse beaucoup la Déf. Spé.</t>
      </text>
    </comment>
    <comment ref="B1179" authorId="0" shapeId="0">
      <text>
        <t>Picanon — Normal, physique
Puissance 20 · Précision 100 % · 15 PP
Lance des pointes qui frappent 2 à 5 fois.</t>
      </text>
    </comment>
    <comment ref="C1179" authorId="0" shapeId="0">
      <text>
        <t>Bulles d'O — Eau, spéciale
Puissance 65 · Précision 100 % · 20 PP
Envoie des bulles pouvant baisser la Vitesse.</t>
      </text>
    </comment>
    <comment ref="B1181" authorId="0" shapeId="0">
      <text>
        <t>TENTACOOL — Eau / Poison
PV 40 · Att 40 · Déf 35
Att.Spé 50 · Déf.Spé 100 · Vit 70
Total 335
Talents : Corps Sain, Suintement (caché :
  Cuvette)</t>
      </text>
    </comment>
    <comment ref="C1181" authorId="0" shapeId="0">
      <text>
        <t>REMORAID — Eau
PV 35 · Att 65 · Déf 35
Att.Spé 65 · Déf.Spé 35 · Vit 65
Total 300
Talents : Agitation, Sniper (caché :
  Lunatique)</t>
      </text>
    </comment>
    <comment ref="D1181" authorId="0" shapeId="0">
      <text>
        <t>STARI — Eau
PV 30 · Att 45 · Déf 55
Att.Spé 70 · Déf.Spé 55 · Vit 85
Total 340
Talents : Lumiattirance, Médic Nature (caché :
  Analyste)</t>
      </text>
    </comment>
    <comment ref="B1184" authorId="0" shapeId="0">
      <text>
        <t>Corps Sain
Empêche réduction de cap.</t>
      </text>
    </comment>
    <comment ref="C1184" authorId="0" shapeId="0">
      <text>
        <t>Agitation
Substitue préc. par puiss.</t>
      </text>
    </comment>
    <comment ref="D1184" authorId="0" shapeId="0">
      <text>
        <t>Lumiattirance
Augmente les rencontres.</t>
      </text>
    </comment>
    <comment ref="B1185" authorId="0" shapeId="0">
      <text>
        <t>Vibraqua — Eau, spéciale
Puissance 60 · Précision 100 % · 20 PP
Envoi des ondes aquatiques. Peut rendre
confus.</t>
      </text>
    </comment>
    <comment ref="C1185" authorId="0" shapeId="0">
      <text>
        <t>Onde Boréale — Glace, spéciale
Puissance 65 · Précision 100 % · 20 PP
Envoie un rayon arc-en-ciel pouvant baisser
l'Attaque.</t>
      </text>
    </comment>
    <comment ref="D1185" authorId="0" shapeId="0">
      <text>
        <t>Météores — Normal, spéciale
Puissance 60 · Ne rate jamais · 20 PP
Envoie des rayons en forme d'étoile. Touche
toujours.</t>
      </text>
    </comment>
    <comment ref="B1186" authorId="0" shapeId="0">
      <text>
        <t>Ligotage — Normal, physique
Puissance 15 · Précision 90 % · 20 PP</t>
      </text>
    </comment>
    <comment ref="C1186" authorId="0" shapeId="0">
      <text>
        <t>Bulles d'O — Eau, spéciale
Puissance 65 · Précision 100 % · 20 PP
Envoie des bulles pouvant baisser la Vitesse.</t>
      </text>
    </comment>
    <comment ref="D1186" authorId="0" shapeId="0">
      <text>
        <t>Bulles d'O — Eau, spéciale
Puissance 65 · Précision 100 % · 20 PP
Envoie des bulles pouvant baisser la Vitesse.</t>
      </text>
    </comment>
    <comment ref="B1187" authorId="0" shapeId="0">
      <text>
        <t>Bombe Acide — Poison, spéciale
Puissance 40 · Précision 100 % · 20 PP
Un acide qui baisse beaucoup la Déf. Spé.</t>
      </text>
    </comment>
    <comment ref="C1187" authorId="0" shapeId="0">
      <text>
        <t>Puissance — Normal, statut
30 PP
Concentration pour booster le taux de
critiques.</t>
      </text>
    </comment>
    <comment ref="D1187" authorId="0" shapeId="0">
      <text>
        <t>Camouflage — Normal, statut
20 PP
Change le type du Pokémon selon le lieu.</t>
      </text>
    </comment>
    <comment ref="B1188" authorId="0" shapeId="0">
      <text>
        <t>Bulles d'O — Eau, spéciale
Puissance 65 · Précision 100 % · 20 PP
Envoie des bulles pouvant baisser la Vitesse.</t>
      </text>
    </comment>
    <comment ref="C1188" authorId="0" shapeId="0">
      <text>
        <t>Vibraqua — Eau, spéciale
Puissance 60 · Précision 100 % · 20 PP
Envoi des ondes aquatiques. Peut rendre
confus.</t>
      </text>
    </comment>
    <comment ref="D1188" authorId="0" shapeId="0">
      <text>
        <t>Gyroballe — Acier, physique
Puissance 1 · Précision 100 % · 5 PP
Une toupie qui blesse plus un ennemi rapide.</t>
      </text>
    </comment>
    <comment ref="B1190" authorId="0" shapeId="0">
      <text>
        <t>QWILFISH — Eau / Poison
PV 65 · Att 95 · Déf 85
Att.Spé 55 · Déf.Spé 55 · Vit 85
Total 440
Talents : Point Poison, Glissade (caché :
  Intimidation)</t>
      </text>
    </comment>
    <comment ref="B1193" authorId="0" shapeId="0">
      <text>
        <t>Point Poison
Empoisonne quand touché.</t>
      </text>
    </comment>
    <comment ref="B1194" authorId="0" shapeId="0">
      <text>
        <t>Roulade — Roche, physique
Puissance 30 · Précision 90 % · 20 PP
Une attaque sur 5 tours, de plus en plus
puissante.</t>
      </text>
    </comment>
    <comment ref="B1195" authorId="0" shapeId="0">
      <text>
        <t>Pics Toxik — Poison, statut
20 PP
Des pics qui empoisonnent l'arrivant.</t>
      </text>
    </comment>
    <comment ref="B1196" authorId="0" shapeId="0">
      <text>
        <t>Stockage — Normal, statut
20 PP
Accumule de la puissance pendant 3 tours
maximum.</t>
      </text>
    </comment>
    <comment ref="B1197" authorId="0" shapeId="0">
      <text>
        <t>Relâche — Normal, spéciale
Puissance 1 · Précision 100 % · 10 PP
Libère la puissance précédemment accumulée.</t>
      </text>
    </comment>
    <comment ref="B1199" authorId="0" shapeId="0">
      <text>
        <t>LEVIATOR — Eau / Vol
PV 95 · Att 125 · Déf 79
Att.Spé 60 · Déf.Spé 100 · Vit 81
Total 540
Talents : Intimidation (caché : Impudence)</t>
      </text>
    </comment>
    <comment ref="C1199" authorId="0" shapeId="0">
      <text>
        <t>LEVIATOR — Eau / Vol
PV 95 · Att 125 · Déf 79
Att.Spé 60 · Déf.Spé 100 · Vit 81
Total 540
Talents : Intimidation (caché : Impudence)</t>
      </text>
    </comment>
    <comment ref="B1202" authorId="0" shapeId="0">
      <text>
        <t>Intimidation
Baisse l'Attaque ennemie.</t>
      </text>
    </comment>
    <comment ref="C1202" authorId="0" shapeId="0">
      <text>
        <t>Intimidation
Baisse l'Attaque ennemie.</t>
      </text>
    </comment>
    <comment ref="B1203" authorId="0" shapeId="0">
      <text>
        <t>Mania — Normal, physique
Puissance 120 · Précision 100 % · 10 PP
Une attaque furieuse de 2 à 3 tours. Lanceur
confus.</t>
      </text>
    </comment>
    <comment ref="C1203" authorId="0" shapeId="0">
      <text>
        <t>Mania — Normal, physique
Puissance 120 · Précision 100 % · 10 PP
Une attaque furieuse de 2 à 3 tours. Lanceur
confus.</t>
      </text>
    </comment>
    <comment ref="B1204" authorId="0" shapeId="0">
      <text>
        <t>Groz'Yeux — Normal, statut
Précision 100 % · 30 PP
Lance un regard noir et baisse la Défense.</t>
      </text>
    </comment>
    <comment ref="C1204" authorId="0" shapeId="0">
      <text>
        <t>Groz'Yeux — Normal, statut
Précision 100 % · 30 PP
Lance un regard noir et baisse la Défense.</t>
      </text>
    </comment>
    <comment ref="B1205" authorId="0" shapeId="0">
      <text>
        <t>Siphon — Eau, spéciale
Puissance 35 · Précision 85 % · 15 PP</t>
      </text>
    </comment>
    <comment ref="C1205" authorId="0" shapeId="0">
      <text>
        <t>Siphon — Eau, spéciale
Puissance 35 · Précision 85 % · 15 PP</t>
      </text>
    </comment>
    <comment ref="B1206" authorId="0" shapeId="0">
      <text>
        <t>Ouragan — Dragon, spéciale
Puissance 40 · Précision 100 % · 20 PP
Déclenche un terrible ouragan blessant
l'ennemi.</t>
      </text>
    </comment>
    <comment ref="C1206" authorId="0" shapeId="0">
      <text>
        <t>Ouragan — Dragon, spéciale
Puissance 40 · Précision 100 % · 20 PP
Déclenche un terrible ouragan blessant
l'ennemi.</t>
      </text>
    </comment>
    <comment ref="B1208" authorId="0" shapeId="0">
      <text>
        <t>KRABBY — Eau
PV 30 · Att 105 · Déf 90
Att.Spé 25 · Déf.Spé 25 · Vit 50
Total 325
Talents : Hyper Cutter, Coque Armure (caché :
  Sans Limite)</t>
      </text>
    </comment>
    <comment ref="C1208" authorId="0" shapeId="0">
      <text>
        <t>QWILFISH — Eau / Poison
PV 65 · Att 95 · Déf 85
Att.Spé 55 · Déf.Spé 55 · Vit 85
Total 440
Talents : Point Poison, Glissade (caché :
  Intimidation)</t>
      </text>
    </comment>
    <comment ref="B1211" authorId="0" shapeId="0">
      <text>
        <t>Hyper Cutter
Empêche réduction Attaque.</t>
      </text>
    </comment>
    <comment ref="C1211" authorId="0" shapeId="0">
      <text>
        <t>Point Poison
Empoisonne quand touché.</t>
      </text>
    </comment>
    <comment ref="B1212" authorId="0" shapeId="0">
      <text>
        <t>Bulles d'O — Eau, spéciale
Puissance 65 · Précision 100 % · 20 PP
Envoie des bulles pouvant baisser la Vitesse.</t>
      </text>
    </comment>
    <comment ref="C1212" authorId="0" shapeId="0">
      <text>
        <t>Roulade — Roche, physique
Puissance 30 · Précision 90 % · 20 PP
Une attaque sur 5 tours, de plus en plus
puissante.</t>
      </text>
    </comment>
    <comment ref="B1213" authorId="0" shapeId="0">
      <text>
        <t>Tir de Boue — Sol, spéciale
Puissance 55 · Précision 95 % · 15 PP
Envoie de la boue à l'ennemi pour réduire sa
Vitesse.</t>
      </text>
    </comment>
    <comment ref="C1213" authorId="0" shapeId="0">
      <text>
        <t>Pics Toxik — Poison, statut
20 PP
Des pics qui empoisonnent l'arrivant.</t>
      </text>
    </comment>
    <comment ref="B1214" authorId="0" shapeId="0">
      <text>
        <t>Griffe Acier — Acier, physique
Puissance 50 · Précision 95 % · 35 PP
Attaque avec des griffes. Peut augmenter
l'Attaque.</t>
      </text>
    </comment>
    <comment ref="C1214" authorId="0" shapeId="0">
      <text>
        <t>Stockage — Normal, statut
20 PP
Accumule de la puissance pendant 3 tours
maximum.</t>
      </text>
    </comment>
    <comment ref="B1215" authorId="0" shapeId="0">
      <text>
        <t>Écrasement — Normal, physique
Puissance 65 · Précision 100 % · 20 PP
Écrase avec un énorme pied. Peut apeurer
l'ennemi.</t>
      </text>
    </comment>
    <comment ref="C1215" authorId="0" shapeId="0">
      <text>
        <t>Relâche — Normal, spéciale
Puissance 1 · Précision 100 % · 10 PP
Libère la puissance précédemment accumulée.</t>
      </text>
    </comment>
    <comment ref="B1217" authorId="0" shapeId="0">
      <text>
        <t>POISSOROY — Eau
PV 80 · Att 92 · Déf 65
Att.Spé 65 · Déf.Spé 80 · Vit 68
Total 450
Talents : Glissade, Ignifu-Voile (caché :
  Paratonnerre)</t>
      </text>
    </comment>
    <comment ref="C1217" authorId="0" shapeId="0">
      <text>
        <t>LANTURN — Eau / Électrik
PV 125 · Att 58 · Déf 58
Att.Spé 76 · Déf.Spé 76 · Vit 67
Total 460
Talents : Absorbe-Volt, Lumiattirance (caché :
  Absorbe-Eau)</t>
      </text>
    </comment>
    <comment ref="D1217" authorId="0" shapeId="0">
      <text>
        <t>MARAISTE — Eau / Sol
PV 95 · Att 85 · Déf 85
Att.Spé 65 · Déf.Spé 65 · Vit 35
Total 430
Talents : Moiteur, Absorbe-Eau (caché :
  Inconscient)</t>
      </text>
    </comment>
    <comment ref="B1220" authorId="0" shapeId="0">
      <text>
        <t>Glissade
Monte Vitesse s'il pleut.</t>
      </text>
    </comment>
    <comment ref="C1220" authorId="0" shapeId="0">
      <text>
        <t>Absorbe-Volt
Change l'électricité en PV.</t>
      </text>
    </comment>
    <comment ref="D1220" authorId="0" shapeId="0">
      <text>
        <t>Moiteur
Empêche auto-destruction.</t>
      </text>
    </comment>
    <comment ref="B1221" authorId="0" shapeId="0">
      <text>
        <t>Gigotage — Normal, physique
Puissance 1 · Précision 100 % · 15 PP
Inflige plus de dégâts si les PV du lanceur
sont faibles.</t>
      </text>
    </comment>
    <comment ref="C1221" authorId="0" shapeId="0">
      <text>
        <t>Pistolet à O — Eau, spéciale
Puissance 40 · Précision 100 % · 25 PP
Attaque l'ennemi en projetant de l'eau.</t>
      </text>
    </comment>
    <comment ref="D1221" authorId="0" shapeId="0">
      <text>
        <t>Tir de Boue — Sol, spéciale
Puissance 55 · Précision 95 % · 15 PP
Envoie de la boue à l'ennemi pour réduire sa
Vitesse.</t>
      </text>
    </comment>
    <comment ref="B1222" authorId="0" shapeId="0">
      <text>
        <t>Vibraqua — Eau, spéciale
Puissance 60 · Précision 100 % · 20 PP
Envoi des ondes aquatiques. Peut rendre
confus.</t>
      </text>
    </comment>
    <comment ref="C1222" authorId="0" shapeId="0">
      <text>
        <t>Onde Folie — Spectre, statut
Précision 100 % · 10 PP
Un horrible rayon qui rend l'ennemi confus.</t>
      </text>
    </comment>
    <comment ref="D1222" authorId="0" shapeId="0">
      <text>
        <t>Souplesse — Normal, physique
Puissance 80 · Précision 75 % · 20 PP
Fouette l'ennemi avec la queue, une liane,
etc.</t>
      </text>
    </comment>
    <comment ref="B1223" authorId="0" shapeId="0">
      <text>
        <t>Anneau Hydro — Eau, statut
20 PP
Un voile d'eau qui restaure des PV.</t>
      </text>
    </comment>
    <comment ref="C1223" authorId="0" shapeId="0">
      <text>
        <t>Bulles d'O — Eau, spéciale
Puissance 65 · Précision 100 % · 20 PP
Envoie des bulles pouvant baisser la Vitesse.</t>
      </text>
    </comment>
    <comment ref="D1223" authorId="0" shapeId="0">
      <text>
        <t>Boue-Bombe — Sol, spéciale
Puissance 65 · Précision 85 % · 10 PP
Une boule de boue qui baisse la Précision.</t>
      </text>
    </comment>
    <comment ref="B1224" authorId="0" shapeId="0">
      <text>
        <t>Furie — Normal, physique
Puissance 15 · Précision 85 % · 20 PP
Frappe l'ennemi 2 à 5 fois avec une corne, un
bec, etc.</t>
      </text>
    </comment>
    <comment ref="C1224" authorId="0" shapeId="0">
      <text>
        <t>Étincelle — Électrik, physique
Puissance 65 · Précision 100 % · 20 PP
Une charge électrique qui peut paralyser
l'ennemi.</t>
      </text>
    </comment>
    <comment ref="D1224" authorId="0" shapeId="0">
      <text>
        <t>Amnésie — Psy, statut
20 PP
Oublie quelque chose et booste la Déf. Spé.</t>
      </text>
    </comment>
    <comment ref="B1226" authorId="0" shapeId="0">
      <text>
        <t>PSYKOKWAK — Eau
PV 50 · Att 52 · Déf 48
Att.Spé 65 · Déf.Spé 50 · Vit 55
Total 320
Talents : Moiteur, Ciel Gris (caché :
  Glissade)</t>
      </text>
    </comment>
    <comment ref="C1226" authorId="0" shapeId="0">
      <text>
        <t>POISSOROY — Eau
PV 80 · Att 92 · Déf 65
Att.Spé 65 · Déf.Spé 80 · Vit 68
Total 450
Talents : Glissade, Ignifu-Voile (caché :
  Paratonnerre)</t>
      </text>
    </comment>
    <comment ref="B1229" authorId="0" shapeId="0">
      <text>
        <t>Moiteur
Empêche auto-destruction.</t>
      </text>
    </comment>
    <comment ref="C1229" authorId="0" shapeId="0">
      <text>
        <t>Glissade
Monte Vitesse s'il pleut.</t>
      </text>
    </comment>
    <comment ref="B1230" authorId="0" shapeId="0">
      <text>
        <t>Vibraqua — Eau, spéciale
Puissance 60 · Précision 100 % · 20 PP
Envoi des ondes aquatiques. Peut rendre
confus.</t>
      </text>
    </comment>
    <comment ref="C1230" authorId="0" shapeId="0">
      <text>
        <t>Gigotage — Normal, physique
Puissance 1 · Précision 100 % · 15 PP
Inflige plus de dégâts si les PV du lanceur
sont faibles.</t>
      </text>
    </comment>
    <comment ref="B1231" authorId="0" shapeId="0">
      <text>
        <t>Entrave — Normal, statut
Précision 100 % · 20 PP</t>
      </text>
    </comment>
    <comment ref="C1231" authorId="0" shapeId="0">
      <text>
        <t>Vibraqua — Eau, spéciale
Puissance 60 · Précision 100 % · 20 PP
Envoi des ondes aquatiques. Peut rendre
confus.</t>
      </text>
    </comment>
    <comment ref="B1232" authorId="0" shapeId="0">
      <text>
        <t>Grincement — Normal, statut
Précision 85 % · 40 PP
Cri strident qui baisse la Défense ennemie.</t>
      </text>
    </comment>
    <comment ref="C1232" authorId="0" shapeId="0">
      <text>
        <t>Anneau Hydro — Eau, statut
20 PP
Un voile d'eau qui restaure des PV.</t>
      </text>
    </comment>
    <comment ref="B1233" authorId="0" shapeId="0">
      <text>
        <t>Psykoud'Boul — Psy, physique
Puissance 80 · Précision 90 % · 15 PP
Un coup de tête. Peut apeurer l'ennemi.</t>
      </text>
    </comment>
    <comment ref="C1233" authorId="0" shapeId="0">
      <text>
        <t>Furie — Normal, physique
Puissance 15 · Précision 85 % · 20 PP
Frappe l'ennemi 2 à 5 fois avec une corne, un
bec, etc.</t>
      </text>
    </comment>
    <comment ref="B1235" authorId="0" shapeId="0">
      <text>
        <t>LOKHLASS — Eau / Glace
PV 130 · Att 85 · Déf 80
Att.Spé 85 · Déf.Spé 95 · Vit 60
Total 535
Talents : Absorbe-Eau, Coque Armure (caché :
  Hydratation)</t>
      </text>
    </comment>
    <comment ref="B1238" authorId="0" shapeId="0">
      <text>
        <t>Absorbe-Eau
Change l'eau en PV.</t>
      </text>
    </comment>
    <comment ref="B1239" authorId="0" shapeId="0">
      <text>
        <t>Vibraqua — Eau, spéciale
Puissance 60 · Précision 100 % · 20 PP
Envoi des ondes aquatiques. Peut rendre
confus.</t>
      </text>
    </comment>
    <comment ref="B1240" authorId="0" shapeId="0">
      <text>
        <t>Plaquage — Normal, physique
Puissance 85 · Précision 100 % · 15 PP
Une attaque en charge. Peut paralyser
l'ennemi.</t>
      </text>
    </comment>
    <comment ref="B1241" authorId="0" shapeId="0">
      <text>
        <t>Danse Pluie — Eau, statut
5 PP
Améliore les attaques Eau pendant 5 tours.</t>
      </text>
    </comment>
    <comment ref="B1242" authorId="0" shapeId="0">
      <text>
        <t>Requiem — Normal, statut
5 PP
Un Pokémon qui entend ce requiem est KO en 3
tours.</t>
      </text>
    </comment>
    <comment ref="B1244" authorId="0" shapeId="0">
      <text>
        <t>HYPOTREMPE — Eau
PV 30 · Att 40 · Déf 70
Att.Spé 70 · Déf.Spé 25 · Vit 60
Total 295
Talents : Glissade, Sniper (caché : Moiteur)</t>
      </text>
    </comment>
    <comment ref="C1244" authorId="0" shapeId="0">
      <text>
        <t>STAROSS — Eau / Psy
PV 60 · Att 75 · Déf 85
Att.Spé 100 · Déf.Spé 85 · Vit 115
Total 520
Talents : Lumiattirance, Médic Nature (caché :
  Analyste)</t>
      </text>
    </comment>
    <comment ref="B1247" authorId="0" shapeId="0">
      <text>
        <t>Glissade
Monte Vitesse s'il pleut.</t>
      </text>
    </comment>
    <comment ref="C1247" authorId="0" shapeId="0">
      <text>
        <t>Lumiattirance
Augmente les rencontres.</t>
      </text>
    </comment>
    <comment ref="B1248" authorId="0" shapeId="0">
      <text>
        <t>Groz'Yeux — Normal, statut
Précision 100 % · 30 PP
Lance un regard noir et baisse la Défense.</t>
      </text>
    </comment>
    <comment ref="C1248" authorId="0" shapeId="0">
      <text>
        <t>Pistolet à O — Eau, spéciale
Puissance 40 · Précision 100 % · 25 PP
Attaque l'ennemi en projetant de l'eau.</t>
      </text>
    </comment>
    <comment ref="B1249" authorId="0" shapeId="0">
      <text>
        <t>Pistolet à O — Eau, spéciale
Puissance 40 · Précision 100 % · 25 PP
Attaque l'ennemi en projetant de l'eau.</t>
      </text>
    </comment>
    <comment ref="C1249" authorId="0" shapeId="0">
      <text>
        <t>Tour Rapide — Normal, physique
Puissance 50 · Précision 100 % · 40 PP</t>
      </text>
    </comment>
    <comment ref="B1250" authorId="0" shapeId="0">
      <text>
        <t>Ouragan — Dragon, spéciale
Puissance 40 · Précision 100 % · 20 PP
Déclenche un terrible ouragan blessant
l'ennemi.</t>
      </text>
    </comment>
    <comment ref="C1250" authorId="0" shapeId="0">
      <text>
        <t>Soin — Normal, statut
5 PP
Restaure jusqu'à la moitié des PV max du
lanceur.</t>
      </text>
    </comment>
    <comment ref="B1251" authorId="0" shapeId="0">
      <text>
        <t>Bulles d'O — Eau, spéciale
Puissance 65 · Précision 100 % · 20 PP
Envoie des bulles pouvant baisser la Vitesse.</t>
      </text>
    </comment>
    <comment ref="C1251" authorId="0" shapeId="0">
      <text>
        <t>Météores — Normal, spéciale
Puissance 60 · Ne rate jamais · 20 PP
Envoie des rayons en forme d'étoile. Touche
toujours.</t>
      </text>
    </comment>
    <comment ref="B1253" authorId="0" shapeId="0">
      <text>
        <t>HYPOTREMPE — Eau
PV 30 · Att 40 · Déf 70
Att.Spé 70 · Déf.Spé 25 · Vit 60
Total 295
Talents : Glissade, Sniper (caché : Moiteur)</t>
      </text>
    </comment>
    <comment ref="C1253" authorId="0" shapeId="0">
      <text>
        <t>HYPOCEAN — Eau
PV 55 · Att 65 · Déf 95
Att.Spé 95 · Déf.Spé 45 · Vit 85
Total 440
Talents : Point Poison, Sniper (caché :
  Moiteur)</t>
      </text>
    </comment>
    <comment ref="B1256" authorId="0" shapeId="0">
      <text>
        <t>Glissade
Monte Vitesse s'il pleut.</t>
      </text>
    </comment>
    <comment ref="C1256" authorId="0" shapeId="0">
      <text>
        <t>Point Poison
Empoisonne quand touché.</t>
      </text>
    </comment>
    <comment ref="B1257" authorId="0" shapeId="0">
      <text>
        <t>Pistolet à O — Eau, spéciale
Puissance 40 · Précision 100 % · 25 PP
Attaque l'ennemi en projetant de l'eau.</t>
      </text>
    </comment>
    <comment ref="C1257" authorId="0" shapeId="0">
      <text>
        <t>Pistolet à O — Eau, spéciale
Puissance 40 · Précision 100 % · 25 PP
Attaque l'ennemi en projetant de l'eau.</t>
      </text>
    </comment>
    <comment ref="B1258" authorId="0" shapeId="0">
      <text>
        <t>Ouragan — Dragon, spéciale
Puissance 40 · Précision 100 % · 20 PP
Déclenche un terrible ouragan blessant
l'ennemi.</t>
      </text>
    </comment>
    <comment ref="C1258" authorId="0" shapeId="0">
      <text>
        <t>Ouragan — Dragon, spéciale
Puissance 40 · Précision 100 % · 20 PP
Déclenche un terrible ouragan blessant
l'ennemi.</t>
      </text>
    </comment>
    <comment ref="B1259" authorId="0" shapeId="0">
      <text>
        <t>Bulles d'O — Eau, spéciale
Puissance 65 · Précision 100 % · 20 PP
Envoie des bulles pouvant baisser la Vitesse.</t>
      </text>
    </comment>
    <comment ref="C1259" authorId="0" shapeId="0">
      <text>
        <t>Bulles d'O — Eau, spéciale
Puissance 65 · Précision 100 % · 20 PP
Envoie des bulles pouvant baisser la Vitesse.</t>
      </text>
    </comment>
    <comment ref="B1260" authorId="0" shapeId="0">
      <text>
        <t>Puissance — Normal, statut
30 PP
Concentration pour booster le taux de
critiques.</t>
      </text>
    </comment>
    <comment ref="C1260" authorId="0" shapeId="0">
      <text>
        <t>Puissance — Normal, statut
30 PP
Concentration pour booster le taux de
critiques.</t>
      </text>
    </comment>
    <comment ref="B1263" authorId="0" shapeId="0">
      <text>
        <t>TARPAUD — Eau
PV 90 · Att 75 · Déf 75
Att.Spé 90 · Déf.Spé 100 · Vit 70
Total 500
Talents : Absorbe-Eau, Moiteur (caché :
  Crachin)</t>
      </text>
    </comment>
    <comment ref="C1263" authorId="0" shapeId="0">
      <text>
        <t>HYPNOMADE — Psy
PV 85 · Att 73 · Déf 70
Att.Spé 73 · Déf.Spé 115 · Vit 67
Total 483
Talents : Insomnia, Prédiction (caché :
  Attention)</t>
      </text>
    </comment>
    <comment ref="D1263" authorId="0" shapeId="0">
      <text>
        <t>ELECTRODE — Électrik
PV 60 · Att 50 · Déf 70
Att.Spé 80 · Déf.Spé 80 · Vit 150
Total 490
Talents : Anti-Bruit, Statik (caché : Boom
  Final)</t>
      </text>
    </comment>
    <comment ref="B1266" authorId="0" shapeId="0">
      <text>
        <t>Absorbe-Eau
Change l'eau en PV.</t>
      </text>
    </comment>
    <comment ref="C1266" authorId="0" shapeId="0">
      <text>
        <t>Insomnia
Empêche de s'endormir.</t>
      </text>
    </comment>
    <comment ref="D1266" authorId="0" shapeId="0">
      <text>
        <t>Anti-Bruit
Évite les coups sonores.</t>
      </text>
    </comment>
    <comment ref="B1267" authorId="0" shapeId="0">
      <text>
        <t>Bulles d'O — Eau, spéciale
Puissance 65 · Précision 100 % · 20 PP
Envoie des bulles pouvant baisser la Vitesse.</t>
      </text>
    </comment>
    <comment ref="C1267" authorId="0" shapeId="0">
      <text>
        <t>Hypnose — Psy, statut
Précision 60 % · 20 PP
Une attaque hypnotique pouvant endormir
l'ennemi.</t>
      </text>
    </comment>
    <comment ref="D1267" authorId="0" shapeId="0">
      <text>
        <t>Cage Éclair — Électrik, statut
Précision 90 % · 20 PP
Un faible choc électrique qui paralyse
l'ennemi.</t>
      </text>
    </comment>
    <comment ref="B1268" authorId="0" shapeId="0">
      <text>
        <t>Danse Pluie — Eau, statut
5 PP
Améliore les attaques Eau pendant 5 tours.</t>
      </text>
    </comment>
    <comment ref="C1268" authorId="0" shapeId="0">
      <text>
        <t>Entrave — Normal, statut
Précision 100 % · 20 PP</t>
      </text>
    </comment>
    <comment ref="D1268" authorId="0" shapeId="0">
      <text>
        <t>Sonic Boom — Normal, spéciale
Puissance 1 · Précision 90 % · 20 PP
Envoie des ondes de choc infligeant 20 PV de
dégâts.</t>
      </text>
    </comment>
    <comment ref="B1269" authorId="0" shapeId="0">
      <text>
        <t>Hypnose — Psy, statut
Précision 60 % · 20 PP
Une attaque hypnotique pouvant endormir
l'ennemi.</t>
      </text>
    </comment>
    <comment ref="C1269" authorId="0" shapeId="0">
      <text>
        <t>Choc Mental — Psy, spéciale
Puissance 50 · Précision 100 % · 25 PP
Une attaque Psy pouvant rendre l'ennemi
confus.</t>
      </text>
    </comment>
    <comment ref="D1269" authorId="0" shapeId="0">
      <text>
        <t>Plaquage — Normal, physique
Puissance 85 · Précision 100 % · 15 PP
Une attaque en charge. Peut paralyser
l'ennemi.</t>
      </text>
    </comment>
    <comment ref="B1270" authorId="0" shapeId="0">
      <text>
        <t>Vent Glace — Glace, spéciale
Puissance 55 · Précision 95 % · 15 PP
Attaque glaciale. Baisse la Vitesse de
l'ennemi.</t>
      </text>
    </comment>
    <comment ref="C1270" authorId="0" shapeId="0">
      <text>
        <t>Dévorêve — Psy, spéciale
Puissance 100 · Précision 100 % · 15 PP
Aspire la moitié des dégâts infligés à
l'ennemi endormi.</t>
      </text>
    </comment>
    <comment ref="D1270" authorId="0" shapeId="0">
      <text>
        <t>Tonnerre — Électrik, spéciale
Puissance 90 · Précision 100 % · 15 PP
Forte attaque électrique pouvant paralyser
l'ennemi.</t>
      </text>
    </comment>
    <comment ref="B1273" authorId="0" shapeId="0">
      <text>
        <t>KAPOERA — Combat
PV 50 · Att 95 · Déf 95
Att.Spé 35 · Déf.Spé 110 · Vit 70
Total 455
Talents : Intimidation, Technicien (caché :
  Impassible)</t>
      </text>
    </comment>
    <comment ref="C1273" authorId="0" shapeId="0">
      <text>
        <t>COLOSSINGE — Combat
PV 65 · Att 105 · Déf 60
Att.Spé 60 · Déf.Spé 70 · Vit 95
Total 455
Talents : Esprit Vital, Colérique (caché :
  Acharné)</t>
      </text>
    </comment>
    <comment ref="D1273" authorId="0" shapeId="0">
      <text>
        <t>SIMULARBRE — Roche
PV 70 · Att 100 · Déf 115
Att.Spé 30 · Déf.Spé 65 · Vit 30
Total 410
Talents : Fermeté, Tête de Roc (caché :
  Phobique)</t>
      </text>
    </comment>
    <comment ref="E1273" authorId="0" shapeId="0">
      <text>
        <t>TARTARD — Eau / Combat
PV 90 · Att 95 · Déf 95
Att.Spé 70 · Déf.Spé 90 · Vit 70
Total 510
Talents : Absorbe-Eau, Moiteur (caché :
  Glissade)</t>
      </text>
    </comment>
    <comment ref="E1275" authorId="0" shapeId="0">
      <text>
        <t>Ceinture Noire
Objet tenu montant la puissance des attaques
Combat.</t>
      </text>
    </comment>
    <comment ref="B1276" authorId="0" shapeId="0">
      <text>
        <t>Intimidation
Baisse l'Attaque ennemie.</t>
      </text>
    </comment>
    <comment ref="C1276" authorId="0" shapeId="0">
      <text>
        <t>Esprit Vital
Empêche le sommeil.</t>
      </text>
    </comment>
    <comment ref="D1276" authorId="0" shapeId="0">
      <text>
        <t>Fermeté
Ignore les K.O. en un coup.</t>
      </text>
    </comment>
    <comment ref="E1276" authorId="0" shapeId="0">
      <text>
        <t>Absorbe-Eau
Change l'eau en PV.</t>
      </text>
    </comment>
    <comment ref="B1277" authorId="0" shapeId="0">
      <text>
        <t>Triple Pied — Combat, physique
Puissance 10 · Précision 90 % · 10 PP
Trois coups de pied de plus en plus puissants.</t>
      </text>
    </comment>
    <comment ref="C1277" authorId="0" shapeId="0">
      <text>
        <t>Balayage — Combat, physique
Puissance 1 · Précision 100 % · 20 PP
Un coup de pied faisant plus mal aux ennemis
lourds.</t>
      </text>
    </comment>
    <comment ref="D1277" authorId="0" shapeId="0">
      <text>
        <t>Éboulement — Roche, physique
Puissance 75 · Précision 90 % · 10 PP
Envoie de gros rochers. Peut apeurer l'ennemi.</t>
      </text>
    </comment>
    <comment ref="E1277" authorId="0" shapeId="0">
      <text>
        <t>Hypnose — Psy, statut
Précision 60 % · 20 PP
Une attaque hypnotique pouvant endormir
l'ennemi.</t>
      </text>
    </comment>
    <comment ref="B1278" authorId="0" shapeId="0">
      <text>
        <t>Mawashi Geri — Combat, physique
Puissance 60 · Précision 85 % · 15 PP
Un coup de pied tournoyant et extrêmement
rapide.</t>
      </text>
    </comment>
    <comment ref="C1278" authorId="0" shapeId="0">
      <text>
        <t>Poing Karaté — Combat, physique
Puissance 50 · Précision 100 % · 25 PP
Une attaque tranchante à taux de critiques
élevé.</t>
      </text>
    </comment>
    <comment ref="D1278" authorId="0" shapeId="0">
      <text>
        <t>Martobois — Plante, physique
Puissance 120 · Précision 100 % · 15 PP
Jette son corps sur l'ennemi. Se blesse aussi.</t>
      </text>
    </comment>
    <comment ref="E1278" authorId="0" shapeId="0">
      <text>
        <t>Lire-Esprit — Normal, statut
5 PP
Pressent l'action pour réussir l'attaque
suivante.</t>
      </text>
    </comment>
    <comment ref="B1279" authorId="0" shapeId="0">
      <text>
        <t>Tunnel — Sol, physique
Puissance 80 · Précision 100 % · 10 PP
Creuse sous terre au 1{SUPER_ER} tour et
frappe au 2{SUPER_E}.</t>
      </text>
    </comment>
    <comment ref="C1279" authorId="0" shapeId="0">
      <text>
        <t>Poing Glace — Glace, physique
Puissance 75 · Précision 100 % · 15 PP</t>
      </text>
    </comment>
    <comment ref="D1279" authorId="0" shapeId="0">
      <text>
        <t>Balayage — Combat, physique
Puissance 1 · Précision 100 % · 20 PP
Un coup de pied faisant plus mal aux ennemis
lourds.</t>
      </text>
    </comment>
    <comment ref="E1279" authorId="0" shapeId="0">
      <text>
        <t>Surf — Eau, spéciale
Puissance 90 · Précision 100 % · 15 PP</t>
      </text>
    </comment>
    <comment ref="B1280" authorId="0" shapeId="0">
      <text>
        <t>Poursuite — Ténèbres, physique
Puissance 40 · Précision 100 % · 20 PP
Inflige de sérieux dégâts lorsque l'ennemi
change.</t>
      </text>
    </comment>
    <comment ref="C1280" authorId="0" shapeId="0">
      <text>
        <t>Frénésie — Normal, physique
Puissance 20 · Précision 100 % · 20 PP
Augmente l'Attaque du lanceur à chaque coup
reçu.</t>
      </text>
    </comment>
    <comment ref="D1280" authorId="0" shapeId="0">
      <text>
        <t>Feinte — Ténèbres, physique
Puissance 60 · Ne rate jamais · 20 PP
Approche l'ennemi et frappe à coup sûr.</t>
      </text>
    </comment>
    <comment ref="E1280" authorId="0" shapeId="0">
      <text>
        <t>Dynamo-Poing — Combat, physique
Puissance 100 · Précision 50 % · 5 PP
Puissant et rend confus, mais pas très précis.</t>
      </text>
    </comment>
    <comment ref="B1282" authorId="0" shapeId="0">
      <text>
        <t>KAPOERA — Combat
PV 50 · Att 95 · Déf 95
Att.Spé 35 · Déf.Spé 110 · Vit 70
Total 455
Talents : Intimidation, Technicien (caché :
  Impassible)</t>
      </text>
    </comment>
    <comment ref="C1282" authorId="0" shapeId="0">
      <text>
        <t>SIMULARBRE — Roche
PV 70 · Att 100 · Déf 115
Att.Spé 30 · Déf.Spé 65 · Vit 30
Total 410
Talents : Fermeté, Tête de Roc (caché :
  Phobique)</t>
      </text>
    </comment>
    <comment ref="D1282" authorId="0" shapeId="0">
      <text>
        <t>COLOSSINGE — Combat
PV 65 · Att 105 · Déf 60
Att.Spé 60 · Déf.Spé 70 · Vit 95
Total 455
Talents : Esprit Vital, Colérique (caché :
  Acharné)</t>
      </text>
    </comment>
    <comment ref="E1282" authorId="0" shapeId="0">
      <text>
        <t>SCARABRUTE — Insecte
PV 65 · Att 125 · Déf 100
Att.Spé 55 · Déf.Spé 70 · Vit 85
Total 500
Talents : Hyper Cutter, Brise Moule (caché :
  Impudence)</t>
      </text>
    </comment>
    <comment ref="F1282" authorId="0" shapeId="0">
      <text>
        <t>TARTARD — Eau / Combat
PV 90 · Att 95 · Déf 95
Att.Spé 70 · Déf.Spé 90 · Vit 70
Total 510
Talents : Absorbe-Eau, Moiteur (caché :
  Glissade)</t>
      </text>
    </comment>
    <comment ref="F1284" authorId="0" shapeId="0">
      <text>
        <t>Ceinture Noire
Objet tenu montant la puissance des attaques
Combat.</t>
      </text>
    </comment>
    <comment ref="B1285" authorId="0" shapeId="0">
      <text>
        <t>Intimidation
Baisse l'Attaque ennemie.</t>
      </text>
    </comment>
    <comment ref="C1285" authorId="0" shapeId="0">
      <text>
        <t>Fermeté
Ignore les K.O. en un coup.</t>
      </text>
    </comment>
    <comment ref="D1285" authorId="0" shapeId="0">
      <text>
        <t>Esprit Vital
Empêche le sommeil.</t>
      </text>
    </comment>
    <comment ref="E1285" authorId="0" shapeId="0">
      <text>
        <t>Hyper Cutter
Empêche réduction Attaque.</t>
      </text>
    </comment>
    <comment ref="F1285" authorId="0" shapeId="0">
      <text>
        <t>Absorbe-Eau
Change l'eau en PV.</t>
      </text>
    </comment>
    <comment ref="B1286" authorId="0" shapeId="0">
      <text>
        <t>Triple Pied — Combat, physique
Puissance 10 · Précision 90 % · 10 PP
Trois coups de pied de plus en plus puissants.</t>
      </text>
    </comment>
    <comment ref="C1286" authorId="0" shapeId="0">
      <text>
        <t>Éboulement — Roche, physique
Puissance 75 · Précision 90 % · 10 PP
Envoie de gros rochers. Peut apeurer l'ennemi.</t>
      </text>
    </comment>
    <comment ref="D1286" authorId="0" shapeId="0">
      <text>
        <t>Balayage — Combat, physique
Puissance 1 · Précision 100 % · 20 PP
Un coup de pied faisant plus mal aux ennemis
lourds.</t>
      </text>
    </comment>
    <comment ref="E1286" authorId="0" shapeId="0">
      <text>
        <t>Casse-Brique — Combat, physique
Puissance 75 · Précision 100 % · 15 PP
Détruit les barrières comme Protection et
blesse.</t>
      </text>
    </comment>
    <comment ref="F1286" authorId="0" shapeId="0">
      <text>
        <t>Hypnose — Psy, statut
Précision 60 % · 20 PP
Une attaque hypnotique pouvant endormir
l'ennemi.</t>
      </text>
    </comment>
    <comment ref="B1287" authorId="0" shapeId="0">
      <text>
        <t>Mawashi Geri — Combat, physique
Puissance 60 · Précision 85 % · 15 PP
Un coup de pied tournoyant et extrêmement
rapide.</t>
      </text>
    </comment>
    <comment ref="C1287" authorId="0" shapeId="0">
      <text>
        <t>Martobois — Plante, physique
Puissance 120 · Précision 100 % · 15 PP
Jette son corps sur l'ennemi. Se blesse aussi.</t>
      </text>
    </comment>
    <comment ref="D1287" authorId="0" shapeId="0">
      <text>
        <t>Poing Karaté — Combat, physique
Puissance 50 · Précision 100 % · 25 PP
Une attaque tranchante à taux de critiques
élevé.</t>
      </text>
    </comment>
    <comment ref="E1287" authorId="0" shapeId="0">
      <text>
        <t>Plaie Croix — Insecte, physique
Puissance 80 · Précision 100 % · 15 PP
Taillade l'ennemi de ses faux croisées.</t>
      </text>
    </comment>
    <comment ref="F1287" authorId="0" shapeId="0">
      <text>
        <t>Lire-Esprit — Normal, statut
5 PP
Pressent l'action pour réussir l'attaque
suivante.</t>
      </text>
    </comment>
    <comment ref="B1288" authorId="0" shapeId="0">
      <text>
        <t>Tunnel — Sol, physique
Puissance 80 · Précision 100 % · 10 PP
Creuse sous terre au 1{SUPER_ER} tour et
frappe au 2{SUPER_E}.</t>
      </text>
    </comment>
    <comment ref="C1288" authorId="0" shapeId="0">
      <text>
        <t>Balayage — Combat, physique
Puissance 1 · Précision 100 % · 20 PP
Un coup de pied faisant plus mal aux ennemis
lourds.</t>
      </text>
    </comment>
    <comment ref="D1288" authorId="0" shapeId="0">
      <text>
        <t>Poing Glace — Glace, physique
Puissance 75 · Précision 100 % · 15 PP</t>
      </text>
    </comment>
    <comment ref="E1288" authorId="0" shapeId="0">
      <text>
        <t>Force Poigne — Normal, physique
Puissance 55 · Précision 100 % · 30 PP
L’ennemi est attrapé et compressé par les
côtés.</t>
      </text>
    </comment>
    <comment ref="F1288" authorId="0" shapeId="0">
      <text>
        <t>Surf — Eau, spéciale
Puissance 90 · Précision 100 % · 15 PP</t>
      </text>
    </comment>
    <comment ref="B1289" authorId="0" shapeId="0">
      <text>
        <t>Poursuite — Ténèbres, physique
Puissance 40 · Précision 100 % · 20 PP
Inflige de sérieux dégâts lorsque l'ennemi
change.</t>
      </text>
    </comment>
    <comment ref="C1289" authorId="0" shapeId="0">
      <text>
        <t>Feinte — Ténèbres, physique
Puissance 60 · Ne rate jamais · 20 PP
Approche l'ennemi et frappe à coup sûr.</t>
      </text>
    </comment>
    <comment ref="D1289" authorId="0" shapeId="0">
      <text>
        <t>Poing de Colère — Spectre, physique
Puissance 50 · Précision 100 % · 10 PP
Plus le lanceur a été touché, plus c'est fort.</t>
      </text>
    </comment>
    <comment ref="E1289" authorId="0" shapeId="0">
      <text>
        <t>Armure — Normal, statut
30 PP
Contracte les muscles pour augmenter la
Défense.</t>
      </text>
    </comment>
    <comment ref="F1289" authorId="0" shapeId="0">
      <text>
        <t>Dynamo-Poing — Combat, physique
Puissance 100 · Précision 50 % · 5 PP
Puissant et rend confus, mais pas très précis.</t>
      </text>
    </comment>
    <comment ref="B1291" authorId="0" shapeId="0">
      <text>
        <t>KAPOERA — Combat
PV 50 · Att 95 · Déf 95
Att.Spé 35 · Déf.Spé 110 · Vit 70
Total 455
Talents : Intimidation, Technicien (caché :
  Impassible)</t>
      </text>
    </comment>
    <comment ref="C1291" authorId="0" shapeId="0">
      <text>
        <t>SIMULARBRE — Roche
PV 70 · Att 100 · Déf 115
Att.Spé 30 · Déf.Spé 65 · Vit 30
Total 410
Talents : Fermeté, Tête de Roc (caché :
  Phobique)</t>
      </text>
    </comment>
    <comment ref="D1291" authorId="0" shapeId="0">
      <text>
        <t>COURROUSINGE — Combat / Spectre
PV 110 · Att 115 · Déf 80
Att.Spé 50 · Déf.Spé 90 · Vit 90
Total 535
Talents : Esprit Vital, Attention (caché :
  Acharné)</t>
      </text>
    </comment>
    <comment ref="E1291" authorId="0" shapeId="0">
      <text>
        <t>SCARABRUTE — Insecte
PV 65 · Att 125 · Déf 100
Att.Spé 55 · Déf.Spé 70 · Vit 85
Total 500
Talents : Hyper Cutter, Brise Moule (caché :
  Impudence)</t>
      </text>
    </comment>
    <comment ref="F1291" authorId="0" shapeId="0">
      <text>
        <t>TARTARD — Eau / Combat
PV 90 · Att 95 · Déf 95
Att.Spé 70 · Déf.Spé 90 · Vit 70
Total 510
Talents : Absorbe-Eau, Moiteur (caché :
  Glissade)</t>
      </text>
    </comment>
    <comment ref="F1293" authorId="0" shapeId="0">
      <text>
        <t>Ceinture Noire
Objet tenu montant la puissance des attaques
Combat.</t>
      </text>
    </comment>
    <comment ref="B1294" authorId="0" shapeId="0">
      <text>
        <t>Intimidation
Baisse l'Attaque ennemie.</t>
      </text>
    </comment>
    <comment ref="C1294" authorId="0" shapeId="0">
      <text>
        <t>Fermeté
Ignore les K.O. en un coup.</t>
      </text>
    </comment>
    <comment ref="D1294" authorId="0" shapeId="0">
      <text>
        <t>Esprit Vital
Empêche le sommeil.</t>
      </text>
    </comment>
    <comment ref="E1294" authorId="0" shapeId="0">
      <text>
        <t>Hyper Cutter
Empêche réduction Attaque.</t>
      </text>
    </comment>
    <comment ref="F1294" authorId="0" shapeId="0">
      <text>
        <t>Absorbe-Eau
Change l'eau en PV.</t>
      </text>
    </comment>
    <comment ref="B1295" authorId="0" shapeId="0">
      <text>
        <t>Triple Pied — Combat, physique
Puissance 10 · Précision 90 % · 10 PP
Trois coups de pied de plus en plus puissants.</t>
      </text>
    </comment>
    <comment ref="C1295" authorId="0" shapeId="0">
      <text>
        <t>Éboulement — Roche, physique
Puissance 75 · Précision 90 % · 10 PP
Envoie de gros rochers. Peut apeurer l'ennemi.</t>
      </text>
    </comment>
    <comment ref="D1295" authorId="0" shapeId="0">
      <text>
        <t>Poing Ombre — Spectre, physique
Puissance 60 · Ne rate jamais · 20 PP
Un coup de poing imparable sortant de l'ombre.</t>
      </text>
    </comment>
    <comment ref="E1295" authorId="0" shapeId="0">
      <text>
        <t>Sacrifice — Combat, physique
Puissance 80 · Précision 80 % · 20 PP
Une charge violente qui blesse aussi le
lanceur.</t>
      </text>
    </comment>
    <comment ref="F1295" authorId="0" shapeId="0">
      <text>
        <t>Poing Glace — Glace, physique
Puissance 75 · Précision 100 % · 15 PP</t>
      </text>
    </comment>
    <comment ref="B1296" authorId="0" shapeId="0">
      <text>
        <t>Mawashi Geri — Combat, physique
Puissance 60 · Précision 85 % · 15 PP
Un coup de pied tournoyant et extrêmement
rapide.</t>
      </text>
    </comment>
    <comment ref="C1296" authorId="0" shapeId="0">
      <text>
        <t>Martobois — Plante, physique
Puissance 120 · Précision 100 % · 15 PP
Jette son corps sur l'ennemi. Se blesse aussi.</t>
      </text>
    </comment>
    <comment ref="D1296" authorId="0" shapeId="0">
      <text>
        <t>Casse-Brique — Combat, physique
Puissance 75 · Précision 100 % · 15 PP
Détruit les barrières comme Protection et
blesse.</t>
      </text>
    </comment>
    <comment ref="E1296" authorId="0" shapeId="0">
      <text>
        <t>Plaie Croix — Insecte, physique
Puissance 80 · Précision 100 % · 15 PP
Taillade l'ennemi de ses faux croisées.</t>
      </text>
    </comment>
    <comment ref="F1296" authorId="0" shapeId="0">
      <text>
        <t>Hypnose — Psy, statut
Précision 60 % · 20 PP
Une attaque hypnotique pouvant endormir
l'ennemi.</t>
      </text>
    </comment>
    <comment ref="B1297" authorId="0" shapeId="0">
      <text>
        <t>Tunnel — Sol, physique
Puissance 80 · Précision 100 % · 10 PP
Creuse sous terre au 1{SUPER_ER} tour et
frappe au 2{SUPER_E}.</t>
      </text>
    </comment>
    <comment ref="C1297" authorId="0" shapeId="0">
      <text>
        <t>Balayage — Combat, physique
Puissance 1 · Précision 100 % · 20 PP
Un coup de pied faisant plus mal aux ennemis
lourds.</t>
      </text>
    </comment>
    <comment ref="D1297" authorId="0" shapeId="0">
      <text>
        <t>Poing Glace — Glace, physique
Puissance 75 · Précision 100 % · 15 PP</t>
      </text>
    </comment>
    <comment ref="E1297" authorId="0" shapeId="0">
      <text>
        <t>Force — Normal, physique
Puissance 80 · Précision 100 % · 15 PP
Accumule de la puissance, puis frappe
l'ennemi.</t>
      </text>
    </comment>
    <comment ref="F1297" authorId="0" shapeId="0">
      <text>
        <t>Cascade — Eau, physique
Puissance 80 · Précision 100 % · 15 PP
Charge rapide permettant de franchir des
cascades.</t>
      </text>
    </comment>
    <comment ref="B1298" authorId="0" shapeId="0">
      <text>
        <t>Poursuite — Ténèbres, physique
Puissance 40 · Précision 100 % · 20 PP
Inflige de sérieux dégâts lorsque l'ennemi
change.</t>
      </text>
    </comment>
    <comment ref="C1298" authorId="0" shapeId="0">
      <text>
        <t>Feinte — Ténèbres, physique
Puissance 60 · Ne rate jamais · 20 PP
Approche l'ennemi et frappe à coup sûr.</t>
      </text>
    </comment>
    <comment ref="D1298" authorId="0" shapeId="0">
      <text>
        <t>Poing de Colère — Spectre, physique
Puissance 50 · Précision 100 % · 10 PP
Plus le lanceur a été touché, plus c'est fort.</t>
      </text>
    </comment>
    <comment ref="E1298" authorId="0" shapeId="0">
      <text>
        <t>Danse Lames — Normal, statut
20 PP
Une danse de combat pour booster l'Attaque.</t>
      </text>
    </comment>
    <comment ref="F1298" authorId="0" shapeId="0">
      <text>
        <t>Dynamo-Poing — Combat, physique
Puissance 100 · Précision 50 % · 5 PP
Puissant et rend confus, mais pas très précis.</t>
      </text>
    </comment>
    <comment ref="B1300" authorId="0" shapeId="0">
      <text>
        <t>KICKLEE — Combat
PV 50 · Att 120 · Déf 53
Att.Spé 35 · Déf.Spé 110 · Vit 87
Total 455
Talents : Échauffement, Téméraire (caché :
  Délestage)</t>
      </text>
    </comment>
    <comment ref="B1303" authorId="0" shapeId="0">
      <text>
        <t>Échauffement
Empêche la paralysie.</t>
      </text>
    </comment>
    <comment ref="B1304" authorId="0" shapeId="0">
      <text>
        <t>Casse-Brique — Combat, physique
Puissance 75 · Précision 100 % · 15 PP
Détruit les barrières comme Protection et
blesse.</t>
      </text>
    </comment>
    <comment ref="B1305" authorId="0" shapeId="0">
      <text>
        <t>Puissance — Normal, statut
30 PP
Concentration pour booster le taux de
critiques.</t>
      </text>
    </comment>
    <comment ref="B1306" authorId="0" shapeId="0">
      <text>
        <t>Ruse — Normal, physique
Puissance 30 · Précision 100 % · 10 PP ·
Priorité +2</t>
      </text>
    </comment>
    <comment ref="B1307" authorId="0" shapeId="0">
      <text>
        <t>Pied Voltige — Combat, physique
Puissance 130 · Précision 90 % · 10 PP
Un coup de genou sauté. Blesse s'il rate.</t>
      </text>
    </comment>
    <comment ref="B1309" authorId="0" shapeId="0">
      <text>
        <t>TYGNON — Combat
PV 50 · Att 105 · Déf 79
Att.Spé 35 · Déf.Spé 110 · Vit 76
Total 455
Talents : Regard Vif, Poing de Fer (caché :
  Attention)</t>
      </text>
    </comment>
    <comment ref="B1312" authorId="0" shapeId="0">
      <text>
        <t>Regard Vif
Empêche perte de précision.</t>
      </text>
    </comment>
    <comment ref="B1313" authorId="0" shapeId="0">
      <text>
        <t>Mach Punch — Combat, physique
Puissance 40 · Précision 100 % · 30 PP ·
Priorité +1
Coup de poing fulgurant. Permet de frapper en
1{SUPER_ER}.</t>
      </text>
    </comment>
    <comment ref="B1314" authorId="0" shapeId="0">
      <text>
        <t>Pisto-Poing — Acier, physique
Puissance 40 · Précision 100 % · 30 PP ·
Priorité +1
Un poing comme une balle. Frappe d'abord.</t>
      </text>
    </comment>
    <comment ref="B1315" authorId="0" shapeId="0">
      <text>
        <t>Ruse — Normal, physique
Puissance 30 · Précision 100 % · 10 PP ·
Priorité +2</t>
      </text>
    </comment>
    <comment ref="B1316" authorId="0" shapeId="0">
      <text>
        <t>Onde Vide — Combat, spéciale
Puissance 40 · Précision 100 % · 30 PP ·
Priorité +1
Une onde de poings qui frappe en premier.</t>
      </text>
    </comment>
    <comment ref="B1318" authorId="0" shapeId="0">
      <text>
        <t>MACHOC — Combat
PV 70 · Att 80 · Déf 50
Att.Spé 35 · Déf.Spé 35 · Vit 35
Total 305
Talents : Cran, Annule Garde (caché :
  Impassible)</t>
      </text>
    </comment>
    <comment ref="C1318" authorId="0" shapeId="0">
      <text>
        <t>MACHOPEUR — Combat
PV 80 · Att 100 · Déf 70
Att.Spé 50 · Déf.Spé 60 · Vit 45
Total 405
Talents : Cran, Annule Garde (caché :
  Impassible)</t>
      </text>
    </comment>
    <comment ref="B1321" authorId="0" shapeId="0">
      <text>
        <t>Cran
Monte l'Attaque si statut.</t>
      </text>
    </comment>
    <comment ref="C1321" authorId="0" shapeId="0">
      <text>
        <t>Cran
Monte l'Attaque si statut.</t>
      </text>
    </comment>
    <comment ref="B1322" authorId="0" shapeId="0">
      <text>
        <t>Vendetta — Combat, physique
Puissance 60 · Précision 100 % · 10 PP ·
Priorité -4</t>
      </text>
    </comment>
    <comment ref="C1322" authorId="0" shapeId="0">
      <text>
        <t>Vendetta — Combat, physique
Puissance 60 · Précision 100 % · 10 PP ·
Priorité -4</t>
      </text>
    </comment>
    <comment ref="B1323" authorId="0" shapeId="0">
      <text>
        <t>Sabotage — Ténèbres, physique
Puissance 65 · Précision 100 % · 20 PP
Frappe l'objet tenu pour le rendre
inutilisable.</t>
      </text>
    </comment>
    <comment ref="C1323" authorId="0" shapeId="0">
      <text>
        <t>Sabotage — Ténèbres, physique
Puissance 65 · Précision 100 % · 20 PP
Frappe l'objet tenu pour le rendre
inutilisable.</t>
      </text>
    </comment>
    <comment ref="B1324" authorId="0" shapeId="0">
      <text>
        <t>Corps Perdu — Combat, physique
Puissance 70 · Ne rate jamais · 10 PP ·
Priorité -1
Attaque après l'ennemi, mais n'échoue jamais.</t>
      </text>
    </comment>
    <comment ref="C1324" authorId="0" shapeId="0">
      <text>
        <t>Corps Perdu — Combat, physique
Puissance 70 · Ne rate jamais · 10 PP ·
Priorité -1
Attaque après l'ennemi, mais n'échoue jamais.</t>
      </text>
    </comment>
    <comment ref="B1325" authorId="0" shapeId="0">
      <text>
        <t>Réveil Forcé — Combat, physique
Puissance 70 · Précision 100 % · 10 PP
Puissant sur un dormeur. Le réveille aussi.</t>
      </text>
    </comment>
    <comment ref="C1325" authorId="0" shapeId="0">
      <text>
        <t>Réveil Forcé — Combat, physique
Puissance 70 · Précision 100 % · 10 PP
Puissant sur un dormeur. Le réveille aussi.</t>
      </text>
    </comment>
    <comment ref="B1327" authorId="0" shapeId="0">
      <text>
        <t>FEROSINGE — Combat
PV 40 · Att 80 · Déf 35
Att.Spé 35 · Déf.Spé 45 · Vit 70
Total 305
Talents : Esprit Vital, Colérique (caché :
  Acharné)</t>
      </text>
    </comment>
    <comment ref="C1327" authorId="0" shapeId="0">
      <text>
        <t>MACHOPEUR — Combat
PV 80 · Att 100 · Déf 70
Att.Spé 50 · Déf.Spé 60 · Vit 45
Total 405
Talents : Cran, Annule Garde (caché :
  Impassible)</t>
      </text>
    </comment>
    <comment ref="D1327" authorId="0" shapeId="0">
      <text>
        <t>COLOSSINGE — Combat
PV 65 · Att 105 · Déf 60
Att.Spé 60 · Déf.Spé 70 · Vit 95
Total 455
Talents : Esprit Vital, Colérique (caché :
  Acharné)</t>
      </text>
    </comment>
    <comment ref="B1330" authorId="0" shapeId="0">
      <text>
        <t>Esprit Vital
Empêche le sommeil.</t>
      </text>
    </comment>
    <comment ref="C1330" authorId="0" shapeId="0">
      <text>
        <t>Cran
Monte l'Attaque si statut.</t>
      </text>
    </comment>
    <comment ref="D1330" authorId="0" shapeId="0">
      <text>
        <t>Esprit Vital
Empêche le sommeil.</t>
      </text>
    </comment>
    <comment ref="B1331" authorId="0" shapeId="0">
      <text>
        <t>Frappe Atlas — Combat, physique
Puissance 1 · Précision 100 % · 20 PP
Inflige des dégâts selon le niveau du lanceur.</t>
      </text>
    </comment>
    <comment ref="C1331" authorId="0" shapeId="0">
      <text>
        <t>Vendetta — Combat, physique
Puissance 60 · Précision 100 % · 10 PP ·
Priorité -4</t>
      </text>
    </comment>
    <comment ref="D1331" authorId="0" shapeId="0">
      <text>
        <t>Frappe Atlas — Combat, physique
Puissance 1 · Précision 100 % · 20 PP
Inflige des dégâts selon le niveau du lanceur.</t>
      </text>
    </comment>
    <comment ref="B1332" authorId="0" shapeId="0">
      <text>
        <t>Vantardise — Normal, statut
Précision 85 % · 15 PP
Rend l'ennemi confus et booste l'Attaque.</t>
      </text>
    </comment>
    <comment ref="C1332" authorId="0" shapeId="0">
      <text>
        <t>Sabotage — Ténèbres, physique
Puissance 65 · Précision 100 % · 20 PP
Frappe l'objet tenu pour le rendre
inutilisable.</t>
      </text>
    </comment>
    <comment ref="D1332" authorId="0" shapeId="0">
      <text>
        <t>Vantardise — Normal, statut
Précision 85 % · 15 PP
Rend l'ennemi confus et booste l'Attaque.</t>
      </text>
    </comment>
    <comment ref="B1333" authorId="0" shapeId="0">
      <text>
        <t>Coup Croix — Combat, physique
Puissance 100 · Précision 80 % · 5 PP
2 attaques tranchantes. Taux de critiques
élevé.</t>
      </text>
    </comment>
    <comment ref="C1333" authorId="0" shapeId="0">
      <text>
        <t>Corps Perdu — Combat, physique
Puissance 70 · Ne rate jamais · 10 PP ·
Priorité -1
Attaque après l'ennemi, mais n'échoue jamais.</t>
      </text>
    </comment>
    <comment ref="D1333" authorId="0" shapeId="0">
      <text>
        <t>Coup Croix — Combat, physique
Puissance 100 · Précision 80 % · 5 PP
2 attaques tranchantes. Taux de critiques
élevé.</t>
      </text>
    </comment>
    <comment ref="B1334" authorId="0" shapeId="0">
      <text>
        <t>Assurance — Ténèbres, physique
Puissance 60 · Précision 100 % · 10 PP
Plus puissant si l'ennemi a déjà été blessé.</t>
      </text>
    </comment>
    <comment ref="C1334" authorId="0" shapeId="0">
      <text>
        <t>Réveil Forcé — Combat, physique
Puissance 70 · Précision 100 % · 10 PP
Puissant sur un dormeur. Le réveille aussi.</t>
      </text>
    </comment>
    <comment ref="D1334" authorId="0" shapeId="0">
      <text>
        <t>Assurance — Ténèbres, physique
Puissance 60 · Précision 100 % · 10 PP
Plus puissant si l'ennemi a déjà été blessé.</t>
      </text>
    </comment>
    <comment ref="B1337" authorId="0" shapeId="0">
      <text>
        <t>INSOLOURDO — Normal
PV 100 · Att 70 · Déf 70
Att.Spé 65 · Déf.Spé 65 · Vit 45
Total 415
Talents : Sérénité, Fuite (caché : Phobique)</t>
      </text>
    </comment>
    <comment ref="C1337" authorId="0" shapeId="0">
      <text>
        <t>INSOLOURDO — Normal
PV 100 · Att 70 · Déf 70
Att.Spé 65 · Déf.Spé 65 · Vit 45
Total 415
Talents : Sérénité, Fuite (caché : Phobique)</t>
      </text>
    </comment>
    <comment ref="D1337" authorId="0" shapeId="0">
      <text>
        <t>DEUSOLOURDO — Normal
PV 125 · Att 100 · Déf 80
Att.Spé 85 · Déf.Spé 75 · Vit 55
Total 520
Talents : Sérénité, Fuite (caché : Phobique)</t>
      </text>
    </comment>
    <comment ref="B1340" authorId="0" shapeId="0">
      <text>
        <t>Sérénité
Favorise le cumul d'effets.</t>
      </text>
    </comment>
    <comment ref="C1340" authorId="0" shapeId="0">
      <text>
        <t>Sérénité
Favorise le cumul d'effets.</t>
      </text>
    </comment>
    <comment ref="D1340" authorId="0" shapeId="0">
      <text>
        <t>Sérénité
Favorise le cumul d'effets.</t>
      </text>
    </comment>
    <comment ref="B1341" authorId="0" shapeId="0">
      <text>
        <t>Pouvoir Antique — Roche, spéciale
Puissance 60 · Précision 100 % · 5 PP
Une attaque pouvant augmenter toutes les
stats.</t>
      </text>
    </comment>
    <comment ref="C1341" authorId="0" shapeId="0">
      <text>
        <t>Pouvoir Antique — Roche, spéciale
Puissance 60 · Précision 100 % · 5 PP
Une attaque pouvant augmenter toutes les
stats.</t>
      </text>
    </comment>
    <comment ref="D1341" authorId="0" shapeId="0">
      <text>
        <t>Regard Médusant — Normal, statut
Précision 100 % · 30 PP
Intimide l'ennemi et le paralyse de terreur.</t>
      </text>
    </comment>
    <comment ref="B1342" authorId="0" shapeId="0">
      <text>
        <t>Plaquage — Normal, physique
Puissance 85 · Précision 100 % · 15 PP
Une attaque en charge. Peut paralyser
l'ennemi.</t>
      </text>
    </comment>
    <comment ref="C1342" authorId="0" shapeId="0">
      <text>
        <t>Plaquage — Normal, physique
Puissance 85 · Précision 100 % · 15 PP
Une attaque en charge. Peut paralyser
l'ennemi.</t>
      </text>
    </comment>
    <comment ref="D1342" authorId="0" shapeId="0">
      <text>
        <t>Grincement — Normal, statut
Précision 85 % · 40 PP
Cri strident qui baisse la Défense ennemie.</t>
      </text>
    </comment>
    <comment ref="B1343" authorId="0" shapeId="0">
      <text>
        <t>Tunnelier — Sol, physique
Puissance 80 · Précision 95 % · 10 PP
Tourne comme une perceuse. Critiques
fréquents.</t>
      </text>
    </comment>
    <comment ref="C1343" authorId="0" shapeId="0">
      <text>
        <t>Tunnelier — Sol, physique
Puissance 80 · Précision 95 % · 10 PP
Tourne comme une perceuse. Critiques
fréquents.</t>
      </text>
    </comment>
    <comment ref="D1343" authorId="0" shapeId="0">
      <text>
        <t>Pouvoir Antique — Roche, spéciale
Puissance 60 · Précision 100 % · 5 PP
Une attaque pouvant augmenter toutes les
stats.</t>
      </text>
    </comment>
    <comment ref="B1344" authorId="0" shapeId="0">
      <text>
        <t>Atterrissage — Vol, statut
5 PP
Rend au lanceur la moitié de ses PV max.</t>
      </text>
    </comment>
    <comment ref="C1344" authorId="0" shapeId="0">
      <text>
        <t>Atterrissage — Vol, statut
5 PP
Rend au lanceur la moitié de ses PV max.</t>
      </text>
    </comment>
    <comment ref="D1344" authorId="0" shapeId="0">
      <text>
        <t>Tunnelier — Sol, physique
Puissance 80 · Précision 95 % · 10 PP
Tourne comme une perceuse. Critiques
fréquents.</t>
      </text>
    </comment>
    <comment ref="B1346" authorId="0" shapeId="0">
      <text>
        <t>FLORAVOL — Plante / Vol
PV 55 · Att 45 · Déf 50
Att.Spé 45 · Déf.Spé 65 · Vit 80
Total 340
Talents : Chlorophylle, Feuille Garde (caché :
  Infiltration)</t>
      </text>
    </comment>
    <comment ref="C1346" authorId="0" shapeId="0">
      <text>
        <t>MARILL — Eau / Fée
PV 70 · Att 20 · Déf 50
Att.Spé 20 · Déf.Spé 50 · Vit 40
Total 250
Talents : Isograisse, Coloforce (caché :
  Herbivore)</t>
      </text>
    </comment>
    <comment ref="B1349" authorId="0" shapeId="0">
      <text>
        <t>Chlorophylle
Augmente Vitesse au soleil.</t>
      </text>
    </comment>
    <comment ref="C1349" authorId="0" shapeId="0">
      <text>
        <t>Isograisse
Contre chaleur et froid.</t>
      </text>
    </comment>
    <comment ref="B1350" authorId="0" shapeId="0">
      <text>
        <t>Para-Spore — Plante, statut
Précision 75 % · 30 PP
Répand une poudre pouvant paralyser l'ennemi.</t>
      </text>
    </comment>
    <comment ref="C1350" authorId="0" shapeId="0">
      <text>
        <t>Bulles d'O — Eau, spéciale
Puissance 65 · Précision 100 % · 20 PP
Envoie des bulles pouvant baisser la Vitesse.</t>
      </text>
    </comment>
    <comment ref="B1351" authorId="0" shapeId="0">
      <text>
        <t>Poudre Dodo — Plante, statut
Précision 75 % · 15 PP
Répand une poudre pouvant endormir l'ennemi.</t>
      </text>
    </comment>
    <comment ref="C1351" authorId="0" shapeId="0">
      <text>
        <t>Coup d'Main — Normal, statut
20 PP · Priorité +5
Améliore la puissance d'attaque du receveur.</t>
      </text>
    </comment>
    <comment ref="B1352" authorId="0" shapeId="0">
      <text>
        <t>Balle Graine — Plante, physique
Puissance 25 · Précision 100 % · 30 PP
Mitraille l'ennemi avec 2 à 5 graines à la
suite.</t>
      </text>
    </comment>
    <comment ref="C1352" authorId="0" shapeId="0">
      <text>
        <t>Hydro-Queue — Eau, physique
Puissance 90 · Précision 90 % · 10 PP
Balaie l'ennemi de sa queue comme une vague.</t>
      </text>
    </comment>
    <comment ref="B1353" authorId="0" shapeId="0">
      <text>
        <t>Vampigraine — Plante, statut
Précision 90 % · 10 PP
Plante des graines pour voler des PV à chaque
tour.</t>
      </text>
    </comment>
    <comment ref="C1353" authorId="0" shapeId="0">
      <text>
        <t>Câlinerie — Fée, physique
Puissance 90 · Précision 90 % · 10 PP
Un câlin brutal. Peut baisser l'Attaque de
l'ennemi.</t>
      </text>
    </comment>
    <comment ref="B1355" authorId="0" shapeId="0">
      <text>
        <t>ELEKTEK — Électrik
PV 65 · Att 83 · Déf 57
Att.Spé 95 · Déf.Spé 85 · Vit 105
Total 490
Talents : Statik (caché : Esprit Vital)</t>
      </text>
    </comment>
    <comment ref="C1355" authorId="0" shapeId="0">
      <text>
        <t>MAGMAR — Feu
PV 65 · Att 95 · Déf 57
Att.Spé 100 · Déf.Spé 85 · Vit 93
Total 495
Talents : Corps Ardent (caché : Esprit Vital)</t>
      </text>
    </comment>
    <comment ref="B1358" authorId="0" shapeId="0">
      <text>
        <t>Statik
Paralyse au toucher.</t>
      </text>
    </comment>
    <comment ref="C1358" authorId="0" shapeId="0">
      <text>
        <t>Corps Ardent
Brûle l'ennemi au contact.</t>
      </text>
    </comment>
    <comment ref="B1359" authorId="0" shapeId="0">
      <text>
        <t>Onde de Choc — Électrik, spéciale
Puissance 60 · Ne rate jamais · 20 PP
Attaque électrique rapide et impossible à
esquiver.</t>
      </text>
    </comment>
    <comment ref="C1359" authorId="0" shapeId="0">
      <text>
        <t>Danse Flammes — Feu, spéciale
Puissance 35 · Précision 85 % · 15 PP</t>
      </text>
    </comment>
    <comment ref="B1360" authorId="0" shapeId="0">
      <text>
        <t>Cage Éclair — Électrik, statut
Précision 90 % · 20 PP
Un faible choc électrique qui paralyse
l'ennemi.</t>
      </text>
    </comment>
    <comment ref="C1360" authorId="0" shapeId="0">
      <text>
        <t>Bain de Smog — Poison, spéciale
Puissance 50 · Ne rate jamais · 15 PP
Une brume qui annule tous les changements.</t>
      </text>
    </comment>
    <comment ref="B1361" authorId="0" shapeId="0">
      <text>
        <t>Boule Élek — Électrik, spéciale
Puissance 1 · Précision 100 % · 10 PP
Une orbe qui blesse plus un ennemi lent.</t>
      </text>
    </comment>
    <comment ref="C1361" authorId="0" shapeId="0">
      <text>
        <t>Rebondifeu — Feu, spéciale
Puissance 70 · Précision 100 % · 15 PP
Une flamme qui éclabousse tous les ennemis.</t>
      </text>
    </comment>
    <comment ref="B1362" authorId="0" shapeId="0">
      <text>
        <t>Mur Lumière — Psy, statut
30 PP
Crée un mur lumineux et réduit les dégâts
d'Atq. Spé.</t>
      </text>
    </comment>
    <comment ref="C1362" authorId="0" shapeId="0">
      <text>
        <t>Onde Folie — Spectre, statut
Précision 100 % · 10 PP
Un horrible rayon qui rend l'ennemi confus.</t>
      </text>
    </comment>
    <comment ref="B1364" authorId="0" shapeId="0">
      <text>
        <t>ONIX — Roche / Sol
PV 35 · Att 45 · Déf 160
Att.Spé 30 · Déf.Spé 45 · Vit 70
Total 385
Talents : Tête de Roc, Fermeté (caché :
  Armurouillée)</t>
      </text>
    </comment>
    <comment ref="C1364" authorId="0" shapeId="0">
      <text>
        <t>CRUSTABRI — Eau / Glace
PV 50 · Att 95 · Déf 180
Att.Spé 85 · Déf.Spé 45 · Vit 70
Total 525
Talents : Coque Armure, Multi-Coups (caché :
  Envelocape)</t>
      </text>
    </comment>
    <comment ref="B1367" authorId="0" shapeId="0">
      <text>
        <t>Tête de Roc
Empêche dégâts du recul.</t>
      </text>
    </comment>
    <comment ref="C1367" authorId="0" shapeId="0">
      <text>
        <t>Coque Armure
Bloque les coups critiques.</t>
      </text>
    </comment>
    <comment ref="B1368" authorId="0" shapeId="0">
      <text>
        <t>Poliroche — Roche, statut
20 PP
Se polit le corps. Monte beaucoup la Vit.</t>
      </text>
    </comment>
    <comment ref="C1368" authorId="0" shapeId="0">
      <text>
        <t>Ultrason — Normal, statut
Précision 55 % · 20 PP
Étranges ondes sonores pouvant rendre confus.</t>
      </text>
    </comment>
    <comment ref="B1369" authorId="0" shapeId="0">
      <text>
        <t>Gyroballe — Acier, physique
Puissance 1 · Précision 100 % · 5 PP
Une toupie qui blesse plus un ennemi rapide.</t>
      </text>
    </comment>
    <comment ref="C1369" authorId="0" shapeId="0">
      <text>
        <t>Abri — Normal, statut
10 PP · Priorité +4</t>
      </text>
    </comment>
    <comment ref="B1370" authorId="0" shapeId="0">
      <text>
        <t>Anti-Air — Roche, physique
Puissance 50 · Précision 100 % · 15 PP
Une pierre qui fait tomber l'ennemi au sol.</t>
      </text>
    </comment>
    <comment ref="C1370" authorId="0" shapeId="0">
      <text>
        <t>Onde Boréale — Glace, spéciale
Puissance 65 · Précision 100 % · 20 PP
Envoie un rayon arc-en-ciel pouvant baisser
l'Attaque.</t>
      </text>
    </comment>
    <comment ref="B1371" authorId="0" shapeId="0">
      <text>
        <t>Draco-Souffle — Dragon, spéciale
Puissance 60 · Précision 100 % · 20 PP
Frappe l'ennemi grâce à un souffle super
puissant.</t>
      </text>
    </comment>
    <comment ref="C1371" authorId="0" shapeId="0">
      <text>
        <t>Picanon — Normal, physique
Puissance 20 · Précision 100 % · 15 PP
Lance des pointes qui frappent 2 à 5 fois.</t>
      </text>
    </comment>
    <comment ref="B1374" authorId="0" shapeId="0">
      <text>
        <t>QWILFISH — Eau / Poison
PV 65 · Att 95 · Déf 85
Att.Spé 55 · Déf.Spé 55 · Vit 85
Total 440
Talents : Point Poison, Glissade (caché :
  Intimidation)</t>
      </text>
    </comment>
    <comment ref="B1377" authorId="0" shapeId="0">
      <text>
        <t>Point Poison
Empoisonne quand touché.</t>
      </text>
    </comment>
    <comment ref="B1378" authorId="0" shapeId="0">
      <text>
        <t>Lilliput — Normal, statut
10 PP</t>
      </text>
    </comment>
    <comment ref="B1379" authorId="0" shapeId="0">
      <text>
        <t>Écume — Eau, spéciale
Puissance 40 · Précision 100 % · 30 PP
Une attaque de bulles pouvant baisser la
Vitesse.</t>
      </text>
    </comment>
    <comment ref="B1380" authorId="0" shapeId="0">
      <text>
        <t>Roulade — Roche, physique
Puissance 30 · Précision 90 % · 20 PP
Une attaque sur 5 tours, de plus en plus
puissante.</t>
      </text>
    </comment>
    <comment ref="B1381" authorId="0" shapeId="0">
      <text>
        <t>Pics Toxik — Poison, statut
20 PP
Des pics qui empoisonnent l'arrivant.</t>
      </text>
    </comment>
    <comment ref="B1383" authorId="0" shapeId="0">
      <text>
        <t>GRAVALANCH — Roche / Sol
PV 55 · Att 95 · Déf 115
Att.Spé 45 · Déf.Spé 45 · Vit 35
Total 390
Talents : Tête de Roc, Fermeté (caché : Voile
  Sable)</t>
      </text>
    </comment>
    <comment ref="C1383" authorId="0" shapeId="0">
      <text>
        <t>TRIOPIKEUR — Sol
PV 35 · Att 100 · Déf 50
Att.Spé 50 · Déf.Spé 70 · Vit 120
Total 425
Talents : Voile Sable, Piège Sable (caché :
  Force Sable)</t>
      </text>
    </comment>
    <comment ref="B1386" authorId="0" shapeId="0">
      <text>
        <t>Tête de Roc
Empêche dégâts du recul.</t>
      </text>
    </comment>
    <comment ref="C1386" authorId="0" shapeId="0">
      <text>
        <t>Voile Sable
Evasion si tempête sable.</t>
      </text>
    </comment>
    <comment ref="B1387" authorId="0" shapeId="0">
      <text>
        <t>Jet-Pierres — Roche, physique
Puissance 50 · Précision 90 % · 15 PP
Envoie des cailloux pour frapper l'ennemi.</t>
      </text>
    </comment>
    <comment ref="C1387" authorId="0" shapeId="0">
      <text>
        <t>Coud'Boue — Sol, spéciale
Puissance 20 · Précision 100 % · 10 PP
Envoie de la boue au visage pour baisser la
précision.</t>
      </text>
    </comment>
    <comment ref="B1388" authorId="0" shapeId="0">
      <text>
        <t>Anti-Air — Roche, physique
Puissance 50 · Précision 100 % · 15 PP
Une pierre qui fait tomber l'ennemi au sol.</t>
      </text>
    </comment>
    <comment ref="C1388" authorId="0" shapeId="0">
      <text>
        <t>Ampleur — Sol, physique
Puissance 1 · Précision 100 % · 30 PP
Un tremblement de terre d'intensité variable.</t>
      </text>
    </comment>
    <comment ref="B1389" authorId="0" shapeId="0">
      <text>
        <t>Piétisol — Sol, physique
Puissance 60 · Précision 100 % · 20 PP
Piétine le sol. Touche tout et baisse la Vit.</t>
      </text>
    </comment>
    <comment ref="C1389" authorId="0" shapeId="0">
      <text>
        <t>Piétisol — Sol, physique
Puissance 60 · Précision 100 % · 20 PP
Piétine le sol. Touche tout et baisse la Vit.</t>
      </text>
    </comment>
    <comment ref="B1390" authorId="0" shapeId="0">
      <text>
        <t>Destruction — Normal, physique
Puissance 200 · Précision 100 % · 5 PP
Inflige de sérieux dégâts, mais met le lanceur
KO.</t>
      </text>
    </comment>
    <comment ref="C1390" authorId="0" shapeId="0">
      <text>
        <t>Coup Bas — Ténèbres, physique
Puissance 70 · Précision 100 % · 5 PP ·
Priorité +1</t>
      </text>
    </comment>
    <comment ref="B1392" authorId="0" shapeId="0">
      <text>
        <t>NIDORINO — Poison
PV 61 · Att 72 · Déf 57
Att.Spé 55 · Déf.Spé 55 · Vit 65
Total 365
Talents : Point Poison, Rivalité (caché :
  Agitation)</t>
      </text>
    </comment>
    <comment ref="C1392" authorId="0" shapeId="0">
      <text>
        <t>NIDOKING — Poison / Sol
PV 81 · Att 102 · Déf 77
Att.Spé 85 · Déf.Spé 75 · Vit 85
Total 505
Talents : Point Poison, Rivalité (caché : Sans
  Limite)</t>
      </text>
    </comment>
    <comment ref="B1395" authorId="0" shapeId="0">
      <text>
        <t>Point Poison
Empoisonne quand touché.</t>
      </text>
    </comment>
    <comment ref="C1395" authorId="0" shapeId="0">
      <text>
        <t>Point Poison
Empoisonne quand touché.</t>
      </text>
    </comment>
    <comment ref="B1396" authorId="0" shapeId="0">
      <text>
        <t>Dard-Venin — Poison, physique
Puissance 30 · Précision 100 % · 35 PP
Une attaque de dards, etc., pouvant
empoisonner.</t>
      </text>
    </comment>
    <comment ref="C1396" authorId="0" shapeId="0">
      <text>
        <t>Puissance — Normal, statut
30 PP
Concentration pour booster le taux de
critiques.</t>
      </text>
    </comment>
    <comment ref="B1397" authorId="0" shapeId="0">
      <text>
        <t>Furie — Normal, physique
Puissance 15 · Précision 85 % · 20 PP
Frappe l'ennemi 2 à 5 fois avec une corne, un
bec, etc.</t>
      </text>
    </comment>
    <comment ref="C1397" authorId="0" shapeId="0">
      <text>
        <t>Double Pied — Combat, physique
Puissance 30 · Précision 100 % · 30 PP
Un double coup de pied qui frappe l'ennemi
deux fois.</t>
      </text>
    </comment>
    <comment ref="B1398" authorId="0" shapeId="0">
      <text>
        <t>Koud'Korne — Normal, physique
Puissance 65 · Précision 100 % · 25 PP
Frappe l'ennemi d'un coup de corne pointue.</t>
      </text>
    </comment>
    <comment ref="C1398" authorId="0" shapeId="0">
      <text>
        <t>Dard-Venin — Poison, physique
Puissance 30 · Précision 100 % · 35 PP
Une attaque de dards, etc., pouvant
empoisonner.</t>
      </text>
    </comment>
    <comment ref="B1399" authorId="0" shapeId="0">
      <text>
        <t>Piétisol — Sol, physique
Puissance 60 · Précision 100 % · 20 PP
Piétine le sol. Touche tout et baisse la Vit.</t>
      </text>
    </comment>
    <comment ref="C1399" authorId="0" shapeId="0">
      <text>
        <t>Attrition — Normal, physique
Puissance 70 · Précision 100 % · 20 PP</t>
      </text>
    </comment>
    <comment ref="B1402" authorId="0" shapeId="0">
      <text>
        <t>NIDOKING — Poison / Sol
PV 81 · Att 102 · Déf 77
Att.Spé 85 · Déf.Spé 75 · Vit 85
Total 505
Talents : Point Poison, Rivalité (caché : Sans
  Limite)</t>
      </text>
    </comment>
    <comment ref="C1402" authorId="0" shapeId="0">
      <text>
        <t>NIDOQUEEN — Poison / Sol
PV 90 · Att 92 · Déf 87
Att.Spé 75 · Déf.Spé 85 · Vit 76
Total 505
Talents : Point Poison, Rivalité (caché : Sans
  Limite)</t>
      </text>
    </comment>
    <comment ref="B1405" authorId="0" shapeId="0">
      <text>
        <t>Point Poison
Empoisonne quand touché.</t>
      </text>
    </comment>
    <comment ref="C1405" authorId="0" shapeId="0">
      <text>
        <t>Point Poison
Empoisonne quand touché.</t>
      </text>
    </comment>
    <comment ref="B1406" authorId="0" shapeId="0">
      <text>
        <t>Picpic — Vol, physique
Puissance 35 · Précision 100 % · 35 PP
Attaque l'ennemi avec une corne, un bec
pointu, etc.</t>
      </text>
    </comment>
    <comment ref="C1406" authorId="0" shapeId="0">
      <text>
        <t>Griffe — Normal, physique
Puissance 40 · Précision 100 % · 35 PP
Lacère l'ennemi avec des griffes acérées.</t>
      </text>
    </comment>
    <comment ref="B1407" authorId="0" shapeId="0">
      <text>
        <t>Puissance — Normal, statut
30 PP
Concentration pour booster le taux de
critiques.</t>
      </text>
    </comment>
    <comment ref="C1407" authorId="0" shapeId="0">
      <text>
        <t>Mimi-Queue — Normal, statut
Précision 100 % · 30 PP
Remue la queue pour baisser la Défense de
l'ennemi.</t>
      </text>
    </comment>
    <comment ref="B1408" authorId="0" shapeId="0">
      <text>
        <t>Double Pied — Combat, physique
Puissance 30 · Précision 100 % · 30 PP
Un double coup de pied qui frappe l'ennemi
deux fois.</t>
      </text>
    </comment>
    <comment ref="C1408" authorId="0" shapeId="0">
      <text>
        <t>Double Pied — Combat, physique
Puissance 30 · Précision 100 % · 30 PP
Un double coup de pied qui frappe l'ennemi
deux fois.</t>
      </text>
    </comment>
    <comment ref="B1409" authorId="0" shapeId="0">
      <text>
        <t>Dard-Venin — Poison, physique
Puissance 30 · Précision 100 % · 35 PP
Une attaque de dards, etc., pouvant
empoisonner.</t>
      </text>
    </comment>
    <comment ref="C1409" authorId="0" shapeId="0">
      <text>
        <t>Dard-Venin — Poison, physique
Puissance 30 · Précision 100 % · 35 PP
Une attaque de dards, etc., pouvant
empoisonner.</t>
      </text>
    </comment>
    <comment ref="B1411" authorId="0" shapeId="0">
      <text>
        <t>RAMOLOSS — Eau / Psy
PV 90 · Att 65 · Déf 65
Att.Spé 40 · Déf.Spé 40 · Vit 15
Total 315
Talents : Benêt, Tempo Perso (caché : Régé-
  Force)</t>
      </text>
    </comment>
    <comment ref="B1414" authorId="0" shapeId="0">
      <text>
        <t>Benêt
Empêche l'attirance.</t>
      </text>
    </comment>
    <comment ref="B1415" authorId="0" shapeId="0">
      <text>
        <t>Rugissement — Normal, statut
Précision 100 % · 40 PP
Rugit gentiment et baisse l'Attaque de
l'ennemi.</t>
      </text>
    </comment>
    <comment ref="B1416" authorId="0" shapeId="0">
      <text>
        <t>Pistolet à O — Eau, spéciale
Puissance 40 · Précision 100 % · 25 PP
Attaque l'ennemi en projetant de l'eau.</t>
      </text>
    </comment>
    <comment ref="B1417" authorId="0" shapeId="0">
      <text>
        <t>Choc Mental — Psy, spéciale
Puissance 50 · Précision 100 % · 25 PP
Une attaque Psy pouvant rendre l'ennemi
confus.</t>
      </text>
    </comment>
    <comment ref="B1418" authorId="0" shapeId="0">
      <text>
        <t>Entrave — Normal, statut
Précision 100 % · 20 PP</t>
      </text>
    </comment>
    <comment ref="B1421" authorId="0" shapeId="0">
      <text>
        <t>FLAGADOSS — Eau / Psy
PV 95 · Att 75 · Déf 110
Att.Spé 100 · Déf.Spé 80 · Vit 30
Total 490
Talents : Benêt, Tempo Perso (caché : Régé-
  Force)</t>
      </text>
    </comment>
    <comment ref="C1421" authorId="0" shapeId="0">
      <text>
        <t>CARABAFFE — Eau
PV 59 · Att 63 · Déf 80
Att.Spé 65 · Déf.Spé 80 · Vit 58
Total 405
Talents : Torrent (caché : Cuvette)</t>
      </text>
    </comment>
    <comment ref="B1424" authorId="0" shapeId="0">
      <text>
        <t>Benêt
Empêche l'attirance.</t>
      </text>
    </comment>
    <comment ref="C1424" authorId="0" shapeId="0">
      <text>
        <t>Torrent
Augmente attaques Eau.</t>
      </text>
    </comment>
    <comment ref="B1425" authorId="0" shapeId="0">
      <text>
        <t>Pistolet à O — Eau, spéciale
Puissance 40 · Précision 100 % · 25 PP
Attaque l'ennemi en projetant de l'eau.</t>
      </text>
    </comment>
    <comment ref="C1425" authorId="0" shapeId="0">
      <text>
        <t>Écume — Eau, spéciale
Puissance 40 · Précision 100 % · 30 PP
Une attaque de bulles pouvant baisser la
Vitesse.</t>
      </text>
    </comment>
    <comment ref="B1426" authorId="0" shapeId="0">
      <text>
        <t>Choc Mental — Psy, spéciale
Puissance 50 · Précision 100 % · 25 PP
Une attaque Psy pouvant rendre l'ennemi
confus.</t>
      </text>
    </comment>
    <comment ref="C1426" authorId="0" shapeId="0">
      <text>
        <t>Morsure — Ténèbres, physique
Puissance 60 · Précision 100 % · 25 PP
Mord méchamment l'ennemi et peut l'apeurer.</t>
      </text>
    </comment>
    <comment ref="B1427" authorId="0" shapeId="0">
      <text>
        <t>Entrave — Normal, statut
Précision 100 % · 20 PP</t>
      </text>
    </comment>
    <comment ref="C1427" authorId="0" shapeId="0">
      <text>
        <t>Tour Rapide — Normal, physique
Puissance 50 · Précision 100 % · 40 PP</t>
      </text>
    </comment>
    <comment ref="B1428" authorId="0" shapeId="0">
      <text>
        <t>Coup d'Boule — Normal, physique
Puissance 70 · Précision 100 % · 15 PP
Une charge qui peut apeurer l'ennemi.</t>
      </text>
    </comment>
    <comment ref="C1428" authorId="0" shapeId="0">
      <text>
        <t>Abri — Normal, statut
10 PP · Priorité +4</t>
      </text>
    </comment>
    <comment ref="B1430" authorId="0" shapeId="0">
      <text>
        <t>EXCELANGUE — Normal
PV 90 · Att 55 · Déf 75
Att.Spé 60 · Déf.Spé 75 · Vit 30
Total 385
Talents : Tempo Perso, Benêt (caché : Ciel
  Gris)</t>
      </text>
    </comment>
    <comment ref="C1430" authorId="0" shapeId="0">
      <text>
        <t>HERBIZARRE — Plante / Poison
PV 60 · Att 62 · Déf 63
Att.Spé 80 · Déf.Spé 80 · Vit 60
Total 405
Talents : Engrais (caché : Chlorophylle)</t>
      </text>
    </comment>
    <comment ref="B1433" authorId="0" shapeId="0">
      <text>
        <t>Tempo Perso
Empêche la confusion.</t>
      </text>
    </comment>
    <comment ref="C1433" authorId="0" shapeId="0">
      <text>
        <t>Engrais
Augmente attaques Plante.</t>
      </text>
    </comment>
    <comment ref="B1434" authorId="0" shapeId="0">
      <text>
        <t>Sabotage — Ténèbres, physique
Puissance 65 · Précision 100 % · 20 PP
Frappe l'objet tenu pour le rendre
inutilisable.</t>
      </text>
    </comment>
    <comment ref="C1434" authorId="0" shapeId="0">
      <text>
        <t>Bélier — Normal, physique
Puissance 90 · Précision 85 % · 20 PP
Une charge violente qui blesse aussi le
lanceur.</t>
      </text>
    </comment>
    <comment ref="B1435" authorId="0" shapeId="0">
      <text>
        <t>Ligotage — Normal, physique
Puissance 15 · Précision 90 % · 20 PP</t>
      </text>
    </comment>
    <comment ref="C1435" authorId="0" shapeId="0">
      <text>
        <t>Tranch'Herbe — Plante, physique
Puissance 55 · Précision 95 % · 25 PP
Tranche avec des feuilles. Taux de critiques
élevé.</t>
      </text>
    </comment>
    <comment ref="B1436" authorId="0" shapeId="0">
      <text>
        <t>Écrasement — Normal, physique
Puissance 65 · Précision 100 % · 20 PP
Écrase avec un énorme pied. Peut apeurer
l'ennemi.</t>
      </text>
    </comment>
    <comment ref="C1436" authorId="0" shapeId="0">
      <text>
        <t>Doux Parfum — Normal, statut
Précision 100 % · 20 PP</t>
      </text>
    </comment>
    <comment ref="B1437" authorId="0" shapeId="0">
      <text>
        <t>Entrave — Normal, statut
Précision 100 % · 20 PP</t>
      </text>
    </comment>
    <comment ref="C1437" authorId="0" shapeId="0">
      <text>
        <t>Détritus — Poison, spéciale
Puissance 65 · Précision 100 % · 20 PP
Blesse en envoyant des détritus. Peut
empoisonner.</t>
      </text>
    </comment>
    <comment ref="B1439" authorId="0" shapeId="0">
      <text>
        <t>NIDOKING — Poison / Sol
PV 81 · Att 102 · Déf 77
Att.Spé 85 · Déf.Spé 75 · Vit 85
Total 505
Talents : Point Poison, Rivalité (caché : Sans
  Limite)</t>
      </text>
    </comment>
    <comment ref="C1439" authorId="0" shapeId="0">
      <text>
        <t>REPTINCEL — Feu
PV 58 · Att 64 · Déf 58
Att.Spé 80 · Déf.Spé 65 · Vit 80
Total 405
Talents : Brasier (caché : Force Soleil)</t>
      </text>
    </comment>
    <comment ref="B1442" authorId="0" shapeId="0">
      <text>
        <t>Point Poison
Empoisonne quand touché.</t>
      </text>
    </comment>
    <comment ref="C1442" authorId="0" shapeId="0">
      <text>
        <t>Brasier
Augmente attaques Feu.</t>
      </text>
    </comment>
    <comment ref="B1443" authorId="0" shapeId="0">
      <text>
        <t>Puissance — Normal, statut
30 PP
Concentration pour booster le taux de
critiques.</t>
      </text>
    </comment>
    <comment ref="C1443" authorId="0" shapeId="0">
      <text>
        <t>Griffe Acier — Acier, physique
Puissance 50 · Précision 95 % · 35 PP
Attaque avec des griffes. Peut augmenter
l'Attaque.</t>
      </text>
    </comment>
    <comment ref="B1444" authorId="0" shapeId="0">
      <text>
        <t>Double Pied — Combat, physique
Puissance 30 · Précision 100 % · 30 PP
Un double coup de pied qui frappe l'ennemi
deux fois.</t>
      </text>
    </comment>
    <comment ref="C1444" authorId="0" shapeId="0">
      <text>
        <t>Brouillard — Normal, statut
Précision 100 % · 20 PP
Baisse la précision ennemie utilisant fumée,
encre, etc.</t>
      </text>
    </comment>
    <comment ref="B1445" authorId="0" shapeId="0">
      <text>
        <t>Dard-Venin — Poison, physique
Puissance 30 · Précision 100 % · 35 PP
Une attaque de dards, etc., pouvant
empoisonner.</t>
      </text>
    </comment>
    <comment ref="C1445" authorId="0" shapeId="0">
      <text>
        <t>Draco-Rage — Dragon, spéciale
Puissance 1 · Précision 100 % · 10 PP
Envoie des ondes de choc infligeant 40 PV de
dégâts.</t>
      </text>
    </comment>
    <comment ref="B1446" authorId="0" shapeId="0">
      <text>
        <t>Attrition — Normal, physique
Puissance 70 · Précision 100 % · 20 PP</t>
      </text>
    </comment>
    <comment ref="C1446" authorId="0" shapeId="0">
      <text>
        <t>Grimace — Normal, statut
Précision 100 % · 10 PP
Effraie avec une grimace pour baisser la
Vitesse.</t>
      </text>
    </comment>
    <comment ref="B1448" authorId="0" shapeId="0">
      <text>
        <t>LEVIATOR — Eau / Vol
PV 95 · Att 125 · Déf 79
Att.Spé 60 · Déf.Spé 100 · Vit 81
Total 540
Talents : Intimidation (caché : Impudence)</t>
      </text>
    </comment>
    <comment ref="C1448" authorId="0" shapeId="0">
      <text>
        <t>LEVIATOR — Eau / Vol
PV 95 · Att 125 · Déf 79
Att.Spé 60 · Déf.Spé 100 · Vit 81
Total 540
Talents : Intimidation (caché : Impudence)</t>
      </text>
    </comment>
    <comment ref="B1451" authorId="0" shapeId="0">
      <text>
        <t>Intimidation
Baisse l'Attaque ennemie.</t>
      </text>
    </comment>
    <comment ref="C1451" authorId="0" shapeId="0">
      <text>
        <t>Intimidation
Baisse l'Attaque ennemie.</t>
      </text>
    </comment>
    <comment ref="B1452" authorId="0" shapeId="0">
      <text>
        <t>Mania — Normal, physique
Puissance 120 · Précision 100 % · 10 PP
Une attaque furieuse de 2 à 3 tours. Lanceur
confus.</t>
      </text>
    </comment>
    <comment ref="C1452" authorId="0" shapeId="0">
      <text>
        <t>Mania — Normal, physique
Puissance 120 · Précision 100 % · 10 PP
Une attaque furieuse de 2 à 3 tours. Lanceur
confus.</t>
      </text>
    </comment>
    <comment ref="B1453" authorId="0" shapeId="0">
      <text>
        <t>Groz'Yeux — Normal, statut
Précision 100 % · 30 PP
Lance un regard noir et baisse la Défense.</t>
      </text>
    </comment>
    <comment ref="C1453" authorId="0" shapeId="0">
      <text>
        <t>Groz'Yeux — Normal, statut
Précision 100 % · 30 PP
Lance un regard noir et baisse la Défense.</t>
      </text>
    </comment>
    <comment ref="B1454" authorId="0" shapeId="0">
      <text>
        <t>Siphon — Eau, spéciale
Puissance 35 · Précision 85 % · 15 PP</t>
      </text>
    </comment>
    <comment ref="C1454" authorId="0" shapeId="0">
      <text>
        <t>Siphon — Eau, spéciale
Puissance 35 · Précision 85 % · 15 PP</t>
      </text>
    </comment>
    <comment ref="B1455" authorId="0" shapeId="0">
      <text>
        <t>Ouragan — Dragon, spéciale
Puissance 40 · Précision 100 % · 20 PP
Déclenche un terrible ouragan blessant
l'ennemi.</t>
      </text>
    </comment>
    <comment ref="C1455" authorId="0" shapeId="0">
      <text>
        <t>Ouragan — Dragon, spéciale
Puissance 40 · Précision 100 % · 20 PP
Déclenche un terrible ouragan blessant
l'ennemi.</t>
      </text>
    </comment>
    <comment ref="B1457" authorId="0" shapeId="0">
      <text>
        <t>SABLAIREAU — Sol
PV 75 · Att 100 · Déf 110
Att.Spé 45 · Déf.Spé 55 · Vit 65
Total 450
Talents : Voile Sable (caché : Baigne Sable)</t>
      </text>
    </comment>
    <comment ref="C1457" authorId="0" shapeId="0">
      <text>
        <t>NOSFERALTO — Poison / Vol
PV 75 · Att 80 · Déf 70
Att.Spé 65 · Déf.Spé 75 · Vit 90
Total 455
Talents : Attention (caché : Infiltration)</t>
      </text>
    </comment>
    <comment ref="B1460" authorId="0" shapeId="0">
      <text>
        <t>Voile Sable
Evasion si tempête sable.</t>
      </text>
    </comment>
    <comment ref="C1460" authorId="0" shapeId="0">
      <text>
        <t>Attention
Empêche la peur.</t>
      </text>
    </comment>
    <comment ref="B1461" authorId="0" shapeId="0">
      <text>
        <t>Ampleur — Sol, physique
Puissance 1 · Précision 100 % · 30 PP
Un tremblement de terre d'intensité variable.</t>
      </text>
    </comment>
    <comment ref="C1461" authorId="0" shapeId="0">
      <text>
        <t>Cru-Ailes — Vol, physique
Puissance 60 · Précision 100 % · 35 PP
Frappe l'ennemi en déployant les ailes.</t>
      </text>
    </comment>
    <comment ref="B1462" authorId="0" shapeId="0">
      <text>
        <t>Météores — Normal, spéciale
Puissance 60 · Ne rate jamais · 20 PP
Envoie des rayons en forme d'étoile. Touche
toujours.</t>
      </text>
    </comment>
    <comment ref="C1462" authorId="0" shapeId="0">
      <text>
        <t>Onde Folie — Spectre, statut
Précision 100 % · 10 PP
Un horrible rayon qui rend l'ennemi confus.</t>
      </text>
    </comment>
    <comment ref="B1463" authorId="0" shapeId="0">
      <text>
        <t>Combo-Griffe — Normal, physique
Puissance 18 · Précision 80 % · 15 PP
Ecorche l'ennemi avec des griffes, etc., de 2
à 5 fois.</t>
      </text>
    </comment>
    <comment ref="C1463" authorId="0" shapeId="0">
      <text>
        <t>Tranch'Air — Vol, spéciale
Puissance 60 · Précision 95 % · 25 PP
Un vent tranchant. Taux de critiques élevé.</t>
      </text>
    </comment>
    <comment ref="B1464" authorId="0" shapeId="0">
      <text>
        <t>Tourbi-Sable — Sol, physique
Puissance 35 · Précision 85 % · 15 PP</t>
      </text>
    </comment>
    <comment ref="C1464" authorId="0" shapeId="0">
      <text>
        <t>Météores — Normal, spéciale
Puissance 60 · Ne rate jamais · 20 PP
Envoie des rayons en forme d'étoile. Touche
toujours.</t>
      </text>
    </comment>
    <comment ref="B1466" authorId="0" shapeId="0">
      <text>
        <t>MELOFEE
PV 70 · Att 45 · Déf 48
Att.Spé 60 · Déf.Spé 65 · Vit 35
Total 323
Talents : Joli Sourire, Garde Magik (caché :
  Garde-Ami)</t>
      </text>
    </comment>
    <comment ref="C1466" authorId="0" shapeId="0">
      <text>
        <t>GRODOUDOU
PV 140 · Att 70 · Déf 45
Att.Spé 50 · Déf.Spé 50 · Vit 45
Total 400
Talents : Joli Sourire, Battant (caché :
  Fouille)</t>
      </text>
    </comment>
    <comment ref="B1469" authorId="0" shapeId="0">
      <text>
        <t>Joli Sourire
Séduit quand touché.</t>
      </text>
    </comment>
    <comment ref="C1469" authorId="0" shapeId="0">
      <text>
        <t>Joli Sourire
Séduit quand touché.</t>
      </text>
    </comment>
    <comment ref="B1470" authorId="0" shapeId="0">
      <text>
        <t>Boul'Armure — Normal, statut
40 PP
S'enroule, cache ses points faibles. Monte la
Défense.</t>
      </text>
    </comment>
    <comment ref="C1470" authorId="0" shapeId="0">
      <text>
        <t>Berceuse — Normal, statut
Précision 55 % · 15 PP
Berceuse plongeant l'ennemi dans un profond
sommeil.</t>
      </text>
    </comment>
    <comment ref="B1471" authorId="0" shapeId="0">
      <text>
        <t>Par Ici — Normal, statut
20 PP · Priorité +2
Attire l'attention. Les adv. n'attaquent que
le lanceur.</t>
      </text>
    </comment>
    <comment ref="C1471" authorId="0" shapeId="0">
      <text>
        <t>Boul'Armure — Normal, statut
40 PP
S'enroule, cache ses points faibles. Monte la
Défense.</t>
      </text>
    </comment>
    <comment ref="B1472" authorId="0" shapeId="0">
      <text>
        <t>Voix Envoûtante — Fée, spéciale
Puissance 80 · Précision 100 % · 10 PP
Rend confus l'ennemi si ses stats ont monté ce
tour.</t>
      </text>
    </comment>
    <comment ref="C1472" authorId="0" shapeId="0">
      <text>
        <t>Entrave — Normal, statut
Précision 100 % · 20 PP</t>
      </text>
    </comment>
    <comment ref="B1473" authorId="0" shapeId="0">
      <text>
        <t>Passe-Cadeau — Normal, statut
15 PP
Le lanceur donne son objet à l'ennemi.</t>
      </text>
    </comment>
    <comment ref="C1473" authorId="0" shapeId="0">
      <text>
        <t>Torgnoles — Normal, physique
Puissance 15 · Précision 85 % · 10 PP
Gifle rapidement l'ennemi de 2 à 5 fois.</t>
      </text>
    </comment>
    <comment ref="B1476" authorId="0" shapeId="0">
      <text>
        <t>LEVIATOR — Eau / Vol
PV 95 · Att 125 · Déf 79
Att.Spé 60 · Déf.Spé 100 · Vit 81
Total 540
Talents : Intimidation (caché : Impudence)</t>
      </text>
    </comment>
    <comment ref="B1479" authorId="0" shapeId="0">
      <text>
        <t>Intimidation
Baisse l'Attaque ennemie.</t>
      </text>
    </comment>
    <comment ref="B1480" authorId="0" shapeId="0">
      <text>
        <t>Groz'Yeux — Normal, statut
Précision 100 % · 30 PP
Lance un regard noir et baisse la Défense.</t>
      </text>
    </comment>
    <comment ref="B1481" authorId="0" shapeId="0">
      <text>
        <t>Siphon — Eau, spéciale
Puissance 35 · Précision 85 % · 15 PP</t>
      </text>
    </comment>
    <comment ref="B1482" authorId="0" shapeId="0">
      <text>
        <t>Ouragan — Dragon, spéciale
Puissance 40 · Précision 100 % · 20 PP
Déclenche un terrible ouragan blessant
l'ennemi.</t>
      </text>
    </comment>
    <comment ref="B1483" authorId="0" shapeId="0">
      <text>
        <t>Crocs Givre — Glace, physique
Puissance 65 · Précision 95 % · 15 PP</t>
      </text>
    </comment>
    <comment ref="B1485" authorId="0" shapeId="0">
      <text>
        <t>AQUALI — Eau
PV 130 · Att 65 · Déf 60
Att.Spé 110 · Déf.Spé 95 · Vit 65
Total 525
Talents : Absorbe-Eau, Absorbe-Eau (caché :
  Hydratation)</t>
      </text>
    </comment>
    <comment ref="B1488" authorId="0" shapeId="0">
      <text>
        <t>Absorbe-Eau
Change l'eau en PV.</t>
      </text>
    </comment>
    <comment ref="B1489" authorId="0" shapeId="0">
      <text>
        <t>Vive-Attaque — Normal, physique
Puissance 40 · Précision 100 % · 30 PP ·
Priorité +1
Attaque fulgurante qui permet de frapper
d'abord.</t>
      </text>
    </comment>
    <comment ref="B1490" authorId="0" shapeId="0">
      <text>
        <t>Vibraqua — Eau, spéciale
Puissance 60 · Précision 100 % · 20 PP
Envoi des ondes aquatiques. Peut rendre
confus.</t>
      </text>
    </comment>
    <comment ref="B1491" authorId="0" shapeId="0">
      <text>
        <t>Onde Boréale — Glace, spéciale
Puissance 65 · Précision 100 % · 20 PP
Envoie un rayon arc-en-ciel pouvant baisser
l'Attaque.</t>
      </text>
    </comment>
    <comment ref="B1492" authorId="0" shapeId="0">
      <text>
        <t>Anneau Hydro — Eau, statut
20 PP
Un voile d'eau qui restaure des PV.</t>
      </text>
    </comment>
    <comment ref="B1494" authorId="0" shapeId="0">
      <text>
        <t>HERBIZARRE — Plante / Poison
PV 60 · Att 62 · Déf 63
Att.Spé 80 · Déf.Spé 80 · Vit 60
Total 405
Talents : Engrais (caché : Chlorophylle)</t>
      </text>
    </comment>
    <comment ref="C1494" authorId="0" shapeId="0">
      <text>
        <t>REPTINCEL — Feu
PV 58 · Att 64 · Déf 58
Att.Spé 80 · Déf.Spé 65 · Vit 80
Total 405
Talents : Brasier (caché : Force Soleil)</t>
      </text>
    </comment>
    <comment ref="D1494" authorId="0" shapeId="0">
      <text>
        <t>CARABAFFE — Eau
PV 59 · Att 63 · Déf 80
Att.Spé 65 · Déf.Spé 80 · Vit 58
Total 405
Talents : Torrent (caché : Cuvette)</t>
      </text>
    </comment>
    <comment ref="B1497" authorId="0" shapeId="0">
      <text>
        <t>Engrais
Augmente attaques Plante.</t>
      </text>
    </comment>
    <comment ref="C1497" authorId="0" shapeId="0">
      <text>
        <t>Brasier
Augmente attaques Feu.</t>
      </text>
    </comment>
    <comment ref="D1497" authorId="0" shapeId="0">
      <text>
        <t>Torrent
Augmente attaques Eau.</t>
      </text>
    </comment>
    <comment ref="B1498" authorId="0" shapeId="0">
      <text>
        <t>Bélier — Normal, physique
Puissance 90 · Précision 85 % · 20 PP
Une charge violente qui blesse aussi le
lanceur.</t>
      </text>
    </comment>
    <comment ref="C1498" authorId="0" shapeId="0">
      <text>
        <t>Griffe Acier — Acier, physique
Puissance 50 · Précision 95 % · 35 PP
Attaque avec des griffes. Peut augmenter
l'Attaque.</t>
      </text>
    </comment>
    <comment ref="D1498" authorId="0" shapeId="0">
      <text>
        <t>Écume — Eau, spéciale
Puissance 40 · Précision 100 % · 30 PP
Une attaque de bulles pouvant baisser la
Vitesse.</t>
      </text>
    </comment>
    <comment ref="B1499" authorId="0" shapeId="0">
      <text>
        <t>Tranch'Herbe — Plante, physique
Puissance 55 · Précision 95 % · 25 PP
Tranche avec des feuilles. Taux de critiques
élevé.</t>
      </text>
    </comment>
    <comment ref="C1499" authorId="0" shapeId="0">
      <text>
        <t>Brouillard — Normal, statut
Précision 100 % · 20 PP
Baisse la précision ennemie utilisant fumée,
encre, etc.</t>
      </text>
    </comment>
    <comment ref="D1499" authorId="0" shapeId="0">
      <text>
        <t>Morsure — Ténèbres, physique
Puissance 60 · Précision 100 % · 25 PP
Mord méchamment l'ennemi et peut l'apeurer.</t>
      </text>
    </comment>
    <comment ref="B1500" authorId="0" shapeId="0">
      <text>
        <t>Doux Parfum — Normal, statut
Précision 100 % · 20 PP</t>
      </text>
    </comment>
    <comment ref="C1500" authorId="0" shapeId="0">
      <text>
        <t>Draco-Rage — Dragon, spéciale
Puissance 1 · Précision 100 % · 10 PP
Envoie des ondes de choc infligeant 40 PV de
dégâts.</t>
      </text>
    </comment>
    <comment ref="D1500" authorId="0" shapeId="0">
      <text>
        <t>Tour Rapide — Normal, physique
Puissance 50 · Précision 100 % · 40 PP</t>
      </text>
    </comment>
    <comment ref="B1501" authorId="0" shapeId="0">
      <text>
        <t>Détritus — Poison, spéciale
Puissance 65 · Précision 100 % · 20 PP
Blesse en envoyant des détritus. Peut
empoisonner.</t>
      </text>
    </comment>
    <comment ref="C1501" authorId="0" shapeId="0">
      <text>
        <t>Grimace — Normal, statut
Précision 100 % · 10 PP
Effraie avec une grimace pour baisser la
Vitesse.</t>
      </text>
    </comment>
    <comment ref="D1501" authorId="0" shapeId="0">
      <text>
        <t>Abri — Normal, statut
10 PP · Priorité +4</t>
      </text>
    </comment>
    <comment ref="B1503" authorId="0" shapeId="0">
      <text>
        <t>FLORAVOL — Plante / Vol
PV 55 · Att 45 · Déf 50
Att.Spé 45 · Déf.Spé 65 · Vit 80
Total 340
Talents : Chlorophylle, Feuille Garde (caché :
  Infiltration)</t>
      </text>
    </comment>
    <comment ref="C1503" authorId="0" shapeId="0">
      <text>
        <t>FEUNARD — Feu
PV 73 · Att 76 · Déf 75
Att.Spé 81 · Déf.Spé 100 · Vit 100
Total 505
Talents : Torche (caché : Sécheresse)</t>
      </text>
    </comment>
    <comment ref="B1506" authorId="0" shapeId="0">
      <text>
        <t>Chlorophylle
Augmente Vitesse au soleil.</t>
      </text>
    </comment>
    <comment ref="C1506" authorId="0" shapeId="0">
      <text>
        <t>Torche
Puissance monte si brûlé.</t>
      </text>
    </comment>
    <comment ref="B1507" authorId="0" shapeId="0">
      <text>
        <t>Poudre Dodo — Plante, statut
Précision 75 % · 15 PP
Répand une poudre pouvant endormir l'ennemi.</t>
      </text>
    </comment>
    <comment ref="C1507" authorId="0" shapeId="0">
      <text>
        <t>Lance-Flammes — Feu, spéciale
Puissance 90 · Précision 100 % · 15 PP
Une puissante attaque de feu pouvant brûler
l'ennemi.</t>
      </text>
    </comment>
    <comment ref="B1508" authorId="0" shapeId="0">
      <text>
        <t>Balle Graine — Plante, physique
Puissance 25 · Précision 100 % · 30 PP
Mitraille l'ennemi avec 2 à 5 graines à la
suite.</t>
      </text>
    </comment>
    <comment ref="C1508" authorId="0" shapeId="0">
      <text>
        <t>Vive-Attaque — Normal, physique
Puissance 40 · Précision 100 % · 30 PP ·
Priorité +1
Attaque fulgurante qui permet de frapper
d'abord.</t>
      </text>
    </comment>
    <comment ref="B1509" authorId="0" shapeId="0">
      <text>
        <t>Vampigraine — Plante, statut
Précision 90 % · 10 PP
Plante des graines pour voler des PV à chaque
tour.</t>
      </text>
    </comment>
    <comment ref="C1509" authorId="0" shapeId="0">
      <text>
        <t>Onde Folie — Spectre, statut
Précision 100 % · 10 PP
Un horrible rayon qui rend l'ennemi confus.</t>
      </text>
    </comment>
    <comment ref="B1510" authorId="0" shapeId="0">
      <text>
        <t>Méga-Sangsue — Plante, spéciale
Puissance 40 · Précision 100 % · 25 PP</t>
      </text>
    </comment>
    <comment ref="C1510" authorId="0" shapeId="0">
      <text>
        <t>Rune Protect — Normal, statut
25 PP
Force mystique empêchant tout changement de
statut.</t>
      </text>
    </comment>
    <comment ref="B1513" authorId="0" shapeId="0">
      <text>
        <t>SOPORIFIK — Psy
PV 60 · Att 48 · Déf 45
Att.Spé 43 · Déf.Spé 90 · Vit 42
Total 328
Talents : Insomnia, Prédiction (caché :
  Attention)</t>
      </text>
    </comment>
    <comment ref="C1513" authorId="0" shapeId="0">
      <text>
        <t>SCORPLANE — Sol / Vol
PV 65 · Att 75 · Déf 105
Att.Spé 35 · Déf.Spé 65 · Vit 85
Total 430
Talents : Hyper Cutter, Voile Sable (caché :
  Vaccin)</t>
      </text>
    </comment>
    <comment ref="B1516" authorId="0" shapeId="0">
      <text>
        <t>Insomnia
Empêche de s'endormir.</t>
      </text>
    </comment>
    <comment ref="C1516" authorId="0" shapeId="0">
      <text>
        <t>Hyper Cutter
Empêche réduction Attaque.</t>
      </text>
    </comment>
    <comment ref="B1517" authorId="0" shapeId="0">
      <text>
        <t>Coup d'Boule — Normal, physique
Puissance 70 · Précision 100 % · 15 PP
Une charge qui peut apeurer l'ennemi.</t>
      </text>
    </comment>
    <comment ref="C1517" authorId="0" shapeId="0">
      <text>
        <t>Charge Os — Sol, physique
Puissance 25 · Précision 90 % · 10 PP
Frappe l'ennemi 2 à 5 fois avec un os.</t>
      </text>
    </comment>
    <comment ref="B1518" authorId="0" shapeId="0">
      <text>
        <t>Gaz Toxik — Poison, statut
Précision 90 % · 40 PP</t>
      </text>
    </comment>
    <comment ref="C1518" authorId="0" shapeId="0">
      <text>
        <t>Taillade — Insecte, physique
Puissance 40 · Précision 95 % · 20 PP
Une attaque qui s'intensifie après chaque
coup.</t>
      </text>
    </comment>
    <comment ref="B1519" authorId="0" shapeId="0">
      <text>
        <t>Yoga — Psy, statut
40 PP
Méditation pacifique pour augmenter l'Attaque.</t>
      </text>
    </comment>
    <comment ref="C1519" authorId="0" shapeId="0">
      <text>
        <t>Feinte — Ténèbres, physique
Puissance 60 · Ne rate jamais · 20 PP
Approche l'ennemi et frappe à coup sûr.</t>
      </text>
    </comment>
    <comment ref="B1520" authorId="0" shapeId="0">
      <text>
        <t>Rafale Psy — Psy, spéciale
Puissance 65 · Précision 100 % · 20 PP
Étrange rayon pouvant rendre l'ennemi confus.</t>
      </text>
    </comment>
    <comment ref="C1520" authorId="0" shapeId="0">
      <text>
        <t>Acrobatie — Vol, physique
Puissance 55 · Précision 100 % · 15 PP
Double les dégâts si le lanceur n'a pas
d'objet.</t>
      </text>
    </comment>
    <comment ref="B1522" authorId="0" shapeId="0">
      <text>
        <t>NOSFERALTO — Poison / Vol
PV 75 · Att 80 · Déf 70
Att.Spé 65 · Déf.Spé 75 · Vit 90
Total 455
Talents : Attention (caché : Infiltration)</t>
      </text>
    </comment>
    <comment ref="C1522" authorId="0" shapeId="0">
      <text>
        <t>MIGALOS — Insecte / Poison
PV 70 · Att 90 · Déf 70
Att.Spé 60 · Déf.Spé 70 · Vit 40
Total 400
Talents : Essaim, Insomnia (caché : Sniper)</t>
      </text>
    </comment>
    <comment ref="D1522" authorId="0" shapeId="0">
      <text>
        <t>RATTATAC — Normal
PV 55 · Att 81 · Déf 60
Att.Spé 50 · Déf.Spé 70 · Vit 97
Total 413
Talents : Fuite, Cran (caché : Agitation)</t>
      </text>
    </comment>
    <comment ref="B1525" authorId="0" shapeId="0">
      <text>
        <t>Attention
Empêche la peur.</t>
      </text>
    </comment>
    <comment ref="C1525" authorId="0" shapeId="0">
      <text>
        <t>Essaim
Augmente attaques Insect.</t>
      </text>
    </comment>
    <comment ref="D1525" authorId="0" shapeId="0">
      <text>
        <t>Fuite
Améliore chances de fuite.</t>
      </text>
    </comment>
    <comment ref="B1526" authorId="0" shapeId="0">
      <text>
        <t>Onde Folie — Spectre, statut
Précision 100 % · 10 PP
Un horrible rayon qui rend l'ennemi confus.</t>
      </text>
    </comment>
    <comment ref="C1526" authorId="0" shapeId="0">
      <text>
        <t>Grimace — Normal, statut
Précision 100 % · 10 PP
Effraie avec une grimace pour baisser la
Vitesse.</t>
      </text>
    </comment>
    <comment ref="D1526" authorId="0" shapeId="0">
      <text>
        <t>Poursuite — Ténèbres, physique
Puissance 40 · Précision 100 % · 20 PP
Inflige de sérieux dégâts lorsque l'ennemi
change.</t>
      </text>
    </comment>
    <comment ref="B1527" authorId="0" shapeId="0">
      <text>
        <t>Tranch'Air — Vol, spéciale
Puissance 60 · Précision 95 % · 25 PP
Un vent tranchant. Taux de critiques élevé.</t>
      </text>
    </comment>
    <comment ref="C1527" authorId="0" shapeId="0">
      <text>
        <t>Ombre Nocturne — Spectre, spéciale
Puissance 1 · Précision 100 % · 15 PP
Inflige des dégâts selon le niveau du lanceur.</t>
      </text>
    </comment>
    <comment ref="D1527" authorId="0" shapeId="0">
      <text>
        <t>Croc de Mort — Normal, physique
Puissance 80 · Précision 90 % · 15 PP
Blesse d'un coup de croc. Peut apeurer
l'ennemi.</t>
      </text>
    </comment>
    <comment ref="B1528" authorId="0" shapeId="0">
      <text>
        <t>Météores — Normal, spéciale
Puissance 60 · Ne rate jamais · 20 PP
Envoie des rayons en forme d'étoile. Touche
toujours.</t>
      </text>
    </comment>
    <comment ref="C1528" authorId="0" shapeId="0">
      <text>
        <t>Ombre Portée — Spectre, physique
Puissance 40 · Précision 100 % · 30 PP ·
Priorité +1
Étend son ombre pour frapper en premier.</t>
      </text>
    </comment>
    <comment ref="D1528" authorId="0" shapeId="0">
      <text>
        <t>Assurance — Ténèbres, physique
Puissance 60 · Précision 100 % · 10 PP
Plus puissant si l'ennemi a déjà été blessé.</t>
      </text>
    </comment>
    <comment ref="B1529" authorId="0" shapeId="0">
      <text>
        <t>Crochet Venin — Poison, physique
Puissance 50 · Précision 100 % · 15 PP
Morsure pouvant sérieuse- ment empoisonner
l'ennemi.</t>
      </text>
    </comment>
    <comment ref="C1529" authorId="0" shapeId="0">
      <text>
        <t>Combo-Griffe — Normal, physique
Puissance 18 · Précision 80 % · 15 PP
Ecorche l'ennemi avec des griffes, etc., de 2
à 5 fois.</t>
      </text>
    </comment>
    <comment ref="D1529" authorId="0" shapeId="0">
      <text>
        <t>Mâchouille — Ténèbres, physique
Puissance 80 · Précision 100 % · 15 PP</t>
      </text>
    </comment>
    <comment ref="B1531" authorId="0" shapeId="0">
      <text>
        <t>MAGNETI — Électrik
PV 25 · Att 35 · Déf 70
Att.Spé 95 · Déf.Spé 55 · Vit 45
Total 325
Talents : Magnépiège, Fermeté (caché :
  Analyste)</t>
      </text>
    </comment>
    <comment ref="C1531" authorId="0" shapeId="0">
      <text>
        <t>PORYGON — Normal
PV 65 · Att 60 · Déf 70
Att.Spé 85 · Déf.Spé 75 · Vit 40
Total 395
Talents : Calque, Télécharge (caché :
  Analyste)</t>
      </text>
    </comment>
    <comment ref="B1534" authorId="0" shapeId="0">
      <text>
        <t>Magnépiège
Piège les Pokémon Acier.</t>
      </text>
    </comment>
    <comment ref="C1534" authorId="0" shapeId="0">
      <text>
        <t>Calque
Imite la capacité spéciale.</t>
      </text>
    </comment>
    <comment ref="B1535" authorId="0" shapeId="0">
      <text>
        <t>Sonic Boom — Normal, spéciale
Puissance 1 · Précision 90 % · 20 PP
Envoie des ondes de choc infligeant 20 PV de
dégâts.</t>
      </text>
    </comment>
    <comment ref="C1535" authorId="0" shapeId="0">
      <text>
        <t>Rafale Psy — Psy, spéciale
Puissance 65 · Précision 100 % · 20 PP
Étrange rayon pouvant rendre l'ennemi confus.</t>
      </text>
    </comment>
    <comment ref="B1536" authorId="0" shapeId="0">
      <text>
        <t>Étincelle — Électrik, physique
Puissance 65 · Précision 100 % · 20 PP
Une charge électrique qui peut paralyser
l'ennemi.</t>
      </text>
    </comment>
    <comment ref="C1536" authorId="0" shapeId="0">
      <text>
        <t>Hâte — Psy, statut
30 PP
Relaxation du corps pour booster la Vitesse.</t>
      </text>
    </comment>
    <comment ref="B1537" authorId="0" shapeId="0">
      <text>
        <t>Miroi-Tir — Acier, spéciale
Puissance 65 · Précision 85 % · 10 PP
Un éclat d'énergie. Baisse la Précision.</t>
      </text>
    </comment>
    <comment ref="C1537" authorId="0" shapeId="0">
      <text>
        <t>Soin — Normal, statut
5 PP
Restaure jusqu'à la moitié des PV max du
lanceur.</t>
      </text>
    </comment>
    <comment ref="B1538" authorId="0" shapeId="0">
      <text>
        <t>Strido-Son — Acier, statut
Précision 85 % · 40 PP
Cri horrible qui baisse beaucoup la Déf. Spé.</t>
      </text>
    </comment>
    <comment ref="C1538" authorId="0" shapeId="0">
      <text>
        <t>Vol Magnétik — Électrik, statut
10 PP
Le lanceur lévite par magnétisme.</t>
      </text>
    </comment>
    <comment ref="B1540" authorId="0" shapeId="0">
      <text>
        <t>KANGOUREX — Normal
PV 105 · Att 95 · Déf 80
Att.Spé 40 · Déf.Spé 80 · Vit 90
Total 490
Talents : Matinal, Querelleur (caché :
  Attention)</t>
      </text>
    </comment>
    <comment ref="B1543" authorId="0" shapeId="0">
      <text>
        <t>Matinal
Se réveille rapidement.</t>
      </text>
    </comment>
    <comment ref="B1544" authorId="0" shapeId="0">
      <text>
        <t>Morsure — Ténèbres, physique
Puissance 60 · Précision 100 % · 25 PP
Mord méchamment l'ennemi et peut l'apeurer.</t>
      </text>
    </comment>
    <comment ref="B1545" authorId="0" shapeId="0">
      <text>
        <t>Coup Double — Normal, physique
Puissance 35 · Précision 90 % · 10 PP
Frappe deux fois avec la queue ou autre.</t>
      </text>
    </comment>
    <comment ref="B1546" authorId="0" shapeId="0">
      <text>
        <t>Frénésie — Normal, physique
Puissance 20 · Précision 100 % · 20 PP
Augmente l'Attaque du lanceur à chaque coup
reçu.</t>
      </text>
    </comment>
    <comment ref="B1547" authorId="0" shapeId="0">
      <text>
        <t>Ultimapoing — Normal, physique
Puissance 80 · Précision 85 % · 20 PP
Un coup de poing d'une puissance incroyable.</t>
      </text>
    </comment>
    <comment ref="B1550" authorId="0" shapeId="0">
      <text>
        <t>ARBOK — Poison
PV 60 · Att 95 · Déf 69
Att.Spé 65 · Déf.Spé 79 · Vit 80
Total 448
Talents : Intimidation, Mue (caché : Tension)</t>
      </text>
    </comment>
    <comment ref="C1550" authorId="0" shapeId="0">
      <text>
        <t>PERSIAN — Normal
PV 65 · Att 70 · Déf 60
Att.Spé 65 · Déf.Spé 65 · Vit 115
Total 440
Talents : Échauffement, Technicien (caché :
  Tension)</t>
      </text>
    </comment>
    <comment ref="D1550" authorId="0" shapeId="0">
      <text>
        <t>RAFFLESIA — Plante / Poison
PV 75 · Att 80 · Déf 85
Att.Spé 110 · Déf.Spé 90 · Vit 50
Total 490
Talents : Chlorophylle (caché : Pose Spore)</t>
      </text>
    </comment>
    <comment ref="B1553" authorId="0" shapeId="0">
      <text>
        <t>Intimidation
Baisse l'Attaque ennemie.</t>
      </text>
    </comment>
    <comment ref="C1553" authorId="0" shapeId="0">
      <text>
        <t>Échauffement
Empêche la paralysie.</t>
      </text>
    </comment>
    <comment ref="D1553" authorId="0" shapeId="0">
      <text>
        <t>Chlorophylle
Augmente Vitesse au soleil.</t>
      </text>
    </comment>
    <comment ref="B1554" authorId="0" shapeId="0">
      <text>
        <t>Groz'Yeux — Normal, statut
Précision 100 % · 30 PP
Lance un regard noir et baisse la Défense.</t>
      </text>
    </comment>
    <comment ref="C1554" authorId="0" shapeId="0">
      <text>
        <t>Feinte — Ténèbres, physique
Puissance 60 · Ne rate jamais · 20 PP
Approche l'ennemi et frappe à coup sûr.</t>
      </text>
    </comment>
    <comment ref="D1554" authorId="0" shapeId="0">
      <text>
        <t>Doux Parfum — Normal, statut
Précision 100 % · 20 PP</t>
      </text>
    </comment>
    <comment ref="B1555" authorId="0" shapeId="0">
      <text>
        <t>Crochet Venin — Poison, physique
Puissance 50 · Précision 100 % · 15 PP
Morsure pouvant sérieuse- ment empoisonner
l'ennemi.</t>
      </text>
    </comment>
    <comment ref="C1555" authorId="0" shapeId="0">
      <text>
        <t>Jackpot — Normal, physique
Puissance 40 · Précision 100 % · 20 PP
Lance des pièces. L'argent est récupéré plus
tard.</t>
      </text>
    </comment>
    <comment ref="D1555" authorId="0" shapeId="0">
      <text>
        <t>Poudre Dodo — Plante, statut
Précision 75 % · 15 PP
Répand une poudre pouvant endormir l'ennemi.</t>
      </text>
    </comment>
    <comment ref="B1556" authorId="0" shapeId="0">
      <text>
        <t>Morsure — Ténèbres, physique
Puissance 60 · Précision 100 % · 25 PP
Mord méchamment l'ennemi et peut l'apeurer.</t>
      </text>
    </comment>
    <comment ref="C1556" authorId="0" shapeId="0">
      <text>
        <t>Coud'Boue — Sol, spéciale
Puissance 20 · Précision 100 % · 10 PP
Envoie de la boue au visage pour baisser la
précision.</t>
      </text>
    </comment>
    <comment ref="D1556" authorId="0" shapeId="0">
      <text>
        <t>Bombe Beurk — Poison, spéciale
Puissance 90 · Précision 100 % · 10 PP
Envoie des détritus pour blesser. Peut
empoisonner.</t>
      </text>
    </comment>
    <comment ref="B1557" authorId="0" shapeId="0">
      <text>
        <t>Ligotage — Normal, physique
Puissance 15 · Précision 90 % · 20 PP</t>
      </text>
    </comment>
    <comment ref="C1557" authorId="0" shapeId="0">
      <text>
        <t>Tranche — Normal, physique
Puissance 70 · Précision 100 % · 20 PP
Coups de griffe, etc. Taux de critiques élevé.</t>
      </text>
    </comment>
    <comment ref="D1557" authorId="0" shapeId="0">
      <text>
        <t>Giga-Sangsue — Plante, spéciale
Puissance 75 · Précision 100 % · 25 PP
Une attaque qui absorbe la moitié des dégâts
infligés.</t>
      </text>
    </comment>
    <comment ref="B1559" authorId="0" shapeId="0">
      <text>
        <t>NOSFERALTO — Poison / Vol
PV 75 · Att 80 · Déf 70
Att.Spé 65 · Déf.Spé 75 · Vit 90
Total 455
Talents : Attention (caché : Infiltration)</t>
      </text>
    </comment>
    <comment ref="C1559" authorId="0" shapeId="0">
      <text>
        <t>NOSFERALTO — Poison / Vol
PV 75 · Att 80 · Déf 70
Att.Spé 65 · Déf.Spé 75 · Vit 90
Total 455
Talents : Attention (caché : Infiltration)</t>
      </text>
    </comment>
    <comment ref="D1559" authorId="0" shapeId="0">
      <text>
        <t>ARBOK — Poison
PV 60 · Att 95 · Déf 69
Att.Spé 65 · Déf.Spé 79 · Vit 80
Total 448
Talents : Intimidation, Mue (caché : Tension)</t>
      </text>
    </comment>
    <comment ref="B1562" authorId="0" shapeId="0">
      <text>
        <t>Attention
Empêche la peur.</t>
      </text>
    </comment>
    <comment ref="C1562" authorId="0" shapeId="0">
      <text>
        <t>Attention
Empêche la peur.</t>
      </text>
    </comment>
    <comment ref="D1562" authorId="0" shapeId="0">
      <text>
        <t>Intimidation
Baisse l'Attaque ennemie.</t>
      </text>
    </comment>
    <comment ref="B1563" authorId="0" shapeId="0">
      <text>
        <t>Cru-Ailes — Vol, physique
Puissance 60 · Précision 100 % · 35 PP
Frappe l'ennemi en déployant les ailes.</t>
      </text>
    </comment>
    <comment ref="C1563" authorId="0" shapeId="0">
      <text>
        <t>Cru-Ailes — Vol, physique
Puissance 60 · Précision 100 % · 35 PP
Frappe l'ennemi en déployant les ailes.</t>
      </text>
    </comment>
    <comment ref="D1563" authorId="0" shapeId="0">
      <text>
        <t>Stockage — Normal, statut
20 PP
Accumule de la puissance pendant 3 tours
maximum.</t>
      </text>
    </comment>
    <comment ref="B1564" authorId="0" shapeId="0">
      <text>
        <t>Onde Folie — Spectre, statut
Précision 100 % · 10 PP
Un horrible rayon qui rend l'ennemi confus.</t>
      </text>
    </comment>
    <comment ref="C1564" authorId="0" shapeId="0">
      <text>
        <t>Onde Folie — Spectre, statut
Précision 100 % · 10 PP
Un horrible rayon qui rend l'ennemi confus.</t>
      </text>
    </comment>
    <comment ref="D1564" authorId="0" shapeId="0">
      <text>
        <t>Avale — Normal, statut
10 PP
Absorbe la puissance accu- mulée et restaure
les PV.</t>
      </text>
    </comment>
    <comment ref="B1565" authorId="0" shapeId="0">
      <text>
        <t>Tranch'Air — Vol, spéciale
Puissance 60 · Précision 95 % · 25 PP
Un vent tranchant. Taux de critiques élevé.</t>
      </text>
    </comment>
    <comment ref="C1565" authorId="0" shapeId="0">
      <text>
        <t>Tranch'Air — Vol, spéciale
Puissance 60 · Précision 95 % · 25 PP
Un vent tranchant. Taux de critiques élevé.</t>
      </text>
    </comment>
    <comment ref="D1565" authorId="0" shapeId="0">
      <text>
        <t>Relâche — Normal, spéciale
Puissance 1 · Précision 100 % · 10 PP
Libère la puissance précédemment accumulée.</t>
      </text>
    </comment>
    <comment ref="B1566" authorId="0" shapeId="0">
      <text>
        <t>Météores — Normal, spéciale
Puissance 60 · Ne rate jamais · 20 PP
Envoie des rayons en forme d'étoile. Touche
toujours.</t>
      </text>
    </comment>
    <comment ref="C1566" authorId="0" shapeId="0">
      <text>
        <t>Météores — Normal, spéciale
Puissance 60 · Ne rate jamais · 20 PP
Envoie des rayons en forme d'étoile. Touche
toujours.</t>
      </text>
    </comment>
    <comment ref="D1566" authorId="0" shapeId="0">
      <text>
        <t>Crochet Venin — Poison, physique
Puissance 50 · Précision 100 % · 15 PP
Morsure pouvant sérieuse- ment empoisonner
l'ennemi.</t>
      </text>
    </comment>
    <comment ref="B1568" authorId="0" shapeId="0">
      <text>
        <t>NOSFERALTO — Poison / Vol
PV 75 · Att 80 · Déf 70
Att.Spé 65 · Déf.Spé 75 · Vit 90
Total 455
Talents : Attention (caché : Infiltration)</t>
      </text>
    </comment>
    <comment ref="B1571" authorId="0" shapeId="0">
      <text>
        <t>Attention
Empêche la peur.</t>
      </text>
    </comment>
    <comment ref="B1572" authorId="0" shapeId="0">
      <text>
        <t>Onde Folie — Spectre, statut
Précision 100 % · 10 PP
Un horrible rayon qui rend l'ennemi confus.</t>
      </text>
    </comment>
    <comment ref="B1573" authorId="0" shapeId="0">
      <text>
        <t>Tranch'Air — Vol, spéciale
Puissance 60 · Précision 95 % · 25 PP
Un vent tranchant. Taux de critiques élevé.</t>
      </text>
    </comment>
    <comment ref="B1574" authorId="0" shapeId="0">
      <text>
        <t>Météores — Normal, spéciale
Puissance 60 · Ne rate jamais · 20 PP
Envoie des rayons en forme d'étoile. Touche
toujours.</t>
      </text>
    </comment>
    <comment ref="B1575" authorId="0" shapeId="0">
      <text>
        <t>Crochet Venin — Poison, physique
Puissance 50 · Précision 100 % · 15 PP
Morsure pouvant sérieuse- ment empoisonner
l'ennemi.</t>
      </text>
    </comment>
    <comment ref="B1577" authorId="0" shapeId="0">
      <text>
        <t>RATTATAC — Normal
PV 55 · Att 81 · Déf 60
Att.Spé 50 · Déf.Spé 70 · Vit 97
Total 413
Talents : Fuite, Cran (caché : Agitation)</t>
      </text>
    </comment>
    <comment ref="C1577" authorId="0" shapeId="0">
      <text>
        <t>TADMORV — Poison
PV 80 · Att 80 · Déf 50
Att.Spé 40 · Déf.Spé 50 · Vit 25
Total 325
Talents : Puanteur, Glu (caché : Toxitouche)</t>
      </text>
    </comment>
    <comment ref="D1577" authorId="0" shapeId="0">
      <text>
        <t>NOSFERALTO — Poison / Vol
PV 75 · Att 80 · Déf 70
Att.Spé 65 · Déf.Spé 75 · Vit 90
Total 455
Talents : Attention (caché : Infiltration)</t>
      </text>
    </comment>
    <comment ref="B1580" authorId="0" shapeId="0">
      <text>
        <t>Fuite
Améliore chances de fuite.</t>
      </text>
    </comment>
    <comment ref="C1580" authorId="0" shapeId="0">
      <text>
        <t>Puanteur
Repousse Pokémon sauvage.</t>
      </text>
    </comment>
    <comment ref="D1580" authorId="0" shapeId="0">
      <text>
        <t>Attention
Empêche la peur.</t>
      </text>
    </comment>
    <comment ref="B1581" authorId="0" shapeId="0">
      <text>
        <t>Poursuite — Ténèbres, physique
Puissance 40 · Précision 100 % · 20 PP
Inflige de sérieux dégâts lorsque l'ennemi
change.</t>
      </text>
    </comment>
    <comment ref="C1581" authorId="0" shapeId="0">
      <text>
        <t>Détritus — Poison, spéciale
Puissance 65 · Précision 100 % · 20 PP
Blesse en envoyant des détritus. Peut
empoisonner.</t>
      </text>
    </comment>
    <comment ref="D1581" authorId="0" shapeId="0">
      <text>
        <t>Cru-Ailes — Vol, physique
Puissance 60 · Précision 100 % · 35 PP
Frappe l'ennemi en déployant les ailes.</t>
      </text>
    </comment>
    <comment ref="B1582" authorId="0" shapeId="0">
      <text>
        <t>Croc de Mort — Normal, physique
Puissance 80 · Précision 90 % · 15 PP
Blesse d'un coup de croc. Peut apeurer
l'ennemi.</t>
      </text>
    </comment>
    <comment ref="C1582" authorId="0" shapeId="0">
      <text>
        <t>Boue-Bombe — Sol, spéciale
Puissance 65 · Précision 85 % · 10 PP
Une boule de boue qui baisse la Précision.</t>
      </text>
    </comment>
    <comment ref="D1582" authorId="0" shapeId="0">
      <text>
        <t>Onde Folie — Spectre, statut
Précision 100 % · 10 PP
Un horrible rayon qui rend l'ennemi confus.</t>
      </text>
    </comment>
    <comment ref="B1583" authorId="0" shapeId="0">
      <text>
        <t>Assurance — Ténèbres, physique
Puissance 60 · Précision 100 % · 10 PP
Plus puissant si l'ennemi a déjà été blessé.</t>
      </text>
    </comment>
    <comment ref="C1583" authorId="0" shapeId="0">
      <text>
        <t>Lilliput — Normal, statut
10 PP</t>
      </text>
    </comment>
    <comment ref="D1583" authorId="0" shapeId="0">
      <text>
        <t>Tranch'Air — Vol, spéciale
Puissance 60 · Précision 95 % · 25 PP
Un vent tranchant. Taux de critiques élevé.</t>
      </text>
    </comment>
    <comment ref="B1584" authorId="0" shapeId="0">
      <text>
        <t>Mâchouille — Ténèbres, physique
Puissance 80 · Précision 100 % · 15 PP</t>
      </text>
    </comment>
    <comment ref="C1584" authorId="0" shapeId="0">
      <text>
        <t>Dégommage — Ténèbres, physique
Puissance 1 · Précision 100 % · 10 PP
L'effet varie selon l'objet tenu.</t>
      </text>
    </comment>
    <comment ref="D1584" authorId="0" shapeId="0">
      <text>
        <t>Météores — Normal, spéciale
Puissance 60 · Ne rate jamais · 20 PP
Envoie des rayons en forme d'étoile. Touche
toujours.</t>
      </text>
    </comment>
    <comment ref="B1586" authorId="0" shapeId="0">
      <text>
        <t>AEROMITE — Insecte / Poison
PV 70 · Att 65 · Déf 60
Att.Spé 90 · Déf.Spé 75 · Vit 90
Total 450
Talents : Écran Poudre, Lentiteintée (caché :
  Peau Miracle)</t>
      </text>
    </comment>
    <comment ref="B1589" authorId="0" shapeId="0">
      <text>
        <t>Écran Poudre
Empêche le cumul d'effets.</t>
      </text>
    </comment>
    <comment ref="B1590" authorId="0" shapeId="0">
      <text>
        <t>Rafale Psy — Psy, spéciale
Puissance 65 · Précision 100 % · 20 PP
Étrange rayon pouvant rendre l'ennemi confus.</t>
      </text>
    </comment>
    <comment ref="B1591" authorId="0" shapeId="0">
      <text>
        <t>Para-Spore — Plante, statut
Précision 75 % · 30 PP
Répand une poudre pouvant paralyser l'ennemi.</t>
      </text>
    </comment>
    <comment ref="B1592" authorId="0" shapeId="0">
      <text>
        <t>Rayon Signal — Insecte, spéciale
Puissance 75 · Précision 100 % · 15 PP
Un étrange rayon qui peut rendre l'ennemi
confus.</t>
      </text>
    </comment>
    <comment ref="B1593" authorId="0" shapeId="0">
      <text>
        <t>Poudre Dodo — Plante, statut
Précision 75 % · 15 PP
Répand une poudre pouvant endormir l'ennemi.</t>
      </text>
    </comment>
    <comment ref="B1596" authorId="0" shapeId="0">
      <text>
        <t>ARBOK — Poison
PV 60 · Att 95 · Déf 69
Att.Spé 65 · Déf.Spé 79 · Vit 80
Total 448
Talents : Intimidation, Mue (caché : Tension)</t>
      </text>
    </comment>
    <comment ref="C1596" authorId="0" shapeId="0">
      <text>
        <t>FARFURET — Ténèbres / Glace
PV 55 · Att 95 · Déf 55
Att.Spé 35 · Déf.Spé 75 · Vit 115
Total 430
Talents : Attention, Regard Vif (caché :
  Pickpocket)</t>
      </text>
    </comment>
    <comment ref="B1599" authorId="0" shapeId="0">
      <text>
        <t>Intimidation
Baisse l'Attaque ennemie.</t>
      </text>
    </comment>
    <comment ref="C1599" authorId="0" shapeId="0">
      <text>
        <t>Attention
Empêche la peur.</t>
      </text>
    </comment>
    <comment ref="B1600" authorId="0" shapeId="0">
      <text>
        <t>Acide — Poison, spéciale
Puissance 40 · Précision 100 % · 30 PP</t>
      </text>
    </comment>
    <comment ref="C1600" authorId="0" shapeId="0">
      <text>
        <t>Hâte — Psy, statut
30 PP
Relaxation du corps pour booster la Vitesse.</t>
      </text>
    </comment>
    <comment ref="B1601" authorId="0" shapeId="0">
      <text>
        <t>Stockage — Normal, statut
20 PP
Accumule de la puissance pendant 3 tours
maximum.</t>
      </text>
    </comment>
    <comment ref="C1601" authorId="0" shapeId="0">
      <text>
        <t>Griffe Acier — Acier, physique
Puissance 50 · Précision 95 % · 35 PP
Attaque avec des griffes. Peut augmenter
l'Attaque.</t>
      </text>
    </comment>
    <comment ref="B1602" authorId="0" shapeId="0">
      <text>
        <t>Avale — Normal, statut
10 PP
Absorbe la puissance accu- mulée et restaure
les PV.</t>
      </text>
    </comment>
    <comment ref="C1602" authorId="0" shapeId="0">
      <text>
        <t>Aiguisage — Ténèbres, statut
15 PP
Aiguise ses griffes. Monte Atq. et Précision.</t>
      </text>
    </comment>
    <comment ref="B1603" authorId="0" shapeId="0">
      <text>
        <t>Relâche — Normal, spéciale
Puissance 1 · Précision 100 % · 10 PP
Libère la puissance précédemment accumulée.</t>
      </text>
    </comment>
    <comment ref="C1603" authorId="0" shapeId="0">
      <text>
        <t>Baston — Ténèbres, physique
Puissance 1 · Précision 100 % · 10 PP
Appelle un Pokémon qui se joint à l'attaque.</t>
      </text>
    </comment>
    <comment ref="B1605" authorId="0" shapeId="0">
      <text>
        <t>LIPPOUTOU — Glace / Psy
PV 65 · Att 50 · Déf 35
Att.Spé 115 · Déf.Spé 95 · Vit 95
Total 455
Talents : Benêt, Prédiction (caché : Peau
  Sèche)</t>
      </text>
    </comment>
    <comment ref="C1605" authorId="0" shapeId="0">
      <text>
        <t>TETARTE — Eau
PV 65 · Att 65 · Déf 65
Att.Spé 50 · Déf.Spé 50 · Vit 90
Total 385
Talents : Absorbe-Eau, Moiteur (caché :
  Glissade)</t>
      </text>
    </comment>
    <comment ref="D1605" authorId="0" shapeId="0">
      <text>
        <t>MAGMAR — Feu
PV 65 · Att 95 · Déf 57
Att.Spé 100 · Déf.Spé 85 · Vit 93
Total 495
Talents : Corps Ardent (caché : Esprit Vital)</t>
      </text>
    </comment>
    <comment ref="E1605" authorId="0" shapeId="0">
      <text>
        <t>ELEKTEK — Électrik
PV 65 · Att 83 · Déf 57
Att.Spé 95 · Déf.Spé 85 · Vit 105
Total 490
Talents : Statik (caché : Esprit Vital)</t>
      </text>
    </comment>
    <comment ref="B1608" authorId="0" shapeId="0">
      <text>
        <t>Benêt
Empêche l'attirance.</t>
      </text>
    </comment>
    <comment ref="C1608" authorId="0" shapeId="0">
      <text>
        <t>Absorbe-Eau
Change l'eau en PV.</t>
      </text>
    </comment>
    <comment ref="D1608" authorId="0" shapeId="0">
      <text>
        <t>Corps Ardent
Brûle l'ennemi au contact.</t>
      </text>
    </comment>
    <comment ref="E1608" authorId="0" shapeId="0">
      <text>
        <t>Statik
Paralyse au toucher.</t>
      </text>
    </comment>
    <comment ref="B1609" authorId="0" shapeId="0">
      <text>
        <t>Poing Glace — Glace, physique
Puissance 75 · Précision 100 % · 15 PP</t>
      </text>
    </comment>
    <comment ref="C1609" authorId="0" shapeId="0">
      <text>
        <t>Torgnoles — Normal, physique
Puissance 15 · Précision 85 % · 10 PP
Gifle rapidement l'ennemi de 2 à 5 fois.</t>
      </text>
    </comment>
    <comment ref="D1609" authorId="0" shapeId="0">
      <text>
        <t>Danse Flammes — Feu, spéciale
Puissance 35 · Précision 85 % · 15 PP</t>
      </text>
    </comment>
    <comment ref="E1609" authorId="0" shapeId="0">
      <text>
        <t>Onde de Choc — Électrik, spéciale
Puissance 60 · Ne rate jamais · 20 PP
Attaque électrique rapide et impossible à
esquiver.</t>
      </text>
    </comment>
    <comment ref="B1610" authorId="0" shapeId="0">
      <text>
        <t>Crève-Cœur — Psy, physique
Puissance 60 · Précision 100 % · 25 PP
Un coup après une mimique. Peut apeurer.</t>
      </text>
    </comment>
    <comment ref="C1610" authorId="0" shapeId="0">
      <text>
        <t>Danse Pluie — Eau, statut
5 PP
Améliore les attaques Eau pendant 5 tours.</t>
      </text>
    </comment>
    <comment ref="D1610" authorId="0" shapeId="0">
      <text>
        <t>Bain de Smog — Poison, spéciale
Puissance 50 · Ne rate jamais · 15 PP
Une brume qui annule tous les changements.</t>
      </text>
    </comment>
    <comment ref="E1610" authorId="0" shapeId="0">
      <text>
        <t>Cage Éclair — Électrik, statut
Précision 90 % · 20 PP
Un faible choc électrique qui paralyse
l'ennemi.</t>
      </text>
    </comment>
    <comment ref="B1611" authorId="0" shapeId="0">
      <text>
        <t>Regard Noir — Normal, statut
5 PP
Lance un regard méchant pour empêcher la
fuite.</t>
      </text>
    </comment>
    <comment ref="C1611" authorId="0" shapeId="0">
      <text>
        <t>Plaquage — Normal, physique
Puissance 85 · Précision 100 % · 15 PP
Une attaque en charge. Peut paralyser
l'ennemi.</t>
      </text>
    </comment>
    <comment ref="D1611" authorId="0" shapeId="0">
      <text>
        <t>Rebondifeu — Feu, spéciale
Puissance 70 · Précision 100 % · 15 PP
Une flamme qui éclabousse tous les ennemis.</t>
      </text>
    </comment>
    <comment ref="E1611" authorId="0" shapeId="0">
      <text>
        <t>Boule Élek — Électrik, spéciale
Puissance 1 · Précision 100 % · 10 PP
Une orbe qui blesse plus un ennemi lent.</t>
      </text>
    </comment>
    <comment ref="B1612" authorId="0" shapeId="0">
      <text>
        <t>Croco Larme — Ténèbres, statut
Précision 100 % · 20 PP
Fait semblant de pleurer pour baisser la Déf.
Spé.</t>
      </text>
    </comment>
    <comment ref="C1612" authorId="0" shapeId="0">
      <text>
        <t>Bulles d'O — Eau, spéciale
Puissance 65 · Précision 100 % · 20 PP
Envoie des bulles pouvant baisser la Vitesse.</t>
      </text>
    </comment>
    <comment ref="D1612" authorId="0" shapeId="0">
      <text>
        <t>Onde Folie — Spectre, statut
Précision 100 % · 10 PP
Un horrible rayon qui rend l'ennemi confus.</t>
      </text>
    </comment>
    <comment ref="E1612" authorId="0" shapeId="0">
      <text>
        <t>Mur Lumière — Psy, statut
30 PP
Crée un mur lumineux et réduit les dégâts
d'Atq. Spé.</t>
      </text>
    </comment>
    <comment ref="B1614" authorId="0" shapeId="0">
      <text>
        <t>SMOGO — Poison
PV 40 · Att 65 · Déf 95
Att.Spé 60 · Déf.Spé 45 · Vit 35
Total 340
Talents : Lévitation, Gaz Inhibiteur (caché :
  Puanteur)</t>
      </text>
    </comment>
    <comment ref="C1614" authorId="0" shapeId="0">
      <text>
        <t>RAICHU — Électrik
PV 60 · Att 90 · Déf 55
Att.Spé 90 · Déf.Spé 80 · Vit 110
Total 485
Talents : Statik (caché : Paratonnerre)</t>
      </text>
    </comment>
    <comment ref="B1617" authorId="0" shapeId="0">
      <text>
        <t>Lévitation
Ignore les attaques Sol.</t>
      </text>
    </comment>
    <comment ref="C1617" authorId="0" shapeId="0">
      <text>
        <t>Statik
Paralyse au toucher.</t>
      </text>
    </comment>
    <comment ref="B1618" authorId="0" shapeId="0">
      <text>
        <t>Bain de Smog — Poison, spéciale
Puissance 50 · Ne rate jamais · 15 PP
Une brume qui annule tous les changements.</t>
      </text>
    </comment>
    <comment ref="C1618" authorId="0" shapeId="0">
      <text>
        <t>Éclair — Électrik, spéciale
Puissance 40 · Précision 100 % · 30 PP
Une attaque électrique pouvant paralyser
l'ennemi.</t>
      </text>
    </comment>
    <comment ref="B1619" authorId="0" shapeId="0">
      <text>
        <t>Détritus — Poison, spéciale
Puissance 65 · Précision 100 % · 20 PP
Blesse en envoyant des détritus. Peut
empoisonner.</t>
      </text>
    </comment>
    <comment ref="C1619" authorId="0" shapeId="0">
      <text>
        <t>Mimi-Queue — Normal, statut
Précision 100 % · 30 PP
Remue la queue pour baisser la Défense de
l'ennemi.</t>
      </text>
    </comment>
    <comment ref="B1620" authorId="0" shapeId="0">
      <text>
        <t>Destruction — Normal, physique
Puissance 200 · Précision 100 % · 5 PP
Inflige de sérieux dégâts, mais met le lanceur
KO.</t>
      </text>
    </comment>
    <comment ref="C1620" authorId="0" shapeId="0">
      <text>
        <t>Vive-Attaque — Normal, physique
Puissance 40 · Précision 100 % · 30 PP ·
Priorité +1
Attaque fulgurante qui permet de frapper
d'abord.</t>
      </text>
    </comment>
    <comment ref="B1621" authorId="0" shapeId="0">
      <text>
        <t>Buée Noire — Glace, statut
30 PP
Crée un nuage noir annulant tout changement
d'état.</t>
      </text>
    </comment>
    <comment ref="C1621" authorId="0" shapeId="0">
      <text>
        <t>Tonnerre — Électrik, spéciale
Puissance 90 · Précision 100 % · 15 PP
Forte attaque électrique pouvant paralyser
l'ennemi.</t>
      </text>
    </comment>
    <comment ref="B1623" authorId="0" shapeId="0">
      <text>
        <t>ELECTRODE — Électrik
PV 60 · Att 50 · Déf 70
Att.Spé 80 · Déf.Spé 80 · Vit 150
Total 490
Talents : Anti-Bruit, Statik (caché : Boom
  Final)</t>
      </text>
    </comment>
    <comment ref="B1626" authorId="0" shapeId="0">
      <text>
        <t>Anti-Bruit
Évite les coups sonores.</t>
      </text>
    </comment>
    <comment ref="B1627" authorId="0" shapeId="0">
      <text>
        <t>Rayon Chargé — Électrik, spéciale
Puissance 50 · Précision 90 % · 10 PP
Un rayon électrique. Peut monter l'Atq. Spé.</t>
      </text>
    </comment>
    <comment ref="B1628" authorId="0" shapeId="0">
      <text>
        <t>Météores — Normal, spéciale
Puissance 60 · Ne rate jamais · 20 PP
Envoie des rayons en forme d'étoile. Touche
toujours.</t>
      </text>
    </comment>
    <comment ref="B1629" authorId="0" shapeId="0">
      <text>
        <t>Boule Élek — Électrik, spéciale
Puissance 1 · Précision 100 % · 10 PP
Une orbe qui blesse plus un ennemi lent.</t>
      </text>
    </comment>
    <comment ref="B1630" authorId="0" shapeId="0">
      <text>
        <t>Destruction — Normal, physique
Puissance 200 · Précision 100 % · 5 PP
Inflige de sérieux dégâts, mais met le lanceur
KO.</t>
      </text>
    </comment>
    <comment ref="B1632" authorId="0" shapeId="0">
      <text>
        <t>POMDEPIK — Insecte
PV 50 · Att 65 · Déf 90
Att.Spé 35 · Déf.Spé 35 · Vit 15
Total 290
Talents : Fermeté (caché : Envelocape)</t>
      </text>
    </comment>
    <comment ref="C1632" authorId="0" shapeId="0">
      <text>
        <t>EMBRYLEX — Roche / Sol
PV 50 · Att 64 · Déf 50
Att.Spé 45 · Déf.Spé 50 · Vit 41
Total 300
Talents : Cran (caché : Voile Sable)</t>
      </text>
    </comment>
    <comment ref="D1632" authorId="0" shapeId="0">
      <text>
        <t>VOLCAROPOD — Feu / Roche
PV 60 · Att 50 · Déf 120
Att.Spé 90 · Déf.Spé 80 · Vit 30
Total 430
Talents : Armumagma, Corps Ardent (caché :
  Armurouillée)</t>
      </text>
    </comment>
    <comment ref="E1632" authorId="0" shapeId="0">
      <text>
        <t>CRUSTABRI — Eau / Glace
PV 50 · Att 95 · Déf 180
Att.Spé 85 · Déf.Spé 45 · Vit 70
Total 525
Talents : Coque Armure, Multi-Coups (caché :
  Envelocape)</t>
      </text>
    </comment>
    <comment ref="B1635" authorId="0" shapeId="0">
      <text>
        <t>Fermeté
Ignore les K.O. en un coup.</t>
      </text>
    </comment>
    <comment ref="C1635" authorId="0" shapeId="0">
      <text>
        <t>Cran
Monte l'Attaque si statut.</t>
      </text>
    </comment>
    <comment ref="D1635" authorId="0" shapeId="0">
      <text>
        <t>Armumagma
Empêche le gel.</t>
      </text>
    </comment>
    <comment ref="E1635" authorId="0" shapeId="0">
      <text>
        <t>Coque Armure
Bloque les coups critiques.</t>
      </text>
    </comment>
    <comment ref="B1636" authorId="0" shapeId="0">
      <text>
        <t>Dard-Nuée — Insecte, physique
Puissance 25 · Précision 95 % · 20 PP
Envoie des dards qui frappent 2 à 5 fois.</t>
      </text>
    </comment>
    <comment ref="C1636" authorId="0" shapeId="0">
      <text>
        <t>Éboulement — Roche, physique
Puissance 75 · Précision 90 % · 10 PP
Envoie de gros rochers. Peut apeurer l'ennemi.</t>
      </text>
    </comment>
    <comment ref="D1636" authorId="0" shapeId="0">
      <text>
        <t>Purédpois — Poison, spéciale
Puissance 30 · Précision 70 % · 20 PP
Un gaz nocif pouvant empoisonner l'ennemi.</t>
      </text>
    </comment>
    <comment ref="E1636" authorId="0" shapeId="0">
      <text>
        <t>Laser Glace — Glace, spéciale
Puissance 90 · Précision 100 % · 10 PP</t>
      </text>
    </comment>
    <comment ref="B1637" authorId="0" shapeId="0">
      <text>
        <t>Explosion — Normal, physique
Puissance 250 · Précision 100 % · 5 PP
Inflige de sérieux dégâts, mais met le lanceur
KO.</t>
      </text>
    </comment>
    <comment ref="C1637" authorId="0" shapeId="0">
      <text>
        <t>Grincement — Normal, statut
Précision 85 % · 40 PP
Cri strident qui baisse la Défense ennemie.</t>
      </text>
    </comment>
    <comment ref="D1637" authorId="0" shapeId="0">
      <text>
        <t>Lance-Flammes — Feu, spéciale
Puissance 90 · Précision 100 % · 15 PP
Une puissante attaque de feu pouvant brûler
l'ennemi.</t>
      </text>
    </comment>
    <comment ref="E1637" authorId="0" shapeId="0">
      <text>
        <t>Claquoir — Eau, physique
Puissance 35 · Précision 85 % · 15 PP</t>
      </text>
    </comment>
    <comment ref="B1638" authorId="0" shapeId="0">
      <text>
        <t>Picots — Sol, statut
20 PP
Pointes blessant lors d'un changement
d'adversaire.</t>
      </text>
    </comment>
    <comment ref="C1638" authorId="0" shapeId="0">
      <text>
        <t>Morsure — Ténèbres, physique
Puissance 60 · Précision 100 % · 25 PP
Mord méchamment l'ennemi et peut l'apeurer.</t>
      </text>
    </comment>
    <comment ref="D1638" authorId="0" shapeId="0">
      <text>
        <t>Pouvoir Antique — Roche, spéciale
Puissance 60 · Précision 100 % · 5 PP
Une attaque pouvant augmenter toutes les
stats.</t>
      </text>
    </comment>
    <comment ref="E1638" authorId="0" shapeId="0">
      <text>
        <t>Picanon — Normal, physique
Puissance 20 · Précision 100 % · 15 PP
Lance des pointes qui frappent 2 à 5 fois.</t>
      </text>
    </comment>
    <comment ref="B1639" authorId="0" shapeId="0">
      <text>
        <t>Picanon — Normal, physique
Puissance 20 · Précision 100 % · 15 PP
Lance des pointes qui frappent 2 à 5 fois.</t>
      </text>
    </comment>
    <comment ref="C1639" authorId="0" shapeId="0">
      <text>
        <t>Mania — Normal, physique
Puissance 120 · Précision 100 % · 10 PP
Une attaque furieuse de 2 à 3 tours. Lanceur
confus.</t>
      </text>
    </comment>
    <comment ref="D1639" authorId="0" shapeId="0">
      <text>
        <t>Malédiction — Spectre, statut
10 PP
Coup qui fonctionne autre- ment pour les
Spectres.</t>
      </text>
    </comment>
    <comment ref="E1639" authorId="0" shapeId="0">
      <text>
        <t>Surf — Eau, spéciale
Puissance 90 · Précision 100 % · 15 PP</t>
      </text>
    </comment>
    <comment ref="B1642" authorId="0" shapeId="0">
      <text>
        <t>LAMANTINE — Eau / Glace
PV 90 · Att 70 · Déf 80
Att.Spé 70 · Déf.Spé 95 · Vit 70
Total 475
Talents : Isograisse, Hydratation (caché :
  Corps Gel)</t>
      </text>
    </comment>
    <comment ref="C1642" authorId="0" shapeId="0">
      <text>
        <t>CADOIZO — Glace / Vol
PV 45 · Att 55 · Déf 45
Att.Spé 65 · Déf.Spé 45 · Vit 75
Total 330
Talents : Esprit Vital, Agitation (caché :
  Insomnia)</t>
      </text>
    </comment>
    <comment ref="B1645" authorId="0" shapeId="0">
      <text>
        <t>Isograisse
Contre chaleur et froid.</t>
      </text>
    </comment>
    <comment ref="C1645" authorId="0" shapeId="0">
      <text>
        <t>Esprit Vital
Empêche le sommeil.</t>
      </text>
    </comment>
    <comment ref="B1646" authorId="0" shapeId="0">
      <text>
        <t>Éclats Glace — Glace, physique
Puissance 40 · Précision 100 % · 30 PP ·
Priorité +1
Un bloc de glace qui frappe en premier.</t>
      </text>
    </comment>
    <comment ref="C1646" authorId="0" shapeId="0">
      <text>
        <t>Cadeau — Normal, physique
Puissance 1 · Précision 90 % · 15 PP
Cadeau en forme de bombe. Peut restaurer des
PV.</t>
      </text>
    </comment>
    <comment ref="B1647" authorId="0" shapeId="0">
      <text>
        <t>Repos — Psy, statut
5 PP
Le lanceur dort 2 tours et regagne PV et
statut.</t>
      </text>
    </comment>
    <comment ref="C1647" authorId="0" shapeId="0">
      <text>
        <t>Bec Vrille — Vol, physique
Puissance 80 · Précision 100 % · 20 PP
Une attaque utilisant le bec comme une
perceuse.</t>
      </text>
    </comment>
    <comment ref="B1648" authorId="0" shapeId="0">
      <text>
        <t>Anneau Hydro — Eau, statut
20 PP
Un voile d'eau qui restaure des PV.</t>
      </text>
    </comment>
    <comment ref="B1649" authorId="0" shapeId="0">
      <text>
        <t>Onde Boréale — Glace, spéciale
Puissance 65 · Précision 100 % · 20 PP
Envoie un rayon arc-en-ciel pouvant baisser
l'Attaque.</t>
      </text>
    </comment>
    <comment ref="B1651" authorId="0" shapeId="0">
      <text>
        <t>MARCACRIN — Glace / Sol
PV 50 · Att 50 · Déf 40
Att.Spé 30 · Déf.Spé 30 · Vit 50
Total 250
Talents : Benêt, Rideau Neige (caché :
  Isograisse)</t>
      </text>
    </comment>
    <comment ref="C1651" authorId="0" shapeId="0">
      <text>
        <t>FARFURET — Ténèbres / Glace
PV 55 · Att 95 · Déf 55
Att.Spé 35 · Déf.Spé 75 · Vit 115
Total 430
Talents : Attention, Regard Vif (caché :
  Pickpocket)</t>
      </text>
    </comment>
    <comment ref="B1654" authorId="0" shapeId="0">
      <text>
        <t>Benêt
Empêche l'attirance.</t>
      </text>
    </comment>
    <comment ref="C1654" authorId="0" shapeId="0">
      <text>
        <t>Attention
Empêche la peur.</t>
      </text>
    </comment>
    <comment ref="B1655" authorId="0" shapeId="0">
      <text>
        <t>Boue-Bombe — Sol, spéciale
Puissance 65 · Précision 85 % · 10 PP
Une boule de boue qui baisse la Précision.</t>
      </text>
    </comment>
    <comment ref="C1655" authorId="0" shapeId="0">
      <text>
        <t>Hâte — Psy, statut
30 PP
Relaxation du corps pour booster la Vitesse.</t>
      </text>
    </comment>
    <comment ref="B1656" authorId="0" shapeId="0">
      <text>
        <t>Vent Glace — Glace, spéciale
Puissance 55 · Précision 95 % · 15 PP
Attaque glaciale. Baisse la Vitesse de
l'ennemi.</t>
      </text>
    </comment>
    <comment ref="C1656" authorId="0" shapeId="0">
      <text>
        <t>Griffe Acier — Acier, physique
Puissance 50 · Précision 95 % · 35 PP
Attaque avec des griffes. Peut augmenter
l'Attaque.</t>
      </text>
    </comment>
    <comment ref="B1657" authorId="0" shapeId="0">
      <text>
        <t>Éclats Glace — Glace, physique
Puissance 40 · Précision 100 % · 30 PP ·
Priorité +1
Un bloc de glace qui frappe en premier.</t>
      </text>
    </comment>
    <comment ref="C1657" authorId="0" shapeId="0">
      <text>
        <t>Aiguisage — Ténèbres, statut
15 PP
Aiguise ses griffes. Monte Atq. et Précision.</t>
      </text>
    </comment>
    <comment ref="B1658" authorId="0" shapeId="0">
      <text>
        <t>Bélier — Normal, physique
Puissance 90 · Précision 85 % · 20 PP
Une charge violente qui blesse aussi le
lanceur.</t>
      </text>
    </comment>
    <comment ref="C1658" authorId="0" shapeId="0">
      <text>
        <t>Baston — Ténèbres, physique
Puissance 1 · Précision 100 % · 10 PP
Appelle un Pokémon qui se joint à l'attaque.</t>
      </text>
    </comment>
    <comment ref="B1660" authorId="0" shapeId="0">
      <text>
        <t>KOKIYAS — Eau
PV 30 · Att 65 · Déf 100
Att.Spé 45 · Déf.Spé 25 · Vit 40
Total 305
Talents : Coque Armure, Multi-Coups (caché :
  Envelocape)</t>
      </text>
    </comment>
    <comment ref="C1660" authorId="0" shapeId="0">
      <text>
        <t>OTARIA — Eau
PV 65 · Att 45 · Déf 55
Att.Spé 45 · Déf.Spé 70 · Vit 45
Total 325
Talents : Isograisse, Hydratation (caché :
  Corps Gel)</t>
      </text>
    </comment>
    <comment ref="D1660" authorId="0" shapeId="0">
      <text>
        <t>CRUSTABRI — Eau / Glace
PV 50 · Att 95 · Déf 180
Att.Spé 85 · Déf.Spé 45 · Vit 70
Total 525
Talents : Coque Armure, Multi-Coups (caché :
  Envelocape)</t>
      </text>
    </comment>
    <comment ref="B1663" authorId="0" shapeId="0">
      <text>
        <t>Coque Armure
Bloque les coups critiques.</t>
      </text>
    </comment>
    <comment ref="C1663" authorId="0" shapeId="0">
      <text>
        <t>Isograisse
Contre chaleur et froid.</t>
      </text>
    </comment>
    <comment ref="D1663" authorId="0" shapeId="0">
      <text>
        <t>Coque Armure
Bloque les coups critiques.</t>
      </text>
    </comment>
    <comment ref="B1664" authorId="0" shapeId="0">
      <text>
        <t>Abri — Normal, statut
10 PP · Priorité +4</t>
      </text>
    </comment>
    <comment ref="C1664" authorId="0" shapeId="0">
      <text>
        <t>Éclats Glace — Glace, physique
Puissance 40 · Précision 100 % · 30 PP ·
Priorité +1
Un bloc de glace qui frappe en premier.</t>
      </text>
    </comment>
    <comment ref="D1664" authorId="0" shapeId="0">
      <text>
        <t>Abri — Normal, statut
10 PP · Priorité +4</t>
      </text>
    </comment>
    <comment ref="B1665" authorId="0" shapeId="0">
      <text>
        <t>Groz'Yeux — Normal, statut
Précision 100 % · 30 PP
Lance un regard noir et baisse la Défense.</t>
      </text>
    </comment>
    <comment ref="C1665" authorId="0" shapeId="0">
      <text>
        <t>Repos — Psy, statut
5 PP
Le lanceur dort 2 tours et regagne PV et
statut.</t>
      </text>
    </comment>
    <comment ref="D1665" authorId="0" shapeId="0">
      <text>
        <t>Onde Boréale — Glace, spéciale
Puissance 65 · Précision 100 % · 20 PP
Envoie un rayon arc-en-ciel pouvant baisser
l'Attaque.</t>
      </text>
    </comment>
    <comment ref="B1666" authorId="0" shapeId="0">
      <text>
        <t>Claquoir — Eau, physique
Puissance 35 · Précision 85 % · 15 PP</t>
      </text>
    </comment>
    <comment ref="C1666" authorId="0" shapeId="0">
      <text>
        <t>Anneau Hydro — Eau, statut
20 PP
Un voile d'eau qui restaure des PV.</t>
      </text>
    </comment>
    <comment ref="D1666" authorId="0" shapeId="0">
      <text>
        <t>Picanon — Normal, physique
Puissance 20 · Précision 100 % · 15 PP
Lance des pointes qui frappent 2 à 5 fois.</t>
      </text>
    </comment>
    <comment ref="B1667" authorId="0" shapeId="0">
      <text>
        <t>Éclats Glace — Glace, physique
Puissance 40 · Précision 100 % · 30 PP ·
Priorité +1
Un bloc de glace qui frappe en premier.</t>
      </text>
    </comment>
    <comment ref="C1667" authorId="0" shapeId="0">
      <text>
        <t>Onde Boréale — Glace, spéciale
Puissance 65 · Précision 100 % · 20 PP
Envoie un rayon arc-en-ciel pouvant baisser
l'Attaque.</t>
      </text>
    </comment>
    <comment ref="D1667" authorId="0" shapeId="0">
      <text>
        <t>Picots — Sol, statut
20 PP
Pointes blessant lors d'un changement
d'adversaire.</t>
      </text>
    </comment>
    <comment ref="B1669" authorId="0" shapeId="0">
      <text>
        <t>LIPPOUTOU — Glace / Psy
PV 65 · Att 50 · Déf 35
Att.Spé 115 · Déf.Spé 95 · Vit 95
Total 455
Talents : Benêt, Prédiction (caché : Peau
  Sèche)</t>
      </text>
    </comment>
    <comment ref="B1672" authorId="0" shapeId="0">
      <text>
        <t>Benêt
Empêche l'attirance.</t>
      </text>
    </comment>
    <comment ref="B1673" authorId="0" shapeId="0">
      <text>
        <t>Poing Glace — Glace, physique
Puissance 75 · Précision 100 % · 15 PP</t>
      </text>
    </comment>
    <comment ref="B1674" authorId="0" shapeId="0">
      <text>
        <t>Crève-Cœur — Psy, physique
Puissance 60 · Précision 100 % · 25 PP
Un coup après une mimique. Peut apeurer.</t>
      </text>
    </comment>
    <comment ref="B1675" authorId="0" shapeId="0">
      <text>
        <t>Regard Noir — Normal, statut
5 PP
Lance un regard méchant pour empêcher la
fuite.</t>
      </text>
    </comment>
    <comment ref="B1676" authorId="0" shapeId="0">
      <text>
        <t>Croco Larme — Ténèbres, statut
Précision 100 % · 20 PP
Fait semblant de pleurer pour baisser la Déf.
Spé.</t>
      </text>
    </comment>
    <comment ref="B1678" authorId="0" shapeId="0">
      <text>
        <t>LAMANTINE — Eau / Glace
PV 90 · Att 70 · Déf 80
Att.Spé 70 · Déf.Spé 95 · Vit 70
Total 475
Talents : Isograisse, Hydratation (caché :
  Corps Gel)</t>
      </text>
    </comment>
    <comment ref="B1681" authorId="0" shapeId="0">
      <text>
        <t>Isograisse
Contre chaleur et froid.</t>
      </text>
    </comment>
    <comment ref="B1682" authorId="0" shapeId="0">
      <text>
        <t>Repos — Psy, statut
5 PP
Le lanceur dort 2 tours et regagne PV et
statut.</t>
      </text>
    </comment>
    <comment ref="B1683" authorId="0" shapeId="0">
      <text>
        <t>Anneau Hydro — Eau, statut
20 PP
Un voile d'eau qui restaure des PV.</t>
      </text>
    </comment>
    <comment ref="B1684" authorId="0" shapeId="0">
      <text>
        <t>Onde Boréale — Glace, spéciale
Puissance 65 · Précision 100 % · 20 PP
Envoie un rayon arc-en-ciel pouvant baisser
l'Attaque.</t>
      </text>
    </comment>
    <comment ref="B1685" authorId="0" shapeId="0">
      <text>
        <t>Aqua-Jet — Eau, physique
Puissance 40 · Précision 100 % · 20 PP ·
Priorité +1
Fonce sur l'ennemi et frappe en premier.</t>
      </text>
    </comment>
    <comment ref="B1687" authorId="0" shapeId="0">
      <text>
        <t>LAMANTINE — Eau / Glace
PV 90 · Att 70 · Déf 80
Att.Spé 70 · Déf.Spé 95 · Vit 70
Total 475
Talents : Isograisse, Hydratation (caché :
  Corps Gel)</t>
      </text>
    </comment>
    <comment ref="C1687" authorId="0" shapeId="0">
      <text>
        <t>FARFURET — Ténèbres / Glace
PV 55 · Att 95 · Déf 55
Att.Spé 35 · Déf.Spé 75 · Vit 115
Total 430
Talents : Attention, Regard Vif (caché :
  Pickpocket)</t>
      </text>
    </comment>
    <comment ref="D1687" authorId="0" shapeId="0">
      <text>
        <t>LIPPOUTOU — Glace / Psy
PV 65 · Att 50 · Déf 35
Att.Spé 115 · Déf.Spé 95 · Vit 95
Total 455
Talents : Benêt, Prédiction (caché : Peau
  Sèche)</t>
      </text>
    </comment>
    <comment ref="E1687" authorId="0" shapeId="0">
      <text>
        <t>COCHIGNON — Glace / Sol
PV 100 · Att 100 · Déf 80
Att.Spé 60 · Déf.Spé 60 · Vit 50
Total 450
Talents : Benêt, Rideau Neige (caché :
  Isograisse)</t>
      </text>
    </comment>
    <comment ref="E1689" authorId="0" shapeId="0">
      <text>
        <t>Baie Sitrus
Objet tenu qui restaure 30 PV pendant un
combat.</t>
      </text>
    </comment>
    <comment ref="B1690" authorId="0" shapeId="0">
      <text>
        <t>Isograisse
Contre chaleur et froid.</t>
      </text>
    </comment>
    <comment ref="C1690" authorId="0" shapeId="0">
      <text>
        <t>Attention
Empêche la peur.</t>
      </text>
    </comment>
    <comment ref="D1690" authorId="0" shapeId="0">
      <text>
        <t>Benêt
Empêche l'attirance.</t>
      </text>
    </comment>
    <comment ref="E1690" authorId="0" shapeId="0">
      <text>
        <t>Benêt
Empêche l'attirance.</t>
      </text>
    </comment>
    <comment ref="B1691" authorId="0" shapeId="0">
      <text>
        <t>Anneau Hydro — Eau, statut
20 PP
Un voile d'eau qui restaure des PV.</t>
      </text>
    </comment>
    <comment ref="C1691" authorId="0" shapeId="0">
      <text>
        <t>Feinte — Ténèbres, physique
Puissance 60 · Ne rate jamais · 20 PP
Approche l'ennemi et frappe à coup sûr.</t>
      </text>
    </comment>
    <comment ref="D1691" authorId="0" shapeId="0">
      <text>
        <t>Poing Glace — Glace, physique
Puissance 75 · Précision 100 % · 15 PP</t>
      </text>
    </comment>
    <comment ref="E1691" authorId="0" shapeId="0">
      <text>
        <t>Coup d'Boule — Normal, physique
Puissance 70 · Précision 100 % · 15 PP
Une charge qui peut apeurer l'ennemi.</t>
      </text>
    </comment>
    <comment ref="B1692" authorId="0" shapeId="0">
      <text>
        <t>Onde Boréale — Glace, spéciale
Puissance 65 · Précision 100 % · 20 PP
Envoie un rayon arc-en-ciel pouvant baisser
l'Attaque.</t>
      </text>
    </comment>
    <comment ref="C1692" authorId="0" shapeId="0">
      <text>
        <t>Griffe Acier — Acier, physique
Puissance 50 · Précision 95 % · 35 PP
Attaque avec des griffes. Peut augmenter
l'Attaque.</t>
      </text>
    </comment>
    <comment ref="D1692" authorId="0" shapeId="0">
      <text>
        <t>Psyko — Psy, spéciale
Puissance 90 · Précision 100 % · 10 PP
Une puissante attaque Psy pouvant baisser la
Déf. Spé.</t>
      </text>
    </comment>
    <comment ref="E1692" authorId="0" shapeId="0">
      <text>
        <t>Séisme — Sol, physique
Puissance 100 · Précision 100 % · 10 PP
Secousse sans effet sur les adversaires
volants.</t>
      </text>
    </comment>
    <comment ref="B1693" authorId="0" shapeId="0">
      <text>
        <t>Danse Pluie — Eau, statut
5 PP
Améliore les attaques Eau pendant 5 tours.</t>
      </text>
    </comment>
    <comment ref="C1693" authorId="0" shapeId="0">
      <text>
        <t>Aiguisage — Ténèbres, statut
15 PP
Aiguise ses griffes. Monte Atq. et Précision.</t>
      </text>
    </comment>
    <comment ref="D1693" authorId="0" shapeId="0">
      <text>
        <t>Danse Pluie — Eau, statut
5 PP
Améliore les attaques Eau pendant 5 tours.</t>
      </text>
    </comment>
    <comment ref="E1693" authorId="0" shapeId="0">
      <text>
        <t>Pouvoir Antique — Roche, spéciale
Puissance 60 · Précision 100 % · 5 PP
Une attaque pouvant augmenter toutes les
stats.</t>
      </text>
    </comment>
    <comment ref="B1694" authorId="0" shapeId="0">
      <text>
        <t>Aqua-Jet — Eau, physique
Puissance 40 · Précision 100 % · 20 PP ·
Priorité +1
Fonce sur l'ennemi et frappe en premier.</t>
      </text>
    </comment>
    <comment ref="C1694" authorId="0" shapeId="0">
      <text>
        <t>Avalanche — Glace, physique
Puissance 60 · Précision 100 % · 10 PP ·
Priorité -4</t>
      </text>
    </comment>
    <comment ref="D1694" authorId="0" shapeId="0">
      <text>
        <t>Grobisou — Normal, statut
Précision 75 % · 10 PP
Demande un bisou en grimaçant. Peut endormir.</t>
      </text>
    </comment>
    <comment ref="E1694" authorId="0" shapeId="0">
      <text>
        <t>Crocs Givre — Glace, physique
Puissance 65 · Précision 95 % · 15 PP</t>
      </text>
    </comment>
    <comment ref="B1696" authorId="0" shapeId="0">
      <text>
        <t>CRUSTABRI — Eau / Glace
PV 50 · Att 95 · Déf 180
Att.Spé 85 · Déf.Spé 45 · Vit 70
Total 525
Talents : Coque Armure, Multi-Coups (caché :
  Envelocape)</t>
      </text>
    </comment>
    <comment ref="C1696" authorId="0" shapeId="0">
      <text>
        <t>FARFURET — Ténèbres / Glace
PV 55 · Att 95 · Déf 55
Att.Spé 35 · Déf.Spé 75 · Vit 115
Total 430
Talents : Attention, Regard Vif (caché :
  Pickpocket)</t>
      </text>
    </comment>
    <comment ref="D1696" authorId="0" shapeId="0">
      <text>
        <t>LIPPOUTOU — Glace / Psy
PV 65 · Att 50 · Déf 35
Att.Spé 115 · Déf.Spé 95 · Vit 95
Total 455
Talents : Benêt, Prédiction (caché : Peau
  Sèche)</t>
      </text>
    </comment>
    <comment ref="E1696" authorId="0" shapeId="0">
      <text>
        <t>LAMANTINE — Eau / Glace
PV 90 · Att 70 · Déf 80
Att.Spé 70 · Déf.Spé 95 · Vit 70
Total 475
Talents : Isograisse, Hydratation (caché :
  Corps Gel)</t>
      </text>
    </comment>
    <comment ref="F1696" authorId="0" shapeId="0">
      <text>
        <t>COCHIGNON — Glace / Sol
PV 100 · Att 100 · Déf 80
Att.Spé 60 · Déf.Spé 60 · Vit 50
Total 450
Talents : Benêt, Rideau Neige (caché :
  Isograisse)</t>
      </text>
    </comment>
    <comment ref="F1698" authorId="0" shapeId="0">
      <text>
        <t>Baie Sitrus
Objet tenu qui restaure 30 PV pendant un
combat.</t>
      </text>
    </comment>
    <comment ref="B1699" authorId="0" shapeId="0">
      <text>
        <t>Coque Armure
Bloque les coups critiques.</t>
      </text>
    </comment>
    <comment ref="C1699" authorId="0" shapeId="0">
      <text>
        <t>Attention
Empêche la peur.</t>
      </text>
    </comment>
    <comment ref="D1699" authorId="0" shapeId="0">
      <text>
        <t>Benêt
Empêche l'attirance.</t>
      </text>
    </comment>
    <comment ref="E1699" authorId="0" shapeId="0">
      <text>
        <t>Isograisse
Contre chaleur et froid.</t>
      </text>
    </comment>
    <comment ref="F1699" authorId="0" shapeId="0">
      <text>
        <t>Benêt
Empêche l'attirance.</t>
      </text>
    </comment>
    <comment ref="B1700" authorId="0" shapeId="0">
      <text>
        <t>Surf — Eau, spéciale
Puissance 90 · Précision 100 % · 15 PP</t>
      </text>
    </comment>
    <comment ref="C1700" authorId="0" shapeId="0">
      <text>
        <t>Feinte — Ténèbres, physique
Puissance 60 · Ne rate jamais · 20 PP
Approche l'ennemi et frappe à coup sûr.</t>
      </text>
    </comment>
    <comment ref="D1700" authorId="0" shapeId="0">
      <text>
        <t>Poing Glace — Glace, physique
Puissance 75 · Précision 100 % · 15 PP</t>
      </text>
    </comment>
    <comment ref="E1700" authorId="0" shapeId="0">
      <text>
        <t>Saumure — Eau, spéciale
Puissance 65 · Précision 100 % · 10 PP
Double les dégâts si l'ennemi a mi-PV ou
moins.</t>
      </text>
    </comment>
    <comment ref="F1700" authorId="0" shapeId="0">
      <text>
        <t>Coup d'Boule — Normal, physique
Puissance 70 · Précision 100 % · 15 PP
Une charge qui peut apeurer l'ennemi.</t>
      </text>
    </comment>
    <comment ref="B1701" authorId="0" shapeId="0">
      <text>
        <t>Picots — Sol, statut
20 PP
Pointes blessant lors d'un changement
d'adversaire.</t>
      </text>
    </comment>
    <comment ref="C1701" authorId="0" shapeId="0">
      <text>
        <t>Griffe Acier — Acier, physique
Puissance 50 · Précision 95 % · 35 PP
Attaque avec des griffes. Peut augmenter
l'Attaque.</t>
      </text>
    </comment>
    <comment ref="D1701" authorId="0" shapeId="0">
      <text>
        <t>Psyko — Psy, spéciale
Puissance 90 · Précision 100 % · 10 PP
Une puissante attaque Psy pouvant baisser la
Déf. Spé.</t>
      </text>
    </comment>
    <comment ref="E1701" authorId="0" shapeId="0">
      <text>
        <t>Onde Boréale — Glace, spéciale
Puissance 65 · Précision 100 % · 20 PP
Envoie un rayon arc-en-ciel pouvant baisser
l'Attaque.</t>
      </text>
    </comment>
    <comment ref="F1701" authorId="0" shapeId="0">
      <text>
        <t>Séisme — Sol, physique
Puissance 100 · Précision 100 % · 10 PP
Secousse sans effet sur les adversaires
volants.</t>
      </text>
    </comment>
    <comment ref="B1702" authorId="0" shapeId="0">
      <text>
        <t>Onde Boréale — Glace, spéciale
Puissance 65 · Précision 100 % · 20 PP
Envoie un rayon arc-en-ciel pouvant baisser
l'Attaque.</t>
      </text>
    </comment>
    <comment ref="C1702" authorId="0" shapeId="0">
      <text>
        <t>Protection — Psy, statut
20 PP
Crée un mur lumineux. Affaiblit att.
physiques.</t>
      </text>
    </comment>
    <comment ref="D1702" authorId="0" shapeId="0">
      <text>
        <t>Danse Pluie — Eau, statut
5 PP
Améliore les attaques Eau pendant 5 tours.</t>
      </text>
    </comment>
    <comment ref="E1702" authorId="0" shapeId="0">
      <text>
        <t>Ronflement — Normal, spéciale
Puissance 50 · Précision 100 % · 15 PP
Attaque sonore qui ne peut être lancée
qu'endormi.</t>
      </text>
    </comment>
    <comment ref="F1702" authorId="0" shapeId="0">
      <text>
        <t>Pouvoir Antique — Roche, spéciale
Puissance 60 · Précision 100 % · 5 PP
Une attaque pouvant augmenter toutes les
stats.</t>
      </text>
    </comment>
    <comment ref="B1703" authorId="0" shapeId="0">
      <text>
        <t>Danse Pluie — Eau, statut
5 PP
Améliore les attaques Eau pendant 5 tours.</t>
      </text>
    </comment>
    <comment ref="C1703" authorId="0" shapeId="0">
      <text>
        <t>Poing Glace — Glace, physique
Puissance 75 · Précision 100 % · 15 PP</t>
      </text>
    </comment>
    <comment ref="D1703" authorId="0" shapeId="0">
      <text>
        <t>Grobisou — Normal, statut
Précision 75 % · 10 PP
Demande un bisou en grimaçant. Peut endormir.</t>
      </text>
    </comment>
    <comment ref="E1703" authorId="0" shapeId="0">
      <text>
        <t>Repos — Psy, statut
5 PP
Le lanceur dort 2 tours et regagne PV et
statut.</t>
      </text>
    </comment>
    <comment ref="F1703" authorId="0" shapeId="0">
      <text>
        <t>Crocs Givre — Glace, physique
Puissance 65 · Précision 95 % · 15 PP</t>
      </text>
    </comment>
    <comment ref="B1705" authorId="0" shapeId="0">
      <text>
        <t>CRUSTABRI — Eau / Glace
PV 50 · Att 95 · Déf 180
Att.Spé 85 · Déf.Spé 45 · Vit 70
Total 525
Talents : Coque Armure, Multi-Coups (caché :
  Envelocape)</t>
      </text>
    </comment>
    <comment ref="C1705" authorId="0" shapeId="0">
      <text>
        <t>FARFURET — Ténèbres / Glace
PV 55 · Att 95 · Déf 55
Att.Spé 35 · Déf.Spé 75 · Vit 115
Total 430
Talents : Attention, Regard Vif (caché :
  Pickpocket)</t>
      </text>
    </comment>
    <comment ref="D1705" authorId="0" shapeId="0">
      <text>
        <t>LIPPOUTOU — Glace / Psy
PV 65 · Att 50 · Déf 35
Att.Spé 115 · Déf.Spé 95 · Vit 95
Total 455
Talents : Benêt, Prédiction (caché : Peau
  Sèche)</t>
      </text>
    </comment>
    <comment ref="E1705" authorId="0" shapeId="0">
      <text>
        <t>LAMANTINE — Eau / Glace
PV 90 · Att 70 · Déf 80
Att.Spé 70 · Déf.Spé 95 · Vit 70
Total 475
Talents : Isograisse, Hydratation (caché :
  Corps Gel)</t>
      </text>
    </comment>
    <comment ref="F1705" authorId="0" shapeId="0">
      <text>
        <t>MAMMOCHON — Glace / Sol
PV 110 · Att 130 · Déf 80
Att.Spé 70 · Déf.Spé 60 · Vit 80
Total 530
Talents : Benêt, Rideau Neige (caché :
  Isograisse)</t>
      </text>
    </comment>
    <comment ref="F1707" authorId="0" shapeId="0">
      <text>
        <t>Baie Sitrus
Objet tenu qui restaure 30 PV pendant un
combat.</t>
      </text>
    </comment>
    <comment ref="B1708" authorId="0" shapeId="0">
      <text>
        <t>Coque Armure
Bloque les coups critiques.</t>
      </text>
    </comment>
    <comment ref="C1708" authorId="0" shapeId="0">
      <text>
        <t>Attention
Empêche la peur.</t>
      </text>
    </comment>
    <comment ref="D1708" authorId="0" shapeId="0">
      <text>
        <t>Benêt
Empêche l'attirance.</t>
      </text>
    </comment>
    <comment ref="E1708" authorId="0" shapeId="0">
      <text>
        <t>Isograisse
Contre chaleur et froid.</t>
      </text>
    </comment>
    <comment ref="F1708" authorId="0" shapeId="0">
      <text>
        <t>Benêt
Empêche l'attirance.</t>
      </text>
    </comment>
    <comment ref="B1709" authorId="0" shapeId="0">
      <text>
        <t>Surf — Eau, spéciale
Puissance 90 · Précision 100 % · 15 PP</t>
      </text>
    </comment>
    <comment ref="C1709" authorId="0" shapeId="0">
      <text>
        <t>Feinte — Ténèbres, physique
Puissance 60 · Ne rate jamais · 20 PP
Approche l'ennemi et frappe à coup sûr.</t>
      </text>
    </comment>
    <comment ref="D1709" authorId="0" shapeId="0">
      <text>
        <t>Poing Glace — Glace, physique
Puissance 75 · Précision 100 % · 15 PP</t>
      </text>
    </comment>
    <comment ref="E1709" authorId="0" shapeId="0">
      <text>
        <t>Hydro-Queue — Eau, physique
Puissance 90 · Précision 90 % · 10 PP
Balaie l'ennemi de sa queue comme une vague.</t>
      </text>
    </comment>
    <comment ref="F1709" authorId="0" shapeId="0">
      <text>
        <t>Bélier — Normal, physique
Puissance 90 · Précision 85 % · 20 PP
Une charge violente qui blesse aussi le
lanceur.</t>
      </text>
    </comment>
    <comment ref="B1710" authorId="0" shapeId="0">
      <text>
        <t>Picots — Sol, statut
20 PP
Pointes blessant lors d'un changement
d'adversaire.</t>
      </text>
    </comment>
    <comment ref="C1710" authorId="0" shapeId="0">
      <text>
        <t>Griffe Acier — Acier, physique
Puissance 50 · Précision 95 % · 35 PP
Attaque avec des griffes. Peut augmenter
l'Attaque.</t>
      </text>
    </comment>
    <comment ref="D1710" authorId="0" shapeId="0">
      <text>
        <t>Psyko — Psy, spéciale
Puissance 90 · Précision 100 % · 10 PP
Une puissante attaque Psy pouvant baisser la
Déf. Spé.</t>
      </text>
    </comment>
    <comment ref="E1710" authorId="0" shapeId="0">
      <text>
        <t>Onde Boréale — Glace, spéciale
Puissance 65 · Précision 100 % · 20 PP
Envoie un rayon arc-en-ciel pouvant baisser
l'Attaque.</t>
      </text>
    </comment>
    <comment ref="F1710" authorId="0" shapeId="0">
      <text>
        <t>Séisme — Sol, physique
Puissance 100 · Précision 100 % · 10 PP
Secousse sans effet sur les adversaires
volants.</t>
      </text>
    </comment>
    <comment ref="B1711" authorId="0" shapeId="0">
      <text>
        <t>Onde Boréale — Glace, spéciale
Puissance 65 · Précision 100 % · 20 PP
Envoie un rayon arc-en-ciel pouvant baisser
l'Attaque.</t>
      </text>
    </comment>
    <comment ref="C1711" authorId="0" shapeId="0">
      <text>
        <t>Protection — Psy, statut
20 PP
Crée un mur lumineux. Affaiblit att.
physiques.</t>
      </text>
    </comment>
    <comment ref="D1711" authorId="0" shapeId="0">
      <text>
        <t>Ball'Ombre — Spectre, spéciale
Puissance 80 · Précision 100 % · 15 PP
Projette une grande tache qui peut baisser la
Déf. Spé.</t>
      </text>
    </comment>
    <comment ref="E1711" authorId="0" shapeId="0">
      <text>
        <t>Ronflement — Normal, spéciale
Puissance 50 · Précision 100 % · 15 PP
Attaque sonore qui ne peut être lancée
qu'endormi.</t>
      </text>
    </comment>
    <comment ref="F1711" authorId="0" shapeId="0">
      <text>
        <t>Pouvoir Antique — Roche, spéciale
Puissance 60 · Précision 100 % · 5 PP
Une attaque pouvant augmenter toutes les
stats.</t>
      </text>
    </comment>
    <comment ref="B1712" authorId="0" shapeId="0">
      <text>
        <t>Danse Pluie — Eau, statut
5 PP
Améliore les attaques Eau pendant 5 tours.</t>
      </text>
    </comment>
    <comment ref="C1712" authorId="0" shapeId="0">
      <text>
        <t>Blizzard — Glace, spéciale
Puissance 110 · Précision 70 % · 5 PP</t>
      </text>
    </comment>
    <comment ref="D1712" authorId="0" shapeId="0">
      <text>
        <t>Grobisou — Normal, statut
Précision 75 % · 10 PP
Demande un bisou en grimaçant. Peut endormir.</t>
      </text>
    </comment>
    <comment ref="E1712" authorId="0" shapeId="0">
      <text>
        <t>Repos — Psy, statut
5 PP
Le lanceur dort 2 tours et regagne PV et
statut.</t>
      </text>
    </comment>
    <comment ref="F1712" authorId="0" shapeId="0">
      <text>
        <t>Crocs Givre — Glace, physique
Puissance 65 · Précision 95 % · 15 PP</t>
      </text>
    </comment>
    <comment ref="B1715" authorId="0" shapeId="0">
      <text>
        <t>RATTATAC — Normal
PV 55 · Att 81 · Déf 60
Att.Spé 50 · Déf.Spé 70 · Vit 97
Total 413
Talents : Fuite, Cran (caché : Agitation)</t>
      </text>
    </comment>
    <comment ref="C1715" authorId="0" shapeId="0">
      <text>
        <t>RATTATAC — Normal
PV 55 · Att 81 · Déf 60
Att.Spé 50 · Déf.Spé 70 · Vit 97
Total 413
Talents : Fuite, Cran (caché : Agitation)</t>
      </text>
    </comment>
    <comment ref="D1715" authorId="0" shapeId="0">
      <text>
        <t>RATTATAC — Normal
PV 55 · Att 81 · Déf 60
Att.Spé 50 · Déf.Spé 70 · Vit 97
Total 413
Talents : Fuite, Cran (caché : Agitation)</t>
      </text>
    </comment>
    <comment ref="B1718" authorId="0" shapeId="0">
      <text>
        <t>Fuite
Améliore chances de fuite.</t>
      </text>
    </comment>
    <comment ref="C1718" authorId="0" shapeId="0">
      <text>
        <t>Fuite
Améliore chances de fuite.</t>
      </text>
    </comment>
    <comment ref="D1718" authorId="0" shapeId="0">
      <text>
        <t>Fuite
Améliore chances de fuite.</t>
      </text>
    </comment>
    <comment ref="B1719" authorId="0" shapeId="0">
      <text>
        <t>Croc de Mort — Normal, physique
Puissance 80 · Précision 90 % · 15 PP
Blesse d'un coup de croc. Peut apeurer
l'ennemi.</t>
      </text>
    </comment>
    <comment ref="C1719" authorId="0" shapeId="0">
      <text>
        <t>Croc de Mort — Normal, physique
Puissance 80 · Précision 90 % · 15 PP
Blesse d'un coup de croc. Peut apeurer
l'ennemi.</t>
      </text>
    </comment>
    <comment ref="D1719" authorId="0" shapeId="0">
      <text>
        <t>Croc de Mort — Normal, physique
Puissance 80 · Précision 90 % · 15 PP
Blesse d'un coup de croc. Peut apeurer
l'ennemi.</t>
      </text>
    </comment>
    <comment ref="B1720" authorId="0" shapeId="0">
      <text>
        <t>Assurance — Ténèbres, physique
Puissance 60 · Précision 100 % · 10 PP
Plus puissant si l'ennemi a déjà été blessé.</t>
      </text>
    </comment>
    <comment ref="C1720" authorId="0" shapeId="0">
      <text>
        <t>Assurance — Ténèbres, physique
Puissance 60 · Précision 100 % · 10 PP
Plus puissant si l'ennemi a déjà été blessé.</t>
      </text>
    </comment>
    <comment ref="D1720" authorId="0" shapeId="0">
      <text>
        <t>Assurance — Ténèbres, physique
Puissance 60 · Précision 100 % · 10 PP
Plus puissant si l'ennemi a déjà été blessé.</t>
      </text>
    </comment>
    <comment ref="B1721" authorId="0" shapeId="0">
      <text>
        <t>Mâchouille — Ténèbres, physique
Puissance 80 · Précision 100 % · 15 PP</t>
      </text>
    </comment>
    <comment ref="C1721" authorId="0" shapeId="0">
      <text>
        <t>Mâchouille — Ténèbres, physique
Puissance 80 · Précision 100 % · 15 PP</t>
      </text>
    </comment>
    <comment ref="D1721" authorId="0" shapeId="0">
      <text>
        <t>Mâchouille — Ténèbres, physique
Puissance 80 · Précision 100 % · 15 PP</t>
      </text>
    </comment>
    <comment ref="B1722" authorId="0" shapeId="0">
      <text>
        <t>Coup Bas — Ténèbres, physique
Puissance 70 · Précision 100 % · 5 PP ·
Priorité +1</t>
      </text>
    </comment>
    <comment ref="C1722" authorId="0" shapeId="0">
      <text>
        <t>Coup Bas — Ténèbres, physique
Puissance 70 · Précision 100 % · 5 PP ·
Priorité +1</t>
      </text>
    </comment>
    <comment ref="D1722" authorId="0" shapeId="0">
      <text>
        <t>Coup Bas — Ténèbres, physique
Puissance 70 · Précision 100 % · 5 PP ·
Priorité +1</t>
      </text>
    </comment>
    <comment ref="B1725" authorId="0" shapeId="0">
      <text>
        <t>SMOGOGO — Poison
PV 65 · Att 90 · Déf 120
Att.Spé 85 · Déf.Spé 70 · Vit 60
Total 490
Talents : Lévitation, Gaz Inhibiteur (caché :
  Puanteur)</t>
      </text>
    </comment>
    <comment ref="C1725" authorId="0" shapeId="0">
      <text>
        <t>GROTADMORV — Poison
PV 105 · Att 105 · Déf 75
Att.Spé 65 · Déf.Spé 100 · Vit 50
Total 500
Talents : Puanteur, Glu (caché : Toxitouche)</t>
      </text>
    </comment>
    <comment ref="B1728" authorId="0" shapeId="0">
      <text>
        <t>Lévitation
Ignore les attaques Sol.</t>
      </text>
    </comment>
    <comment ref="C1728" authorId="0" shapeId="0">
      <text>
        <t>Puanteur
Repousse Pokémon sauvage.</t>
      </text>
    </comment>
    <comment ref="B1729" authorId="0" shapeId="0">
      <text>
        <t>Détritus — Poison, spéciale
Puissance 65 · Précision 100 % · 20 PP
Blesse en envoyant des détritus. Peut
empoisonner.</t>
      </text>
    </comment>
    <comment ref="C1729" authorId="0" shapeId="0">
      <text>
        <t>Lilliput — Normal, statut
10 PP</t>
      </text>
    </comment>
    <comment ref="B1730" authorId="0" shapeId="0">
      <text>
        <t>Destruction — Normal, physique
Puissance 200 · Précision 100 % · 5 PP
Inflige de sérieux dégâts, mais met le lanceur
KO.</t>
      </text>
    </comment>
    <comment ref="C1730" authorId="0" shapeId="0">
      <text>
        <t>Dégommage — Ténèbres, physique
Puissance 1 · Précision 100 % · 10 PP
L'effet varie selon l'objet tenu.</t>
      </text>
    </comment>
    <comment ref="B1731" authorId="0" shapeId="0">
      <text>
        <t>Buée Noire — Glace, statut
30 PP
Crée un nuage noir annulant tout changement
d'état.</t>
      </text>
    </comment>
    <comment ref="C1731" authorId="0" shapeId="0">
      <text>
        <t>Bombe Beurk — Poison, spéciale
Puissance 90 · Précision 100 % · 10 PP
Envoie des détritus pour blesser. Peut
empoisonner.</t>
      </text>
    </comment>
    <comment ref="B1732" authorId="0" shapeId="0">
      <text>
        <t>Gyroballe — Acier, physique
Puissance 1 · Précision 100 % · 5 PP
Une toupie qui blesse plus un ennemi rapide.</t>
      </text>
    </comment>
    <comment ref="C1732" authorId="0" shapeId="0">
      <text>
        <t>Cradovague — Poison, spéciale
Puissance 95 · Précision 100 % · 10 PP
Une vague de boue. Peut empoisonner.</t>
      </text>
    </comment>
    <comment ref="B1734" authorId="0" shapeId="0">
      <text>
        <t>CAPUMAIN — Normal
PV 55 · Att 70 · Déf 55
Att.Spé 40 · Déf.Spé 55 · Vit 85
Total 360
Talents : Fuite, Ramassage (caché : Multi-
  Coups)</t>
      </text>
    </comment>
    <comment ref="C1734" authorId="0" shapeId="0">
      <text>
        <t>SMOGO — Poison
PV 40 · Att 65 · Déf 95
Att.Spé 60 · Déf.Spé 45 · Vit 35
Total 340
Talents : Lévitation, Gaz Inhibiteur (caché :
  Puanteur)</t>
      </text>
    </comment>
    <comment ref="D1734" authorId="0" shapeId="0">
      <text>
        <t>CAPUMAIN — Normal
PV 55 · Att 70 · Déf 55
Att.Spé 40 · Déf.Spé 55 · Vit 85
Total 360
Talents : Fuite, Ramassage (caché : Multi-
  Coups)</t>
      </text>
    </comment>
    <comment ref="B1737" authorId="0" shapeId="0">
      <text>
        <t>Fuite
Améliore chances de fuite.</t>
      </text>
    </comment>
    <comment ref="C1737" authorId="0" shapeId="0">
      <text>
        <t>Lévitation
Ignore les attaques Sol.</t>
      </text>
    </comment>
    <comment ref="D1737" authorId="0" shapeId="0">
      <text>
        <t>Fuite
Améliore chances de fuite.</t>
      </text>
    </comment>
    <comment ref="B1738" authorId="0" shapeId="0">
      <text>
        <t>Météores — Normal, spéciale
Puissance 60 · Ne rate jamais · 20 PP
Envoie des rayons en forme d'étoile. Touche
toujours.</t>
      </text>
    </comment>
    <comment ref="C1738" authorId="0" shapeId="0">
      <text>
        <t>Destruction — Normal, physique
Puissance 200 · Précision 100 % · 5 PP
Inflige de sérieux dégâts, mais met le lanceur
KO.</t>
      </text>
    </comment>
    <comment ref="D1738" authorId="0" shapeId="0">
      <text>
        <t>Météores — Normal, spéciale
Puissance 60 · Ne rate jamais · 20 PP
Envoie des rayons en forme d'étoile. Touche
toujours.</t>
      </text>
    </comment>
    <comment ref="B1739" authorId="0" shapeId="0">
      <text>
        <t>Grincement — Normal, statut
Précision 85 % · 40 PP
Cri strident qui baisse la Défense ennemie.</t>
      </text>
    </comment>
    <comment ref="C1739" authorId="0" shapeId="0">
      <text>
        <t>Buée Noire — Glace, statut
30 PP
Crée un nuage noir annulant tout changement
d'état.</t>
      </text>
    </comment>
    <comment ref="D1739" authorId="0" shapeId="0">
      <text>
        <t>Grincement — Normal, statut
Précision 85 % · 40 PP
Cri strident qui baisse la Défense ennemie.</t>
      </text>
    </comment>
    <comment ref="B1740" authorId="0" shapeId="0">
      <text>
        <t>Hâte — Psy, statut
30 PP
Relaxation du corps pour booster la Vitesse.</t>
      </text>
    </comment>
    <comment ref="C1740" authorId="0" shapeId="0">
      <text>
        <t>Gyroballe — Acier, physique
Puissance 1 · Précision 100 % · 5 PP
Une toupie qui blesse plus un ennemi rapide.</t>
      </text>
    </comment>
    <comment ref="D1740" authorId="0" shapeId="0">
      <text>
        <t>Hâte — Psy, statut
30 PP
Relaxation du corps pour booster la Vitesse.</t>
      </text>
    </comment>
    <comment ref="B1741" authorId="0" shapeId="0">
      <text>
        <t>Coup Double — Normal, physique
Puissance 35 · Précision 90 % · 10 PP
Frappe deux fois avec la queue ou autre.</t>
      </text>
    </comment>
    <comment ref="C1741" authorId="0" shapeId="0">
      <text>
        <t>Bombe Beurk — Poison, spéciale
Puissance 90 · Précision 100 % · 10 PP
Envoie des détritus pour blesser. Peut
empoisonner.</t>
      </text>
    </comment>
    <comment ref="D1741" authorId="0" shapeId="0">
      <text>
        <t>Coup Double — Normal, physique
Puissance 35 · Précision 90 % · 10 PP
Frappe deux fois avec la queue ou autre.</t>
      </text>
    </comment>
    <comment ref="B1743" authorId="0" shapeId="0">
      <text>
        <t>SCORPLANE — Sol / Vol
PV 65 · Att 75 · Déf 105
Att.Spé 35 · Déf.Spé 65 · Vit 85
Total 430
Talents : Hyper Cutter, Voile Sable (caché :
  Vaccin)</t>
      </text>
    </comment>
    <comment ref="C1743" authorId="0" shapeId="0">
      <text>
        <t>HYPNOMADE — Psy
PV 85 · Att 73 · Déf 70
Att.Spé 73 · Déf.Spé 115 · Vit 67
Total 483
Talents : Insomnia, Prédiction (caché :
  Attention)</t>
      </text>
    </comment>
    <comment ref="B1746" authorId="0" shapeId="0">
      <text>
        <t>Hyper Cutter
Empêche réduction Attaque.</t>
      </text>
    </comment>
    <comment ref="C1746" authorId="0" shapeId="0">
      <text>
        <t>Insomnia
Empêche de s'endormir.</t>
      </text>
    </comment>
    <comment ref="B1747" authorId="0" shapeId="0">
      <text>
        <t>Feinte — Ténèbres, physique
Puissance 60 · Ne rate jamais · 20 PP
Approche l'ennemi et frappe à coup sûr.</t>
      </text>
    </comment>
    <comment ref="C1747" authorId="0" shapeId="0">
      <text>
        <t>Yoga — Psy, statut
40 PP
Méditation pacifique pour augmenter l'Attaque.</t>
      </text>
    </comment>
    <comment ref="B1748" authorId="0" shapeId="0">
      <text>
        <t>Acrobatie — Vol, physique
Puissance 55 · Précision 100 % · 15 PP
Double les dégâts si le lanceur n'a pas
d'objet.</t>
      </text>
    </comment>
    <comment ref="C1748" authorId="0" shapeId="0">
      <text>
        <t>Rafale Psy — Psy, spéciale
Puissance 65 · Précision 100 % · 20 PP
Étrange rayon pouvant rendre l'ennemi confus.</t>
      </text>
    </comment>
    <comment ref="B1749" authorId="0" shapeId="0">
      <text>
        <t>Tranche — Normal, physique
Puissance 70 · Précision 100 % · 20 PP
Coups de griffe, etc. Taux de critiques élevé.</t>
      </text>
    </comment>
    <comment ref="C1749" authorId="0" shapeId="0">
      <text>
        <t>Réveil Forcé — Combat, physique
Puissance 70 · Précision 100 % · 10 PP
Puissant sur un dormeur. Le réveille aussi.</t>
      </text>
    </comment>
    <comment ref="B1750" authorId="0" shapeId="0">
      <text>
        <t>Demi-Tour — Insecte, physique
Puissance 70 · Précision 100 % · 20 PP</t>
      </text>
    </comment>
    <comment ref="C1750" authorId="0" shapeId="0">
      <text>
        <t>Boost — Normal, statut
10 PP
Copie les effets de l'ennemi et les passe au
lanceur.</t>
      </text>
    </comment>
    <comment ref="B1752" authorId="0" shapeId="0">
      <text>
        <t>ARBOK — Poison
PV 60 · Att 95 · Déf 69
Att.Spé 65 · Déf.Spé 79 · Vit 80
Total 448
Talents : Intimidation, Mue (caché : Tension)</t>
      </text>
    </comment>
    <comment ref="C1752" authorId="0" shapeId="0">
      <text>
        <t>ORTIDE — Plante / Poison
PV 60 · Att 65 · Déf 70
Att.Spé 85 · Déf.Spé 75 · Vit 40
Total 395
Talents : Chlorophylle (caché : Puanteur)</t>
      </text>
    </comment>
    <comment ref="B1755" authorId="0" shapeId="0">
      <text>
        <t>Intimidation
Baisse l'Attaque ennemie.</t>
      </text>
    </comment>
    <comment ref="C1755" authorId="0" shapeId="0">
      <text>
        <t>Chlorophylle
Augmente Vitesse au soleil.</t>
      </text>
    </comment>
    <comment ref="B1756" authorId="0" shapeId="0">
      <text>
        <t>Avale — Normal, statut
10 PP
Absorbe la puissance accu- mulée et restaure
les PV.</t>
      </text>
    </comment>
    <comment ref="C1756" authorId="0" shapeId="0">
      <text>
        <t>Méga-Sangsue — Plante, spéciale
Puissance 40 · Précision 100 % · 25 PP</t>
      </text>
    </comment>
    <comment ref="B1757" authorId="0" shapeId="0">
      <text>
        <t>Relâche — Normal, spéciale
Puissance 1 · Précision 100 % · 10 PP
Libère la puissance précédemment accumulée.</t>
      </text>
    </comment>
    <comment ref="C1757" authorId="0" shapeId="0">
      <text>
        <t>Air Veinard — Normal, statut
30 PP
Empêche les coups critiques ennemis.</t>
      </text>
    </comment>
    <comment ref="B1758" authorId="0" shapeId="0">
      <text>
        <t>Crochet Venin — Poison, physique
Puissance 50 · Précision 100 % · 15 PP
Morsure pouvant sérieuse- ment empoisonner
l'ennemi.</t>
      </text>
    </comment>
    <comment ref="C1758" authorId="0" shapeId="0">
      <text>
        <t>Rayon Lune — Fée, statut
5 PP
Restaure les PV. La quantité varie suivant le
temps.</t>
      </text>
    </comment>
    <comment ref="B1759" authorId="0" shapeId="0">
      <text>
        <t>Bombe Acide — Poison, spéciale
Puissance 40 · Précision 100 % · 20 PP
Un acide qui baisse beaucoup la Déf. Spé.</t>
      </text>
    </comment>
    <comment ref="C1759" authorId="0" shapeId="0">
      <text>
        <t>Giga-Sangsue — Plante, spéciale
Puissance 75 · Précision 100 % · 25 PP
Une attaque qui absorbe la moitié des dégâts
infligés.</t>
      </text>
    </comment>
    <comment ref="B1762" authorId="0" shapeId="0">
      <text>
        <t>CAPUMAIN — Normal
PV 55 · Att 70 · Déf 55
Att.Spé 40 · Déf.Spé 55 · Vit 85
Total 360
Talents : Fuite, Ramassage (caché : Multi-
  Coups)</t>
      </text>
    </comment>
    <comment ref="C1762" authorId="0" shapeId="0">
      <text>
        <t>CORNEBRE — Ténèbres / Vol
PV 60 · Att 85 · Déf 42
Att.Spé 85 · Déf.Spé 42 · Vit 91
Total 405
Talents : Insomnia, Chanceux (caché : Farceur)</t>
      </text>
    </comment>
    <comment ref="D1762" authorId="0" shapeId="0">
      <text>
        <t>FORETRESS — Insecte / Acier
PV 75 · Att 90 · Déf 140
Att.Spé 60 · Déf.Spé 60 · Vit 40
Total 465
Talents : Fermeté (caché : Envelocape)</t>
      </text>
    </comment>
    <comment ref="B1765" authorId="0" shapeId="0">
      <text>
        <t>Fuite
Améliore chances de fuite.</t>
      </text>
    </comment>
    <comment ref="C1765" authorId="0" shapeId="0">
      <text>
        <t>Insomnia
Empêche de s'endormir.</t>
      </text>
    </comment>
    <comment ref="D1765" authorId="0" shapeId="0">
      <text>
        <t>Fermeté
Ignore les K.O. en un coup.</t>
      </text>
    </comment>
    <comment ref="B1766" authorId="0" shapeId="0">
      <text>
        <t>Météores — Normal, spéciale
Puissance 60 · Ne rate jamais · 20 PP
Envoie des rayons en forme d'étoile. Touche
toujours.</t>
      </text>
    </comment>
    <comment ref="C1766" authorId="0" shapeId="0">
      <text>
        <t>Cru-Ailes — Vol, physique
Puissance 60 · Précision 100 % · 35 PP
Frappe l'ennemi en déployant les ailes.</t>
      </text>
    </comment>
    <comment ref="D1766" authorId="0" shapeId="0">
      <text>
        <t>Patience — Normal, physique
Puissance 1 · Ne rate jamais · 10 PP ·
Priorité +1
Encaisse les attaques sur 2 tours et renvoie
le double.</t>
      </text>
    </comment>
    <comment ref="B1767" authorId="0" shapeId="0">
      <text>
        <t>Grincement — Normal, statut
Précision 85 % · 40 PP
Cri strident qui baisse la Défense ennemie.</t>
      </text>
    </comment>
    <comment ref="C1767" authorId="0" shapeId="0">
      <text>
        <t>Ombre Nocturne — Spectre, spéciale
Puissance 1 · Précision 100 % · 15 PP
Inflige des dégâts selon le niveau du lanceur.</t>
      </text>
    </comment>
    <comment ref="D1767" authorId="0" shapeId="0">
      <text>
        <t>Don Naturel — Normal, physique
Puissance 1 · Précision 100 % · 15 PP
L'effet varie selon la Baie tenue.</t>
      </text>
    </comment>
    <comment ref="B1768" authorId="0" shapeId="0">
      <text>
        <t>Hâte — Psy, statut
30 PP
Relaxation du corps pour booster la Vitesse.</t>
      </text>
    </comment>
    <comment ref="C1768" authorId="0" shapeId="0">
      <text>
        <t>Assurance — Ténèbres, physique
Puissance 60 · Précision 100 % · 10 PP
Plus puissant si l'ennemi a déjà été blessé.</t>
      </text>
    </comment>
    <comment ref="D1768" authorId="0" shapeId="0">
      <text>
        <t>Picots — Sol, statut
20 PP
Pointes blessant lors d'un changement
d'adversaire.</t>
      </text>
    </comment>
    <comment ref="B1769" authorId="0" shapeId="0">
      <text>
        <t>Coup Double — Normal, physique
Puissance 35 · Précision 90 % · 10 PP
Frappe deux fois avec la queue ou autre.</t>
      </text>
    </comment>
    <comment ref="C1769" authorId="0" shapeId="0">
      <text>
        <t>Provoc — Ténèbres, statut
Précision 100 % · 20 PP
Provoque l'ennemi. L'oblige à utiliser ses
attaques.</t>
      </text>
    </comment>
    <comment ref="D1769" authorId="0" shapeId="0">
      <text>
        <t>Représailles — Ténèbres, physique
Puissance 50 · Précision 100 % · 10 PP
Plus puissant si le lanceur agit en dernier.</t>
      </text>
    </comment>
    <comment ref="B1771" authorId="0" shapeId="0">
      <text>
        <t>GROTADMORV — Poison
PV 105 · Att 105 · Déf 75
Att.Spé 65 · Déf.Spé 100 · Vit 50
Total 500
Talents : Puanteur, Glu (caché : Toxitouche)</t>
      </text>
    </comment>
    <comment ref="C1771" authorId="0" shapeId="0">
      <text>
        <t>AEROMITE — Insecte / Poison
PV 70 · Att 65 · Déf 60
Att.Spé 90 · Déf.Spé 75 · Vit 90
Total 450
Talents : Écran Poudre, Lentiteintée (caché :
  Peau Miracle)</t>
      </text>
    </comment>
    <comment ref="B1774" authorId="0" shapeId="0">
      <text>
        <t>Puanteur
Repousse Pokémon sauvage.</t>
      </text>
    </comment>
    <comment ref="C1774" authorId="0" shapeId="0">
      <text>
        <t>Écran Poudre
Empêche le cumul d'effets.</t>
      </text>
    </comment>
    <comment ref="B1775" authorId="0" shapeId="0">
      <text>
        <t>Lilliput — Normal, statut
10 PP</t>
      </text>
    </comment>
    <comment ref="C1775" authorId="0" shapeId="0">
      <text>
        <t>Rafale Psy — Psy, spéciale
Puissance 65 · Précision 100 % · 20 PP
Étrange rayon pouvant rendre l'ennemi confus.</t>
      </text>
    </comment>
    <comment ref="B1776" authorId="0" shapeId="0">
      <text>
        <t>Dégommage — Ténèbres, physique
Puissance 1 · Précision 100 % · 10 PP
L'effet varie selon l'objet tenu.</t>
      </text>
    </comment>
    <comment ref="C1776" authorId="0" shapeId="0">
      <text>
        <t>Para-Spore — Plante, statut
Précision 75 % · 30 PP
Répand une poudre pouvant paralyser l'ennemi.</t>
      </text>
    </comment>
    <comment ref="B1777" authorId="0" shapeId="0">
      <text>
        <t>Bombe Beurk — Poison, spéciale
Puissance 90 · Précision 100 % · 10 PP
Envoie des détritus pour blesser. Peut
empoisonner.</t>
      </text>
    </comment>
    <comment ref="C1777" authorId="0" shapeId="0">
      <text>
        <t>Rayon Signal — Insecte, spéciale
Puissance 75 · Précision 100 % · 15 PP
Un étrange rayon qui peut rendre l'ennemi
confus.</t>
      </text>
    </comment>
    <comment ref="B1778" authorId="0" shapeId="0">
      <text>
        <t>Cradovague — Poison, spéciale
Puissance 95 · Précision 100 % · 10 PP
Une vague de boue. Peut empoisonner.</t>
      </text>
    </comment>
    <comment ref="C1778" authorId="0" shapeId="0">
      <text>
        <t>Poudre Dodo — Plante, statut
Précision 75 % · 15 PP
Répand une poudre pouvant endormir l'ennemi.</t>
      </text>
    </comment>
    <comment ref="B1780" authorId="0" shapeId="0">
      <text>
        <t>TAUROS — Normal
PV 75 · Att 100 · Déf 95
Att.Spé 40 · Déf.Spé 70 · Vit 110
Total 490
Talents : Intimidation, Colérique (caché :
  Sans Limite)</t>
      </text>
    </comment>
    <comment ref="C1780" authorId="0" shapeId="0">
      <text>
        <t>FLAGADOSS — Eau / Psy
PV 95 · Att 75 · Déf 110
Att.Spé 100 · Déf.Spé 80 · Vit 30
Total 490
Talents : Benêt, Tempo Perso (caché : Régé-
  Force)</t>
      </text>
    </comment>
    <comment ref="B1783" authorId="0" shapeId="0">
      <text>
        <t>Intimidation
Baisse l'Attaque ennemie.</t>
      </text>
    </comment>
    <comment ref="C1783" authorId="0" shapeId="0">
      <text>
        <t>Benêt
Empêche l'attirance.</t>
      </text>
    </comment>
    <comment ref="B1784" authorId="0" shapeId="0">
      <text>
        <t>Repos — Psy, statut
5 PP
Le lanceur dort 2 tours et regagne PV et
statut.</t>
      </text>
    </comment>
    <comment ref="C1784" authorId="0" shapeId="0">
      <text>
        <t>Entrave — Normal, statut
Précision 100 % · 20 PP</t>
      </text>
    </comment>
    <comment ref="B1785" authorId="0" shapeId="0">
      <text>
        <t>Représailles — Ténèbres, physique
Puissance 50 · Précision 100 % · 10 PP
Plus puissant si le lanceur agit en dernier.</t>
      </text>
    </comment>
    <comment ref="C1785" authorId="0" shapeId="0">
      <text>
        <t>Coup d'Boule — Normal, physique
Puissance 70 · Précision 100 % · 15 PP
Une charge qui peut apeurer l'ennemi.</t>
      </text>
    </comment>
    <comment ref="B1786" authorId="0" shapeId="0">
      <text>
        <t>Rengorgement — Normal, statut
30 PP
Le lanceur s'excite. Monte Atq. et Atq. Spé.</t>
      </text>
    </comment>
    <comment ref="C1786" authorId="0" shapeId="0">
      <text>
        <t>Vibraqua — Eau, spéciale
Puissance 60 · Précision 100 % · 20 PP
Envoi des ondes aquatiques. Peut rendre
confus.</t>
      </text>
    </comment>
    <comment ref="B1787" authorId="0" shapeId="0">
      <text>
        <t>Bélier — Normal, physique
Puissance 90 · Précision 85 % · 20 PP
Une charge violente qui blesse aussi le
lanceur.</t>
      </text>
    </comment>
    <comment ref="C1787" authorId="0" shapeId="0">
      <text>
        <t>Psykoud'Boul — Psy, physique
Puissance 80 · Précision 90 % · 15 PP
Un coup de tête. Peut apeurer l'ennemi.</t>
      </text>
    </comment>
    <comment ref="B1789" authorId="0" shapeId="0">
      <text>
        <t>AMONISTAR — Roche / Eau
PV 70 · Att 60 · Déf 125
Att.Spé 115 · Déf.Spé 70 · Vit 55
Total 495
Talents : Glissade, Coque Armure (caché :
  Armurouillée)</t>
      </text>
    </comment>
    <comment ref="B1792" authorId="0" shapeId="0">
      <text>
        <t>Glissade
Monte Vitesse s'il pleut.</t>
      </text>
    </comment>
    <comment ref="B1793" authorId="0" shapeId="0">
      <text>
        <t>Tir de Boue — Sol, spéciale
Puissance 55 · Précision 95 % · 15 PP
Envoie de la boue à l'ennemi pour réduire sa
Vitesse.</t>
      </text>
    </comment>
    <comment ref="B1794" authorId="0" shapeId="0">
      <text>
        <t>Saumure — Eau, spéciale
Puissance 65 · Précision 100 % · 10 PP
Double les dégâts si l'ennemi a mi-PV ou
moins.</t>
      </text>
    </comment>
    <comment ref="B1795" authorId="0" shapeId="0">
      <text>
        <t>Abri — Normal, statut
10 PP · Priorité +4</t>
      </text>
    </comment>
    <comment ref="B1796" authorId="0" shapeId="0">
      <text>
        <t>Pouvoir Antique — Roche, spéciale
Puissance 60 · Précision 100 % · 5 PP
Une attaque pouvant augmenter toutes les
stats.</t>
      </text>
    </comment>
    <comment ref="B1799" authorId="0" shapeId="0">
      <text>
        <t>ARBOK — Poison
PV 60 · Att 95 · Déf 69
Att.Spé 65 · Déf.Spé 79 · Vit 80
Total 448
Talents : Intimidation, Mue (caché : Tension)</t>
      </text>
    </comment>
    <comment ref="C1799" authorId="0" shapeId="0">
      <text>
        <t>ORTIDE — Plante / Poison
PV 60 · Att 65 · Déf 70
Att.Spé 85 · Déf.Spé 75 · Vit 40
Total 395
Talents : Chlorophylle (caché : Puanteur)</t>
      </text>
    </comment>
    <comment ref="D1799" authorId="0" shapeId="0">
      <text>
        <t>MIGALOS — Insecte / Poison
PV 70 · Att 90 · Déf 70
Att.Spé 60 · Déf.Spé 70 · Vit 40
Total 400
Talents : Essaim, Insomnia (caché : Sniper)</t>
      </text>
    </comment>
    <comment ref="E1799" authorId="0" shapeId="0">
      <text>
        <t>RAFFLESIA — Plante / Poison
PV 75 · Att 80 · Déf 85
Att.Spé 110 · Déf.Spé 90 · Vit 50
Total 490
Talents : Chlorophylle (caché : Pose Spore)</t>
      </text>
    </comment>
    <comment ref="B1802" authorId="0" shapeId="0">
      <text>
        <t>Intimidation
Baisse l'Attaque ennemie.</t>
      </text>
    </comment>
    <comment ref="C1802" authorId="0" shapeId="0">
      <text>
        <t>Chlorophylle
Augmente Vitesse au soleil.</t>
      </text>
    </comment>
    <comment ref="D1802" authorId="0" shapeId="0">
      <text>
        <t>Essaim
Augmente attaques Insect.</t>
      </text>
    </comment>
    <comment ref="E1802" authorId="0" shapeId="0">
      <text>
        <t>Chlorophylle
Augmente Vitesse au soleil.</t>
      </text>
    </comment>
    <comment ref="B1803" authorId="0" shapeId="0">
      <text>
        <t>Avale — Normal, statut
10 PP
Absorbe la puissance accu- mulée et restaure
les PV.</t>
      </text>
    </comment>
    <comment ref="C1803" authorId="0" shapeId="0">
      <text>
        <t>Méga-Sangsue — Plante, spéciale
Puissance 40 · Précision 100 % · 25 PP</t>
      </text>
    </comment>
    <comment ref="D1803" authorId="0" shapeId="0">
      <text>
        <t>Ombre Portée — Spectre, physique
Puissance 40 · Précision 100 % · 30 PP ·
Priorité +1
Étend son ombre pour frapper en premier.</t>
      </text>
    </comment>
    <comment ref="E1803" authorId="0" shapeId="0">
      <text>
        <t>Para-Spore — Plante, statut
Précision 75 % · 30 PP
Répand une poudre pouvant paralyser l'ennemi.</t>
      </text>
    </comment>
    <comment ref="B1804" authorId="0" shapeId="0">
      <text>
        <t>Relâche — Normal, spéciale
Puissance 1 · Précision 100 % · 10 PP
Libère la puissance précédemment accumulée.</t>
      </text>
    </comment>
    <comment ref="C1804" authorId="0" shapeId="0">
      <text>
        <t>Air Veinard — Normal, statut
30 PP
Empêche les coups critiques ennemis.</t>
      </text>
    </comment>
    <comment ref="D1804" authorId="0" shapeId="0">
      <text>
        <t>Combo-Griffe — Normal, physique
Puissance 18 · Précision 80 % · 15 PP
Ecorche l'ennemi avec des griffes, etc., de 2
à 5 fois.</t>
      </text>
    </comment>
    <comment ref="E1804" authorId="0" shapeId="0">
      <text>
        <t>Poudre Dodo — Plante, statut
Précision 75 % · 15 PP
Répand une poudre pouvant endormir l'ennemi.</t>
      </text>
    </comment>
    <comment ref="B1805" authorId="0" shapeId="0">
      <text>
        <t>Crochet Venin — Poison, physique
Puissance 50 · Précision 100 % · 15 PP
Morsure pouvant sérieuse- ment empoisonner
l'ennemi.</t>
      </text>
    </comment>
    <comment ref="C1805" authorId="0" shapeId="0">
      <text>
        <t>Rayon Lune — Fée, statut
5 PP
Restaure les PV. La quantité varie suivant le
temps.</t>
      </text>
    </comment>
    <comment ref="D1805" authorId="0" shapeId="0">
      <text>
        <t>Coup Bas — Ténèbres, physique
Puissance 70 · Précision 100 % · 5 PP ·
Priorité +1</t>
      </text>
    </comment>
    <comment ref="E1805" authorId="0" shapeId="0">
      <text>
        <t>Méga-Sangsue — Plante, spéciale
Puissance 40 · Précision 100 % · 25 PP</t>
      </text>
    </comment>
    <comment ref="B1806" authorId="0" shapeId="0">
      <text>
        <t>Bombe Acide — Poison, spéciale
Puissance 40 · Précision 100 % · 20 PP
Un acide qui baisse beaucoup la Déf. Spé.</t>
      </text>
    </comment>
    <comment ref="C1806" authorId="0" shapeId="0">
      <text>
        <t>Giga-Sangsue — Plante, spéciale
Puissance 75 · Précision 100 % · 25 PP
Une attaque qui absorbe la moitié des dégâts
infligés.</t>
      </text>
    </comment>
    <comment ref="D1806" authorId="0" shapeId="0">
      <text>
        <t>Toile — Insecte, statut
10 PP
Capture l'ennemi et empêche toute fuite ou
changement.</t>
      </text>
    </comment>
    <comment ref="E1806" authorId="0" shapeId="0">
      <text>
        <t>Air Veinard — Normal, statut
30 PP
Empêche les coups critiques ennemis.</t>
      </text>
    </comment>
    <comment ref="B1808" authorId="0" shapeId="0">
      <text>
        <t>NOADKOKO — Plante / Psy
PV 95 · Att 95 · Déf 85
Att.Spé 125 · Déf.Spé 75 · Vit 55
Total 530
Talents : Chlorophylle (caché : Récolte)</t>
      </text>
    </comment>
    <comment ref="C1808" authorId="0" shapeId="0">
      <text>
        <t>ELECTRODE — Électrik
PV 60 · Att 50 · Déf 70
Att.Spé 80 · Déf.Spé 80 · Vit 150
Total 490
Talents : Anti-Bruit, Statik (caché : Boom
  Final)</t>
      </text>
    </comment>
    <comment ref="D1808" authorId="0" shapeId="0">
      <text>
        <t>ELEKTEK — Électrik
PV 65 · Att 83 · Déf 57
Att.Spé 95 · Déf.Spé 85 · Vit 105
Total 490
Talents : Statik (caché : Esprit Vital)</t>
      </text>
    </comment>
    <comment ref="B1811" authorId="0" shapeId="0">
      <text>
        <t>Chlorophylle
Augmente Vitesse au soleil.</t>
      </text>
    </comment>
    <comment ref="C1811" authorId="0" shapeId="0">
      <text>
        <t>Anti-Bruit
Évite les coups sonores.</t>
      </text>
    </comment>
    <comment ref="D1811" authorId="0" shapeId="0">
      <text>
        <t>Statik
Paralyse au toucher.</t>
      </text>
    </comment>
    <comment ref="B1812" authorId="0" shapeId="0">
      <text>
        <t>Bombe Œuf — Normal, physique
Puissance 100 · Précision 75 % · 10 PP
Envoie violemment un œuf en direction de
l'ennemi.</t>
      </text>
    </comment>
    <comment ref="C1812" authorId="0" shapeId="0">
      <text>
        <t>Boule Élek — Électrik, spéciale
Puissance 1 · Précision 100 % · 10 PP
Une orbe qui blesse plus un ennemi lent.</t>
      </text>
    </comment>
    <comment ref="D1812" authorId="0" shapeId="0">
      <text>
        <t>Cage Éclair — Électrik, statut
Précision 90 % · 20 PP
Un faible choc électrique qui paralyse
l'ennemi.</t>
      </text>
    </comment>
    <comment ref="B1813" authorId="0" shapeId="0">
      <text>
        <t>Para-Spore — Plante, statut
Précision 75 % · 30 PP
Répand une poudre pouvant paralyser l'ennemi.</t>
      </text>
    </comment>
    <comment ref="C1813" authorId="0" shapeId="0">
      <text>
        <t>Destruction — Normal, physique
Puissance 200 · Précision 100 % · 5 PP
Inflige de sérieux dégâts, mais met le lanceur
KO.</t>
      </text>
    </comment>
    <comment ref="D1813" authorId="0" shapeId="0">
      <text>
        <t>Boule Élek — Électrik, spéciale
Puissance 1 · Précision 100 % · 10 PP
Une orbe qui blesse plus un ennemi lent.</t>
      </text>
    </comment>
    <comment ref="B1814" authorId="0" shapeId="0">
      <text>
        <t>Poudre Toxik — Poison, statut
Précision 75 % · 35 PP
Répand une poudre toxique pouvant empoisonner.</t>
      </text>
    </comment>
    <comment ref="C1814" authorId="0" shapeId="0">
      <text>
        <t>Mur Lumière — Psy, statut
30 PP
Crée un mur lumineux et réduit les dégâts
d'Atq. Spé.</t>
      </text>
    </comment>
    <comment ref="D1814" authorId="0" shapeId="0">
      <text>
        <t>Mur Lumière — Psy, statut
30 PP
Crée un mur lumineux et réduit les dégâts
d'Atq. Spé.</t>
      </text>
    </comment>
    <comment ref="B1815" authorId="0" shapeId="0">
      <text>
        <t>Poudre Dodo — Plante, statut
Précision 75 % · 15 PP
Répand une poudre pouvant endormir l'ennemi.</t>
      </text>
    </comment>
    <comment ref="C1815" authorId="0" shapeId="0">
      <text>
        <t>Roulade — Roche, physique
Puissance 30 · Précision 90 % · 20 PP
Une attaque sur 5 tours, de plus en plus
puissante.</t>
      </text>
    </comment>
    <comment ref="D1815" authorId="0" shapeId="0">
      <text>
        <t>Poing Éclair — Électrik, physique
Puissance 75 · Précision 100 % · 15 PP
Un poing électrique pouvant paralyser
l'ennemi.</t>
      </text>
    </comment>
    <comment ref="B1817" authorId="0" shapeId="0">
      <text>
        <t>GROTADMORV — Poison
PV 105 · Att 105 · Déf 75
Att.Spé 65 · Déf.Spé 100 · Vit 50
Total 500
Talents : Puanteur, Glu (caché : Toxitouche)</t>
      </text>
    </comment>
    <comment ref="C1817" authorId="0" shapeId="0">
      <text>
        <t>NIDOQUEEN — Poison / Sol
PV 90 · Att 92 · Déf 87
Att.Spé 75 · Déf.Spé 85 · Vit 76
Total 505
Talents : Point Poison, Rivalité (caché : Sans
  Limite)</t>
      </text>
    </comment>
    <comment ref="D1817" authorId="0" shapeId="0">
      <text>
        <t>SMOGOGO — Poison
PV 65 · Att 90 · Déf 120
Att.Spé 85 · Déf.Spé 70 · Vit 60
Total 490
Talents : Lévitation, Gaz Inhibiteur (caché :
  Puanteur)</t>
      </text>
    </comment>
    <comment ref="E1817" authorId="0" shapeId="0">
      <text>
        <t>NIDOKING — Poison / Sol
PV 81 · Att 102 · Déf 77
Att.Spé 85 · Déf.Spé 75 · Vit 85
Total 505
Talents : Point Poison, Rivalité (caché : Sans
  Limite)</t>
      </text>
    </comment>
    <comment ref="F1817" authorId="0" shapeId="0">
      <text>
        <t>RHINOFEROS — Sol / Roche
PV 105 · Att 130 · Déf 120
Att.Spé 45 · Déf.Spé 45 · Vit 40
Total 485
Talents : Paratonnerre, Tête de Roc (caché :
  Téméraire)</t>
      </text>
    </comment>
    <comment ref="B1820" authorId="0" shapeId="0">
      <text>
        <t>Puanteur
Repousse Pokémon sauvage.</t>
      </text>
    </comment>
    <comment ref="C1820" authorId="0" shapeId="0">
      <text>
        <t>Point Poison
Empoisonne quand touché.</t>
      </text>
    </comment>
    <comment ref="D1820" authorId="0" shapeId="0">
      <text>
        <t>Lévitation
Ignore les attaques Sol.</t>
      </text>
    </comment>
    <comment ref="E1820" authorId="0" shapeId="0">
      <text>
        <t>Point Poison
Empoisonne quand touché.</t>
      </text>
    </comment>
    <comment ref="F1820" authorId="0" shapeId="0">
      <text>
        <t>Paratonnerre
Attire attaques élec.</t>
      </text>
    </comment>
    <comment ref="B1821" authorId="0" shapeId="0">
      <text>
        <t>Cradovague — Poison, spéciale
Puissance 95 · Précision 100 % · 10 PP
Une vague de boue. Peut empoisonner.</t>
      </text>
    </comment>
    <comment ref="C1821" authorId="0" shapeId="0">
      <text>
        <t>Poison Croix — Poison, physique
Puissance 70 · Précision 100 % · 20 PP
Une taillade qui peut empoisonner. Critiques.</t>
      </text>
    </comment>
    <comment ref="D1821" authorId="0" shapeId="0">
      <text>
        <t>Bombe Beurk — Poison, spéciale
Puissance 90 · Précision 100 % · 10 PP
Envoie des détritus pour blesser. Peut
empoisonner.</t>
      </text>
    </comment>
    <comment ref="E1821" authorId="0" shapeId="0">
      <text>
        <t>Poison Croix — Poison, physique
Puissance 70 · Précision 100 % · 20 PP
Une taillade qui peut empoisonner. Critiques.</t>
      </text>
    </comment>
    <comment ref="F1821" authorId="0" shapeId="0">
      <text>
        <t>Séisme — Sol, physique
Puissance 100 · Précision 100 % · 10 PP
Secousse sans effet sur les adversaires
volants.</t>
      </text>
    </comment>
    <comment ref="B1822" authorId="0" shapeId="0">
      <text>
        <t>Boue-Bombe — Sol, spéciale
Puissance 65 · Précision 85 % · 10 PP
Une boule de boue qui baisse la Précision.</t>
      </text>
    </comment>
    <comment ref="C1822" authorId="0" shapeId="0">
      <text>
        <t>Double Pied — Combat, physique
Puissance 30 · Précision 100 % · 30 PP
Un double coup de pied qui frappe l'ennemi
deux fois.</t>
      </text>
    </comment>
    <comment ref="D1822" authorId="0" shapeId="0">
      <text>
        <t>Destruction — Normal, physique
Puissance 200 · Précision 100 % · 5 PP
Inflige de sérieux dégâts, mais met le lanceur
KO.</t>
      </text>
    </comment>
    <comment ref="E1822" authorId="0" shapeId="0">
      <text>
        <t>Double Pied — Combat, physique
Puissance 30 · Précision 100 % · 30 PP
Un double coup de pied qui frappe l'ennemi
deux fois.</t>
      </text>
    </comment>
    <comment ref="F1822" authorId="0" shapeId="0">
      <text>
        <t>Tunnelier — Sol, physique
Puissance 80 · Précision 95 % · 10 PP
Tourne comme une perceuse. Critiques
fréquents.</t>
      </text>
    </comment>
    <comment ref="B1823" authorId="0" shapeId="0">
      <text>
        <t>Acidarmure — Poison, statut
20 PP
Liquéfie le corps du lanceur et booste sa
Défense.</t>
      </text>
    </comment>
    <comment ref="C1823" authorId="0" shapeId="0">
      <text>
        <t>Poing Éclair — Électrik, physique
Puissance 75 · Précision 100 % · 15 PP
Un poing électrique pouvant paralyser
l'ennemi.</t>
      </text>
    </comment>
    <comment ref="D1823" authorId="0" shapeId="0">
      <text>
        <t>Buée Noire — Glace, statut
30 PP
Crée un nuage noir annulant tout changement
d'état.</t>
      </text>
    </comment>
    <comment ref="E1823" authorId="0" shapeId="0">
      <text>
        <t>Poing Glace — Glace, physique
Puissance 75 · Précision 100 % · 15 PP</t>
      </text>
    </comment>
    <comment ref="F1823" authorId="0" shapeId="0">
      <text>
        <t>Abîme — Sol, physique
Puissance 1 · Précision 30 % · 5 PP
Fait tomber l'ennemi dans une crevasse et le
met KO.</t>
      </text>
    </comment>
    <comment ref="B1824" authorId="0" shapeId="0">
      <text>
        <t>Lilliput — Normal, statut
10 PP</t>
      </text>
    </comment>
    <comment ref="C1824" authorId="0" shapeId="0">
      <text>
        <t>Plaquage — Normal, physique
Puissance 85 · Précision 100 % · 15 PP
Une attaque en charge. Peut paralyser
l'ennemi.</t>
      </text>
    </comment>
    <comment ref="D1824" authorId="0" shapeId="0">
      <text>
        <t>Gyroballe — Acier, physique
Puissance 1 · Précision 100 % · 5 PP
Une toupie qui blesse plus un ennemi rapide.</t>
      </text>
    </comment>
    <comment ref="E1824" authorId="0" shapeId="0">
      <text>
        <t>Mania — Normal, physique
Puissance 120 · Précision 100 % · 10 PP
Une attaque furieuse de 2 à 3 tours. Lanceur
confus.</t>
      </text>
    </comment>
    <comment ref="F1824" authorId="0" shapeId="0">
      <text>
        <t>Éboulement — Roche, physique
Puissance 75 · Précision 90 % · 10 PP
Envoie de gros rochers. Peut apeurer l'ennemi.</t>
      </text>
    </comment>
    <comment ref="B1826" authorId="0" shapeId="0">
      <text>
        <t>PORYGON — Normal
PV 65 · Att 60 · Déf 70
Att.Spé 85 · Déf.Spé 75 · Vit 40
Total 395
Talents : Calque, Télécharge (caché :
  Analyste)</t>
      </text>
    </comment>
    <comment ref="B1829" authorId="0" shapeId="0">
      <text>
        <t>Calque
Imite la capacité spéciale.</t>
      </text>
    </comment>
    <comment ref="B1830" authorId="0" shapeId="0">
      <text>
        <t>Vol Magnétik — Électrik, statut
10 PP
Le lanceur lévite par magnétisme.</t>
      </text>
    </comment>
    <comment ref="B1831" authorId="0" shapeId="0">
      <text>
        <t>Rayon Signal — Insecte, spéciale
Puissance 75 · Précision 100 % · 15 PP
Un étrange rayon qui peut rendre l'ennemi
confus.</t>
      </text>
    </comment>
    <comment ref="B1832" authorId="0" shapeId="0">
      <text>
        <t>Recyclage — Normal, statut
10 PP
Recycle un objet pour l'utiliser une fois de
plus.</t>
      </text>
    </comment>
    <comment ref="B1833" authorId="0" shapeId="0">
      <text>
        <t>Coup d'Jus — Électrik, spéciale
Puissance 80 · Précision 100 % · 15 PP
Électrocute tous les autres {PKMN}. Peut
paralyser.</t>
      </text>
    </comment>
    <comment ref="B1836" authorId="0" shapeId="0">
      <text>
        <t>FORETRESS — Insecte / Acier
PV 75 · Att 90 · Déf 140
Att.Spé 60 · Déf.Spé 60 · Vit 40
Total 465
Talents : Fermeté (caché : Envelocape)</t>
      </text>
    </comment>
    <comment ref="C1836" authorId="0" shapeId="0">
      <text>
        <t>YMPHECT — Roche / Sol
PV 70 · Att 84 · Déf 70
Att.Spé 65 · Déf.Spé 70 · Vit 51
Total 410
Talents : Mue</t>
      </text>
    </comment>
    <comment ref="D1836" authorId="0" shapeId="0">
      <text>
        <t>VOLCAROPOD — Feu / Roche
PV 60 · Att 50 · Déf 120
Att.Spé 90 · Déf.Spé 80 · Vit 30
Total 430
Talents : Armumagma, Corps Ardent (caché :
  Armurouillée)</t>
      </text>
    </comment>
    <comment ref="E1836" authorId="0" shapeId="0">
      <text>
        <t>CRUSTABRI — Eau / Glace
PV 50 · Att 95 · Déf 180
Att.Spé 85 · Déf.Spé 45 · Vit 70
Total 525
Talents : Coque Armure, Multi-Coups (caché :
  Envelocape)</t>
      </text>
    </comment>
    <comment ref="B1839" authorId="0" shapeId="0">
      <text>
        <t>Fermeté
Ignore les K.O. en un coup.</t>
      </text>
    </comment>
    <comment ref="C1839" authorId="0" shapeId="0">
      <text>
        <t>Mue
Mue pour se soigner.</t>
      </text>
    </comment>
    <comment ref="D1839" authorId="0" shapeId="0">
      <text>
        <t>Armumagma
Empêche le gel.</t>
      </text>
    </comment>
    <comment ref="E1839" authorId="0" shapeId="0">
      <text>
        <t>Coque Armure
Bloque les coups critiques.</t>
      </text>
    </comment>
    <comment ref="B1840" authorId="0" shapeId="0">
      <text>
        <t>Dard-Nuée — Insecte, physique
Puissance 25 · Précision 95 % · 20 PP
Envoie des dards qui frappent 2 à 5 fois.</t>
      </text>
    </comment>
    <comment ref="C1840" authorId="0" shapeId="0">
      <text>
        <t>Éboulement — Roche, physique
Puissance 75 · Précision 90 % · 10 PP
Envoie de gros rochers. Peut apeurer l'ennemi.</t>
      </text>
    </comment>
    <comment ref="D1840" authorId="0" shapeId="0">
      <text>
        <t>Purédpois — Poison, spéciale
Puissance 30 · Précision 70 % · 20 PP
Un gaz nocif pouvant empoisonner l'ennemi.</t>
      </text>
    </comment>
    <comment ref="E1840" authorId="0" shapeId="0">
      <text>
        <t>Laser Glace — Glace, spéciale
Puissance 90 · Précision 100 % · 10 PP</t>
      </text>
    </comment>
    <comment ref="B1841" authorId="0" shapeId="0">
      <text>
        <t>Explosion — Normal, physique
Puissance 250 · Précision 100 % · 5 PP
Inflige de sérieux dégâts, mais met le lanceur
KO.</t>
      </text>
    </comment>
    <comment ref="C1841" authorId="0" shapeId="0">
      <text>
        <t>Grincement — Normal, statut
Précision 85 % · 40 PP
Cri strident qui baisse la Défense ennemie.</t>
      </text>
    </comment>
    <comment ref="D1841" authorId="0" shapeId="0">
      <text>
        <t>Lance-Flammes — Feu, spéciale
Puissance 90 · Précision 100 % · 15 PP
Une puissante attaque de feu pouvant brûler
l'ennemi.</t>
      </text>
    </comment>
    <comment ref="E1841" authorId="0" shapeId="0">
      <text>
        <t>Claquoir — Eau, physique
Puissance 35 · Précision 85 % · 15 PP</t>
      </text>
    </comment>
    <comment ref="B1842" authorId="0" shapeId="0">
      <text>
        <t>Picots — Sol, statut
20 PP
Pointes blessant lors d'un changement
d'adversaire.</t>
      </text>
    </comment>
    <comment ref="C1842" authorId="0" shapeId="0">
      <text>
        <t>Morsure — Ténèbres, physique
Puissance 60 · Précision 100 % · 25 PP
Mord méchamment l'ennemi et peut l'apeurer.</t>
      </text>
    </comment>
    <comment ref="D1842" authorId="0" shapeId="0">
      <text>
        <t>Pouvoir Antique — Roche, spéciale
Puissance 60 · Précision 100 % · 5 PP
Une attaque pouvant augmenter toutes les
stats.</t>
      </text>
    </comment>
    <comment ref="E1842" authorId="0" shapeId="0">
      <text>
        <t>Picanon — Normal, physique
Puissance 20 · Précision 100 % · 15 PP
Lance des pointes qui frappent 2 à 5 fois.</t>
      </text>
    </comment>
    <comment ref="B1843" authorId="0" shapeId="0">
      <text>
        <t>Picanon — Normal, physique
Puissance 20 · Précision 100 % · 15 PP
Lance des pointes qui frappent 2 à 5 fois.</t>
      </text>
    </comment>
    <comment ref="C1843" authorId="0" shapeId="0">
      <text>
        <t>Mania — Normal, physique
Puissance 120 · Précision 100 % · 10 PP
Une attaque furieuse de 2 à 3 tours. Lanceur
confus.</t>
      </text>
    </comment>
    <comment ref="D1843" authorId="0" shapeId="0">
      <text>
        <t>Malédiction — Spectre, statut
10 PP
Coup qui fonctionne autre- ment pour les
Spectres.</t>
      </text>
    </comment>
    <comment ref="E1843" authorId="0" shapeId="0">
      <text>
        <t>Surf — Eau, spéciale
Puissance 90 · Précision 100 % · 15 PP</t>
      </text>
    </comment>
    <comment ref="B1845" authorId="0" shapeId="0">
      <text>
        <t>ARBOK — Poison
PV 60 · Att 95 · Déf 69
Att.Spé 65 · Déf.Spé 79 · Vit 80
Total 448
Talents : Intimidation, Mue (caché : Tension)</t>
      </text>
    </comment>
    <comment ref="C1845" authorId="0" shapeId="0">
      <text>
        <t>PERSIAN — Normal
PV 65 · Att 70 · Déf 60
Att.Spé 65 · Déf.Spé 65 · Vit 115
Total 440
Talents : Échauffement, Technicien (caché :
  Tension)</t>
      </text>
    </comment>
    <comment ref="D1845" authorId="0" shapeId="0">
      <text>
        <t>RAFFLESIA — Plante / Poison
PV 75 · Att 80 · Déf 85
Att.Spé 110 · Déf.Spé 90 · Vit 50
Total 490
Talents : Chlorophylle (caché : Pose Spore)</t>
      </text>
    </comment>
    <comment ref="E1845" authorId="0" shapeId="0">
      <text>
        <t>LEVIATOR — Eau / Vol
PV 95 · Att 125 · Déf 79
Att.Spé 60 · Déf.Spé 100 · Vit 81
Total 540
Talents : Intimidation (caché : Impudence)</t>
      </text>
    </comment>
    <comment ref="F1845" authorId="0" shapeId="0">
      <text>
        <t>CORNEBRE — Ténèbres / Vol
PV 60 · Att 85 · Déf 42
Att.Spé 85 · Déf.Spé 42 · Vit 91
Total 405
Talents : Insomnia, Chanceux (caché : Farceur)</t>
      </text>
    </comment>
    <comment ref="B1848" authorId="0" shapeId="0">
      <text>
        <t>Intimidation
Baisse l'Attaque ennemie.</t>
      </text>
    </comment>
    <comment ref="C1848" authorId="0" shapeId="0">
      <text>
        <t>Échauffement
Empêche la paralysie.</t>
      </text>
    </comment>
    <comment ref="D1848" authorId="0" shapeId="0">
      <text>
        <t>Chlorophylle
Augmente Vitesse au soleil.</t>
      </text>
    </comment>
    <comment ref="E1848" authorId="0" shapeId="0">
      <text>
        <t>Intimidation
Baisse l'Attaque ennemie.</t>
      </text>
    </comment>
    <comment ref="F1848" authorId="0" shapeId="0">
      <text>
        <t>Insomnia
Empêche de s'endormir.</t>
      </text>
    </comment>
    <comment ref="B1849" authorId="0" shapeId="0">
      <text>
        <t>Grincement — Normal, statut
Précision 85 % · 40 PP
Cri strident qui baisse la Défense ennemie.</t>
      </text>
    </comment>
    <comment ref="C1849" authorId="0" shapeId="0">
      <text>
        <t>Morsure — Ténèbres, physique
Puissance 60 · Précision 100 % · 25 PP
Mord méchamment l'ennemi et peut l'apeurer.</t>
      </text>
    </comment>
    <comment ref="D1849" authorId="0" shapeId="0">
      <text>
        <t>Poudre Dodo — Plante, statut
Précision 75 % · 15 PP
Répand une poudre pouvant endormir l'ennemi.</t>
      </text>
    </comment>
    <comment ref="E1849" authorId="0" shapeId="0">
      <text>
        <t>Force — Normal, physique
Puissance 80 · Précision 100 % · 15 PP
Accumule de la puissance, puis frappe
l'ennemi.</t>
      </text>
    </comment>
    <comment ref="F1849" authorId="0" shapeId="0">
      <text>
        <t>Poursuite — Ténèbres, physique
Puissance 40 · Précision 100 % · 20 PP
Inflige de sérieux dégâts lorsque l'ennemi
change.</t>
      </text>
    </comment>
    <comment ref="B1850" authorId="0" shapeId="0">
      <text>
        <t>Mâchouille — Ténèbres, physique
Puissance 80 · Précision 100 % · 15 PP</t>
      </text>
    </comment>
    <comment ref="C1850" authorId="0" shapeId="0">
      <text>
        <t>Grincement — Normal, statut
Précision 85 % · 40 PP
Cri strident qui baisse la Défense ennemie.</t>
      </text>
    </comment>
    <comment ref="D1850" authorId="0" shapeId="0">
      <text>
        <t>Bombe Beurk — Poison, spéciale
Puissance 90 · Précision 100 % · 10 PP
Envoie des détritus pour blesser. Peut
empoisonner.</t>
      </text>
    </comment>
    <comment ref="E1850" authorId="0" shapeId="0">
      <text>
        <t>Ouragan — Dragon, spéciale
Puissance 40 · Précision 100 % · 20 PP
Déclenche un terrible ouragan blessant
l'ennemi.</t>
      </text>
    </comment>
    <comment ref="F1850" authorId="0" shapeId="0">
      <text>
        <t>Toxik — Poison, statut
Précision 90 % · 10 PP
Empoisonne l'ennemi avec une toxine de plus en
plus forte.</t>
      </text>
    </comment>
    <comment ref="B1851" authorId="0" shapeId="0">
      <text>
        <t>Regard Médusant — Normal, statut
Précision 100 % · 30 PP
Intimide l'ennemi et le paralyse de terreur.</t>
      </text>
    </comment>
    <comment ref="C1851" authorId="0" shapeId="0">
      <text>
        <t>Charme — Fée, statut
Précision 100 % · 20 PP
Charme l'ennemi et baisse beaucoup son
Attaque.</t>
      </text>
    </comment>
    <comment ref="D1851" authorId="0" shapeId="0">
      <text>
        <t>Para-Spore — Plante, statut
Précision 75 % · 30 PP
Répand une poudre pouvant paralyser l'ennemi.</t>
      </text>
    </comment>
    <comment ref="E1851" authorId="0" shapeId="0">
      <text>
        <t>Rebond — Vol, physique
Puissance 85 · Précision 85 % · 5 PP
Saute et tombe le tour suivant. Peut
paralyser.</t>
      </text>
    </comment>
    <comment ref="F1851" authorId="0" shapeId="0">
      <text>
        <t>Feinte — Ténèbres, physique
Puissance 60 · Ne rate jamais · 20 PP
Approche l'ennemi et frappe à coup sûr.</t>
      </text>
    </comment>
    <comment ref="B1852" authorId="0" shapeId="0">
      <text>
        <t>Crochet Venin — Poison, physique
Puissance 50 · Précision 100 % · 15 PP
Morsure pouvant sérieuse- ment empoisonner
l'ennemi.</t>
      </text>
    </comment>
    <comment ref="C1852" authorId="0" shapeId="0">
      <text>
        <t>Tranche — Normal, physique
Puissance 70 · Précision 100 % · 20 PP
Coups de griffe, etc. Taux de critiques élevé.</t>
      </text>
    </comment>
    <comment ref="D1852" authorId="0" shapeId="0">
      <text>
        <t>Giga-Sangsue — Plante, spéciale
Puissance 75 · Précision 100 % · 25 PP
Une attaque qui absorbe la moitié des dégâts
infligés.</t>
      </text>
    </comment>
    <comment ref="E1852" authorId="0" shapeId="0">
      <text>
        <t>Surf — Eau, spéciale
Puissance 90 · Précision 100 % · 15 PP</t>
      </text>
    </comment>
    <comment ref="F1852" authorId="0" shapeId="0">
      <text>
        <t>Lame d'Air — Vol, spéciale
Puissance 75 · Précision 95 % · 15 PP
Une lame d'air. Peut apeurer l'ennemi.</t>
      </text>
    </comment>
    <comment ref="B1854" authorId="0" shapeId="0">
      <text>
        <t>PORYGON-Z — Normal
PV 85 · Att 80 · Déf 70
Att.Spé 135 · Déf.Spé 75 · Vit 90
Total 535
Talents : Adaptabilité, Télécharge (caché :
  Analyste)</t>
      </text>
    </comment>
    <comment ref="C1854" authorId="0" shapeId="0">
      <text>
        <t>TAUROS — Normal
PV 75 · Att 100 · Déf 95
Att.Spé 40 · Déf.Spé 70 · Vit 110
Total 490
Talents : Intimidation, Colérique (caché :
  Sans Limite)</t>
      </text>
    </comment>
    <comment ref="D1854" authorId="0" shapeId="0">
      <text>
        <t>LEVIATOR — Eau / Vol
PV 95 · Att 125 · Déf 79
Att.Spé 60 · Déf.Spé 100 · Vit 81
Total 540
Talents : Intimidation (caché : Impudence)</t>
      </text>
    </comment>
    <comment ref="E1854" authorId="0" shapeId="0">
      <text>
        <t>DEMOLOSSE — Ténèbres / Feu
PV 75 · Att 90 · Déf 50
Att.Spé 110 · Déf.Spé 80 · Vit 95
Total 500
Talents : Matinal, Torche (caché : Tension)</t>
      </text>
    </comment>
    <comment ref="F1854" authorId="0" shapeId="0">
      <text>
        <t>FLAGADOSS — Eau / Psy
PV 95 · Att 75 · Déf 110
Att.Spé 100 · Déf.Spé 80 · Vit 30
Total 490
Talents : Benêt, Tempo Perso (caché : Régé-
  Force)</t>
      </text>
    </comment>
    <comment ref="B1857" authorId="0" shapeId="0">
      <text>
        <t>Adaptabilité
Renforce son propre type.</t>
      </text>
    </comment>
    <comment ref="C1857" authorId="0" shapeId="0">
      <text>
        <t>Intimidation
Baisse l'Attaque ennemie.</t>
      </text>
    </comment>
    <comment ref="D1857" authorId="0" shapeId="0">
      <text>
        <t>Intimidation
Baisse l'Attaque ennemie.</t>
      </text>
    </comment>
    <comment ref="E1857" authorId="0" shapeId="0">
      <text>
        <t>Matinal
Se réveille rapidement.</t>
      </text>
    </comment>
    <comment ref="F1857" authorId="0" shapeId="0">
      <text>
        <t>Benêt
Empêche l'attirance.</t>
      </text>
    </comment>
    <comment ref="B1858" authorId="0" shapeId="0">
      <text>
        <t>Triplattaque — Normal, spéciale
Puissance 80 · Précision 100 % · 10 PP
Envoie trois types de rayons en même temps.</t>
      </text>
    </comment>
    <comment ref="C1858" authorId="0" shapeId="0">
      <text>
        <t>Coup d'Boule — Normal, physique
Puissance 70 · Précision 100 % · 15 PP
Une charge qui peut apeurer l'ennemi.</t>
      </text>
    </comment>
    <comment ref="D1858" authorId="0" shapeId="0">
      <text>
        <t>Mâchouille — Ténèbres, physique
Puissance 80 · Précision 100 % · 15 PP</t>
      </text>
    </comment>
    <comment ref="E1858" authorId="0" shapeId="0">
      <text>
        <t>Mâchouille — Ténèbres, physique
Puissance 80 · Précision 100 % · 15 PP</t>
      </text>
    </comment>
    <comment ref="F1858" authorId="0" shapeId="0">
      <text>
        <t>Psykoud'Boul — Psy, physique
Puissance 80 · Précision 90 % · 15 PP
Un coup de tête. Peut apeurer l'ennemi.</t>
      </text>
    </comment>
    <comment ref="B1859" authorId="0" shapeId="0">
      <text>
        <t>Élecanon — Électrik, spéciale
Puissance 120 · Précision 50 % · 5 PP
Puissant et paralysant, mais pas très précis.</t>
      </text>
    </comment>
    <comment ref="C1859" authorId="0" shapeId="0">
      <text>
        <t>Séisme — Sol, physique
Puissance 100 · Précision 100 % · 10 PP
Secousse sans effet sur les adversaires
volants.</t>
      </text>
    </comment>
    <comment ref="D1859" authorId="0" shapeId="0">
      <text>
        <t>Rebond — Vol, physique
Puissance 85 · Précision 85 % · 5 PP
Saute et tombe le tour suivant. Peut
paralyser.</t>
      </text>
    </comment>
    <comment ref="E1859" authorId="0" shapeId="0">
      <text>
        <t>Purédpois — Poison, spéciale
Puissance 30 · Précision 70 % · 20 PP
Un gaz nocif pouvant empoisonner l'ennemi.</t>
      </text>
    </comment>
    <comment ref="F1859" authorId="0" shapeId="0">
      <text>
        <t>Malédiction — Spectre, statut
10 PP
Coup qui fonctionne autre- ment pour les
Spectres.</t>
      </text>
    </comment>
    <comment ref="B1860" authorId="0" shapeId="0">
      <text>
        <t>Lance-Flammes — Feu, spéciale
Puissance 90 · Précision 100 % · 15 PP
Une puissante attaque de feu pouvant brûler
l'ennemi.</t>
      </text>
    </comment>
    <comment ref="C1860" authorId="0" shapeId="0">
      <text>
        <t>Poursuite — Ténèbres, physique
Puissance 40 · Précision 100 % · 20 PP
Inflige de sérieux dégâts lorsque l'ennemi
change.</t>
      </text>
    </comment>
    <comment ref="D1860" authorId="0" shapeId="0">
      <text>
        <t>Ouragan — Dragon, spéciale
Puissance 40 · Précision 100 % · 20 PP
Déclenche un terrible ouragan blessant
l'ennemi.</t>
      </text>
    </comment>
    <comment ref="E1860" authorId="0" shapeId="0">
      <text>
        <t>Hurlement — Normal, statut
20 PP · Priorité -6
Fait fuir l'ennemi. Contre un Dresseur, le
remplace.</t>
      </text>
    </comment>
    <comment ref="F1860" authorId="0" shapeId="0">
      <text>
        <t>Amnésie — Psy, statut
20 PP
Oublie quelque chose et booste la Déf. Spé.</t>
      </text>
    </comment>
    <comment ref="B1861" authorId="0" shapeId="0">
      <text>
        <t>Laser Glace — Glace, spéciale
Puissance 90 · Précision 100 % · 10 PP</t>
      </text>
    </comment>
    <comment ref="C1861" authorId="0" shapeId="0">
      <text>
        <t>Frustration — Normal, physique
Puissance 1 · Précision 100 % · 20 PP
Attaque plus puissante si le Dresseur est mal
aimé.</t>
      </text>
    </comment>
    <comment ref="D1861" authorId="0" shapeId="0">
      <text>
        <t>Hydro-Queue — Eau, physique
Puissance 90 · Précision 90 % · 10 PP
Balaie l'ennemi de sa queue comme une vague.</t>
      </text>
    </comment>
    <comment ref="E1861" authorId="0" shapeId="0">
      <text>
        <t>Lance-Flammes — Feu, spéciale
Puissance 90 · Précision 100 % · 15 PP
Une puissante attaque de feu pouvant brûler
l'ennemi.</t>
      </text>
    </comment>
    <comment ref="F1861" authorId="0" shapeId="0">
      <text>
        <t>Cascade — Eau, physique
Puissance 80 · Précision 100 % · 15 PP
Charge rapide permettant de franchir des
cascades.</t>
      </text>
    </comment>
    <comment ref="B1864" authorId="0" shapeId="0">
      <text>
        <t>SMOGOGO — Poison
PV 65 · Att 90 · Déf 120
Att.Spé 85 · Déf.Spé 70 · Vit 60
Total 490
Talents : Lévitation, Gaz Inhibiteur (caché :
  Puanteur)</t>
      </text>
    </comment>
    <comment ref="B1867" authorId="0" shapeId="0">
      <text>
        <t>Lévitation
Ignore les attaques Sol.</t>
      </text>
    </comment>
    <comment ref="B1868" authorId="0" shapeId="0">
      <text>
        <t>Destruction — Normal, physique
Puissance 200 · Précision 100 % · 5 PP
Inflige de sérieux dégâts, mais met le lanceur
KO.</t>
      </text>
    </comment>
    <comment ref="B1869" authorId="0" shapeId="0">
      <text>
        <t>Buée Noire — Glace, statut
30 PP
Crée un nuage noir annulant tout changement
d'état.</t>
      </text>
    </comment>
    <comment ref="B1870" authorId="0" shapeId="0">
      <text>
        <t>Gyroballe — Acier, physique
Puissance 1 · Précision 100 % · 5 PP
Une toupie qui blesse plus un ennemi rapide.</t>
      </text>
    </comment>
    <comment ref="B1871" authorId="0" shapeId="0">
      <text>
        <t>Bombe Beurk — Poison, spéciale
Puissance 90 · Précision 100 % · 10 PP
Envoie des détritus pour blesser. Peut
empoisonner.</t>
      </text>
    </comment>
    <comment ref="B1873" authorId="0" shapeId="0">
      <text>
        <t>SMOGOGO — Poison
PV 65 · Att 90 · Déf 120
Att.Spé 85 · Déf.Spé 70 · Vit 60
Total 490
Talents : Lévitation, Gaz Inhibiteur (caché :
  Puanteur)</t>
      </text>
    </comment>
    <comment ref="C1873" authorId="0" shapeId="0">
      <text>
        <t>SCORPLANE — Sol / Vol
PV 65 · Att 75 · Déf 105
Att.Spé 35 · Déf.Spé 65 · Vit 85
Total 430
Talents : Hyper Cutter, Voile Sable (caché :
  Vaccin)</t>
      </text>
    </comment>
    <comment ref="D1873" authorId="0" shapeId="0">
      <text>
        <t>HYPNOMADE — Psy
PV 85 · Att 73 · Déf 70
Att.Spé 73 · Déf.Spé 115 · Vit 67
Total 483
Talents : Insomnia, Prédiction (caché :
  Attention)</t>
      </text>
    </comment>
    <comment ref="B1876" authorId="0" shapeId="0">
      <text>
        <t>Lévitation
Ignore les attaques Sol.</t>
      </text>
    </comment>
    <comment ref="C1876" authorId="0" shapeId="0">
      <text>
        <t>Hyper Cutter
Empêche réduction Attaque.</t>
      </text>
    </comment>
    <comment ref="D1876" authorId="0" shapeId="0">
      <text>
        <t>Insomnia
Empêche de s'endormir.</t>
      </text>
    </comment>
    <comment ref="B1877" authorId="0" shapeId="0">
      <text>
        <t>Destruction — Normal, physique
Puissance 200 · Précision 100 % · 5 PP
Inflige de sérieux dégâts, mais met le lanceur
KO.</t>
      </text>
    </comment>
    <comment ref="C1877" authorId="0" shapeId="0">
      <text>
        <t>Acrobatie — Vol, physique
Puissance 55 · Précision 100 % · 15 PP
Double les dégâts si le lanceur n'a pas
d'objet.</t>
      </text>
    </comment>
    <comment ref="D1877" authorId="0" shapeId="0">
      <text>
        <t>Yoga — Psy, statut
40 PP
Méditation pacifique pour augmenter l'Attaque.</t>
      </text>
    </comment>
    <comment ref="B1878" authorId="0" shapeId="0">
      <text>
        <t>Buée Noire — Glace, statut
30 PP
Crée un nuage noir annulant tout changement
d'état.</t>
      </text>
    </comment>
    <comment ref="C1878" authorId="0" shapeId="0">
      <text>
        <t>Tranche — Normal, physique
Puissance 70 · Précision 100 % · 20 PP
Coups de griffe, etc. Taux de critiques élevé.</t>
      </text>
    </comment>
    <comment ref="D1878" authorId="0" shapeId="0">
      <text>
        <t>Rafale Psy — Psy, spéciale
Puissance 65 · Précision 100 % · 20 PP
Étrange rayon pouvant rendre l'ennemi confus.</t>
      </text>
    </comment>
    <comment ref="B1879" authorId="0" shapeId="0">
      <text>
        <t>Gyroballe — Acier, physique
Puissance 1 · Précision 100 % · 5 PP
Une toupie qui blesse plus un ennemi rapide.</t>
      </text>
    </comment>
    <comment ref="C1879" authorId="0" shapeId="0">
      <text>
        <t>Demi-Tour — Insecte, physique
Puissance 70 · Précision 100 % · 20 PP</t>
      </text>
    </comment>
    <comment ref="D1879" authorId="0" shapeId="0">
      <text>
        <t>Réveil Forcé — Combat, physique
Puissance 70 · Précision 100 % · 10 PP
Puissant sur un dormeur. Le réveille aussi.</t>
      </text>
    </comment>
    <comment ref="B1880" authorId="0" shapeId="0">
      <text>
        <t>Bombe Beurk — Poison, spéciale
Puissance 90 · Précision 100 % · 10 PP
Envoie des détritus pour blesser. Peut
empoisonner.</t>
      </text>
    </comment>
    <comment ref="C1880" authorId="0" shapeId="0">
      <text>
        <t>Grincement — Normal, statut
Précision 85 % · 40 PP
Cri strident qui baisse la Défense ennemie.</t>
      </text>
    </comment>
    <comment ref="D1880" authorId="0" shapeId="0">
      <text>
        <t>Boost — Normal, statut
10 PP
Copie les effets de l'ennemi et les passe au
lanceur.</t>
      </text>
    </comment>
    <comment ref="B1882" authorId="0" shapeId="0">
      <text>
        <t>TARTARD — Eau / Combat
PV 90 · Att 95 · Déf 95
Att.Spé 70 · Déf.Spé 90 · Vit 70
Total 510
Talents : Absorbe-Eau, Moiteur (caché :
  Glissade)</t>
      </text>
    </comment>
    <comment ref="C1882" authorId="0" shapeId="0">
      <text>
        <t>MAGMAR — Feu
PV 65 · Att 95 · Déf 57
Att.Spé 100 · Déf.Spé 85 · Vit 93
Total 495
Talents : Corps Ardent (caché : Esprit Vital)</t>
      </text>
    </comment>
    <comment ref="D1882" authorId="0" shapeId="0">
      <text>
        <t>LIPPOUTOU — Glace / Psy
PV 65 · Att 50 · Déf 35
Att.Spé 115 · Déf.Spé 95 · Vit 95
Total 455
Talents : Benêt, Prédiction (caché : Peau
  Sèche)</t>
      </text>
    </comment>
    <comment ref="E1882" authorId="0" shapeId="0">
      <text>
        <t>ELEKTEK — Électrik
PV 65 · Att 83 · Déf 57
Att.Spé 95 · Déf.Spé 85 · Vit 105
Total 490
Talents : Statik (caché : Esprit Vital)</t>
      </text>
    </comment>
    <comment ref="F1882" authorId="0" shapeId="0">
      <text>
        <t>RHINOFEROS — Sol / Roche
PV 105 · Att 130 · Déf 120
Att.Spé 45 · Déf.Spé 45 · Vit 40
Total 485
Talents : Paratonnerre, Tête de Roc (caché :
  Téméraire)</t>
      </text>
    </comment>
    <comment ref="B1885" authorId="0" shapeId="0">
      <text>
        <t>Absorbe-Eau
Change l'eau en PV.</t>
      </text>
    </comment>
    <comment ref="C1885" authorId="0" shapeId="0">
      <text>
        <t>Corps Ardent
Brûle l'ennemi au contact.</t>
      </text>
    </comment>
    <comment ref="D1885" authorId="0" shapeId="0">
      <text>
        <t>Benêt
Empêche l'attirance.</t>
      </text>
    </comment>
    <comment ref="E1885" authorId="0" shapeId="0">
      <text>
        <t>Statik
Paralyse au toucher.</t>
      </text>
    </comment>
    <comment ref="F1885" authorId="0" shapeId="0">
      <text>
        <t>Paratonnerre
Attire attaques élec.</t>
      </text>
    </comment>
    <comment ref="B1886" authorId="0" shapeId="0">
      <text>
        <t>Torgnoles — Normal, physique
Puissance 15 · Précision 85 % · 10 PP
Gifle rapidement l'ennemi de 2 à 5 fois.</t>
      </text>
    </comment>
    <comment ref="C1886" authorId="0" shapeId="0">
      <text>
        <t>Rebondifeu — Feu, spéciale
Puissance 70 · Précision 100 % · 15 PP
Une flamme qui éclabousse tous les ennemis.</t>
      </text>
    </comment>
    <comment ref="D1886" authorId="0" shapeId="0">
      <text>
        <t>Crève-Cœur — Psy, physique
Puissance 60 · Précision 100 % · 25 PP
Un coup après une mimique. Peut apeurer.</t>
      </text>
    </comment>
    <comment ref="E1886" authorId="0" shapeId="0">
      <text>
        <t>Boule Élek — Électrik, spéciale
Puissance 1 · Précision 100 % · 10 PP
Une orbe qui blesse plus un ennemi lent.</t>
      </text>
    </comment>
    <comment ref="F1886" authorId="0" shapeId="0">
      <text>
        <t>Piétisol — Sol, physique
Puissance 60 · Précision 100 % · 20 PP
Piétine le sol. Touche tout et baisse la Vit.</t>
      </text>
    </comment>
    <comment ref="B1887" authorId="0" shapeId="0">
      <text>
        <t>Danse Pluie — Eau, statut
5 PP
Améliore les attaques Eau pendant 5 tours.</t>
      </text>
    </comment>
    <comment ref="C1887" authorId="0" shapeId="0">
      <text>
        <t>Onde Folie — Spectre, statut
Précision 100 % · 10 PP
Un horrible rayon qui rend l'ennemi confus.</t>
      </text>
    </comment>
    <comment ref="D1887" authorId="0" shapeId="0">
      <text>
        <t>Regard Noir — Normal, statut
5 PP
Lance un regard méchant pour empêcher la
fuite.</t>
      </text>
    </comment>
    <comment ref="E1887" authorId="0" shapeId="0">
      <text>
        <t>Mur Lumière — Psy, statut
30 PP
Crée un mur lumineux et réduit les dégâts
d'Atq. Spé.</t>
      </text>
    </comment>
    <comment ref="F1887" authorId="0" shapeId="0">
      <text>
        <t>Attrition — Normal, physique
Puissance 70 · Précision 100 % · 20 PP</t>
      </text>
    </comment>
    <comment ref="B1888" authorId="0" shapeId="0">
      <text>
        <t>Dynamo-Poing — Combat, physique
Puissance 100 · Précision 50 % · 5 PP
Puissant et rend confus, mais pas très précis.</t>
      </text>
    </comment>
    <comment ref="C1888" authorId="0" shapeId="0">
      <text>
        <t>Poing Feu — Feu, physique
Puissance 75 · Précision 100 % · 15 PP
Un poing de feu pouvant brûler l'ennemi.</t>
      </text>
    </comment>
    <comment ref="D1888" authorId="0" shapeId="0">
      <text>
        <t>Croco Larme — Ténèbres, statut
Précision 100 % · 20 PP
Fait semblant de pleurer pour baisser la Déf.
Spé.</t>
      </text>
    </comment>
    <comment ref="E1888" authorId="0" shapeId="0">
      <text>
        <t>Poing Éclair — Électrik, physique
Puissance 75 · Précision 100 % · 15 PP
Un poing électrique pouvant paralyser
l'ennemi.</t>
      </text>
    </comment>
    <comment ref="F1888" authorId="0" shapeId="0">
      <text>
        <t>Boule Roc — Roche, physique
Puissance 25 · Précision 90 % · 10 PP
Projette des rochers sur l'ennemi 2 à 5 fois
de suite.</t>
      </text>
    </comment>
    <comment ref="B1889" authorId="0" shapeId="0">
      <text>
        <t>Plaquage — Normal, physique
Puissance 85 · Précision 100 % · 15 PP
Une attaque en charge. Peut paralyser
l'ennemi.</t>
      </text>
    </comment>
    <comment ref="C1889" authorId="0" shapeId="0">
      <text>
        <t>Ébullilave — Feu, spéciale
Puissance 80 · Précision 100 % · 15 PP</t>
      </text>
    </comment>
    <comment ref="D1889" authorId="0" shapeId="0">
      <text>
        <t>Réveil Forcé — Combat, physique
Puissance 70 · Précision 100 % · 10 PP
Puissant sur un dormeur. Le réveille aussi.</t>
      </text>
    </comment>
    <comment ref="E1889" authorId="0" shapeId="0">
      <text>
        <t>Coup d'Jus — Électrik, spéciale
Puissance 80 · Précision 100 % · 15 PP
Électrocute tous les autres {PKMN}. Peut
paralyser.</t>
      </text>
    </comment>
    <comment ref="F1889" authorId="0" shapeId="0">
      <text>
        <t>Tunnelier — Sol, physique
Puissance 80 · Précision 95 % · 10 PP
Tourne comme une perceuse. Critiques
fréquents.</t>
      </text>
    </comment>
    <comment ref="B1892" authorId="0" shapeId="0">
      <text>
        <t>YMPHECT — Roche / Sol
PV 70 · Att 84 · Déf 70
Att.Spé 65 · Déf.Spé 70 · Vit 51
Total 410
Talents : Mue</t>
      </text>
    </comment>
    <comment ref="C1892" authorId="0" shapeId="0">
      <text>
        <t>EMPIFLOR — Plante / Poison
PV 80 · Att 105 · Déf 65
Att.Spé 100 · Déf.Spé 100 · Vit 70
Total 520
Talents : Chlorophylle (caché : Gloutonnerie)</t>
      </text>
    </comment>
    <comment ref="D1892" authorId="0" shapeId="0">
      <text>
        <t>OCTILLERY — Eau
PV 75 · Att 105 · Déf 75
Att.Spé 105 · Déf.Spé 75 · Vit 45
Total 480
Talents : Ventouse, Sniper (caché : Lunatique)</t>
      </text>
    </comment>
    <comment ref="E1892" authorId="0" shapeId="0">
      <text>
        <t>NOSFERALTO — Poison / Vol
PV 75 · Att 80 · Déf 70
Att.Spé 65 · Déf.Spé 75 · Vit 90
Total 455
Talents : Attention (caché : Infiltration)</t>
      </text>
    </comment>
    <comment ref="F1892" authorId="0" shapeId="0">
      <text>
        <t>TYPHLOSION — Feu
PV 78 · Att 84 · Déf 78
Att.Spé 109 · Déf.Spé 85 · Vit 100
Total 534
Talents : Brasier (caché : Torche)</t>
      </text>
    </comment>
    <comment ref="B1895" authorId="0" shapeId="0">
      <text>
        <t>Mue
Mue pour se soigner.</t>
      </text>
    </comment>
    <comment ref="C1895" authorId="0" shapeId="0">
      <text>
        <t>Chlorophylle
Augmente Vitesse au soleil.</t>
      </text>
    </comment>
    <comment ref="D1895" authorId="0" shapeId="0">
      <text>
        <t>Ventouse
Fixe solidement le corps.</t>
      </text>
    </comment>
    <comment ref="E1895" authorId="0" shapeId="0">
      <text>
        <t>Attention
Empêche la peur.</t>
      </text>
    </comment>
    <comment ref="F1895" authorId="0" shapeId="0">
      <text>
        <t>Brasier
Augmente attaques Feu.</t>
      </text>
    </comment>
    <comment ref="B1896" authorId="0" shapeId="0">
      <text>
        <t>Mania — Normal, physique
Puissance 120 · Précision 100 % · 10 PP
Une attaque furieuse de 2 à 3 tours. Lanceur
confus.</t>
      </text>
    </comment>
    <comment ref="C1896" authorId="0" shapeId="0">
      <text>
        <t>Détritus — Poison, spéciale
Puissance 65 · Précision 100 % · 20 PP
Blesse en envoyant des détritus. Peut
empoisonner.</t>
      </text>
    </comment>
    <comment ref="D1896" authorId="0" shapeId="0">
      <text>
        <t>Octazooka — Eau, spéciale
Puissance 65 · Précision 85 % · 10 PP
Jet d'encre qui blesse et baisse la précision.</t>
      </text>
    </comment>
    <comment ref="E1896" authorId="0" shapeId="0">
      <text>
        <t>Crochet Venin — Poison, physique
Puissance 50 · Précision 100 % · 15 PP
Morsure pouvant sérieuse- ment empoisonner
l'ennemi.</t>
      </text>
    </comment>
    <comment ref="F1896" authorId="0" shapeId="0">
      <text>
        <t>Poing Éclair — Électrik, physique
Puissance 75 · Précision 100 % · 15 PP
Un poing électrique pouvant paralyser
l'ennemi.</t>
      </text>
    </comment>
    <comment ref="B1897" authorId="0" shapeId="0">
      <text>
        <t>Éboulement — Roche, physique
Puissance 75 · Précision 90 % · 10 PP
Envoie de gros rochers. Peut apeurer l'ennemi.</t>
      </text>
    </comment>
    <comment ref="C1897" authorId="0" shapeId="0">
      <text>
        <t>Tranch'Herbe — Plante, physique
Puissance 55 · Précision 95 % · 25 PP
Tranche avec des feuilles. Taux de critiques
élevé.</t>
      </text>
    </comment>
    <comment ref="D1897" authorId="0" shapeId="0">
      <text>
        <t>Rafale Psy — Psy, spéciale
Puissance 65 · Précision 100 % · 20 PP
Étrange rayon pouvant rendre l'ennemi confus.</t>
      </text>
    </comment>
    <comment ref="E1897" authorId="0" shapeId="0">
      <text>
        <t>Reflet — Normal, statut
15 PP
Crée des images-miroirs pour augmenter
l'esquive.</t>
      </text>
    </comment>
    <comment ref="F1897" authorId="0" shapeId="0">
      <text>
        <t>Lance-Flammes — Feu, spéciale
Puissance 90 · Précision 100 % · 15 PP
Une puissante attaque de feu pouvant brûler
l'ennemi.</t>
      </text>
    </comment>
    <comment ref="B1898" authorId="0" shapeId="0">
      <text>
        <t>Grincement — Normal, statut
Précision 85 % · 40 PP
Cri strident qui baisse la Défense ennemie.</t>
      </text>
    </comment>
    <comment ref="C1898" authorId="0" shapeId="0">
      <text>
        <t>Poudre Dodo — Plante, statut
Précision 75 % · 15 PP
Répand une poudre pouvant endormir l'ennemi.</t>
      </text>
    </comment>
    <comment ref="D1898" authorId="0" shapeId="0">
      <text>
        <t>Onde Boréale — Glace, spéciale
Puissance 65 · Précision 100 % · 20 PP
Envoie un rayon arc-en-ciel pouvant baisser
l'Attaque.</t>
      </text>
    </comment>
    <comment ref="E1898" authorId="0" shapeId="0">
      <text>
        <t>Onde Folie — Spectre, statut
Précision 100 % · 10 PP
Un horrible rayon qui rend l'ennemi confus.</t>
      </text>
    </comment>
    <comment ref="F1898" authorId="0" shapeId="0">
      <text>
        <t>Vive-Attaque — Normal, physique
Puissance 40 · Précision 100 % · 30 PP ·
Priorité +1
Attaque fulgurante qui permet de frapper
d'abord.</t>
      </text>
    </comment>
    <comment ref="B1899" authorId="0" shapeId="0">
      <text>
        <t>Morsure — Ténèbres, physique
Puissance 60 · Précision 100 % · 25 PP
Mord méchamment l'ennemi et peut l'apeurer.</t>
      </text>
    </comment>
    <comment ref="C1899" authorId="0" shapeId="0">
      <text>
        <t>Croissance — Normal, statut
20 PP</t>
      </text>
    </comment>
    <comment ref="D1899" authorId="0" shapeId="0">
      <text>
        <t>Rayon Signal — Insecte, spéciale
Puissance 75 · Précision 100 % · 15 PP
Un étrange rayon qui peut rendre l'ennemi
confus.</t>
      </text>
    </comment>
    <comment ref="E1899" authorId="0" shapeId="0">
      <text>
        <t>Tranch'Air — Vol, spéciale
Puissance 60 · Précision 95 % · 25 PP
Un vent tranchant. Taux de critiques élevé.</t>
      </text>
    </comment>
    <comment ref="F1899" authorId="0" shapeId="0">
      <text>
        <t>Queue de Fer — Acier, physique
Puissance 100 · Précision 75 % · 15 PP
Attaque avec la queue. Peut baisser la
Défense.</t>
      </text>
    </comment>
    <comment ref="B1901" authorId="0" shapeId="0">
      <text>
        <t>YMPHECT — Roche / Sol
PV 70 · Att 84 · Déf 70
Att.Spé 65 · Déf.Spé 70 · Vit 51
Total 410
Talents : Mue</t>
      </text>
    </comment>
    <comment ref="C1901" authorId="0" shapeId="0">
      <text>
        <t>EMPIFLOR — Plante / Poison
PV 80 · Att 105 · Déf 65
Att.Spé 100 · Déf.Spé 100 · Vit 70
Total 520
Talents : Chlorophylle (caché : Gloutonnerie)</t>
      </text>
    </comment>
    <comment ref="D1901" authorId="0" shapeId="0">
      <text>
        <t>DEMOLOSSE — Ténèbres / Feu
PV 75 · Att 90 · Déf 50
Att.Spé 110 · Déf.Spé 80 · Vit 95
Total 500
Talents : Matinal, Torche (caché : Tension)</t>
      </text>
    </comment>
    <comment ref="E1901" authorId="0" shapeId="0">
      <text>
        <t>NOSFERALTO — Poison / Vol
PV 75 · Att 80 · Déf 70
Att.Spé 65 · Déf.Spé 75 · Vit 90
Total 455
Talents : Attention (caché : Infiltration)</t>
      </text>
    </comment>
    <comment ref="F1901" authorId="0" shapeId="0">
      <text>
        <t>ALIGATUEUR — Eau
PV 85 · Att 105 · Déf 100
Att.Spé 79 · Déf.Spé 83 · Vit 78
Total 530
Talents : Torrent (caché : Sans Limite)</t>
      </text>
    </comment>
    <comment ref="B1904" authorId="0" shapeId="0">
      <text>
        <t>Mue
Mue pour se soigner.</t>
      </text>
    </comment>
    <comment ref="C1904" authorId="0" shapeId="0">
      <text>
        <t>Chlorophylle
Augmente Vitesse au soleil.</t>
      </text>
    </comment>
    <comment ref="D1904" authorId="0" shapeId="0">
      <text>
        <t>Matinal
Se réveille rapidement.</t>
      </text>
    </comment>
    <comment ref="E1904" authorId="0" shapeId="0">
      <text>
        <t>Attention
Empêche la peur.</t>
      </text>
    </comment>
    <comment ref="F1904" authorId="0" shapeId="0">
      <text>
        <t>Torrent
Augmente attaques Eau.</t>
      </text>
    </comment>
    <comment ref="B1905" authorId="0" shapeId="0">
      <text>
        <t>Mania — Normal, physique
Puissance 120 · Précision 100 % · 10 PP
Une attaque furieuse de 2 à 3 tours. Lanceur
confus.</t>
      </text>
    </comment>
    <comment ref="C1905" authorId="0" shapeId="0">
      <text>
        <t>Détritus — Poison, spéciale
Puissance 65 · Précision 100 % · 20 PP
Blesse en envoyant des détritus. Peut
empoisonner.</t>
      </text>
    </comment>
    <comment ref="D1905" authorId="0" shapeId="0">
      <text>
        <t>Lance-Flammes — Feu, spéciale
Puissance 90 · Précision 100 % · 15 PP
Une puissante attaque de feu pouvant brûler
l'ennemi.</t>
      </text>
    </comment>
    <comment ref="E1905" authorId="0" shapeId="0">
      <text>
        <t>Crochet Venin — Poison, physique
Puissance 50 · Précision 100 % · 15 PP
Morsure pouvant sérieuse- ment empoisonner
l'ennemi.</t>
      </text>
    </comment>
    <comment ref="F1905" authorId="0" shapeId="0">
      <text>
        <t>Poing Glace — Glace, physique
Puissance 75 · Précision 100 % · 15 PP</t>
      </text>
    </comment>
    <comment ref="B1906" authorId="0" shapeId="0">
      <text>
        <t>Éboulement — Roche, physique
Puissance 75 · Précision 90 % · 10 PP
Envoie de gros rochers. Peut apeurer l'ennemi.</t>
      </text>
    </comment>
    <comment ref="C1906" authorId="0" shapeId="0">
      <text>
        <t>Tranch'Herbe — Plante, physique
Puissance 55 · Précision 95 % · 25 PP
Tranche avec des feuilles. Taux de critiques
élevé.</t>
      </text>
    </comment>
    <comment ref="D1906" authorId="0" shapeId="0">
      <text>
        <t>Queue de Fer — Acier, physique
Puissance 100 · Précision 75 % · 15 PP
Attaque avec la queue. Peut baisser la
Défense.</t>
      </text>
    </comment>
    <comment ref="E1906" authorId="0" shapeId="0">
      <text>
        <t>Reflet — Normal, statut
15 PP
Crée des images-miroirs pour augmenter
l'esquive.</t>
      </text>
    </comment>
    <comment ref="F1906" authorId="0" shapeId="0">
      <text>
        <t>Surf — Eau, spéciale
Puissance 90 · Précision 100 % · 15 PP</t>
      </text>
    </comment>
    <comment ref="B1907" authorId="0" shapeId="0">
      <text>
        <t>Grincement — Normal, statut
Précision 85 % · 40 PP
Cri strident qui baisse la Défense ennemie.</t>
      </text>
    </comment>
    <comment ref="C1907" authorId="0" shapeId="0">
      <text>
        <t>Poudre Dodo — Plante, statut
Précision 75 % · 15 PP
Répand une poudre pouvant endormir l'ennemi.</t>
      </text>
    </comment>
    <comment ref="D1907" authorId="0" shapeId="0">
      <text>
        <t>Morsure — Ténèbres, physique
Puissance 60 · Précision 100 % · 25 PP
Mord méchamment l'ennemi et peut l'apeurer.</t>
      </text>
    </comment>
    <comment ref="E1907" authorId="0" shapeId="0">
      <text>
        <t>Onde Folie — Spectre, statut
Précision 100 % · 10 PP
Un horrible rayon qui rend l'ennemi confus.</t>
      </text>
    </comment>
    <comment ref="F1907" authorId="0" shapeId="0">
      <text>
        <t>Tranche — Normal, physique
Puissance 70 · Précision 100 % · 20 PP
Coups de griffe, etc. Taux de critiques élevé.</t>
      </text>
    </comment>
    <comment ref="B1908" authorId="0" shapeId="0">
      <text>
        <t>Morsure — Ténèbres, physique
Puissance 60 · Précision 100 % · 25 PP
Mord méchamment l'ennemi et peut l'apeurer.</t>
      </text>
    </comment>
    <comment ref="C1908" authorId="0" shapeId="0">
      <text>
        <t>Croissance — Normal, statut
20 PP</t>
      </text>
    </comment>
    <comment ref="D1908" authorId="0" shapeId="0">
      <text>
        <t>Machination — Ténèbres, statut
20 PP
De mauvaises pensées montent beaucoup l'Atq.
Spé.</t>
      </text>
    </comment>
    <comment ref="E1908" authorId="0" shapeId="0">
      <text>
        <t>Tranch'Air — Vol, spéciale
Puissance 60 · Précision 95 % · 25 PP
Un vent tranchant. Taux de critiques élevé.</t>
      </text>
    </comment>
    <comment ref="F1908" authorId="0" shapeId="0">
      <text>
        <t>Morsure — Ténèbres, physique
Puissance 60 · Précision 100 % · 25 PP
Mord méchamment l'ennemi et peut l'apeurer.</t>
      </text>
    </comment>
    <comment ref="B1910" authorId="0" shapeId="0">
      <text>
        <t>YMPHECT — Roche / Sol
PV 70 · Att 84 · Déf 70
Att.Spé 65 · Déf.Spé 70 · Vit 51
Total 410
Talents : Mue</t>
      </text>
    </comment>
    <comment ref="C1910" authorId="0" shapeId="0">
      <text>
        <t>DEMOLOSSE — Ténèbres / Feu
PV 75 · Att 90 · Déf 50
Att.Spé 110 · Déf.Spé 80 · Vit 95
Total 500
Talents : Matinal, Torche (caché : Tension)</t>
      </text>
    </comment>
    <comment ref="D1910" authorId="0" shapeId="0">
      <text>
        <t>OCTILLERY — Eau
PV 75 · Att 105 · Déf 75
Att.Spé 105 · Déf.Spé 75 · Vit 45
Total 480
Talents : Ventouse, Sniper (caché : Lunatique)</t>
      </text>
    </comment>
    <comment ref="E1910" authorId="0" shapeId="0">
      <text>
        <t>NOSFERALTO — Poison / Vol
PV 75 · Att 80 · Déf 70
Att.Spé 65 · Déf.Spé 75 · Vit 90
Total 455
Talents : Attention (caché : Infiltration)</t>
      </text>
    </comment>
    <comment ref="F1910" authorId="0" shapeId="0">
      <text>
        <t>MEGANIUM — Plante
PV 80 · Att 82 · Déf 100
Att.Spé 83 · Déf.Spé 100 · Vit 80
Total 525
Talents : Engrais (caché : Feuille Garde)</t>
      </text>
    </comment>
    <comment ref="B1913" authorId="0" shapeId="0">
      <text>
        <t>Mue
Mue pour se soigner.</t>
      </text>
    </comment>
    <comment ref="C1913" authorId="0" shapeId="0">
      <text>
        <t>Matinal
Se réveille rapidement.</t>
      </text>
    </comment>
    <comment ref="D1913" authorId="0" shapeId="0">
      <text>
        <t>Ventouse
Fixe solidement le corps.</t>
      </text>
    </comment>
    <comment ref="E1913" authorId="0" shapeId="0">
      <text>
        <t>Attention
Empêche la peur.</t>
      </text>
    </comment>
    <comment ref="F1913" authorId="0" shapeId="0">
      <text>
        <t>Engrais
Augmente attaques Plante.</t>
      </text>
    </comment>
    <comment ref="B1914" authorId="0" shapeId="0">
      <text>
        <t>Mania — Normal, physique
Puissance 120 · Précision 100 % · 10 PP
Une attaque furieuse de 2 à 3 tours. Lanceur
confus.</t>
      </text>
    </comment>
    <comment ref="C1914" authorId="0" shapeId="0">
      <text>
        <t>Lance-Flammes — Feu, spéciale
Puissance 90 · Précision 100 % · 15 PP
Une puissante attaque de feu pouvant brûler
l'ennemi.</t>
      </text>
    </comment>
    <comment ref="D1914" authorId="0" shapeId="0">
      <text>
        <t>Octazooka — Eau, spéciale
Puissance 65 · Précision 85 % · 10 PP
Jet d'encre qui blesse et baisse la précision.</t>
      </text>
    </comment>
    <comment ref="E1914" authorId="0" shapeId="0">
      <text>
        <t>Crochet Venin — Poison, physique
Puissance 50 · Précision 100 % · 15 PP
Morsure pouvant sérieuse- ment empoisonner
l'ennemi.</t>
      </text>
    </comment>
    <comment ref="F1914" authorId="0" shapeId="0">
      <text>
        <t>Synthèse — Plante, statut
5 PP
Restaure les PV. La quantité varie suivant le
temps.</t>
      </text>
    </comment>
    <comment ref="B1915" authorId="0" shapeId="0">
      <text>
        <t>Éboulement — Roche, physique
Puissance 75 · Précision 90 % · 10 PP
Envoie de gros rochers. Peut apeurer l'ennemi.</t>
      </text>
    </comment>
    <comment ref="C1915" authorId="0" shapeId="0">
      <text>
        <t>Queue de Fer — Acier, physique
Puissance 100 · Précision 75 % · 15 PP
Attaque avec la queue. Peut baisser la
Défense.</t>
      </text>
    </comment>
    <comment ref="D1915" authorId="0" shapeId="0">
      <text>
        <t>Rafale Psy — Psy, spéciale
Puissance 65 · Précision 100 % · 20 PP
Étrange rayon pouvant rendre l'ennemi confus.</t>
      </text>
    </comment>
    <comment ref="E1915" authorId="0" shapeId="0">
      <text>
        <t>Reflet — Normal, statut
15 PP
Crée des images-miroirs pour augmenter
l'esquive.</t>
      </text>
    </comment>
    <comment ref="F1915" authorId="0" shapeId="0">
      <text>
        <t>Feuille Magik — Plante, spéciale
Puissance 60 · Ne rate jamais · 20 PP
Envoie des feuilles ne pouvant être esquivées.</t>
      </text>
    </comment>
    <comment ref="B1916" authorId="0" shapeId="0">
      <text>
        <t>Grincement — Normal, statut
Précision 85 % · 40 PP
Cri strident qui baisse la Défense ennemie.</t>
      </text>
    </comment>
    <comment ref="C1916" authorId="0" shapeId="0">
      <text>
        <t>Morsure — Ténèbres, physique
Puissance 60 · Précision 100 % · 25 PP
Mord méchamment l'ennemi et peut l'apeurer.</t>
      </text>
    </comment>
    <comment ref="D1916" authorId="0" shapeId="0">
      <text>
        <t>Onde Boréale — Glace, spéciale
Puissance 65 · Précision 100 % · 20 PP
Envoie un rayon arc-en-ciel pouvant baisser
l'Attaque.</t>
      </text>
    </comment>
    <comment ref="E1916" authorId="0" shapeId="0">
      <text>
        <t>Onde Folie — Spectre, statut
Précision 100 % · 10 PP
Un horrible rayon qui rend l'ennemi confus.</t>
      </text>
    </comment>
    <comment ref="F1916" authorId="0" shapeId="0">
      <text>
        <t>Zénith — Feu, statut
5 PP
Améliore les attaques Feu pendant 5 tours.</t>
      </text>
    </comment>
    <comment ref="B1917" authorId="0" shapeId="0">
      <text>
        <t>Morsure — Ténèbres, physique
Puissance 60 · Précision 100 % · 25 PP
Mord méchamment l'ennemi et peut l'apeurer.</t>
      </text>
    </comment>
    <comment ref="C1917" authorId="0" shapeId="0">
      <text>
        <t>Machination — Ténèbres, statut
20 PP
De mauvaises pensées montent beaucoup l'Atq.
Spé.</t>
      </text>
    </comment>
    <comment ref="D1917" authorId="0" shapeId="0">
      <text>
        <t>Rayon Signal — Insecte, spéciale
Puissance 75 · Précision 100 % · 15 PP
Un étrange rayon qui peut rendre l'ennemi
confus.</t>
      </text>
    </comment>
    <comment ref="E1917" authorId="0" shapeId="0">
      <text>
        <t>Tranch'Air — Vol, spéciale
Puissance 60 · Précision 95 % · 25 PP
Un vent tranchant. Taux de critiques élevé.</t>
      </text>
    </comment>
    <comment ref="F1917" authorId="0" shapeId="0">
      <text>
        <t>Plaquage — Normal, physique
Puissance 85 · Précision 100 % · 15 PP
Une attaque en charge. Peut paralyser
l'ennemi.</t>
      </text>
    </comment>
    <comment ref="B1919" authorId="0" shapeId="0">
      <text>
        <t>NOSFERALTO — Poison / Vol
PV 75 · Att 80 · Déf 70
Att.Spé 65 · Déf.Spé 75 · Vit 90
Total 455
Talents : Attention (caché : Infiltration)</t>
      </text>
    </comment>
    <comment ref="C1919" authorId="0" shapeId="0">
      <text>
        <t>GROTADMORV — Poison
PV 105 · Att 105 · Déf 75
Att.Spé 65 · Déf.Spé 100 · Vit 50
Total 500
Talents : Puanteur, Glu (caché : Toxitouche)</t>
      </text>
    </comment>
    <comment ref="B1922" authorId="0" shapeId="0">
      <text>
        <t>Attention
Empêche la peur.</t>
      </text>
    </comment>
    <comment ref="C1922" authorId="0" shapeId="0">
      <text>
        <t>Puanteur
Repousse Pokémon sauvage.</t>
      </text>
    </comment>
    <comment ref="B1923" authorId="0" shapeId="0">
      <text>
        <t>Météores — Normal, spéciale
Puissance 60 · Ne rate jamais · 20 PP
Envoie des rayons en forme d'étoile. Touche
toujours.</t>
      </text>
    </comment>
    <comment ref="C1923" authorId="0" shapeId="0">
      <text>
        <t>Dégommage — Ténèbres, physique
Puissance 1 · Précision 100 % · 10 PP
L'effet varie selon l'objet tenu.</t>
      </text>
    </comment>
    <comment ref="B1924" authorId="0" shapeId="0">
      <text>
        <t>Crochet Venin — Poison, physique
Puissance 50 · Précision 100 % · 15 PP
Morsure pouvant sérieuse- ment empoisonner
l'ennemi.</t>
      </text>
    </comment>
    <comment ref="C1924" authorId="0" shapeId="0">
      <text>
        <t>Bombe Beurk — Poison, spéciale
Puissance 90 · Précision 100 % · 10 PP
Envoie des détritus pour blesser. Peut
empoisonner.</t>
      </text>
    </comment>
    <comment ref="B1925" authorId="0" shapeId="0">
      <text>
        <t>Regard Noir — Normal, statut
5 PP
Lance un regard méchant pour empêcher la
fuite.</t>
      </text>
    </comment>
    <comment ref="C1925" authorId="0" shapeId="0">
      <text>
        <t>Cradovague — Poison, spéciale
Puissance 95 · Précision 100 % · 10 PP
Une vague de boue. Peut empoisonner.</t>
      </text>
    </comment>
    <comment ref="B1926" authorId="0" shapeId="0">
      <text>
        <t>Vampirisme — Insecte, physique
Puissance 60 · Précision 100 % · 10 PP
Une attaque qui aspire la moitié des dégâts
infligés.</t>
      </text>
    </comment>
    <comment ref="C1926" authorId="0" shapeId="0">
      <text>
        <t>Grincement — Normal, statut
Précision 85 % · 40 PP
Cri strident qui baisse la Défense ennemie.</t>
      </text>
    </comment>
    <comment ref="B1928" authorId="0" shapeId="0">
      <text>
        <t>NOSFERALTO — Poison / Vol
PV 75 · Att 80 · Déf 70
Att.Spé 65 · Déf.Spé 75 · Vit 90
Total 455
Talents : Attention (caché : Infiltration)</t>
      </text>
    </comment>
    <comment ref="C1928" authorId="0" shapeId="0">
      <text>
        <t>ARBOK — Poison
PV 60 · Att 95 · Déf 69
Att.Spé 65 · Déf.Spé 79 · Vit 80
Total 448
Talents : Intimidation, Mue (caché : Tension)</t>
      </text>
    </comment>
    <comment ref="B1931" authorId="0" shapeId="0">
      <text>
        <t>Attention
Empêche la peur.</t>
      </text>
    </comment>
    <comment ref="C1931" authorId="0" shapeId="0">
      <text>
        <t>Intimidation
Baisse l'Attaque ennemie.</t>
      </text>
    </comment>
    <comment ref="B1932" authorId="0" shapeId="0">
      <text>
        <t>Météores — Normal, spéciale
Puissance 60 · Ne rate jamais · 20 PP
Envoie des rayons en forme d'étoile. Touche
toujours.</t>
      </text>
    </comment>
    <comment ref="C1932" authorId="0" shapeId="0">
      <text>
        <t>Avale — Normal, statut
10 PP
Absorbe la puissance accu- mulée et restaure
les PV.</t>
      </text>
    </comment>
    <comment ref="B1933" authorId="0" shapeId="0">
      <text>
        <t>Crochet Venin — Poison, physique
Puissance 50 · Précision 100 % · 15 PP
Morsure pouvant sérieuse- ment empoisonner
l'ennemi.</t>
      </text>
    </comment>
    <comment ref="C1933" authorId="0" shapeId="0">
      <text>
        <t>Relâche — Normal, spéciale
Puissance 1 · Précision 100 % · 10 PP
Libère la puissance précédemment accumulée.</t>
      </text>
    </comment>
    <comment ref="B1934" authorId="0" shapeId="0">
      <text>
        <t>Regard Noir — Normal, statut
5 PP
Lance un regard méchant pour empêcher la
fuite.</t>
      </text>
    </comment>
    <comment ref="C1934" authorId="0" shapeId="0">
      <text>
        <t>Crochet Venin — Poison, physique
Puissance 50 · Précision 100 % · 15 PP
Morsure pouvant sérieuse- ment empoisonner
l'ennemi.</t>
      </text>
    </comment>
    <comment ref="B1935" authorId="0" shapeId="0">
      <text>
        <t>Vampirisme — Insecte, physique
Puissance 60 · Précision 100 % · 10 PP
Une attaque qui aspire la moitié des dégâts
infligés.</t>
      </text>
    </comment>
    <comment ref="C1935" authorId="0" shapeId="0">
      <text>
        <t>Bombe Acide — Poison, spéciale
Puissance 40 · Précision 100 % · 20 PP
Un acide qui baisse beaucoup la Déf. Spé.</t>
      </text>
    </comment>
    <comment ref="B1937" authorId="0" shapeId="0">
      <text>
        <t>CADOIZO — Glace / Vol
PV 45 · Att 55 · Déf 45
Att.Spé 65 · Déf.Spé 45 · Vit 75
Total 330
Talents : Esprit Vital, Agitation (caché :
  Insomnia)</t>
      </text>
    </comment>
    <comment ref="C1937" authorId="0" shapeId="0">
      <text>
        <t>MAGMAR — Feu
PV 65 · Att 95 · Déf 57
Att.Spé 100 · Déf.Spé 85 · Vit 93
Total 495
Talents : Corps Ardent (caché : Esprit Vital)</t>
      </text>
    </comment>
    <comment ref="B1940" authorId="0" shapeId="0">
      <text>
        <t>Esprit Vital
Empêche le sommeil.</t>
      </text>
    </comment>
    <comment ref="C1940" authorId="0" shapeId="0">
      <text>
        <t>Corps Ardent
Brûle l'ennemi au contact.</t>
      </text>
    </comment>
    <comment ref="B1941" authorId="0" shapeId="0">
      <text>
        <t>Cadeau — Normal, physique
Puissance 1 · Précision 90 % · 15 PP
Cadeau en forme de bombe. Peut restaurer des
PV.</t>
      </text>
    </comment>
    <comment ref="C1941" authorId="0" shapeId="0">
      <text>
        <t>Bain de Smog — Poison, spéciale
Puissance 50 · Ne rate jamais · 15 PP
Une brume qui annule tous les changements.</t>
      </text>
    </comment>
    <comment ref="B1942" authorId="0" shapeId="0">
      <text>
        <t>Bec Vrille — Vol, physique
Puissance 80 · Précision 100 % · 20 PP
Une attaque utilisant le bec comme une
perceuse.</t>
      </text>
    </comment>
    <comment ref="C1942" authorId="0" shapeId="0">
      <text>
        <t>Rebondifeu — Feu, spéciale
Puissance 70 · Précision 100 % · 15 PP
Une flamme qui éclabousse tous les ennemis.</t>
      </text>
    </comment>
    <comment ref="C1943" authorId="0" shapeId="0">
      <text>
        <t>Onde Folie — Spectre, statut
Précision 100 % · 10 PP
Un horrible rayon qui rend l'ennemi confus.</t>
      </text>
    </comment>
    <comment ref="C1944" authorId="0" shapeId="0">
      <text>
        <t>Poing Feu — Feu, physique
Puissance 75 · Précision 100 % · 15 PP
Un poing de feu pouvant brûler l'ennemi.</t>
      </text>
    </comment>
    <comment ref="B1946" authorId="0" shapeId="0">
      <text>
        <t>ARCANIN — Feu
PV 90 · Att 110 · Déf 80
Att.Spé 100 · Déf.Spé 80 · Vit 95
Total 555
Talents : Intimidation, Torche (caché : Cœur
  Noble)</t>
      </text>
    </comment>
    <comment ref="C1946" authorId="0" shapeId="0">
      <text>
        <t>SMOGOGO — Poison
PV 65 · Att 90 · Déf 120
Att.Spé 85 · Déf.Spé 70 · Vit 60
Total 490
Talents : Lévitation, Gaz Inhibiteur (caché :
  Puanteur)</t>
      </text>
    </comment>
    <comment ref="B1949" authorId="0" shapeId="0">
      <text>
        <t>Intimidation
Baisse l'Attaque ennemie.</t>
      </text>
    </comment>
    <comment ref="C1949" authorId="0" shapeId="0">
      <text>
        <t>Lévitation
Ignore les attaques Sol.</t>
      </text>
    </comment>
    <comment ref="B1950" authorId="0" shapeId="0">
      <text>
        <t>Hurlement — Normal, statut
20 PP · Priorité -6
Fait fuir l'ennemi. Contre un Dresseur, le
remplace.</t>
      </text>
    </comment>
    <comment ref="C1950" authorId="0" shapeId="0">
      <text>
        <t>Destruction — Normal, physique
Puissance 200 · Précision 100 % · 5 PP
Inflige de sérieux dégâts, mais met le lanceur
KO.</t>
      </text>
    </comment>
    <comment ref="B1951" authorId="0" shapeId="0">
      <text>
        <t>Flair — Normal, statut
40 PP
Empêche l'ennemi d'augmenter son esquive.</t>
      </text>
    </comment>
    <comment ref="C1951" authorId="0" shapeId="0">
      <text>
        <t>Buée Noire — Glace, statut
30 PP
Crée un nuage noir annulant tout changement
d'état.</t>
      </text>
    </comment>
    <comment ref="B1952" authorId="0" shapeId="0">
      <text>
        <t>Crocs Feu — Feu, physique
Puissance 65 · Précision 95 % · 15 PP
Peut apeurer l'ennemi ou le brûler.</t>
      </text>
    </comment>
    <comment ref="C1952" authorId="0" shapeId="0">
      <text>
        <t>Gyroballe — Acier, physique
Puissance 1 · Précision 100 % · 5 PP
Une toupie qui blesse plus un ennemi rapide.</t>
      </text>
    </comment>
    <comment ref="B1953" authorId="0" shapeId="0">
      <text>
        <t>Vitesse Extrême — Normal, physique
Puissance 80 · Précision 100 % · 5 PP ·
Priorité +2
Une attaque extrêmement rapide et puissante.</t>
      </text>
    </comment>
    <comment ref="C1953" authorId="0" shapeId="0">
      <text>
        <t>Bombe Beurk — Poison, spéciale
Puissance 90 · Précision 100 % · 10 PP
Envoie des détritus pour blesser. Peut
empoisonner.</t>
      </text>
    </comment>
    <comment ref="B1955" authorId="0" shapeId="0">
      <text>
        <t>NOSFERALTO — Poison / Vol
PV 75 · Att 80 · Déf 70
Att.Spé 65 · Déf.Spé 75 · Vit 90
Total 455
Talents : Attention (caché : Infiltration)</t>
      </text>
    </comment>
    <comment ref="C1955" authorId="0" shapeId="0">
      <text>
        <t>SMOGOGO — Poison
PV 65 · Att 90 · Déf 120
Att.Spé 85 · Déf.Spé 70 · Vit 60
Total 490
Talents : Lévitation, Gaz Inhibiteur (caché :
  Puanteur)</t>
      </text>
    </comment>
    <comment ref="B1958" authorId="0" shapeId="0">
      <text>
        <t>Attention
Empêche la peur.</t>
      </text>
    </comment>
    <comment ref="C1958" authorId="0" shapeId="0">
      <text>
        <t>Lévitation
Ignore les attaques Sol.</t>
      </text>
    </comment>
    <comment ref="B1959" authorId="0" shapeId="0">
      <text>
        <t>Météores — Normal, spéciale
Puissance 60 · Ne rate jamais · 20 PP
Envoie des rayons en forme d'étoile. Touche
toujours.</t>
      </text>
    </comment>
    <comment ref="C1959" authorId="0" shapeId="0">
      <text>
        <t>Destruction — Normal, physique
Puissance 200 · Précision 100 % · 5 PP
Inflige de sérieux dégâts, mais met le lanceur
KO.</t>
      </text>
    </comment>
    <comment ref="B1960" authorId="0" shapeId="0">
      <text>
        <t>Crochet Venin — Poison, physique
Puissance 50 · Précision 100 % · 15 PP
Morsure pouvant sérieuse- ment empoisonner
l'ennemi.</t>
      </text>
    </comment>
    <comment ref="C1960" authorId="0" shapeId="0">
      <text>
        <t>Buée Noire — Glace, statut
30 PP
Crée un nuage noir annulant tout changement
d'état.</t>
      </text>
    </comment>
    <comment ref="B1961" authorId="0" shapeId="0">
      <text>
        <t>Regard Noir — Normal, statut
5 PP
Lance un regard méchant pour empêcher la
fuite.</t>
      </text>
    </comment>
    <comment ref="C1961" authorId="0" shapeId="0">
      <text>
        <t>Gyroballe — Acier, physique
Puissance 1 · Précision 100 % · 5 PP
Une toupie qui blesse plus un ennemi rapide.</t>
      </text>
    </comment>
    <comment ref="B1962" authorId="0" shapeId="0">
      <text>
        <t>Vampirisme — Insecte, physique
Puissance 60 · Précision 100 % · 10 PP
Une attaque qui aspire la moitié des dégâts
infligés.</t>
      </text>
    </comment>
    <comment ref="C1962" authorId="0" shapeId="0">
      <text>
        <t>Bombe Beurk — Poison, spéciale
Puissance 90 · Précision 100 % · 10 PP
Envoie des détritus pour blesser. Peut
empoisonner.</t>
      </text>
    </comment>
    <comment ref="B1964" authorId="0" shapeId="0">
      <text>
        <t>RAFFLESIA — Plante / Poison
PV 75 · Att 80 · Déf 85
Att.Spé 110 · Déf.Spé 90 · Vit 50
Total 490
Talents : Chlorophylle (caché : Pose Spore)</t>
      </text>
    </comment>
    <comment ref="C1964" authorId="0" shapeId="0">
      <text>
        <t>SCARABRUTE — Insecte
PV 65 · Att 125 · Déf 100
Att.Spé 55 · Déf.Spé 70 · Vit 85
Total 500
Talents : Hyper Cutter, Brise Moule (caché :
  Impudence)</t>
      </text>
    </comment>
    <comment ref="D1964" authorId="0" shapeId="0">
      <text>
        <t>ARBOK — Poison
PV 60 · Att 95 · Déf 69
Att.Spé 65 · Déf.Spé 79 · Vit 80
Total 448
Talents : Intimidation, Mue (caché : Tension)</t>
      </text>
    </comment>
    <comment ref="E1964" authorId="0" shapeId="0">
      <text>
        <t>CORNEBRE — Ténèbres / Vol
PV 60 · Att 85 · Déf 42
Att.Spé 85 · Déf.Spé 42 · Vit 91
Total 405
Talents : Insomnia, Chanceux (caché : Farceur)</t>
      </text>
    </comment>
    <comment ref="B1967" authorId="0" shapeId="0">
      <text>
        <t>Chlorophylle
Augmente Vitesse au soleil.</t>
      </text>
    </comment>
    <comment ref="C1967" authorId="0" shapeId="0">
      <text>
        <t>Hyper Cutter
Empêche réduction Attaque.</t>
      </text>
    </comment>
    <comment ref="D1967" authorId="0" shapeId="0">
      <text>
        <t>Intimidation
Baisse l'Attaque ennemie.</t>
      </text>
    </comment>
    <comment ref="E1967" authorId="0" shapeId="0">
      <text>
        <t>Insomnia
Empêche de s'endormir.</t>
      </text>
    </comment>
    <comment ref="B1968" authorId="0" shapeId="0">
      <text>
        <t>Para-Spore — Plante, statut
Précision 75 % · 30 PP
Répand une poudre pouvant paralyser l'ennemi.</t>
      </text>
    </comment>
    <comment ref="C1968" authorId="0" shapeId="0">
      <text>
        <t>Coup Double — Normal, physique
Puissance 35 · Précision 90 % · 10 PP
Frappe deux fois avec la queue ou autre.</t>
      </text>
    </comment>
    <comment ref="D1968" authorId="0" shapeId="0">
      <text>
        <t>Avale — Normal, statut
10 PP
Absorbe la puissance accu- mulée et restaure
les PV.</t>
      </text>
    </comment>
    <comment ref="E1968" authorId="0" shapeId="0">
      <text>
        <t>Ombre Nocturne — Spectre, spéciale
Puissance 1 · Précision 100 % · 15 PP
Inflige des dégâts selon le niveau du lanceur.</t>
      </text>
    </comment>
    <comment ref="B1969" authorId="0" shapeId="0">
      <text>
        <t>Poudre Dodo — Plante, statut
Précision 75 % · 15 PP
Répand une poudre pouvant endormir l'ennemi.</t>
      </text>
    </comment>
    <comment ref="C1969" authorId="0" shapeId="0">
      <text>
        <t>Casse-Brique — Combat, physique
Puissance 75 · Précision 100 % · 15 PP
Détruit les barrières comme Protection et
blesse.</t>
      </text>
    </comment>
    <comment ref="D1969" authorId="0" shapeId="0">
      <text>
        <t>Relâche — Normal, spéciale
Puissance 1 · Précision 100 % · 10 PP
Libère la puissance précédemment accumulée.</t>
      </text>
    </comment>
    <comment ref="E1969" authorId="0" shapeId="0">
      <text>
        <t>Assurance — Ténèbres, physique
Puissance 60 · Précision 100 % · 10 PP
Plus puissant si l'ennemi a déjà été blessé.</t>
      </text>
    </comment>
    <comment ref="B1970" authorId="0" shapeId="0">
      <text>
        <t>Méga-Sangsue — Plante, spéciale
Puissance 40 · Précision 100 % · 25 PP</t>
      </text>
    </comment>
    <comment ref="C1970" authorId="0" shapeId="0">
      <text>
        <t>Plaie Croix — Insecte, physique
Puissance 80 · Précision 100 % · 15 PP
Taillade l'ennemi de ses faux croisées.</t>
      </text>
    </comment>
    <comment ref="D1970" authorId="0" shapeId="0">
      <text>
        <t>Crochet Venin — Poison, physique
Puissance 50 · Précision 100 % · 15 PP
Morsure pouvant sérieuse- ment empoisonner
l'ennemi.</t>
      </text>
    </comment>
    <comment ref="E1970" authorId="0" shapeId="0">
      <text>
        <t>Provoc — Ténèbres, statut
Précision 100 % · 20 PP
Provoque l'ennemi. L'oblige à utiliser ses
attaques.</t>
      </text>
    </comment>
    <comment ref="B1971" authorId="0" shapeId="0">
      <text>
        <t>Air Veinard — Normal, statut
30 PP
Empêche les coups critiques ennemis.</t>
      </text>
    </comment>
    <comment ref="C1971" authorId="0" shapeId="0">
      <text>
        <t>Sacrifice — Combat, physique
Puissance 80 · Précision 80 % · 20 PP
Une charge violente qui blesse aussi le
lanceur.</t>
      </text>
    </comment>
    <comment ref="D1971" authorId="0" shapeId="0">
      <text>
        <t>Bombe Acide — Poison, spéciale
Puissance 40 · Précision 100 % · 20 PP
Un acide qui baisse beaucoup la Déf. Spé.</t>
      </text>
    </comment>
    <comment ref="E1971" authorId="0" shapeId="0">
      <text>
        <t>Feinte — Ténèbres, physique
Puissance 60 · Ne rate jamais · 20 PP
Approche l'ennemi et frappe à coup sûr.</t>
      </text>
    </comment>
    <comment ref="B1974" authorId="0" shapeId="0">
      <text>
        <t>QWILFISH — Eau / Poison
PV 65 · Att 95 · Déf 85
Att.Spé 55 · Déf.Spé 55 · Vit 85
Total 440
Talents : Point Poison, Glissade (caché :
  Intimidation)</t>
      </text>
    </comment>
    <comment ref="C1974" authorId="0" shapeId="0">
      <text>
        <t>OCTILLERY — Eau
PV 75 · Att 105 · Déf 75
Att.Spé 105 · Déf.Spé 75 · Vit 45
Total 480
Talents : Ventouse, Sniper (caché : Lunatique)</t>
      </text>
    </comment>
    <comment ref="D1974" authorId="0" shapeId="0">
      <text>
        <t>POISSOROY — Eau
PV 80 · Att 92 · Déf 65
Att.Spé 65 · Déf.Spé 80 · Vit 68
Total 450
Talents : Glissade, Ignifu-Voile (caché :
  Paratonnerre)</t>
      </text>
    </comment>
    <comment ref="B1977" authorId="0" shapeId="0">
      <text>
        <t>Point Poison
Empoisonne quand touché.</t>
      </text>
    </comment>
    <comment ref="C1977" authorId="0" shapeId="0">
      <text>
        <t>Ventouse
Fixe solidement le corps.</t>
      </text>
    </comment>
    <comment ref="D1977" authorId="0" shapeId="0">
      <text>
        <t>Glissade
Monte Vitesse s'il pleut.</t>
      </text>
    </comment>
    <comment ref="B1978" authorId="0" shapeId="0">
      <text>
        <t>Multitoxik — Poison, physique
Puissance 60 · Précision 100 % · 10 PP
Peut empoisonner. Plus fort sur un empoisonné.</t>
      </text>
    </comment>
    <comment ref="C1978" authorId="0" shapeId="0">
      <text>
        <t>Bulles d'O — Eau, spéciale
Puissance 65 · Précision 100 % · 20 PP
Envoie des bulles pouvant baisser la Vitesse.</t>
      </text>
    </comment>
    <comment ref="D1978" authorId="0" shapeId="0">
      <text>
        <t>Anneau Hydro — Eau, statut
20 PP
Un voile d'eau qui restaure des PV.</t>
      </text>
    </comment>
    <comment ref="B1979" authorId="0" shapeId="0">
      <text>
        <t>Vendetta — Combat, physique
Puissance 60 · Précision 100 % · 10 PP ·
Priorité -4</t>
      </text>
    </comment>
    <comment ref="C1979" authorId="0" shapeId="0">
      <text>
        <t>Puissance — Normal, statut
30 PP
Concentration pour booster le taux de
critiques.</t>
      </text>
    </comment>
    <comment ref="D1979" authorId="0" shapeId="0">
      <text>
        <t>Furie — Normal, physique
Puissance 15 · Précision 85 % · 20 PP
Frappe l'ennemi 2 à 5 fois avec une corne, un
bec, etc.</t>
      </text>
    </comment>
    <comment ref="B1980" authorId="0" shapeId="0">
      <text>
        <t>Saumure — Eau, spéciale
Puissance 65 · Précision 100 % · 10 PP
Double les dégâts si l'ennemi a mi-PV ou
moins.</t>
      </text>
    </comment>
    <comment ref="C1980" authorId="0" shapeId="0">
      <text>
        <t>Essorage — Normal, spéciale
Puissance 120 · Précision 100 % · 5 PP</t>
      </text>
    </comment>
    <comment ref="D1980" authorId="0" shapeId="0">
      <text>
        <t>Hâte — Psy, statut
30 PP
Relaxation du corps pour booster la Vitesse.</t>
      </text>
    </comment>
    <comment ref="B1981" authorId="0" shapeId="0">
      <text>
        <t>Dard-Nuée — Insecte, physique
Puissance 25 · Précision 95 % · 20 PP
Envoie des dards qui frappent 2 à 5 fois.</t>
      </text>
    </comment>
    <comment ref="C1981" authorId="0" shapeId="0">
      <text>
        <t>Rayon Signal — Insecte, spéciale
Puissance 75 · Précision 100 % · 15 PP
Un étrange rayon qui peut rendre l'ennemi
confus.</t>
      </text>
    </comment>
    <comment ref="D1981" authorId="0" shapeId="0">
      <text>
        <t>Cascade — Eau, physique
Puissance 80 · Précision 100 % · 15 PP
Charge rapide permettant de franchir des
cascades.</t>
      </text>
    </comment>
    <comment ref="B1983" authorId="0" shapeId="0">
      <text>
        <t>OCTILLERY — Eau
PV 75 · Att 105 · Déf 75
Att.Spé 105 · Déf.Spé 75 · Vit 45
Total 480
Talents : Ventouse, Sniper (caché : Lunatique)</t>
      </text>
    </comment>
    <comment ref="C1983" authorId="0" shapeId="0">
      <text>
        <t>LEVIATOR — Eau / Vol
PV 95 · Att 125 · Déf 79
Att.Spé 60 · Déf.Spé 100 · Vit 81
Total 540
Talents : Intimidation (caché : Impudence)</t>
      </text>
    </comment>
    <comment ref="D1983" authorId="0" shapeId="0">
      <text>
        <t>POISSOROY — Eau
PV 80 · Att 92 · Déf 65
Att.Spé 65 · Déf.Spé 80 · Vit 68
Total 450
Talents : Glissade, Ignifu-Voile (caché :
  Paratonnerre)</t>
      </text>
    </comment>
    <comment ref="B1986" authorId="0" shapeId="0">
      <text>
        <t>Ventouse
Fixe solidement le corps.</t>
      </text>
    </comment>
    <comment ref="C1986" authorId="0" shapeId="0">
      <text>
        <t>Intimidation
Baisse l'Attaque ennemie.</t>
      </text>
    </comment>
    <comment ref="D1986" authorId="0" shapeId="0">
      <text>
        <t>Glissade
Monte Vitesse s'il pleut.</t>
      </text>
    </comment>
    <comment ref="B1987" authorId="0" shapeId="0">
      <text>
        <t>Bulles d'O — Eau, spéciale
Puissance 65 · Précision 100 % · 20 PP
Envoie des bulles pouvant baisser la Vitesse.</t>
      </text>
    </comment>
    <comment ref="C1987" authorId="0" shapeId="0">
      <text>
        <t>Crocs Givre — Glace, physique
Puissance 65 · Précision 95 % · 15 PP</t>
      </text>
    </comment>
    <comment ref="D1987" authorId="0" shapeId="0">
      <text>
        <t>Anneau Hydro — Eau, statut
20 PP
Un voile d'eau qui restaure des PV.</t>
      </text>
    </comment>
    <comment ref="B1988" authorId="0" shapeId="0">
      <text>
        <t>Puissance — Normal, statut
30 PP
Concentration pour booster le taux de
critiques.</t>
      </text>
    </comment>
    <comment ref="C1988" authorId="0" shapeId="0">
      <text>
        <t>Hydro-Queue — Eau, physique
Puissance 90 · Précision 90 % · 10 PP
Balaie l'ennemi de sa queue comme une vague.</t>
      </text>
    </comment>
    <comment ref="D1988" authorId="0" shapeId="0">
      <text>
        <t>Furie — Normal, physique
Puissance 15 · Précision 85 % · 20 PP
Frappe l'ennemi 2 à 5 fois avec une corne, un
bec, etc.</t>
      </text>
    </comment>
    <comment ref="B1989" authorId="0" shapeId="0">
      <text>
        <t>Essorage — Normal, spéciale
Puissance 120 · Précision 100 % · 5 PP</t>
      </text>
    </comment>
    <comment ref="C1989" authorId="0" shapeId="0">
      <text>
        <t>Grimace — Normal, statut
Précision 100 % · 10 PP
Effraie avec une grimace pour baisser la
Vitesse.</t>
      </text>
    </comment>
    <comment ref="D1989" authorId="0" shapeId="0">
      <text>
        <t>Hâte — Psy, statut
30 PP
Relaxation du corps pour booster la Vitesse.</t>
      </text>
    </comment>
    <comment ref="B1990" authorId="0" shapeId="0">
      <text>
        <t>Rayon Signal — Insecte, spéciale
Puissance 75 · Précision 100 % · 15 PP
Un étrange rayon qui peut rendre l'ennemi
confus.</t>
      </text>
    </comment>
    <comment ref="C1990" authorId="0" shapeId="0">
      <text>
        <t>Draco-Rage — Dragon, spéciale
Puissance 1 · Précision 100 % · 10 PP
Envoie des ondes de choc infligeant 40 PV de
dégâts.</t>
      </text>
    </comment>
    <comment ref="D1990" authorId="0" shapeId="0">
      <text>
        <t>Cascade — Eau, physique
Puissance 80 · Précision 100 % · 15 PP
Charge rapide permettant de franchir des
cascades.</t>
      </text>
    </comment>
    <comment ref="B1992" authorId="0" shapeId="0">
      <text>
        <t>ROUCARNAGE — Normal / Vol
PV 83 · Att 80 · Déf 75
Att.Spé 70 · Déf.Spé 70 · Vit 101
Total 479
Talents : Regard Vif, Pieds Confus (caché :
  Cœur de Coq)</t>
      </text>
    </comment>
    <comment ref="C1992" authorId="0" shapeId="0">
      <text>
        <t>CORNEBRE — Ténèbres / Vol
PV 60 · Att 85 · Déf 42
Att.Spé 85 · Déf.Spé 42 · Vit 91
Total 405
Talents : Insomnia, Chanceux (caché : Farceur)</t>
      </text>
    </comment>
    <comment ref="D1992" authorId="0" shapeId="0">
      <text>
        <t>XATU — Psy / Vol
PV 65 · Att 75 · Déf 70
Att.Spé 95 · Déf.Spé 70 · Vit 95
Total 470
Talents : Synchro, Matinal (caché : Miroir
  Magik)</t>
      </text>
    </comment>
    <comment ref="E1992" authorId="0" shapeId="0">
      <text>
        <t>AIRMURE — Acier / Vol
PV 65 · Att 80 · Déf 140
Att.Spé 40 · Déf.Spé 70 · Vit 70
Total 465
Talents : Regard Vif, Fermeté (caché :
  Armurouillée)</t>
      </text>
    </comment>
    <comment ref="B1995" authorId="0" shapeId="0">
      <text>
        <t>Regard Vif
Empêche perte de précision.</t>
      </text>
    </comment>
    <comment ref="C1995" authorId="0" shapeId="0">
      <text>
        <t>Insomnia
Empêche de s'endormir.</t>
      </text>
    </comment>
    <comment ref="D1995" authorId="0" shapeId="0">
      <text>
        <t>Synchro
Transfère statuts.</t>
      </text>
    </comment>
    <comment ref="E1995" authorId="0" shapeId="0">
      <text>
        <t>Regard Vif
Empêche perte de précision.</t>
      </text>
    </comment>
    <comment ref="B1996" authorId="0" shapeId="0">
      <text>
        <t>Ouragan — Dragon, spéciale
Puissance 40 · Précision 100 % · 20 PP
Déclenche un terrible ouragan blessant
l'ennemi.</t>
      </text>
    </comment>
    <comment ref="C1996" authorId="0" shapeId="0">
      <text>
        <t>Ombre Nocturne — Spectre, spéciale
Puissance 1 · Précision 100 % · 15 PP
Inflige des dégâts selon le niveau du lanceur.</t>
      </text>
    </comment>
    <comment ref="D1996" authorId="0" shapeId="0">
      <text>
        <t>Onde Folie — Spectre, statut
Précision 100 % · 10 PP
Un horrible rayon qui rend l'ennemi confus.</t>
      </text>
    </comment>
    <comment ref="E1996" authorId="0" shapeId="0">
      <text>
        <t>Météores — Normal, spéciale
Puissance 60 · Ne rate jamais · 20 PP
Envoie des rayons en forme d'étoile. Touche
toujours.</t>
      </text>
    </comment>
    <comment ref="B1997" authorId="0" shapeId="0">
      <text>
        <t>Cru-Ailes — Vol, physique
Puissance 60 · Précision 100 % · 35 PP
Frappe l'ennemi en déployant les ailes.</t>
      </text>
    </comment>
    <comment ref="C1997" authorId="0" shapeId="0">
      <text>
        <t>Assurance — Ténèbres, physique
Puissance 60 · Précision 100 % · 10 PP
Plus puissant si l'ennemi a déjà été blessé.</t>
      </text>
    </comment>
    <comment ref="D1997" authorId="0" shapeId="0">
      <text>
        <t>Vœu — Normal, statut
10 PP
Un vœu qui restaure les PV. Demande un certain
temps.</t>
      </text>
    </comment>
    <comment ref="E1997" authorId="0" shapeId="0">
      <text>
        <t>Picots — Sol, statut
20 PP
Pointes blessant lors d'un changement
d'adversaire.</t>
      </text>
    </comment>
    <comment ref="B1998" authorId="0" shapeId="0">
      <text>
        <t>Danse Plumes — Vol, statut
Précision 100 % · 15 PP
Enveloppe l'ennemi de duvet et baisse
l'Attaque.</t>
      </text>
    </comment>
    <comment ref="C1998" authorId="0" shapeId="0">
      <text>
        <t>Provoc — Ténèbres, statut
Précision 100 % · 20 PP
Provoque l'ennemi. L'oblige à utiliser ses
attaques.</t>
      </text>
    </comment>
    <comment ref="D1998" authorId="0" shapeId="0">
      <text>
        <t>Psyko — Psy, spéciale
Puissance 90 · Précision 100 % · 10 PP
Une puissante attaque Psy pouvant baisser la
Déf. Spé.</t>
      </text>
    </comment>
    <comment ref="E1998" authorId="0" shapeId="0">
      <text>
        <t>Hâte — Psy, statut
30 PP
Relaxation du corps pour booster la Vitesse.</t>
      </text>
    </comment>
    <comment ref="B1999" authorId="0" shapeId="0">
      <text>
        <t>Hâte — Psy, statut
30 PP
Relaxation du corps pour booster la Vitesse.</t>
      </text>
    </comment>
    <comment ref="C1999" authorId="0" shapeId="0">
      <text>
        <t>Feinte — Ténèbres, physique
Puissance 60 · Ne rate jamais · 20 PP
Approche l'ennemi et frappe à coup sûr.</t>
      </text>
    </comment>
    <comment ref="D1999" authorId="0" shapeId="0">
      <text>
        <t>Hypnose — Psy, statut
Précision 60 % · 20 PP
Une attaque hypnotique pouvant endormir
l'ennemi.</t>
      </text>
    </comment>
    <comment ref="E1999" authorId="0" shapeId="0">
      <text>
        <t>Ailes d'Acier — Acier, physique
Puissance 70 · Précision 90 % · 25 PP
Frappe l'ennemi en déployant des ailes
d'acier.</t>
      </text>
    </comment>
    <comment ref="B2001" authorId="0" shapeId="0">
      <text>
        <t>XATU — Psy / Vol
PV 65 · Att 75 · Déf 70
Att.Spé 95 · Déf.Spé 70 · Vit 95
Total 470
Talents : Synchro, Matinal (caché : Miroir
  Magik)</t>
      </text>
    </comment>
    <comment ref="C2001" authorId="0" shapeId="0">
      <text>
        <t>KADABRA — Psy
PV 40 · Att 35 · Déf 30
Att.Spé 120 · Déf.Spé 70 · Vit 105
Total 400
Talents : Synchro, Attention (caché : Garde
  Magik)</t>
      </text>
    </comment>
    <comment ref="D2001" authorId="0" shapeId="0">
      <text>
        <t>GIRAFARIG — Normal / Psy
PV 70 · Att 80 · Déf 65
Att.Spé 90 · Déf.Spé 65 · Vit 85
Total 455
Talents : Attention, Matinal (caché :
  Herbivore)</t>
      </text>
    </comment>
    <comment ref="B2004" authorId="0" shapeId="0">
      <text>
        <t>Synchro
Transfère statuts.</t>
      </text>
    </comment>
    <comment ref="C2004" authorId="0" shapeId="0">
      <text>
        <t>Synchro
Transfère statuts.</t>
      </text>
    </comment>
    <comment ref="D2004" authorId="0" shapeId="0">
      <text>
        <t>Attention
Empêche la peur.</t>
      </text>
    </comment>
    <comment ref="B2005" authorId="0" shapeId="0">
      <text>
        <t>Onde Folie — Spectre, statut
Précision 100 % · 10 PP
Un horrible rayon qui rend l'ennemi confus.</t>
      </text>
    </comment>
    <comment ref="C2005" authorId="0" shapeId="0">
      <text>
        <t>Coupe Psycho — Psy, physique
Puissance 70 · Précision 100 % · 20 PP
Des lames psychiques. Critiques fréquents.</t>
      </text>
    </comment>
    <comment ref="D2005" authorId="0" shapeId="0">
      <text>
        <t>Hâte — Psy, statut
30 PP
Relaxation du corps pour booster la Vitesse.</t>
      </text>
    </comment>
    <comment ref="B2006" authorId="0" shapeId="0">
      <text>
        <t>Vœu — Normal, statut
10 PP
Un vœu qui restaure les PV. Demande un certain
temps.</t>
      </text>
    </comment>
    <comment ref="C2006" authorId="0" shapeId="0">
      <text>
        <t>Soin — Normal, statut
5 PP
Restaure jusqu'à la moitié des PV max du
lanceur.</t>
      </text>
    </comment>
    <comment ref="D2006" authorId="0" shapeId="0">
      <text>
        <t>Coup Double — Normal, physique
Puissance 35 · Précision 90 % · 10 PP
Frappe deux fois avec la queue ou autre.</t>
      </text>
    </comment>
    <comment ref="B2007" authorId="0" shapeId="0">
      <text>
        <t>Psyko — Psy, spéciale
Puissance 90 · Précision 100 % · 10 PP
Une puissante attaque Psy pouvant baisser la
Déf. Spé.</t>
      </text>
    </comment>
    <comment ref="C2007" authorId="0" shapeId="0">
      <text>
        <t>Lévikinésie — Psy, statut
15 PP
Fait flotter l'ennemi. Plus facile à toucher.</t>
      </text>
    </comment>
    <comment ref="D2007" authorId="0" shapeId="0">
      <text>
        <t>Psykoud'Boul — Psy, physique
Puissance 80 · Précision 90 % · 15 PP
Un coup de tête. Peut apeurer l'ennemi.</t>
      </text>
    </comment>
    <comment ref="B2008" authorId="0" shapeId="0">
      <text>
        <t>Hypnose — Psy, statut
Précision 60 % · 20 PP
Une attaque hypnotique pouvant endormir
l'ennemi.</t>
      </text>
    </comment>
    <comment ref="C2008" authorId="0" shapeId="0">
      <text>
        <t>Interversion — Psy, statut
15 PP · Priorité +2
Le lanceur échange sa place avec son allié.</t>
      </text>
    </comment>
    <comment ref="D2008" authorId="0" shapeId="0">
      <text>
        <t>Double Laser — Psy, spéciale
Puissance 40 · Précision 100 % · 10 PP
Deux rayons oculaires qui frappent deux fois.</t>
      </text>
    </comment>
    <comment ref="B2010" authorId="0" shapeId="0">
      <text>
        <t>RHINOFEROS — Sol / Roche
PV 105 · Att 130 · Déf 120
Att.Spé 45 · Déf.Spé 45 · Vit 40
Total 485
Talents : Paratonnerre, Tête de Roc (caché :
  Téméraire)</t>
      </text>
    </comment>
    <comment ref="C2010" authorId="0" shapeId="0">
      <text>
        <t>YMPHECT — Roche / Sol
PV 70 · Att 84 · Déf 70
Att.Spé 65 · Déf.Spé 70 · Vit 51
Total 410
Talents : Mue</t>
      </text>
    </comment>
    <comment ref="D2010" authorId="0" shapeId="0">
      <text>
        <t>SCARHINO — Insecte / Combat
PV 80 · Att 125 · Déf 75
Att.Spé 40 · Déf.Spé 95 · Vit 85
Total 500
Talents : Essaim, Cran (caché : Impudence)</t>
      </text>
    </comment>
    <comment ref="B2013" authorId="0" shapeId="0">
      <text>
        <t>Paratonnerre
Attire attaques élec.</t>
      </text>
    </comment>
    <comment ref="C2013" authorId="0" shapeId="0">
      <text>
        <t>Mue
Mue pour se soigner.</t>
      </text>
    </comment>
    <comment ref="D2013" authorId="0" shapeId="0">
      <text>
        <t>Essaim
Augmente attaques Insect.</t>
      </text>
    </comment>
    <comment ref="B2014" authorId="0" shapeId="0">
      <text>
        <t>Attrition — Normal, physique
Puissance 70 · Précision 100 % · 20 PP</t>
      </text>
    </comment>
    <comment ref="C2014" authorId="0" shapeId="0">
      <text>
        <t>Éboulement — Roche, physique
Puissance 75 · Précision 90 % · 10 PP
Envoie de gros rochers. Peut apeurer l'ennemi.</t>
      </text>
    </comment>
    <comment ref="D2014" authorId="0" shapeId="0">
      <text>
        <t>Casse-Brique — Combat, physique
Puissance 75 · Précision 100 % · 15 PP
Détruit les barrières comme Protection et
blesse.</t>
      </text>
    </comment>
    <comment ref="B2015" authorId="0" shapeId="0">
      <text>
        <t>Boule Roc — Roche, physique
Puissance 25 · Précision 90 % · 10 PP
Projette des rochers sur l'ennemi 2 à 5 fois
de suite.</t>
      </text>
    </comment>
    <comment ref="C2015" authorId="0" shapeId="0">
      <text>
        <t>Grimace — Normal, statut
Précision 100 % · 10 PP
Effraie avec une grimace pour baisser la
Vitesse.</t>
      </text>
    </comment>
    <comment ref="D2015" authorId="0" shapeId="0">
      <text>
        <t>Dard-Nuée — Insecte, physique
Puissance 25 · Précision 95 % · 20 PP
Envoie des dards qui frappent 2 à 5 fois.</t>
      </text>
    </comment>
    <comment ref="B2016" authorId="0" shapeId="0">
      <text>
        <t>Tunnelier — Sol, physique
Puissance 80 · Précision 95 % · 10 PP
Tourne comme une perceuse. Critiques
fréquents.</t>
      </text>
    </comment>
    <comment ref="C2016" authorId="0" shapeId="0">
      <text>
        <t>Mania — Normal, physique
Puissance 120 · Précision 100 % · 10 PP
Une attaque furieuse de 2 à 3 tours. Lanceur
confus.</t>
      </text>
    </comment>
    <comment ref="D2016" authorId="0" shapeId="0">
      <text>
        <t>Bélier — Normal, physique
Puissance 90 · Précision 85 % · 20 PP
Une charge violente qui blesse aussi le
lanceur.</t>
      </text>
    </comment>
    <comment ref="B2017" authorId="0" shapeId="0">
      <text>
        <t>Bélier — Normal, physique
Puissance 90 · Précision 85 % · 20 PP
Une charge violente qui blesse aussi le
lanceur.</t>
      </text>
    </comment>
    <comment ref="C2017" authorId="0" shapeId="0">
      <text>
        <t>Vibrobscur — Ténèbres, spéciale
Puissance 80 · Précision 100 % · 15 PP
Une aura horrible. Peut apeurer l'ennemi.</t>
      </text>
    </comment>
    <comment ref="D2017" authorId="0" shapeId="0">
      <text>
        <t>Mégacorne — Insecte, physique
Puissance 120 · Précision 85 % · 10 PP
Une charge violente, toutes cornes en avant.</t>
      </text>
    </comment>
    <comment ref="B2019" authorId="0" shapeId="0">
      <text>
        <t>REPTINCEL — Feu
PV 58 · Att 64 · Déf 58
Att.Spé 80 · Déf.Spé 65 · Vit 80
Total 405
Talents : Brasier (caché : Force Soleil)</t>
      </text>
    </comment>
    <comment ref="C2019" authorId="0" shapeId="0">
      <text>
        <t>ELEKTEK — Électrik
PV 65 · Att 83 · Déf 57
Att.Spé 95 · Déf.Spé 85 · Vit 105
Total 490
Talents : Statik (caché : Esprit Vital)</t>
      </text>
    </comment>
    <comment ref="B2022" authorId="0" shapeId="0">
      <text>
        <t>Brasier
Augmente attaques Feu.</t>
      </text>
    </comment>
    <comment ref="C2022" authorId="0" shapeId="0">
      <text>
        <t>Statik
Paralyse au toucher.</t>
      </text>
    </comment>
    <comment ref="B2023" authorId="0" shapeId="0">
      <text>
        <t>Draco-Rage — Dragon, spéciale
Puissance 1 · Précision 100 % · 10 PP
Envoie des ondes de choc infligeant 40 PV de
dégâts.</t>
      </text>
    </comment>
    <comment ref="C2023" authorId="0" shapeId="0">
      <text>
        <t>Boule Élek — Électrik, spéciale
Puissance 1 · Précision 100 % · 10 PP
Une orbe qui blesse plus un ennemi lent.</t>
      </text>
    </comment>
    <comment ref="B2024" authorId="0" shapeId="0">
      <text>
        <t>Grimace — Normal, statut
Précision 100 % · 10 PP
Effraie avec une grimace pour baisser la
Vitesse.</t>
      </text>
    </comment>
    <comment ref="C2024" authorId="0" shapeId="0">
      <text>
        <t>Mur Lumière — Psy, statut
30 PP
Crée un mur lumineux et réduit les dégâts
d'Atq. Spé.</t>
      </text>
    </comment>
    <comment ref="B2025" authorId="0" shapeId="0">
      <text>
        <t>Crocs Feu — Feu, physique
Puissance 65 · Précision 95 % · 15 PP
Peut apeurer l'ennemi ou le brûler.</t>
      </text>
    </comment>
    <comment ref="C2025" authorId="0" shapeId="0">
      <text>
        <t>Poing Éclair — Électrik, physique
Puissance 75 · Précision 100 % · 15 PP
Un poing électrique pouvant paralyser
l'ennemi.</t>
      </text>
    </comment>
    <comment ref="B2026" authorId="0" shapeId="0">
      <text>
        <t>Rebondifeu — Feu, spéciale
Puissance 70 · Précision 100 % · 15 PP
Une flamme qui éclabousse tous les ennemis.</t>
      </text>
    </comment>
    <comment ref="C2026" authorId="0" shapeId="0">
      <text>
        <t>Coup d'Jus — Électrik, spéciale
Puissance 80 · Précision 100 % · 15 PP
Électrocute tous les autres {PKMN}. Peut
paralyser.</t>
      </text>
    </comment>
    <comment ref="B2028" authorId="0" shapeId="0">
      <text>
        <t>PAPILUSION — Insecte / Vol
PV 60 · Att 45 · Déf 50
Att.Spé 90 · Déf.Spé 80 · Vit 70
Total 395
Talents : Œil Composé (caché : Lentiteintée)</t>
      </text>
    </comment>
    <comment ref="C2028" authorId="0" shapeId="0">
      <text>
        <t>JOLIFLOR — Plante
PV 75 · Att 80 · Déf 95
Att.Spé 90 · Déf.Spé 100 · Vit 50
Total 490
Talents : Chlorophylle (caché : Cœur Soin)</t>
      </text>
    </comment>
    <comment ref="D2028" authorId="0" shapeId="0">
      <text>
        <t>MARAISTE — Eau / Sol
PV 95 · Att 85 · Déf 85
Att.Spé 65 · Déf.Spé 65 · Vit 35
Total 430
Talents : Moiteur, Absorbe-Eau (caché :
  Inconscient)</t>
      </text>
    </comment>
    <comment ref="B2031" authorId="0" shapeId="0">
      <text>
        <t>Œil Composé
Augmente la précision.</t>
      </text>
    </comment>
    <comment ref="C2031" authorId="0" shapeId="0">
      <text>
        <t>Chlorophylle
Augmente Vitesse au soleil.</t>
      </text>
    </comment>
    <comment ref="D2031" authorId="0" shapeId="0">
      <text>
        <t>Moiteur
Empêche auto-destruction.</t>
      </text>
    </comment>
    <comment ref="B2032" authorId="0" shapeId="0">
      <text>
        <t>Cyclone — Normal, statut
20 PP · Priorité -6
Souffle l'ennemi. Contre un Dresseur, le
remplace.</t>
      </text>
    </comment>
    <comment ref="C2032" authorId="0" shapeId="0">
      <text>
        <t>Doux Parfum — Normal, statut
Précision 100 % · 20 PP</t>
      </text>
    </comment>
    <comment ref="D2032" authorId="0" shapeId="0">
      <text>
        <t>Boue-Bombe — Sol, spéciale
Puissance 65 · Précision 85 % · 10 PP
Une boule de boue qui baisse la Précision.</t>
      </text>
    </comment>
    <comment ref="B2033" authorId="0" shapeId="0">
      <text>
        <t>Bourdon — Insecte, spéciale
Puissance 90 · Précision 100 % · 10 PP
Une onde sonore. Peut baisser la Déf. Spé.</t>
      </text>
    </comment>
    <comment ref="C2033" authorId="0" shapeId="0">
      <text>
        <t>Para-Spore — Plante, statut
Précision 75 % · 30 PP
Répand une poudre pouvant paralyser l'ennemi.</t>
      </text>
    </comment>
    <comment ref="D2033" authorId="0" shapeId="0">
      <text>
        <t>Amnésie — Psy, statut
20 PP
Oublie quelque chose et booste la Déf. Spé.</t>
      </text>
    </comment>
    <comment ref="B2034" authorId="0" shapeId="0">
      <text>
        <t>Poudre Fureur — Insecte, statut
20 PP · Priorité +2
Une poudre qui attire toutes les attaques.</t>
      </text>
    </comment>
    <comment ref="C2034" authorId="0" shapeId="0">
      <text>
        <t>Zénith — Feu, statut
5 PP
Améliore les attaques Feu pendant 5 tours.</t>
      </text>
    </comment>
    <comment ref="D2034" authorId="0" shapeId="0">
      <text>
        <t>Bâillement — Normal, statut
10 PP
Fait bâiller l'ennemi qui s'endort au tour
suivant.</t>
      </text>
    </comment>
    <comment ref="B2035" authorId="0" shapeId="0">
      <text>
        <t>Séduction — Normal, statut
Précision 100 % · 20 PP
Baisse beaucoup l'Atq. Spé. du sexe opposé.</t>
      </text>
    </comment>
    <comment ref="C2035" authorId="0" shapeId="0">
      <text>
        <t>Poudre Dodo — Plante, statut
Précision 75 % · 15 PP
Répand une poudre pouvant endormir l'ennemi.</t>
      </text>
    </comment>
    <comment ref="D2035" authorId="0" shapeId="0">
      <text>
        <t>Séisme — Sol, physique
Puissance 100 · Précision 100 % · 10 PP
Secousse sans effet sur les adversaires
volants.</t>
      </text>
    </comment>
    <comment ref="B2038" authorId="0" shapeId="0">
      <text>
        <t>HYPOCEAN — Eau
PV 55 · Att 65 · Déf 95
Att.Spé 95 · Déf.Spé 45 · Vit 85
Total 440
Talents : Point Poison, Sniper (caché :
  Moiteur)</t>
      </text>
    </comment>
    <comment ref="B2041" authorId="0" shapeId="0">
      <text>
        <t>Point Poison
Empoisonne quand touché.</t>
      </text>
    </comment>
    <comment ref="B2042" authorId="0" shapeId="0">
      <text>
        <t>Bulles d'O — Eau, spéciale
Puissance 65 · Précision 100 % · 20 PP
Envoie des bulles pouvant baisser la Vitesse.</t>
      </text>
    </comment>
    <comment ref="B2043" authorId="0" shapeId="0">
      <text>
        <t>Puissance — Normal, statut
30 PP
Concentration pour booster le taux de
critiques.</t>
      </text>
    </comment>
    <comment ref="B2044" authorId="0" shapeId="0">
      <text>
        <t>Saumure — Eau, spéciale
Puissance 65 · Précision 100 % · 10 PP
Double les dégâts si l'ennemi a mi-PV ou
moins.</t>
      </text>
    </comment>
    <comment ref="B2045" authorId="0" shapeId="0">
      <text>
        <t>Hâte — Psy, statut
30 PP
Relaxation du corps pour booster la Vitesse.</t>
      </text>
    </comment>
    <comment ref="B2048" authorId="0" shapeId="0">
      <text>
        <t>KICKLEE — Combat
PV 50 · Att 120 · Déf 53
Att.Spé 35 · Déf.Spé 110 · Vit 87
Total 455
Talents : Échauffement, Téméraire (caché :
  Délestage)</t>
      </text>
    </comment>
    <comment ref="C2048" authorId="0" shapeId="0">
      <text>
        <t>TYGNON — Combat
PV 50 · Att 105 · Déf 79
Att.Spé 35 · Déf.Spé 110 · Vit 76
Total 455
Talents : Regard Vif, Poing de Fer (caché :
  Attention)</t>
      </text>
    </comment>
    <comment ref="B2051" authorId="0" shapeId="0">
      <text>
        <t>Échauffement
Empêche la paralysie.</t>
      </text>
    </comment>
    <comment ref="C2051" authorId="0" shapeId="0">
      <text>
        <t>Regard Vif
Empêche perte de précision.</t>
      </text>
    </comment>
    <comment ref="B2052" authorId="0" shapeId="0">
      <text>
        <t>Puissance — Normal, statut
30 PP
Concentration pour booster le taux de
critiques.</t>
      </text>
    </comment>
    <comment ref="C2052" authorId="0" shapeId="0">
      <text>
        <t>Pisto-Poing — Acier, physique
Puissance 40 · Précision 100 % · 30 PP ·
Priorité +1
Un poing comme une balle. Frappe d'abord.</t>
      </text>
    </comment>
    <comment ref="B2053" authorId="0" shapeId="0">
      <text>
        <t>Ruse — Normal, physique
Puissance 30 · Précision 100 % · 10 PP ·
Priorité +2</t>
      </text>
    </comment>
    <comment ref="C2053" authorId="0" shapeId="0">
      <text>
        <t>Ruse — Normal, physique
Puissance 30 · Précision 100 % · 10 PP ·
Priorité +2</t>
      </text>
    </comment>
    <comment ref="B2054" authorId="0" shapeId="0">
      <text>
        <t>Pied Voltige — Combat, physique
Puissance 130 · Précision 90 % · 10 PP
Un coup de genou sauté. Blesse s'il rate.</t>
      </text>
    </comment>
    <comment ref="C2054" authorId="0" shapeId="0">
      <text>
        <t>Onde Vide — Combat, spéciale
Puissance 40 · Précision 100 % · 30 PP ·
Priorité +1
Une onde de poings qui frappe en premier.</t>
      </text>
    </comment>
    <comment ref="B2055" authorId="0" shapeId="0">
      <text>
        <t>Lire-Esprit — Normal, statut
5 PP
Pressent l'action pour réussir l'attaque
suivante.</t>
      </text>
    </comment>
    <comment ref="C2055" authorId="0" shapeId="0">
      <text>
        <t>Prévention — Combat, statut
15 PP · Priorité +3
Évite les attaques rapides pendant un tour.</t>
      </text>
    </comment>
    <comment ref="B2058" authorId="0" shapeId="0">
      <text>
        <t>HYPOCEAN — Eau
PV 55 · Att 65 · Déf 95
Att.Spé 95 · Déf.Spé 45 · Vit 85
Total 440
Talents : Point Poison, Sniper (caché :
  Moiteur)</t>
      </text>
    </comment>
    <comment ref="C2058" authorId="0" shapeId="0">
      <text>
        <t>DRACO — Dragon
PV 61 · Att 84 · Déf 65
Att.Spé 70 · Déf.Spé 70 · Vit 70
Total 420
Talents : Mue (caché : Écaille Spéciale)</t>
      </text>
    </comment>
    <comment ref="D2058" authorId="0" shapeId="0">
      <text>
        <t>AKWAKWAK — Eau
PV 80 · Att 82 · Déf 78
Att.Spé 95 · Déf.Spé 80 · Vit 85
Total 500
Talents : Moiteur, Ciel Gris (caché :
  Glissade)</t>
      </text>
    </comment>
    <comment ref="E2058" authorId="0" shapeId="0">
      <text>
        <t>DRACO — Dragon
PV 61 · Att 84 · Déf 65
Att.Spé 70 · Déf.Spé 70 · Vit 70
Total 420
Talents : Mue (caché : Écaille Spéciale)</t>
      </text>
    </comment>
    <comment ref="B2061" authorId="0" shapeId="0">
      <text>
        <t>Point Poison
Empoisonne quand touché.</t>
      </text>
    </comment>
    <comment ref="C2061" authorId="0" shapeId="0">
      <text>
        <t>Mue
Mue pour se soigner.</t>
      </text>
    </comment>
    <comment ref="D2061" authorId="0" shapeId="0">
      <text>
        <t>Moiteur
Empêche auto-destruction.</t>
      </text>
    </comment>
    <comment ref="E2061" authorId="0" shapeId="0">
      <text>
        <t>Mue
Mue pour se soigner.</t>
      </text>
    </comment>
    <comment ref="B2062" authorId="0" shapeId="0">
      <text>
        <t>Bulles d'O — Eau, spéciale
Puissance 65 · Précision 100 % · 20 PP
Envoie des bulles pouvant baisser la Vitesse.</t>
      </text>
    </comment>
    <comment ref="C2062" authorId="0" shapeId="0">
      <text>
        <t>Souplesse — Normal, physique
Puissance 80 · Précision 75 % · 20 PP
Fouette l'ennemi avec la queue, une liane,
etc.</t>
      </text>
    </comment>
    <comment ref="D2062" authorId="0" shapeId="0">
      <text>
        <t>Hydro-Queue — Eau, physique
Puissance 90 · Précision 90 % · 10 PP
Balaie l'ennemi de sa queue comme une vague.</t>
      </text>
    </comment>
    <comment ref="E2062" authorId="0" shapeId="0">
      <text>
        <t>Souplesse — Normal, physique
Puissance 80 · Précision 75 % · 20 PP
Fouette l'ennemi avec la queue, une liane,
etc.</t>
      </text>
    </comment>
    <comment ref="B2063" authorId="0" shapeId="0">
      <text>
        <t>Puissance — Normal, statut
30 PP
Concentration pour booster le taux de
critiques.</t>
      </text>
    </comment>
    <comment ref="C2063" authorId="0" shapeId="0">
      <text>
        <t>Hâte — Psy, statut
30 PP
Relaxation du corps pour booster la Vitesse.</t>
      </text>
    </comment>
    <comment ref="D2063" authorId="0" shapeId="0">
      <text>
        <t>Détrempage — Eau, statut
Précision 100 % · 20 PP
Asperge l'ennemi et le change en type Eau.</t>
      </text>
    </comment>
    <comment ref="E2063" authorId="0" shapeId="0">
      <text>
        <t>Hâte — Psy, statut
30 PP
Relaxation du corps pour booster la Vitesse.</t>
      </text>
    </comment>
    <comment ref="B2064" authorId="0" shapeId="0">
      <text>
        <t>Saumure — Eau, spéciale
Puissance 65 · Précision 100 % · 10 PP
Double les dégâts si l'ennemi a mi-PV ou
moins.</t>
      </text>
    </comment>
    <comment ref="C2064" authorId="0" shapeId="0">
      <text>
        <t>Draco-Queue — Dragon, physique
Puissance 60 · Précision 90 % · 10 PP ·
Priorité -6</t>
      </text>
    </comment>
    <comment ref="D2064" authorId="0" shapeId="0">
      <text>
        <t>Boost — Normal, statut
10 PP
Copie les effets de l'ennemi et les passe au
lanceur.</t>
      </text>
    </comment>
    <comment ref="E2064" authorId="0" shapeId="0">
      <text>
        <t>Draco-Queue — Dragon, physique
Puissance 60 · Précision 90 % · 10 PP ·
Priorité -6</t>
      </text>
    </comment>
    <comment ref="B2065" authorId="0" shapeId="0">
      <text>
        <t>Hâte — Psy, statut
30 PP
Relaxation du corps pour booster la Vitesse.</t>
      </text>
    </comment>
    <comment ref="C2065" authorId="0" shapeId="0">
      <text>
        <t>Hydro-Queue — Eau, physique
Puissance 90 · Précision 90 % · 10 PP
Balaie l'ennemi de sa queue comme une vague.</t>
      </text>
    </comment>
    <comment ref="D2065" authorId="0" shapeId="0">
      <text>
        <t>Amnésie — Psy, statut
20 PP
Oublie quelque chose et booste la Déf. Spé.</t>
      </text>
    </comment>
    <comment ref="E2065" authorId="0" shapeId="0">
      <text>
        <t>Hydro-Queue — Eau, physique
Puissance 90 · Précision 90 % · 10 PP
Balaie l'ennemi de sa queue comme une vague.</t>
      </text>
    </comment>
    <comment ref="B2067" authorId="0" shapeId="0">
      <text>
        <t>HYPOCEAN — Eau
PV 55 · Att 65 · Déf 95
Att.Spé 95 · Déf.Spé 45 · Vit 85
Total 440
Talents : Point Poison, Sniper (caché :
  Moiteur)</t>
      </text>
    </comment>
    <comment ref="C2067" authorId="0" shapeId="0">
      <text>
        <t>LEVIATOR — Eau / Vol
PV 95 · Att 125 · Déf 79
Att.Spé 60 · Déf.Spé 100 · Vit 81
Total 540
Talents : Intimidation (caché : Impudence)</t>
      </text>
    </comment>
    <comment ref="D2067" authorId="0" shapeId="0">
      <text>
        <t>DRACO — Dragon
PV 61 · Att 84 · Déf 65
Att.Spé 70 · Déf.Spé 70 · Vit 70
Total 420
Talents : Mue (caché : Écaille Spéciale)</t>
      </text>
    </comment>
    <comment ref="B2070" authorId="0" shapeId="0">
      <text>
        <t>Point Poison
Empoisonne quand touché.</t>
      </text>
    </comment>
    <comment ref="C2070" authorId="0" shapeId="0">
      <text>
        <t>Intimidation
Baisse l'Attaque ennemie.</t>
      </text>
    </comment>
    <comment ref="D2070" authorId="0" shapeId="0">
      <text>
        <t>Mue
Mue pour se soigner.</t>
      </text>
    </comment>
    <comment ref="B2071" authorId="0" shapeId="0">
      <text>
        <t>Bulles d'O — Eau, spéciale
Puissance 65 · Précision 100 % · 20 PP
Envoie des bulles pouvant baisser la Vitesse.</t>
      </text>
    </comment>
    <comment ref="C2071" authorId="0" shapeId="0">
      <text>
        <t>Hydro-Queue — Eau, physique
Puissance 90 · Précision 90 % · 10 PP
Balaie l'ennemi de sa queue comme une vague.</t>
      </text>
    </comment>
    <comment ref="D2071" authorId="0" shapeId="0">
      <text>
        <t>Souplesse — Normal, physique
Puissance 80 · Précision 75 % · 20 PP
Fouette l'ennemi avec la queue, une liane,
etc.</t>
      </text>
    </comment>
    <comment ref="B2072" authorId="0" shapeId="0">
      <text>
        <t>Puissance — Normal, statut
30 PP
Concentration pour booster le taux de
critiques.</t>
      </text>
    </comment>
    <comment ref="C2072" authorId="0" shapeId="0">
      <text>
        <t>Grimace — Normal, statut
Précision 100 % · 10 PP
Effraie avec une grimace pour baisser la
Vitesse.</t>
      </text>
    </comment>
    <comment ref="D2072" authorId="0" shapeId="0">
      <text>
        <t>Hâte — Psy, statut
30 PP
Relaxation du corps pour booster la Vitesse.</t>
      </text>
    </comment>
    <comment ref="B2073" authorId="0" shapeId="0">
      <text>
        <t>Saumure — Eau, spéciale
Puissance 65 · Précision 100 % · 10 PP
Double les dégâts si l'ennemi a mi-PV ou
moins.</t>
      </text>
    </comment>
    <comment ref="C2073" authorId="0" shapeId="0">
      <text>
        <t>Draco-Rage — Dragon, spéciale
Puissance 1 · Précision 100 % · 10 PP
Envoie des ondes de choc infligeant 40 PV de
dégâts.</t>
      </text>
    </comment>
    <comment ref="D2073" authorId="0" shapeId="0">
      <text>
        <t>Draco-Queue — Dragon, physique
Puissance 60 · Précision 90 % · 10 PP ·
Priorité -6</t>
      </text>
    </comment>
    <comment ref="B2074" authorId="0" shapeId="0">
      <text>
        <t>Hâte — Psy, statut
30 PP
Relaxation du corps pour booster la Vitesse.</t>
      </text>
    </comment>
    <comment ref="C2074" authorId="0" shapeId="0">
      <text>
        <t>Mâchouille — Ténèbres, physique
Puissance 80 · Précision 100 % · 15 PP</t>
      </text>
    </comment>
    <comment ref="D2074" authorId="0" shapeId="0">
      <text>
        <t>Hydro-Queue — Eau, physique
Puissance 90 · Précision 90 % · 10 PP
Balaie l'ennemi de sa queue comme une vague.</t>
      </text>
    </comment>
    <comment ref="B2076" authorId="0" shapeId="0">
      <text>
        <t>MINIDRACO — Dragon
PV 41 · Att 64 · Déf 45
Att.Spé 50 · Déf.Spé 50 · Vit 50
Total 300
Talents : Mue (caché : Écaille Spéciale)</t>
      </text>
    </comment>
    <comment ref="C2076" authorId="0" shapeId="0">
      <text>
        <t>DRACO — Dragon
PV 61 · Att 84 · Déf 65
Att.Spé 70 · Déf.Spé 70 · Vit 70
Total 420
Talents : Mue (caché : Écaille Spéciale)</t>
      </text>
    </comment>
    <comment ref="D2076" authorId="0" shapeId="0">
      <text>
        <t>DRACO — Dragon
PV 61 · Att 84 · Déf 65
Att.Spé 70 · Déf.Spé 70 · Vit 70
Total 420
Talents : Mue (caché : Écaille Spéciale)</t>
      </text>
    </comment>
    <comment ref="E2076" authorId="0" shapeId="0">
      <text>
        <t>DRACO — Dragon
PV 61 · Att 84 · Déf 65
Att.Spé 70 · Déf.Spé 70 · Vit 70
Total 420
Talents : Mue (caché : Écaille Spéciale)</t>
      </text>
    </comment>
    <comment ref="B2079" authorId="0" shapeId="0">
      <text>
        <t>Mue
Mue pour se soigner.</t>
      </text>
    </comment>
    <comment ref="C2079" authorId="0" shapeId="0">
      <text>
        <t>Mue
Mue pour se soigner.</t>
      </text>
    </comment>
    <comment ref="D2079" authorId="0" shapeId="0">
      <text>
        <t>Mue
Mue pour se soigner.</t>
      </text>
    </comment>
    <comment ref="E2079" authorId="0" shapeId="0">
      <text>
        <t>Mue
Mue pour se soigner.</t>
      </text>
    </comment>
    <comment ref="B2080" authorId="0" shapeId="0">
      <text>
        <t>Draco-Rage — Dragon, spéciale
Puissance 1 · Précision 100 % · 10 PP
Envoie des ondes de choc infligeant 40 PV de
dégâts.</t>
      </text>
    </comment>
    <comment ref="C2080" authorId="0" shapeId="0">
      <text>
        <t>Souplesse — Normal, physique
Puissance 80 · Précision 75 % · 20 PP
Fouette l'ennemi avec la queue, une liane,
etc.</t>
      </text>
    </comment>
    <comment ref="D2080" authorId="0" shapeId="0">
      <text>
        <t>Souplesse — Normal, physique
Puissance 80 · Précision 75 % · 20 PP
Fouette l'ennemi avec la queue, une liane,
etc.</t>
      </text>
    </comment>
    <comment ref="E2080" authorId="0" shapeId="0">
      <text>
        <t>Souplesse — Normal, physique
Puissance 80 · Précision 75 % · 20 PP
Fouette l'ennemi avec la queue, une liane,
etc.</t>
      </text>
    </comment>
    <comment ref="B2081" authorId="0" shapeId="0">
      <text>
        <t>Souplesse — Normal, physique
Puissance 80 · Précision 75 % · 20 PP
Fouette l'ennemi avec la queue, une liane,
etc.</t>
      </text>
    </comment>
    <comment ref="C2081" authorId="0" shapeId="0">
      <text>
        <t>Hâte — Psy, statut
30 PP
Relaxation du corps pour booster la Vitesse.</t>
      </text>
    </comment>
    <comment ref="D2081" authorId="0" shapeId="0">
      <text>
        <t>Hâte — Psy, statut
30 PP
Relaxation du corps pour booster la Vitesse.</t>
      </text>
    </comment>
    <comment ref="E2081" authorId="0" shapeId="0">
      <text>
        <t>Hâte — Psy, statut
30 PP
Relaxation du corps pour booster la Vitesse.</t>
      </text>
    </comment>
    <comment ref="B2082" authorId="0" shapeId="0">
      <text>
        <t>Hâte — Psy, statut
30 PP
Relaxation du corps pour booster la Vitesse.</t>
      </text>
    </comment>
    <comment ref="C2082" authorId="0" shapeId="0">
      <text>
        <t>Draco-Queue — Dragon, physique
Puissance 60 · Précision 90 % · 10 PP ·
Priorité -6</t>
      </text>
    </comment>
    <comment ref="D2082" authorId="0" shapeId="0">
      <text>
        <t>Draco-Queue — Dragon, physique
Puissance 60 · Précision 90 % · 10 PP ·
Priorité -6</t>
      </text>
    </comment>
    <comment ref="E2082" authorId="0" shapeId="0">
      <text>
        <t>Draco-Queue — Dragon, physique
Puissance 60 · Précision 90 % · 10 PP ·
Priorité -6</t>
      </text>
    </comment>
    <comment ref="B2083" authorId="0" shapeId="0">
      <text>
        <t>Draco-Queue — Dragon, physique
Puissance 60 · Précision 90 % · 10 PP ·
Priorité -6</t>
      </text>
    </comment>
    <comment ref="C2083" authorId="0" shapeId="0">
      <text>
        <t>Hydro-Queue — Eau, physique
Puissance 90 · Précision 90 % · 10 PP
Balaie l'ennemi de sa queue comme une vague.</t>
      </text>
    </comment>
    <comment ref="D2083" authorId="0" shapeId="0">
      <text>
        <t>Hydro-Queue — Eau, physique
Puissance 90 · Précision 90 % · 10 PP
Balaie l'ennemi de sa queue comme une vague.</t>
      </text>
    </comment>
    <comment ref="E2083" authorId="0" shapeId="0">
      <text>
        <t>Hydro-Queue — Eau, physique
Puissance 90 · Précision 90 % · 10 PP
Balaie l'ennemi de sa queue comme une vague.</t>
      </text>
    </comment>
    <comment ref="B2085" authorId="0" shapeId="0">
      <text>
        <t>LEVIATOR — Eau / Vol
PV 95 · Att 125 · Déf 79
Att.Spé 60 · Déf.Spé 100 · Vit 81
Total 540
Talents : Intimidation (caché : Impudence)</t>
      </text>
    </comment>
    <comment ref="C2085" authorId="0" shapeId="0">
      <text>
        <t>DRACO — Dragon
PV 61 · Att 84 · Déf 65
Att.Spé 70 · Déf.Spé 70 · Vit 70
Total 420
Talents : Mue (caché : Écaille Spéciale)</t>
      </text>
    </comment>
    <comment ref="D2085" authorId="0" shapeId="0">
      <text>
        <t>AQUALI — Eau
PV 130 · Att 65 · Déf 60
Att.Spé 110 · Déf.Spé 95 · Vit 65
Total 525
Talents : Absorbe-Eau, Absorbe-Eau (caché :
  Hydratation)</t>
      </text>
    </comment>
    <comment ref="B2088" authorId="0" shapeId="0">
      <text>
        <t>Intimidation
Baisse l'Attaque ennemie.</t>
      </text>
    </comment>
    <comment ref="C2088" authorId="0" shapeId="0">
      <text>
        <t>Mue
Mue pour se soigner.</t>
      </text>
    </comment>
    <comment ref="D2088" authorId="0" shapeId="0">
      <text>
        <t>Absorbe-Eau
Change l'eau en PV.</t>
      </text>
    </comment>
    <comment ref="B2089" authorId="0" shapeId="0">
      <text>
        <t>Grimace — Normal, statut
Précision 100 % · 10 PP
Effraie avec une grimace pour baisser la
Vitesse.</t>
      </text>
    </comment>
    <comment ref="C2089" authorId="0" shapeId="0">
      <text>
        <t>Souplesse — Normal, physique
Puissance 80 · Précision 75 % · 20 PP
Fouette l'ennemi avec la queue, une liane,
etc.</t>
      </text>
    </comment>
    <comment ref="D2089" authorId="0" shapeId="0">
      <text>
        <t>Acidarmure — Poison, statut
20 PP
Liquéfie le corps du lanceur et booste sa
Défense.</t>
      </text>
    </comment>
    <comment ref="B2090" authorId="0" shapeId="0">
      <text>
        <t>Draco-Rage — Dragon, spéciale
Puissance 1 · Précision 100 % · 10 PP
Envoie des ondes de choc infligeant 40 PV de
dégâts.</t>
      </text>
    </comment>
    <comment ref="C2090" authorId="0" shapeId="0">
      <text>
        <t>Hâte — Psy, statut
30 PP
Relaxation du corps pour booster la Vitesse.</t>
      </text>
    </comment>
    <comment ref="D2090" authorId="0" shapeId="0">
      <text>
        <t>Buée Noire — Glace, statut
30 PP
Crée un nuage noir annulant tout changement
d'état.</t>
      </text>
    </comment>
    <comment ref="B2091" authorId="0" shapeId="0">
      <text>
        <t>Mâchouille — Ténèbres, physique
Puissance 80 · Précision 100 % · 15 PP</t>
      </text>
    </comment>
    <comment ref="C2091" authorId="0" shapeId="0">
      <text>
        <t>Draco-Queue — Dragon, physique
Puissance 60 · Précision 90 % · 10 PP ·
Priorité -6</t>
      </text>
    </comment>
    <comment ref="D2091" authorId="0" shapeId="0">
      <text>
        <t>Ocroupi — Eau, spéciale
Puissance 90 · Précision 85 % · 10 PP
Attaque d'eau croupie. Peut baisser la
précision.</t>
      </text>
    </comment>
    <comment ref="B2092" authorId="0" shapeId="0">
      <text>
        <t>Hydrocanon — Eau, spéciale
Puissance 110 · Précision 80 % · 5 PP
Envoie un puissant jet d'eau pour frapper
l'ennemi.</t>
      </text>
    </comment>
    <comment ref="C2092" authorId="0" shapeId="0">
      <text>
        <t>Hydro-Queue — Eau, physique
Puissance 90 · Précision 90 % · 10 PP
Balaie l'ennemi de sa queue comme une vague.</t>
      </text>
    </comment>
    <comment ref="D2092" authorId="0" shapeId="0">
      <text>
        <t>Dernier Recours — Normal, physique
Puissance 140 · Précision 100 % · 5 PP
Utilisable après toutes les autres capacités.</t>
      </text>
    </comment>
    <comment ref="B2094" authorId="0" shapeId="0">
      <text>
        <t>DRACO — Dragon
PV 61 · Att 84 · Déf 65
Att.Spé 70 · Déf.Spé 70 · Vit 70
Total 420
Talents : Mue (caché : Écaille Spéciale)</t>
      </text>
    </comment>
    <comment ref="C2094" authorId="0" shapeId="0">
      <text>
        <t>DEMANTA — Eau / Vol
PV 85 · Att 40 · Déf 70
Att.Spé 80 · Déf.Spé 140 · Vit 70
Total 485
Talents : Glissade, Absorbe-Eau (caché :
  Ignifu-Voile)</t>
      </text>
    </comment>
    <comment ref="D2094" authorId="0" shapeId="0">
      <text>
        <t>LANTURN — Eau / Électrik
PV 125 · Att 58 · Déf 58
Att.Spé 76 · Déf.Spé 76 · Vit 67
Total 460
Talents : Absorbe-Volt, Lumiattirance (caché :
  Absorbe-Eau)</t>
      </text>
    </comment>
    <comment ref="E2094" authorId="0" shapeId="0">
      <text>
        <t>DRACO — Dragon
PV 61 · Att 84 · Déf 65
Att.Spé 70 · Déf.Spé 70 · Vit 70
Total 420
Talents : Mue (caché : Écaille Spéciale)</t>
      </text>
    </comment>
    <comment ref="B2097" authorId="0" shapeId="0">
      <text>
        <t>Mue
Mue pour se soigner.</t>
      </text>
    </comment>
    <comment ref="C2097" authorId="0" shapeId="0">
      <text>
        <t>Glissade
Monte Vitesse s'il pleut.</t>
      </text>
    </comment>
    <comment ref="D2097" authorId="0" shapeId="0">
      <text>
        <t>Absorbe-Volt
Change l'électricité en PV.</t>
      </text>
    </comment>
    <comment ref="E2097" authorId="0" shapeId="0">
      <text>
        <t>Mue
Mue pour se soigner.</t>
      </text>
    </comment>
    <comment ref="B2098" authorId="0" shapeId="0">
      <text>
        <t>Souplesse — Normal, physique
Puissance 80 · Précision 75 % · 20 PP
Fouette l'ennemi avec la queue, une liane,
etc.</t>
      </text>
    </comment>
    <comment ref="C2098" authorId="0" shapeId="0">
      <text>
        <t>Bélier — Normal, physique
Puissance 90 · Précision 85 % · 20 PP
Une charge violente qui blesse aussi le
lanceur.</t>
      </text>
    </comment>
    <comment ref="D2098" authorId="0" shapeId="0">
      <text>
        <t>Étincelle — Électrik, physique
Puissance 65 · Précision 100 % · 20 PP
Une charge électrique qui peut paralyser
l'ennemi.</t>
      </text>
    </comment>
    <comment ref="E2098" authorId="0" shapeId="0">
      <text>
        <t>Souplesse — Normal, physique
Puissance 80 · Précision 75 % · 20 PP
Fouette l'ennemi avec la queue, une liane,
etc.</t>
      </text>
    </comment>
    <comment ref="B2099" authorId="0" shapeId="0">
      <text>
        <t>Hâte — Psy, statut
30 PP
Relaxation du corps pour booster la Vitesse.</t>
      </text>
    </comment>
    <comment ref="C2099" authorId="0" shapeId="0">
      <text>
        <t>Hâte — Psy, statut
30 PP
Relaxation du corps pour booster la Vitesse.</t>
      </text>
    </comment>
    <comment ref="D2099" authorId="0" shapeId="0">
      <text>
        <t>Rayon Signal — Insecte, spéciale
Puissance 75 · Précision 100 % · 15 PP
Un étrange rayon qui peut rendre l'ennemi
confus.</t>
      </text>
    </comment>
    <comment ref="E2099" authorId="0" shapeId="0">
      <text>
        <t>Hâte — Psy, statut
30 PP
Relaxation du corps pour booster la Vitesse.</t>
      </text>
    </comment>
    <comment ref="B2100" authorId="0" shapeId="0">
      <text>
        <t>Draco-Queue — Dragon, physique
Puissance 60 · Précision 90 % · 10 PP ·
Priorité -6</t>
      </text>
    </comment>
    <comment ref="C2100" authorId="0" shapeId="0">
      <text>
        <t>Lame d'Air — Vol, spéciale
Puissance 75 · Précision 95 % · 15 PP
Une lame d'air. Peut apeurer l'ennemi.</t>
      </text>
    </comment>
    <comment ref="D2100" authorId="0" shapeId="0">
      <text>
        <t>Gigotage — Normal, physique
Puissance 1 · Précision 100 % · 15 PP
Inflige plus de dégâts si les PV du lanceur
sont faibles.</t>
      </text>
    </comment>
    <comment ref="E2100" authorId="0" shapeId="0">
      <text>
        <t>Draco-Queue — Dragon, physique
Puissance 60 · Précision 90 % · 10 PP ·
Priorité -6</t>
      </text>
    </comment>
    <comment ref="B2101" authorId="0" shapeId="0">
      <text>
        <t>Hydro-Queue — Eau, physique
Puissance 90 · Précision 90 % · 10 PP
Balaie l'ennemi de sa queue comme une vague.</t>
      </text>
    </comment>
    <comment ref="C2101" authorId="0" shapeId="0">
      <text>
        <t>Anneau Hydro — Eau, statut
20 PP
Un voile d'eau qui restaure des PV.</t>
      </text>
    </comment>
    <comment ref="D2101" authorId="0" shapeId="0">
      <text>
        <t>Coup d'Jus — Électrik, spéciale
Puissance 80 · Précision 100 % · 15 PP
Électrocute tous les autres {PKMN}. Peut
paralyser.</t>
      </text>
    </comment>
    <comment ref="E2101" authorId="0" shapeId="0">
      <text>
        <t>Hydro-Queue — Eau, physique
Puissance 90 · Précision 90 % · 10 PP
Balaie l'ennemi de sa queue comme une vague.</t>
      </text>
    </comment>
    <comment ref="B2103" authorId="0" shapeId="0">
      <text>
        <t>DRACO — Dragon
PV 61 · Att 84 · Déf 65
Att.Spé 70 · Déf.Spé 70 · Vit 70
Total 420
Talents : Mue (caché : Écaille Spéciale)</t>
      </text>
    </comment>
    <comment ref="C2103" authorId="0" shapeId="0">
      <text>
        <t>LEVIATOR — Eau / Vol
PV 95 · Att 125 · Déf 79
Att.Spé 60 · Déf.Spé 100 · Vit 81
Total 540
Talents : Intimidation (caché : Impudence)</t>
      </text>
    </comment>
    <comment ref="D2103" authorId="0" shapeId="0">
      <text>
        <t>LOKHLASS — Eau / Glace
PV 130 · Att 85 · Déf 80
Att.Spé 85 · Déf.Spé 95 · Vit 60
Total 535
Talents : Absorbe-Eau, Coque Armure (caché :
  Hydratation)</t>
      </text>
    </comment>
    <comment ref="E2103" authorId="0" shapeId="0">
      <text>
        <t>DEUSOLOURDO — Normal
PV 125 · Att 100 · Déf 80
Att.Spé 85 · Déf.Spé 75 · Vit 55
Total 520
Talents : Sérénité, Fuite (caché : Phobique)</t>
      </text>
    </comment>
    <comment ref="F2103" authorId="0" shapeId="0">
      <text>
        <t>HYPOROI — Eau / Dragon
PV 75 · Att 95 · Déf 95
Att.Spé 95 · Déf.Spé 95 · Vit 85
Total 540
Talents : Glissade, Sniper (caché : Moiteur)</t>
      </text>
    </comment>
    <comment ref="C2105" authorId="0" shapeId="0">
      <text>
        <t>Bandeau
Objet tenu pouvant parfois empêcher d'être mis
KO.</t>
      </text>
    </comment>
    <comment ref="D2105" authorId="0" shapeId="0">
      <text>
        <t>Baie Maron
Objet tenu qui réveille les {PKMN} dormant au
combat.</t>
      </text>
    </comment>
    <comment ref="E2105" authorId="0" shapeId="0">
      <text>
        <t>Baie Sitrus
Objet tenu qui restaure 30 PV pendant un
combat.</t>
      </text>
    </comment>
    <comment ref="F2105" authorId="0" shapeId="0">
      <text>
        <t>Restes
Objet tenu permet- tant de restaurer les PV au
combat.</t>
      </text>
    </comment>
    <comment ref="B2106" authorId="0" shapeId="0">
      <text>
        <t>Mue
Mue pour se soigner.</t>
      </text>
    </comment>
    <comment ref="C2106" authorId="0" shapeId="0">
      <text>
        <t>Intimidation
Baisse l'Attaque ennemie.</t>
      </text>
    </comment>
    <comment ref="D2106" authorId="0" shapeId="0">
      <text>
        <t>Absorbe-Eau
Change l'eau en PV.</t>
      </text>
    </comment>
    <comment ref="E2106" authorId="0" shapeId="0">
      <text>
        <t>Sérénité
Favorise le cumul d'effets.</t>
      </text>
    </comment>
    <comment ref="F2106" authorId="0" shapeId="0">
      <text>
        <t>Glissade
Monte Vitesse s'il pleut.</t>
      </text>
    </comment>
    <comment ref="B2107" authorId="0" shapeId="0">
      <text>
        <t>Cage Éclair — Électrik, statut
Précision 90 % · 20 PP
Un faible choc électrique qui paralyse
l'ennemi.</t>
      </text>
    </comment>
    <comment ref="C2107" authorId="0" shapeId="0">
      <text>
        <t>Morsure — Ténèbres, physique
Puissance 60 · Précision 100 % · 25 PP
Mord méchamment l'ennemi et peut l'apeurer.</t>
      </text>
    </comment>
    <comment ref="D2107" authorId="0" shapeId="0">
      <text>
        <t>Saumure — Eau, spéciale
Puissance 65 · Précision 100 % · 10 PP
Double les dégâts si l'ennemi a mi-PV ou
moins.</t>
      </text>
    </comment>
    <comment ref="E2107" authorId="0" shapeId="0">
      <text>
        <t>Regard Médusant — Normal, statut
Précision 100 % · 30 PP
Intimide l'ennemi et le paralyse de terreur.</t>
      </text>
    </comment>
    <comment ref="F2107" authorId="0" shapeId="0">
      <text>
        <t>Hâte — Psy, statut
30 PP
Relaxation du corps pour booster la Vitesse.</t>
      </text>
    </comment>
    <comment ref="B2108" authorId="0" shapeId="0">
      <text>
        <t>Tonnerre — Électrik, spéciale
Puissance 90 · Précision 100 % · 15 PP
Forte attaque électrique pouvant paralyser
l'ennemi.</t>
      </text>
    </comment>
    <comment ref="C2108" authorId="0" shapeId="0">
      <text>
        <t>Cascade — Eau, physique
Puissance 80 · Précision 100 % · 15 PP
Charge rapide permettant de franchir des
cascades.</t>
      </text>
    </comment>
    <comment ref="D2108" authorId="0" shapeId="0">
      <text>
        <t>Laser Glace — Glace, spéciale
Puissance 90 · Précision 100 % · 10 PP</t>
      </text>
    </comment>
    <comment ref="E2108" authorId="0" shapeId="0">
      <text>
        <t>Pouvoir Antique — Roche, spéciale
Puissance 60 · Précision 100 % · 5 PP
Une attaque pouvant augmenter toutes les
stats.</t>
      </text>
    </comment>
    <comment ref="F2108" authorId="0" shapeId="0">
      <text>
        <t>Surf — Eau, spéciale
Puissance 90 · Précision 100 % · 15 PP</t>
      </text>
    </comment>
    <comment ref="B2109" authorId="0" shapeId="0">
      <text>
        <t>Lance-Flammes — Feu, spéciale
Puissance 90 · Précision 100 % · 15 PP
Une puissante attaque de feu pouvant brûler
l'ennemi.</t>
      </text>
    </comment>
    <comment ref="C2109" authorId="0" shapeId="0">
      <text>
        <t>Vol — Vol, physique
Puissance 90 · Précision 95 % · 15 PP
S'envole au premier tour et frappe au second.</t>
      </text>
    </comment>
    <comment ref="D2109" authorId="0" shapeId="0">
      <text>
        <t>Plaquage — Normal, physique
Puissance 85 · Précision 100 % · 15 PP
Une attaque en charge. Peut paralyser
l'ennemi.</t>
      </text>
    </comment>
    <comment ref="E2109" authorId="0" shapeId="0">
      <text>
        <t>Repos — Psy, statut
5 PP
Le lanceur dort 2 tours et regagne PV et
statut.</t>
      </text>
    </comment>
    <comment ref="F2109" authorId="0" shapeId="0">
      <text>
        <t>Ultralaser — Normal, spéciale
Puissance 150 · Précision 90 % · 5 PP</t>
      </text>
    </comment>
    <comment ref="B2110" authorId="0" shapeId="0">
      <text>
        <t>Draco-Queue — Dragon, physique
Puissance 60 · Précision 90 % · 10 PP ·
Priorité -6</t>
      </text>
    </comment>
    <comment ref="C2110" authorId="0" shapeId="0">
      <text>
        <t>Crocs Givre — Glace, physique
Puissance 65 · Précision 95 % · 15 PP</t>
      </text>
    </comment>
    <comment ref="D2110" authorId="0" shapeId="0">
      <text>
        <t>Repos — Psy, statut
5 PP
Le lanceur dort 2 tours et regagne PV et
statut.</t>
      </text>
    </comment>
    <comment ref="E2110" authorId="0" shapeId="0">
      <text>
        <t>Direct Toxik — Poison, physique
Puissance 80 · Précision 100 % · 20 PP
Un coup perforant qui peut empoisonner.</t>
      </text>
    </comment>
    <comment ref="F2110" authorId="0" shapeId="0">
      <text>
        <t>Draco-Choc — Dragon, spéciale
Puissance 85 · Précision 100 % · 10 PP
Une onde de choc qui blesse l'ennemi.</t>
      </text>
    </comment>
    <comment ref="B2113" authorId="0" shapeId="0">
      <text>
        <t>DRACO — Dragon
PV 61 · Att 84 · Déf 65
Att.Spé 70 · Déf.Spé 70 · Vit 70
Total 420
Talents : Mue (caché : Écaille Spéciale)</t>
      </text>
    </comment>
    <comment ref="C2113" authorId="0" shapeId="0">
      <text>
        <t>DRACO — Dragon
PV 61 · Att 84 · Déf 65
Att.Spé 70 · Déf.Spé 70 · Vit 70
Total 420
Talents : Mue (caché : Écaille Spéciale)</t>
      </text>
    </comment>
    <comment ref="D2113" authorId="0" shapeId="0">
      <text>
        <t>DRACO — Dragon
PV 61 · Att 84 · Déf 65
Att.Spé 70 · Déf.Spé 70 · Vit 70
Total 420
Talents : Mue (caché : Écaille Spéciale)</t>
      </text>
    </comment>
    <comment ref="E2113" authorId="0" shapeId="0">
      <text>
        <t>DRACO — Dragon
PV 61 · Att 84 · Déf 65
Att.Spé 70 · Déf.Spé 70 · Vit 70
Total 420
Talents : Mue (caché : Écaille Spéciale)</t>
      </text>
    </comment>
    <comment ref="B2116" authorId="0" shapeId="0">
      <text>
        <t>Mue
Mue pour se soigner.</t>
      </text>
    </comment>
    <comment ref="C2116" authorId="0" shapeId="0">
      <text>
        <t>Mue
Mue pour se soigner.</t>
      </text>
    </comment>
    <comment ref="D2116" authorId="0" shapeId="0">
      <text>
        <t>Mue
Mue pour se soigner.</t>
      </text>
    </comment>
    <comment ref="E2116" authorId="0" shapeId="0">
      <text>
        <t>Mue
Mue pour se soigner.</t>
      </text>
    </comment>
    <comment ref="B2117" authorId="0" shapeId="0">
      <text>
        <t>Souplesse — Normal, physique
Puissance 80 · Précision 75 % · 20 PP
Fouette l'ennemi avec la queue, une liane,
etc.</t>
      </text>
    </comment>
    <comment ref="C2117" authorId="0" shapeId="0">
      <text>
        <t>Souplesse — Normal, physique
Puissance 80 · Précision 75 % · 20 PP
Fouette l'ennemi avec la queue, une liane,
etc.</t>
      </text>
    </comment>
    <comment ref="D2117" authorId="0" shapeId="0">
      <text>
        <t>Souplesse — Normal, physique
Puissance 80 · Précision 75 % · 20 PP
Fouette l'ennemi avec la queue, une liane,
etc.</t>
      </text>
    </comment>
    <comment ref="E2117" authorId="0" shapeId="0">
      <text>
        <t>Souplesse — Normal, physique
Puissance 80 · Précision 75 % · 20 PP
Fouette l'ennemi avec la queue, une liane,
etc.</t>
      </text>
    </comment>
    <comment ref="B2118" authorId="0" shapeId="0">
      <text>
        <t>Hâte — Psy, statut
30 PP
Relaxation du corps pour booster la Vitesse.</t>
      </text>
    </comment>
    <comment ref="C2118" authorId="0" shapeId="0">
      <text>
        <t>Hâte — Psy, statut
30 PP
Relaxation du corps pour booster la Vitesse.</t>
      </text>
    </comment>
    <comment ref="D2118" authorId="0" shapeId="0">
      <text>
        <t>Hâte — Psy, statut
30 PP
Relaxation du corps pour booster la Vitesse.</t>
      </text>
    </comment>
    <comment ref="E2118" authorId="0" shapeId="0">
      <text>
        <t>Hâte — Psy, statut
30 PP
Relaxation du corps pour booster la Vitesse.</t>
      </text>
    </comment>
    <comment ref="B2119" authorId="0" shapeId="0">
      <text>
        <t>Draco-Queue — Dragon, physique
Puissance 60 · Précision 90 % · 10 PP ·
Priorité -6</t>
      </text>
    </comment>
    <comment ref="C2119" authorId="0" shapeId="0">
      <text>
        <t>Draco-Queue — Dragon, physique
Puissance 60 · Précision 90 % · 10 PP ·
Priorité -6</t>
      </text>
    </comment>
    <comment ref="D2119" authorId="0" shapeId="0">
      <text>
        <t>Draco-Queue — Dragon, physique
Puissance 60 · Précision 90 % · 10 PP ·
Priorité -6</t>
      </text>
    </comment>
    <comment ref="E2119" authorId="0" shapeId="0">
      <text>
        <t>Draco-Queue — Dragon, physique
Puissance 60 · Précision 90 % · 10 PP ·
Priorité -6</t>
      </text>
    </comment>
    <comment ref="B2120" authorId="0" shapeId="0">
      <text>
        <t>Hydro-Queue — Eau, physique
Puissance 90 · Précision 90 % · 10 PP
Balaie l'ennemi de sa queue comme une vague.</t>
      </text>
    </comment>
    <comment ref="C2120" authorId="0" shapeId="0">
      <text>
        <t>Hydro-Queue — Eau, physique
Puissance 90 · Précision 90 % · 10 PP
Balaie l'ennemi de sa queue comme une vague.</t>
      </text>
    </comment>
    <comment ref="D2120" authorId="0" shapeId="0">
      <text>
        <t>Hydro-Queue — Eau, physique
Puissance 90 · Précision 90 % · 10 PP
Balaie l'ennemi de sa queue comme une vague.</t>
      </text>
    </comment>
    <comment ref="E2120" authorId="0" shapeId="0">
      <text>
        <t>Hydro-Queue — Eau, physique
Puissance 90 · Précision 90 % · 10 PP
Balaie l'ennemi de sa queue comme une vague.</t>
      </text>
    </comment>
    <comment ref="B2122" authorId="0" shapeId="0">
      <text>
        <t>HYPOCEAN — Eau
PV 55 · Att 65 · Déf 95
Att.Spé 95 · Déf.Spé 45 · Vit 85
Total 440
Talents : Point Poison, Sniper (caché :
  Moiteur)</t>
      </text>
    </comment>
    <comment ref="C2122" authorId="0" shapeId="0">
      <text>
        <t>HYPOCEAN — Eau
PV 55 · Att 65 · Déf 95
Att.Spé 95 · Déf.Spé 45 · Vit 85
Total 440
Talents : Point Poison, Sniper (caché :
  Moiteur)</t>
      </text>
    </comment>
    <comment ref="D2122" authorId="0" shapeId="0">
      <text>
        <t>LEVIATOR — Eau / Vol
PV 95 · Att 125 · Déf 79
Att.Spé 60 · Déf.Spé 100 · Vit 81
Total 540
Talents : Intimidation (caché : Impudence)</t>
      </text>
    </comment>
    <comment ref="B2125" authorId="0" shapeId="0">
      <text>
        <t>Point Poison
Empoisonne quand touché.</t>
      </text>
    </comment>
    <comment ref="C2125" authorId="0" shapeId="0">
      <text>
        <t>Point Poison
Empoisonne quand touché.</t>
      </text>
    </comment>
    <comment ref="D2125" authorId="0" shapeId="0">
      <text>
        <t>Intimidation
Baisse l'Attaque ennemie.</t>
      </text>
    </comment>
    <comment ref="B2126" authorId="0" shapeId="0">
      <text>
        <t>Bulles d'O — Eau, spéciale
Puissance 65 · Précision 100 % · 20 PP
Envoie des bulles pouvant baisser la Vitesse.</t>
      </text>
    </comment>
    <comment ref="C2126" authorId="0" shapeId="0">
      <text>
        <t>Bulles d'O — Eau, spéciale
Puissance 65 · Précision 100 % · 20 PP
Envoie des bulles pouvant baisser la Vitesse.</t>
      </text>
    </comment>
    <comment ref="D2126" authorId="0" shapeId="0">
      <text>
        <t>Grimace — Normal, statut
Précision 100 % · 10 PP
Effraie avec une grimace pour baisser la
Vitesse.</t>
      </text>
    </comment>
    <comment ref="B2127" authorId="0" shapeId="0">
      <text>
        <t>Puissance — Normal, statut
30 PP
Concentration pour booster le taux de
critiques.</t>
      </text>
    </comment>
    <comment ref="C2127" authorId="0" shapeId="0">
      <text>
        <t>Puissance — Normal, statut
30 PP
Concentration pour booster le taux de
critiques.</t>
      </text>
    </comment>
    <comment ref="D2127" authorId="0" shapeId="0">
      <text>
        <t>Draco-Rage — Dragon, spéciale
Puissance 1 · Précision 100 % · 10 PP
Envoie des ondes de choc infligeant 40 PV de
dégâts.</t>
      </text>
    </comment>
    <comment ref="B2128" authorId="0" shapeId="0">
      <text>
        <t>Saumure — Eau, spéciale
Puissance 65 · Précision 100 % · 10 PP
Double les dégâts si l'ennemi a mi-PV ou
moins.</t>
      </text>
    </comment>
    <comment ref="C2128" authorId="0" shapeId="0">
      <text>
        <t>Saumure — Eau, spéciale
Puissance 65 · Précision 100 % · 10 PP
Double les dégâts si l'ennemi a mi-PV ou
moins.</t>
      </text>
    </comment>
    <comment ref="D2128" authorId="0" shapeId="0">
      <text>
        <t>Mâchouille — Ténèbres, physique
Puissance 80 · Précision 100 % · 15 PP</t>
      </text>
    </comment>
    <comment ref="B2129" authorId="0" shapeId="0">
      <text>
        <t>Hâte — Psy, statut
30 PP
Relaxation du corps pour booster la Vitesse.</t>
      </text>
    </comment>
    <comment ref="C2129" authorId="0" shapeId="0">
      <text>
        <t>Hâte — Psy, statut
30 PP
Relaxation du corps pour booster la Vitesse.</t>
      </text>
    </comment>
    <comment ref="D2129" authorId="0" shapeId="0">
      <text>
        <t>Hydrocanon — Eau, spéciale
Puissance 110 · Précision 80 % · 5 PP
Envoie un puissant jet d'eau pour frapper
l'ennemi.</t>
      </text>
    </comment>
    <comment ref="B2131" authorId="0" shapeId="0">
      <text>
        <t>DRACO — Dragon
PV 61 · Att 84 · Déf 65
Att.Spé 70 · Déf.Spé 70 · Vit 70
Total 420
Talents : Mue (caché : Écaille Spéciale)</t>
      </text>
    </comment>
    <comment ref="C2131" authorId="0" shapeId="0">
      <text>
        <t>LEVIATOR — Eau / Vol
PV 95 · Att 125 · Déf 79
Att.Spé 60 · Déf.Spé 100 · Vit 81
Total 540
Talents : Intimidation (caché : Impudence)</t>
      </text>
    </comment>
    <comment ref="D2131" authorId="0" shapeId="0">
      <text>
        <t>DRACO — Dragon
PV 61 · Att 84 · Déf 65
Att.Spé 70 · Déf.Spé 70 · Vit 70
Total 420
Talents : Mue (caché : Écaille Spéciale)</t>
      </text>
    </comment>
    <comment ref="E2131" authorId="0" shapeId="0">
      <text>
        <t>LEVIATOR — Eau / Vol
PV 95 · Att 125 · Déf 79
Att.Spé 60 · Déf.Spé 100 · Vit 81
Total 540
Talents : Intimidation (caché : Impudence)</t>
      </text>
    </comment>
    <comment ref="B2134" authorId="0" shapeId="0">
      <text>
        <t>Mue
Mue pour se soigner.</t>
      </text>
    </comment>
    <comment ref="C2134" authorId="0" shapeId="0">
      <text>
        <t>Intimidation
Baisse l'Attaque ennemie.</t>
      </text>
    </comment>
    <comment ref="D2134" authorId="0" shapeId="0">
      <text>
        <t>Mue
Mue pour se soigner.</t>
      </text>
    </comment>
    <comment ref="E2134" authorId="0" shapeId="0">
      <text>
        <t>Intimidation
Baisse l'Attaque ennemie.</t>
      </text>
    </comment>
    <comment ref="B2135" authorId="0" shapeId="0">
      <text>
        <t>Souplesse — Normal, physique
Puissance 80 · Précision 75 % · 20 PP
Fouette l'ennemi avec la queue, une liane,
etc.</t>
      </text>
    </comment>
    <comment ref="C2135" authorId="0" shapeId="0">
      <text>
        <t>Grimace — Normal, statut
Précision 100 % · 10 PP
Effraie avec une grimace pour baisser la
Vitesse.</t>
      </text>
    </comment>
    <comment ref="D2135" authorId="0" shapeId="0">
      <text>
        <t>Souplesse — Normal, physique
Puissance 80 · Précision 75 % · 20 PP
Fouette l'ennemi avec la queue, une liane,
etc.</t>
      </text>
    </comment>
    <comment ref="E2135" authorId="0" shapeId="0">
      <text>
        <t>Grimace — Normal, statut
Précision 100 % · 10 PP
Effraie avec une grimace pour baisser la
Vitesse.</t>
      </text>
    </comment>
    <comment ref="B2136" authorId="0" shapeId="0">
      <text>
        <t>Hâte — Psy, statut
30 PP
Relaxation du corps pour booster la Vitesse.</t>
      </text>
    </comment>
    <comment ref="C2136" authorId="0" shapeId="0">
      <text>
        <t>Draco-Rage — Dragon, spéciale
Puissance 1 · Précision 100 % · 10 PP
Envoie des ondes de choc infligeant 40 PV de
dégâts.</t>
      </text>
    </comment>
    <comment ref="D2136" authorId="0" shapeId="0">
      <text>
        <t>Hâte — Psy, statut
30 PP
Relaxation du corps pour booster la Vitesse.</t>
      </text>
    </comment>
    <comment ref="E2136" authorId="0" shapeId="0">
      <text>
        <t>Draco-Rage — Dragon, spéciale
Puissance 1 · Précision 100 % · 10 PP
Envoie des ondes de choc infligeant 40 PV de
dégâts.</t>
      </text>
    </comment>
    <comment ref="B2137" authorId="0" shapeId="0">
      <text>
        <t>Draco-Queue — Dragon, physique
Puissance 60 · Précision 90 % · 10 PP ·
Priorité -6</t>
      </text>
    </comment>
    <comment ref="C2137" authorId="0" shapeId="0">
      <text>
        <t>Mâchouille — Ténèbres, physique
Puissance 80 · Précision 100 % · 15 PP</t>
      </text>
    </comment>
    <comment ref="D2137" authorId="0" shapeId="0">
      <text>
        <t>Draco-Queue — Dragon, physique
Puissance 60 · Précision 90 % · 10 PP ·
Priorité -6</t>
      </text>
    </comment>
    <comment ref="E2137" authorId="0" shapeId="0">
      <text>
        <t>Mâchouille — Ténèbres, physique
Puissance 80 · Précision 100 % · 15 PP</t>
      </text>
    </comment>
    <comment ref="B2138" authorId="0" shapeId="0">
      <text>
        <t>Hydro-Queue — Eau, physique
Puissance 90 · Précision 90 % · 10 PP
Balaie l'ennemi de sa queue comme une vague.</t>
      </text>
    </comment>
    <comment ref="C2138" authorId="0" shapeId="0">
      <text>
        <t>Hydrocanon — Eau, spéciale
Puissance 110 · Précision 80 % · 5 PP
Envoie un puissant jet d'eau pour frapper
l'ennemi.</t>
      </text>
    </comment>
    <comment ref="D2138" authorId="0" shapeId="0">
      <text>
        <t>Hydro-Queue — Eau, physique
Puissance 90 · Précision 90 % · 10 PP
Balaie l'ennemi de sa queue comme une vague.</t>
      </text>
    </comment>
    <comment ref="E2138" authorId="0" shapeId="0">
      <text>
        <t>Hydrocanon — Eau, spéciale
Puissance 110 · Précision 80 % · 5 PP
Envoie un puissant jet d'eau pour frapper
l'ennemi.</t>
      </text>
    </comment>
    <comment ref="B2141" authorId="0" shapeId="0">
      <text>
        <t>MACHOPEUR — Combat
PV 80 · Att 100 · Déf 70
Att.Spé 50 · Déf.Spé 60 · Vit 45
Total 405
Talents : Cran, Annule Garde (caché :
  Impassible)</t>
      </text>
    </comment>
    <comment ref="C2141" authorId="0" shapeId="0">
      <text>
        <t>GROLEM — Roche / Sol
PV 80 · Att 120 · Déf 130
Att.Spé 55 · Déf.Spé 65 · Vit 45
Total 495
Talents : Tête de Roc, Fermeté (caché : Voile
  Sable)</t>
      </text>
    </comment>
    <comment ref="D2141" authorId="0" shapeId="0">
      <text>
        <t>KANGOUREX — Normal
PV 105 · Att 95 · Déf 80
Att.Spé 40 · Déf.Spé 80 · Vit 90
Total 490
Talents : Matinal, Querelleur (caché :
  Attention)</t>
      </text>
    </comment>
    <comment ref="B2144" authorId="0" shapeId="0">
      <text>
        <t>Cran
Monte l'Attaque si statut.</t>
      </text>
    </comment>
    <comment ref="C2144" authorId="0" shapeId="0">
      <text>
        <t>Tête de Roc
Empêche dégâts du recul.</t>
      </text>
    </comment>
    <comment ref="D2144" authorId="0" shapeId="0">
      <text>
        <t>Matinal
Se réveille rapidement.</t>
      </text>
    </comment>
    <comment ref="B2145" authorId="0" shapeId="0">
      <text>
        <t>Corps Perdu — Combat, physique
Puissance 70 · Ne rate jamais · 10 PP ·
Priorité -1
Attaque après l'ennemi, mais n'échoue jamais.</t>
      </text>
    </comment>
    <comment ref="C2145" authorId="0" shapeId="0">
      <text>
        <t>Piétisol — Sol, physique
Puissance 60 · Précision 100 % · 20 PP
Piétine le sol. Touche tout et baisse la Vit.</t>
      </text>
    </comment>
    <comment ref="D2145" authorId="0" shapeId="0">
      <text>
        <t>Ultimapoing — Normal, physique
Puissance 80 · Précision 85 % · 20 PP
Un coup de poing d'une puissance incroyable.</t>
      </text>
    </comment>
    <comment ref="B2146" authorId="0" shapeId="0">
      <text>
        <t>Réveil Forcé — Combat, physique
Puissance 70 · Précision 100 % · 10 PP
Puissant sur un dormeur. Le réveille aussi.</t>
      </text>
    </comment>
    <comment ref="C2146" authorId="0" shapeId="0">
      <text>
        <t>Destruction — Normal, physique
Puissance 200 · Précision 100 % · 5 PP
Inflige de sérieux dégâts, mais met le lanceur
KO.</t>
      </text>
    </comment>
    <comment ref="D2146" authorId="0" shapeId="0">
      <text>
        <t>Attrition — Normal, physique
Puissance 70 · Précision 100 % · 20 PP</t>
      </text>
    </comment>
    <comment ref="B2147" authorId="0" shapeId="0">
      <text>
        <t>Double Baffe — Dragon, physique
Puissance 40 · Précision 90 % · 15 PP
Des coups brutaux qui frappent deux fois.</t>
      </text>
    </comment>
    <comment ref="C2147" authorId="0" shapeId="0">
      <text>
        <t>Piège de Roc — Roche, statut
20 PP
Des pierres qui blessent l'ennemi à l'arrivée.</t>
      </text>
    </comment>
    <comment ref="D2147" authorId="0" shapeId="0">
      <text>
        <t>Uppercut — Normal, physique
Puissance 70 · Précision 100 % · 10 PP
Un coup de poing cadencé. Peut rendre confus.</t>
      </text>
    </comment>
    <comment ref="B2148" authorId="0" shapeId="0">
      <text>
        <t>Sacrifice — Combat, physique
Puissance 80 · Précision 80 % · 20 PP
Une charge violente qui blesse aussi le
lanceur.</t>
      </text>
    </comment>
    <comment ref="C2148" authorId="0" shapeId="0">
      <text>
        <t>Boule Roc — Roche, physique
Puissance 25 · Précision 90 % · 10 PP
Projette des rochers sur l'ennemi 2 à 5 fois
de suite.</t>
      </text>
    </comment>
    <comment ref="D2148" authorId="0" shapeId="0">
      <text>
        <t>Mâchouille — Ténèbres, physique
Puissance 80 · Précision 100 % · 15 PP</t>
      </text>
    </comment>
    <comment ref="B2150" authorId="0" shapeId="0">
      <text>
        <t>RHINOCORNE — Sol / Roche
PV 80 · Att 85 · Déf 95
Att.Spé 30 · Déf.Spé 30 · Vit 25
Total 345
Talents : Paratonnerre, Tête de Roc (caché :
  Téméraire)</t>
      </text>
    </comment>
    <comment ref="C2150" authorId="0" shapeId="0">
      <text>
        <t>DONPHAN — Sol
PV 90 · Att 120 · Déf 120
Att.Spé 60 · Déf.Spé 60 · Vit 50
Total 500
Talents : Fermeté (caché : Voile Sable)</t>
      </text>
    </comment>
    <comment ref="D2150" authorId="0" shapeId="0">
      <text>
        <t>GROLEM — Roche / Sol
PV 80 · Att 120 · Déf 130
Att.Spé 55 · Déf.Spé 65 · Vit 45
Total 495
Talents : Tête de Roc, Fermeté (caché : Voile
  Sable)</t>
      </text>
    </comment>
    <comment ref="B2153" authorId="0" shapeId="0">
      <text>
        <t>Paratonnerre
Attire attaques élec.</t>
      </text>
    </comment>
    <comment ref="C2153" authorId="0" shapeId="0">
      <text>
        <t>Fermeté
Ignore les K.O. en un coup.</t>
      </text>
    </comment>
    <comment ref="D2153" authorId="0" shapeId="0">
      <text>
        <t>Tête de Roc
Empêche dégâts du recul.</t>
      </text>
    </comment>
    <comment ref="B2154" authorId="0" shapeId="0">
      <text>
        <t>Attrition — Normal, physique
Puissance 70 · Précision 100 % · 20 PP</t>
      </text>
    </comment>
    <comment ref="C2154" authorId="0" shapeId="0">
      <text>
        <t>Sabotage — Ténèbres, physique
Puissance 65 · Précision 100 % · 20 PP
Frappe l'objet tenu pour le rendre
inutilisable.</t>
      </text>
    </comment>
    <comment ref="D2154" authorId="0" shapeId="0">
      <text>
        <t>Piétisol — Sol, physique
Puissance 60 · Précision 100 % · 20 PP
Piétine le sol. Touche tout et baisse la Vit.</t>
      </text>
    </comment>
    <comment ref="B2155" authorId="0" shapeId="0">
      <text>
        <t>Boule Roc — Roche, physique
Puissance 25 · Précision 90 % · 10 PP
Projette des rochers sur l'ennemi 2 à 5 fois
de suite.</t>
      </text>
    </comment>
    <comment ref="C2155" authorId="0" shapeId="0">
      <text>
        <t>Souplesse — Normal, physique
Puissance 80 · Précision 75 % · 20 PP
Fouette l'ennemi avec la queue, une liane,
etc.</t>
      </text>
    </comment>
    <comment ref="D2155" authorId="0" shapeId="0">
      <text>
        <t>Destruction — Normal, physique
Puissance 200 · Précision 100 % · 5 PP
Inflige de sérieux dégâts, mais met le lanceur
KO.</t>
      </text>
    </comment>
    <comment ref="B2156" authorId="0" shapeId="0">
      <text>
        <t>Tunnelier — Sol, physique
Puissance 80 · Précision 95 % · 10 PP
Tourne comme une perceuse. Critiques
fréquents.</t>
      </text>
    </comment>
    <comment ref="C2156" authorId="0" shapeId="0">
      <text>
        <t>Ampleur — Sol, physique
Puissance 1 · Précision 100 % · 30 PP
Un tremblement de terre d'intensité variable.</t>
      </text>
    </comment>
    <comment ref="D2156" authorId="0" shapeId="0">
      <text>
        <t>Piège de Roc — Roche, statut
20 PP
Des pierres qui blessent l'ennemi à l'arrivée.</t>
      </text>
    </comment>
    <comment ref="B2157" authorId="0" shapeId="0">
      <text>
        <t>Bélier — Normal, physique
Puissance 90 · Précision 85 % · 20 PP
Une charge violente qui blesse aussi le
lanceur.</t>
      </text>
    </comment>
    <comment ref="C2157" authorId="0" shapeId="0">
      <text>
        <t>Grimace — Normal, statut
Précision 100 % · 10 PP
Effraie avec une grimace pour baisser la
Vitesse.</t>
      </text>
    </comment>
    <comment ref="D2157" authorId="0" shapeId="0">
      <text>
        <t>Boule Roc — Roche, physique
Puissance 25 · Précision 90 % · 10 PP
Projette des rochers sur l'ennemi 2 à 5 fois
de suite.</t>
      </text>
    </comment>
    <comment ref="B2159" authorId="0" shapeId="0">
      <text>
        <t>COCHIGNON — Glace / Sol
PV 100 · Att 100 · Déf 80
Att.Spé 60 · Déf.Spé 60 · Vit 50
Total 450
Talents : Benêt, Rideau Neige (caché :
  Isograisse)</t>
      </text>
    </comment>
    <comment ref="C2159" authorId="0" shapeId="0">
      <text>
        <t>TRIOPIKEUR — Sol
PV 35 · Att 100 · Déf 50
Att.Spé 50 · Déf.Spé 70 · Vit 120
Total 425
Talents : Voile Sable, Piège Sable (caché :
  Force Sable)</t>
      </text>
    </comment>
    <comment ref="D2159" authorId="0" shapeId="0">
      <text>
        <t>STEELIX — Acier / Sol
PV 75 · Att 85 · Déf 200
Att.Spé 55 · Déf.Spé 65 · Vit 30
Total 510
Talents : Tête de Roc, Fermeté (caché : Sans
  Limite)</t>
      </text>
    </comment>
    <comment ref="B2162" authorId="0" shapeId="0">
      <text>
        <t>Benêt
Empêche l'attirance.</t>
      </text>
    </comment>
    <comment ref="C2162" authorId="0" shapeId="0">
      <text>
        <t>Voile Sable
Evasion si tempête sable.</t>
      </text>
    </comment>
    <comment ref="D2162" authorId="0" shapeId="0">
      <text>
        <t>Tête de Roc
Empêche dégâts du recul.</t>
      </text>
    </comment>
    <comment ref="B2163" authorId="0" shapeId="0">
      <text>
        <t>Crocs Givre — Glace, physique
Puissance 65 · Précision 95 % · 15 PP</t>
      </text>
    </comment>
    <comment ref="C2163" authorId="0" shapeId="0">
      <text>
        <t>Boue-Bombe — Sol, spéciale
Puissance 65 · Précision 85 % · 10 PP
Une boule de boue qui baisse la Précision.</t>
      </text>
    </comment>
    <comment ref="D2163" authorId="0" shapeId="0">
      <text>
        <t>Mâchouille — Ténèbres, physique
Puissance 80 · Précision 100 % · 15 PP</t>
      </text>
    </comment>
    <comment ref="B2164" authorId="0" shapeId="0">
      <text>
        <t>Bélier — Normal, physique
Puissance 90 · Précision 85 % · 20 PP
Une charge violente qui blesse aussi le
lanceur.</t>
      </text>
    </comment>
    <comment ref="C2164" authorId="0" shapeId="0">
      <text>
        <t>Telluriforce — Sol, spéciale
Puissance 90 · Précision 100 % · 10 PP
Le sol se déchaîne. Peut baisser la Déf. Spé.</t>
      </text>
    </comment>
    <comment ref="D2164" authorId="0" shapeId="0">
      <text>
        <t>Queue de Fer — Acier, physique
Puissance 100 · Précision 75 % · 15 PP
Attaque avec la queue. Peut baisser la
Défense.</t>
      </text>
    </comment>
    <comment ref="B2165" authorId="0" shapeId="0">
      <text>
        <t>Brume — Glace, statut
30 PP
Crée une brume stoppant la réduction des
capacités.</t>
      </text>
    </comment>
    <comment ref="C2165" authorId="0" shapeId="0">
      <text>
        <t>Tunnel — Sol, physique
Puissance 80 · Précision 100 % · 10 PP
Creuse sous terre au 1{SUPER_ER} tour et
frappe au 2{SUPER_E}.</t>
      </text>
    </comment>
    <comment ref="D2165" authorId="0" shapeId="0">
      <text>
        <t>Tunnel — Sol, physique
Puissance 80 · Précision 100 % · 10 PP
Creuse sous terre au 1{SUPER_ER} tour et
frappe au 2{SUPER_E}.</t>
      </text>
    </comment>
    <comment ref="B2166" authorId="0" shapeId="0">
      <text>
        <t>Mania — Normal, physique
Puissance 120 · Précision 100 % · 10 PP
Une attaque furieuse de 2 à 3 tours. Lanceur
confus.</t>
      </text>
    </comment>
    <comment ref="C2166" authorId="0" shapeId="0">
      <text>
        <t>Tranche — Normal, physique
Puissance 70 · Précision 100 % · 20 PP
Coups de griffe, etc. Taux de critiques élevé.</t>
      </text>
    </comment>
    <comment ref="D2166" authorId="0" shapeId="0">
      <text>
        <t>Lame de Roc — Roche, physique
Puissance 100 · Précision 80 % · 5 PP
Transperce de pierres. Critiques fréquents.</t>
      </text>
    </comment>
    <comment ref="B2168" authorId="0" shapeId="0">
      <text>
        <t>TRIOPIKEUR — Sol
PV 35 · Att 100 · Déf 50
Att.Spé 50 · Déf.Spé 70 · Vit 120
Total 425
Talents : Voile Sable, Piège Sable (caché :
  Force Sable)</t>
      </text>
    </comment>
    <comment ref="C2168" authorId="0" shapeId="0">
      <text>
        <t>SCORPLANE — Sol / Vol
PV 65 · Att 75 · Déf 105
Att.Spé 35 · Déf.Spé 65 · Vit 85
Total 430
Talents : Hyper Cutter, Voile Sable (caché :
  Vaccin)</t>
      </text>
    </comment>
    <comment ref="D2168" authorId="0" shapeId="0">
      <text>
        <t>GRAVALANCH — Roche / Sol
PV 55 · Att 95 · Déf 115
Att.Spé 45 · Déf.Spé 45 · Vit 35
Total 390
Talents : Tête de Roc, Fermeté (caché : Voile
  Sable)</t>
      </text>
    </comment>
    <comment ref="E2168" authorId="0" shapeId="0">
      <text>
        <t>TRIOPIKEUR — Sol
PV 35 · Att 100 · Déf 50
Att.Spé 50 · Déf.Spé 70 · Vit 120
Total 425
Talents : Voile Sable, Piège Sable (caché :
  Force Sable)</t>
      </text>
    </comment>
    <comment ref="B2171" authorId="0" shapeId="0">
      <text>
        <t>Voile Sable
Evasion si tempête sable.</t>
      </text>
    </comment>
    <comment ref="C2171" authorId="0" shapeId="0">
      <text>
        <t>Hyper Cutter
Empêche réduction Attaque.</t>
      </text>
    </comment>
    <comment ref="D2171" authorId="0" shapeId="0">
      <text>
        <t>Tête de Roc
Empêche dégâts du recul.</t>
      </text>
    </comment>
    <comment ref="E2171" authorId="0" shapeId="0">
      <text>
        <t>Voile Sable
Evasion si tempête sable.</t>
      </text>
    </comment>
    <comment ref="B2172" authorId="0" shapeId="0">
      <text>
        <t>Coup Bas — Ténèbres, physique
Puissance 70 · Précision 100 % · 5 PP ·
Priorité +1</t>
      </text>
    </comment>
    <comment ref="C2172" authorId="0" shapeId="0">
      <text>
        <t>Acrobatie — Vol, physique
Puissance 55 · Précision 100 % · 15 PP
Double les dégâts si le lanceur n'a pas
d'objet.</t>
      </text>
    </comment>
    <comment ref="D2172" authorId="0" shapeId="0">
      <text>
        <t>Piétisol — Sol, physique
Puissance 60 · Précision 100 % · 20 PP
Piétine le sol. Touche tout et baisse la Vit.</t>
      </text>
    </comment>
    <comment ref="E2172" authorId="0" shapeId="0">
      <text>
        <t>Coup Bas — Ténèbres, physique
Puissance 70 · Précision 100 % · 5 PP ·
Priorité +1</t>
      </text>
    </comment>
    <comment ref="B2173" authorId="0" shapeId="0">
      <text>
        <t>Boue-Bombe — Sol, spéciale
Puissance 65 · Précision 85 % · 10 PP
Une boule de boue qui baisse la Précision.</t>
      </text>
    </comment>
    <comment ref="C2173" authorId="0" shapeId="0">
      <text>
        <t>Tranche — Normal, physique
Puissance 70 · Précision 100 % · 20 PP
Coups de griffe, etc. Taux de critiques élevé.</t>
      </text>
    </comment>
    <comment ref="D2173" authorId="0" shapeId="0">
      <text>
        <t>Destruction — Normal, physique
Puissance 200 · Précision 100 % · 5 PP
Inflige de sérieux dégâts, mais met le lanceur
KO.</t>
      </text>
    </comment>
    <comment ref="E2173" authorId="0" shapeId="0">
      <text>
        <t>Boue-Bombe — Sol, spéciale
Puissance 65 · Précision 85 % · 10 PP
Une boule de boue qui baisse la Précision.</t>
      </text>
    </comment>
    <comment ref="B2174" authorId="0" shapeId="0">
      <text>
        <t>Telluriforce — Sol, spéciale
Puissance 90 · Précision 100 % · 10 PP
Le sol se déchaîne. Peut baisser la Déf. Spé.</t>
      </text>
    </comment>
    <comment ref="C2174" authorId="0" shapeId="0">
      <text>
        <t>Demi-Tour — Insecte, physique
Puissance 70 · Précision 100 % · 20 PP</t>
      </text>
    </comment>
    <comment ref="D2174" authorId="0" shapeId="0">
      <text>
        <t>Piège de Roc — Roche, statut
20 PP
Des pierres qui blessent l'ennemi à l'arrivée.</t>
      </text>
    </comment>
    <comment ref="E2174" authorId="0" shapeId="0">
      <text>
        <t>Telluriforce — Sol, spéciale
Puissance 90 · Précision 100 % · 10 PP
Le sol se déchaîne. Peut baisser la Déf. Spé.</t>
      </text>
    </comment>
    <comment ref="B2175" authorId="0" shapeId="0">
      <text>
        <t>Tunnel — Sol, physique
Puissance 80 · Précision 100 % · 10 PP
Creuse sous terre au 1{SUPER_ER} tour et
frappe au 2{SUPER_E}.</t>
      </text>
    </comment>
    <comment ref="C2175" authorId="0" shapeId="0">
      <text>
        <t>Grincement — Normal, statut
Précision 85 % · 40 PP
Cri strident qui baisse la Défense ennemie.</t>
      </text>
    </comment>
    <comment ref="D2175" authorId="0" shapeId="0">
      <text>
        <t>Boule Roc — Roche, physique
Puissance 25 · Précision 90 % · 10 PP
Projette des rochers sur l'ennemi 2 à 5 fois
de suite.</t>
      </text>
    </comment>
    <comment ref="E2175" authorId="0" shapeId="0">
      <text>
        <t>Tunnel — Sol, physique
Puissance 80 · Précision 100 % · 10 PP
Creuse sous terre au 1{SUPER_ER} tour et
frappe au 2{SUPER_E}.</t>
      </text>
    </comment>
    <comment ref="B2177" authorId="0" shapeId="0">
      <text>
        <t>ONIX — Roche / Sol
PV 35 · Att 45 · Déf 160
Att.Spé 30 · Déf.Spé 45 · Vit 70
Total 385
Talents : Tête de Roc, Fermeté (caché :
  Armurouillée)</t>
      </text>
    </comment>
    <comment ref="C2177" authorId="0" shapeId="0">
      <text>
        <t>MACKOGNEUR — Combat
PV 90 · Att 130 · Déf 80
Att.Spé 65 · Déf.Spé 85 · Vit 55
Total 505
Talents : Cran, Annule Garde (caché :
  Impassible)</t>
      </text>
    </comment>
    <comment ref="D2177" authorId="0" shapeId="0">
      <text>
        <t>STEELIX — Acier / Sol
PV 75 · Att 85 · Déf 200
Att.Spé 55 · Déf.Spé 65 · Vit 30
Total 510
Talents : Tête de Roc, Fermeté (caché : Sans
  Limite)</t>
      </text>
    </comment>
    <comment ref="E2177" authorId="0" shapeId="0">
      <text>
        <t>KICKLEE — Combat
PV 50 · Att 120 · Déf 53
Att.Spé 35 · Déf.Spé 110 · Vit 87
Total 455
Talents : Échauffement, Téméraire (caché :
  Délestage)</t>
      </text>
    </comment>
    <comment ref="B2180" authorId="0" shapeId="0">
      <text>
        <t>Tête de Roc
Empêche dégâts du recul.</t>
      </text>
    </comment>
    <comment ref="C2180" authorId="0" shapeId="0">
      <text>
        <t>Cran
Monte l'Attaque si statut.</t>
      </text>
    </comment>
    <comment ref="D2180" authorId="0" shapeId="0">
      <text>
        <t>Tête de Roc
Empêche dégâts du recul.</t>
      </text>
    </comment>
    <comment ref="E2180" authorId="0" shapeId="0">
      <text>
        <t>Échauffement
Empêche la paralysie.</t>
      </text>
    </comment>
    <comment ref="B2181" authorId="0" shapeId="0">
      <text>
        <t>Anti-Air — Roche, physique
Puissance 50 · Précision 100 % · 15 PP
Une pierre qui fait tomber l'ennemi au sol.</t>
      </text>
    </comment>
    <comment ref="C2181" authorId="0" shapeId="0">
      <text>
        <t>Corps Perdu — Combat, physique
Puissance 70 · Ne rate jamais · 10 PP ·
Priorité -1
Attaque après l'ennemi, mais n'échoue jamais.</t>
      </text>
    </comment>
    <comment ref="D2181" authorId="0" shapeId="0">
      <text>
        <t>Anti-Air — Roche, physique
Puissance 50 · Précision 100 % · 15 PP
Une pierre qui fait tomber l'ennemi au sol.</t>
      </text>
    </comment>
    <comment ref="E2181" authorId="0" shapeId="0">
      <text>
        <t>Puissance — Normal, statut
30 PP
Concentration pour booster le taux de
critiques.</t>
      </text>
    </comment>
    <comment ref="B2182" authorId="0" shapeId="0">
      <text>
        <t>Draco-Souffle — Dragon, spéciale
Puissance 60 · Précision 100 % · 20 PP
Frappe l'ennemi grâce à un souffle super
puissant.</t>
      </text>
    </comment>
    <comment ref="C2182" authorId="0" shapeId="0">
      <text>
        <t>Réveil Forcé — Combat, physique
Puissance 70 · Précision 100 % · 10 PP
Puissant sur un dormeur. Le réveille aussi.</t>
      </text>
    </comment>
    <comment ref="D2182" authorId="0" shapeId="0">
      <text>
        <t>Draco-Souffle — Dragon, spéciale
Puissance 60 · Précision 100 % · 20 PP
Frappe l'ennemi grâce à un souffle super
puissant.</t>
      </text>
    </comment>
    <comment ref="E2182" authorId="0" shapeId="0">
      <text>
        <t>Ruse — Normal, physique
Puissance 30 · Précision 100 % · 10 PP ·
Priorité +2</t>
      </text>
    </comment>
    <comment ref="B2183" authorId="0" shapeId="0">
      <text>
        <t>Souplesse — Normal, physique
Puissance 80 · Précision 75 % · 20 PP
Fouette l'ennemi avec la queue, une liane,
etc.</t>
      </text>
    </comment>
    <comment ref="C2183" authorId="0" shapeId="0">
      <text>
        <t>Double Baffe — Dragon, physique
Puissance 40 · Précision 90 % · 15 PP
Des coups brutaux qui frappent deux fois.</t>
      </text>
    </comment>
    <comment ref="D2183" authorId="0" shapeId="0">
      <text>
        <t>Souplesse — Normal, physique
Puissance 80 · Précision 75 % · 20 PP
Fouette l'ennemi avec la queue, une liane,
etc.</t>
      </text>
    </comment>
    <comment ref="E2183" authorId="0" shapeId="0">
      <text>
        <t>Pied Voltige — Combat, physique
Puissance 130 · Précision 90 % · 10 PP
Un coup de genou sauté. Blesse s'il rate.</t>
      </text>
    </comment>
    <comment ref="B2184" authorId="0" shapeId="0">
      <text>
        <t>Grincement — Normal, statut
Précision 85 % · 40 PP
Cri strident qui baisse la Défense ennemie.</t>
      </text>
    </comment>
    <comment ref="C2184" authorId="0" shapeId="0">
      <text>
        <t>Sacrifice — Combat, physique
Puissance 80 · Précision 80 % · 20 PP
Une charge violente qui blesse aussi le
lanceur.</t>
      </text>
    </comment>
    <comment ref="D2184" authorId="0" shapeId="0">
      <text>
        <t>Grincement — Normal, statut
Précision 85 % · 40 PP
Cri strident qui baisse la Défense ennemie.</t>
      </text>
    </comment>
    <comment ref="E2184" authorId="0" shapeId="0">
      <text>
        <t>Lire-Esprit — Normal, statut
5 PP
Pressent l'action pour réussir l'attaque
suivante.</t>
      </text>
    </comment>
    <comment ref="B2186" authorId="0" shapeId="0">
      <text>
        <t>ROUCARNAGE — Normal / Vol
PV 83 · Att 80 · Déf 75
Att.Spé 70 · Déf.Spé 70 · Vit 101
Total 479
Talents : Regard Vif, Pieds Confus (caché :
  Cœur de Coq)</t>
      </text>
    </comment>
    <comment ref="C2186" authorId="0" shapeId="0">
      <text>
        <t>ELEKTEK — Électrik
PV 65 · Att 83 · Déf 57
Att.Spé 95 · Déf.Spé 85 · Vit 105
Total 490
Talents : Statik (caché : Esprit Vital)</t>
      </text>
    </comment>
    <comment ref="D2186" authorId="0" shapeId="0">
      <text>
        <t>MAGMAR — Feu
PV 65 · Att 95 · Déf 57
Att.Spé 100 · Déf.Spé 85 · Vit 93
Total 495
Talents : Corps Ardent (caché : Esprit Vital)</t>
      </text>
    </comment>
    <comment ref="B2189" authorId="0" shapeId="0">
      <text>
        <t>Regard Vif
Empêche perte de précision.</t>
      </text>
    </comment>
    <comment ref="C2189" authorId="0" shapeId="0">
      <text>
        <t>Statik
Paralyse au toucher.</t>
      </text>
    </comment>
    <comment ref="D2189" authorId="0" shapeId="0">
      <text>
        <t>Corps Ardent
Brûle l'ennemi au contact.</t>
      </text>
    </comment>
    <comment ref="B2190" authorId="0" shapeId="0">
      <text>
        <t>Ouragan — Dragon, spéciale
Puissance 40 · Précision 100 % · 20 PP
Déclenche un terrible ouragan blessant
l'ennemi.</t>
      </text>
    </comment>
    <comment ref="C2190" authorId="0" shapeId="0">
      <text>
        <t>Boule Élek — Électrik, spéciale
Puissance 1 · Précision 100 % · 10 PP
Une orbe qui blesse plus un ennemi lent.</t>
      </text>
    </comment>
    <comment ref="D2190" authorId="0" shapeId="0">
      <text>
        <t>Rebondifeu — Feu, spéciale
Puissance 70 · Précision 100 % · 15 PP
Une flamme qui éclabousse tous les ennemis.</t>
      </text>
    </comment>
    <comment ref="B2191" authorId="0" shapeId="0">
      <text>
        <t>Cru-Ailes — Vol, physique
Puissance 60 · Précision 100 % · 35 PP
Frappe l'ennemi en déployant les ailes.</t>
      </text>
    </comment>
    <comment ref="C2191" authorId="0" shapeId="0">
      <text>
        <t>Mur Lumière — Psy, statut
30 PP
Crée un mur lumineux et réduit les dégâts
d'Atq. Spé.</t>
      </text>
    </comment>
    <comment ref="D2191" authorId="0" shapeId="0">
      <text>
        <t>Onde Folie — Spectre, statut
Précision 100 % · 10 PP
Un horrible rayon qui rend l'ennemi confus.</t>
      </text>
    </comment>
    <comment ref="B2192" authorId="0" shapeId="0">
      <text>
        <t>Danse Plumes — Vol, statut
Précision 100 % · 15 PP
Enveloppe l'ennemi de duvet et baisse
l'Attaque.</t>
      </text>
    </comment>
    <comment ref="C2192" authorId="0" shapeId="0">
      <text>
        <t>Poing Éclair — Électrik, physique
Puissance 75 · Précision 100 % · 15 PP
Un poing électrique pouvant paralyser
l'ennemi.</t>
      </text>
    </comment>
    <comment ref="D2192" authorId="0" shapeId="0">
      <text>
        <t>Poing Feu — Feu, physique
Puissance 75 · Précision 100 % · 15 PP
Un poing de feu pouvant brûler l'ennemi.</t>
      </text>
    </comment>
    <comment ref="B2193" authorId="0" shapeId="0">
      <text>
        <t>Hâte — Psy, statut
30 PP
Relaxation du corps pour booster la Vitesse.</t>
      </text>
    </comment>
    <comment ref="C2193" authorId="0" shapeId="0">
      <text>
        <t>Coup d'Jus — Électrik, spéciale
Puissance 80 · Précision 100 % · 15 PP
Électrocute tous les autres {PKMN}. Peut
paralyser.</t>
      </text>
    </comment>
    <comment ref="D2193" authorId="0" shapeId="0">
      <text>
        <t>Ébullilave — Feu, spéciale
Puissance 80 · Précision 100 % · 15 PP</t>
      </text>
    </comment>
    <comment ref="B2195" authorId="0" shapeId="0">
      <text>
        <t>TOGETIC — Vol
PV 55 · Att 40 · Déf 85
Att.Spé 80 · Déf.Spé 105 · Vit 40
Total 405
Talents : Agitation, Sérénité (caché :
  Chanceux)</t>
      </text>
    </comment>
    <comment ref="C2195" authorId="0" shapeId="0">
      <text>
        <t>PHARAMP — Électrik
PV 90 · Att 75 · Déf 85
Att.Spé 115 · Déf.Spé 90 · Vit 55
Total 510
Talents : Statik (caché : Plus)</t>
      </text>
    </comment>
    <comment ref="D2195" authorId="0" shapeId="0">
      <text>
        <t>SAQUEDENEU — Plante
PV 65 · Att 55 · Déf 115
Att.Spé 100 · Déf.Spé 40 · Vit 60
Total 435
Talents : Chlorophylle, Feuille Garde (caché :
  Régé-Force)</t>
      </text>
    </comment>
    <comment ref="E2195" authorId="0" shapeId="0">
      <text>
        <t>TORTANK — Eau
PV 79 · Att 83 · Déf 100
Att.Spé 85 · Déf.Spé 105 · Vit 78
Total 530
Talents : Torrent (caché : Cuvette)</t>
      </text>
    </comment>
    <comment ref="B2198" authorId="0" shapeId="0">
      <text>
        <t>Agitation
Substitue préc. par puiss.</t>
      </text>
    </comment>
    <comment ref="C2198" authorId="0" shapeId="0">
      <text>
        <t>Statik
Paralyse au toucher.</t>
      </text>
    </comment>
    <comment ref="D2198" authorId="0" shapeId="0">
      <text>
        <t>Chlorophylle
Augmente Vitesse au soleil.</t>
      </text>
    </comment>
    <comment ref="E2198" authorId="0" shapeId="0">
      <text>
        <t>Torrent
Augmente attaques Eau.</t>
      </text>
    </comment>
    <comment ref="B2199" authorId="0" shapeId="0">
      <text>
        <t>Passe-Cadeau — Normal, statut
15 PP
Le lanceur donne son objet à l'ennemi.</t>
      </text>
    </comment>
    <comment ref="C2199" authorId="0" shapeId="0">
      <text>
        <t>Bélier — Normal, physique
Puissance 90 · Précision 85 % · 20 PP
Une charge violente qui blesse aussi le
lanceur.</t>
      </text>
    </comment>
    <comment ref="D2199" authorId="0" shapeId="0">
      <text>
        <t>Sabotage — Ténèbres, physique
Puissance 65 · Précision 100 % · 20 PP
Frappe l'objet tenu pour le rendre
inutilisable.</t>
      </text>
    </comment>
    <comment ref="E2199" authorId="0" shapeId="0">
      <text>
        <t>Tour Rapide — Normal, physique
Puissance 50 · Précision 100 % · 40 PP</t>
      </text>
    </comment>
    <comment ref="B2200" authorId="0" shapeId="0">
      <text>
        <t>Vœu — Normal, statut
10 PP
Un vœu qui restaure les PV. Demande un certain
temps.</t>
      </text>
    </comment>
    <comment ref="C2200" authorId="0" shapeId="0">
      <text>
        <t>Boule Élek — Électrik, spéciale
Puissance 1 · Précision 100 % · 10 PP
Une orbe qui blesse plus un ennemi lent.</t>
      </text>
    </comment>
    <comment ref="D2200" authorId="0" shapeId="0">
      <text>
        <t>Para-Spore — Plante, statut
Précision 75 % · 30 PP
Répand une poudre pouvant paralyser l'ennemi.</t>
      </text>
    </comment>
    <comment ref="E2200" authorId="0" shapeId="0">
      <text>
        <t>Abri — Normal, statut
10 PP · Priorité +4</t>
      </text>
    </comment>
    <comment ref="B2201" authorId="0" shapeId="0">
      <text>
        <t>Pouvoir Antique — Roche, spéciale
Puissance 60 · Précision 100 % · 5 PP
Une attaque pouvant augmenter toutes les
stats.</t>
      </text>
    </comment>
    <comment ref="C2201" authorId="0" shapeId="0">
      <text>
        <t>Onde Folie — Spectre, statut
Précision 100 % · 10 PP
Un horrible rayon qui rend l'ennemi confus.</t>
      </text>
    </comment>
    <comment ref="D2201" authorId="0" shapeId="0">
      <text>
        <t>Don Naturel — Normal, physique
Puissance 1 · Précision 100 % · 15 PP
L'effet varie selon la Baie tenue.</t>
      </text>
    </comment>
    <comment ref="E2201" authorId="0" shapeId="0">
      <text>
        <t>Vibraqua — Eau, spéciale
Puissance 60 · Précision 100 % · 20 PP
Envoi des ondes aquatiques. Peut rendre
confus.</t>
      </text>
    </comment>
    <comment ref="B2202" authorId="0" shapeId="0">
      <text>
        <t>Rune Protect — Normal, statut
25 PP
Force mystique empêchant tout changement de
statut.</t>
      </text>
    </comment>
    <comment ref="C2202" authorId="0" shapeId="0">
      <text>
        <t>Rayon Gemme — Roche, spéciale
Puissance 80 · Précision 100 % · 20 PP
Des rayons brillants comme des diamants.</t>
      </text>
    </comment>
    <comment ref="D2202" authorId="0" shapeId="0">
      <text>
        <t>Giga-Sangsue — Plante, spéciale
Puissance 75 · Précision 100 % · 25 PP
Une attaque qui absorbe la moitié des dégâts
infligés.</t>
      </text>
    </comment>
    <comment ref="E2202" authorId="0" shapeId="0">
      <text>
        <t>Hydro-Queue — Eau, physique
Puissance 90 · Précision 90 % · 10 PP
Balaie l'ennemi de sa queue comme une vague.</t>
      </text>
    </comment>
    <comment ref="B2204" authorId="0" shapeId="0">
      <text>
        <t>RAPASDEPIC — Normal / Vol
PV 65 · Att 90 · Déf 65
Att.Spé 61 · Déf.Spé 61 · Vit 100
Total 442
Talents : Regard Vif (caché : Sniper)</t>
      </text>
    </comment>
    <comment ref="C2204" authorId="0" shapeId="0">
      <text>
        <t>COLOSSINGE — Combat
PV 65 · Att 105 · Déf 60
Att.Spé 60 · Déf.Spé 70 · Vit 95
Total 455
Talents : Esprit Vital, Colérique (caché :
  Acharné)</t>
      </text>
    </comment>
    <comment ref="D2204" authorId="0" shapeId="0">
      <text>
        <t>TAUROS — Normal
PV 75 · Att 100 · Déf 95
Att.Spé 40 · Déf.Spé 70 · Vit 110
Total 490
Talents : Intimidation, Colérique (caché :
  Sans Limite)</t>
      </text>
    </comment>
    <comment ref="E2204" authorId="0" shapeId="0">
      <text>
        <t>RAICHU — Électrik
PV 60 · Att 90 · Déf 55
Att.Spé 90 · Déf.Spé 80 · Vit 110
Total 485
Talents : Statik (caché : Paratonnerre)</t>
      </text>
    </comment>
    <comment ref="B2207" authorId="0" shapeId="0">
      <text>
        <t>Regard Vif
Empêche perte de précision.</t>
      </text>
    </comment>
    <comment ref="C2207" authorId="0" shapeId="0">
      <text>
        <t>Esprit Vital
Empêche le sommeil.</t>
      </text>
    </comment>
    <comment ref="D2207" authorId="0" shapeId="0">
      <text>
        <t>Intimidation
Baisse l'Attaque ennemie.</t>
      </text>
    </comment>
    <comment ref="E2207" authorId="0" shapeId="0">
      <text>
        <t>Statik
Paralyse au toucher.</t>
      </text>
    </comment>
    <comment ref="B2208" authorId="0" shapeId="0">
      <text>
        <t>Assurance — Ténèbres, physique
Puissance 60 · Précision 100 % · 10 PP
Plus puissant si l'ennemi a déjà été blessé.</t>
      </text>
    </comment>
    <comment ref="C2208" authorId="0" shapeId="0">
      <text>
        <t>Assurance — Ténèbres, physique
Puissance 60 · Précision 100 % · 10 PP
Plus puissant si l'ennemi a déjà été blessé.</t>
      </text>
    </comment>
    <comment ref="D2208" authorId="0" shapeId="0">
      <text>
        <t>Repos — Psy, statut
5 PP
Le lanceur dort 2 tours et regagne PV et
statut.</t>
      </text>
    </comment>
    <comment ref="E2208" authorId="0" shapeId="0">
      <text>
        <t>Vive-Attaque — Normal, physique
Puissance 40 · Précision 100 % · 30 PP ·
Priorité +1
Attaque fulgurante qui permet de frapper
d'abord.</t>
      </text>
    </comment>
    <comment ref="B2209" authorId="0" shapeId="0">
      <text>
        <t>Hâte — Psy, statut
30 PP
Relaxation du corps pour booster la Vitesse.</t>
      </text>
    </comment>
    <comment ref="C2209" authorId="0" shapeId="0">
      <text>
        <t>Punition — Ténèbres, physique
Puissance 60 · Précision 100 % · 5 PP
Plus puissant si l'ennemi s'est renforcé.</t>
      </text>
    </comment>
    <comment ref="D2209" authorId="0" shapeId="0">
      <text>
        <t>Représailles — Ténèbres, physique
Puissance 50 · Précision 100 % · 10 PP
Plus puissant si le lanceur agit en dernier.</t>
      </text>
    </comment>
    <comment ref="E2209" authorId="0" shapeId="0">
      <text>
        <t>Tonnerre — Électrik, spéciale
Puissance 90 · Précision 100 % · 15 PP
Forte attaque électrique pouvant paralyser
l'ennemi.</t>
      </text>
    </comment>
    <comment ref="B2210" authorId="0" shapeId="0">
      <text>
        <t>Puissance — Normal, statut
30 PP
Concentration pour booster le taux de
critiques.</t>
      </text>
    </comment>
    <comment ref="C2210" authorId="0" shapeId="0">
      <text>
        <t>Poing de Colère — Spectre, physique
Puissance 50 · Précision 100 % · 10 PP
Plus le lanceur a été touché, plus c'est fort.</t>
      </text>
    </comment>
    <comment ref="D2210" authorId="0" shapeId="0">
      <text>
        <t>Rengorgement — Normal, statut
30 PP
Le lanceur s'excite. Monte Atq. et Atq. Spé.</t>
      </text>
    </comment>
    <comment ref="E2210" authorId="0" shapeId="0">
      <text>
        <t>Reflet — Normal, statut
15 PP
Crée des images-miroirs pour augmenter
l'esquive.</t>
      </text>
    </comment>
    <comment ref="B2211" authorId="0" shapeId="0">
      <text>
        <t>Atterrissage — Vol, statut
5 PP
Rend au lanceur la moitié de ses PV max.</t>
      </text>
    </comment>
    <comment ref="C2211" authorId="0" shapeId="0">
      <text>
        <t>Mania — Normal, physique
Puissance 120 · Précision 100 % · 10 PP
Une attaque furieuse de 2 à 3 tours. Lanceur
confus.</t>
      </text>
    </comment>
    <comment ref="D2211" authorId="0" shapeId="0">
      <text>
        <t>Bélier — Normal, physique
Puissance 90 · Précision 85 % · 20 PP
Une charge violente qui blesse aussi le
lanceur.</t>
      </text>
    </comment>
    <comment ref="E2211" authorId="0" shapeId="0">
      <text>
        <t>Étincelle — Électrik, physique
Puissance 65 · Précision 100 % · 20 PP
Une charge électrique qui peut paralyser
l'ennemi.</t>
      </text>
    </comment>
    <comment ref="B2214" authorId="0" shapeId="0">
      <text>
        <t>GROLEM — Roche / Sol
PV 80 · Att 120 · Déf 130
Att.Spé 55 · Déf.Spé 65 · Vit 45
Total 495
Talents : Tête de Roc, Fermeté (caché : Voile
  Sable)</t>
      </text>
    </comment>
    <comment ref="C2214" authorId="0" shapeId="0">
      <text>
        <t>GROLEM — Roche / Sol
PV 80 · Att 120 · Déf 130
Att.Spé 55 · Déf.Spé 65 · Vit 45
Total 495
Talents : Tête de Roc, Fermeté (caché : Voile
  Sable)</t>
      </text>
    </comment>
    <comment ref="D2214" authorId="0" shapeId="0">
      <text>
        <t>GROLEM — Roche / Sol
PV 80 · Att 120 · Déf 130
Att.Spé 55 · Déf.Spé 65 · Vit 45
Total 495
Talents : Tête de Roc, Fermeté (caché : Voile
  Sable)</t>
      </text>
    </comment>
    <comment ref="E2214" authorId="0" shapeId="0">
      <text>
        <t>GROLEM — Roche / Sol
PV 80 · Att 120 · Déf 130
Att.Spé 55 · Déf.Spé 65 · Vit 45
Total 495
Talents : Tête de Roc, Fermeté (caché : Voile
  Sable)</t>
      </text>
    </comment>
    <comment ref="F2214" authorId="0" shapeId="0">
      <text>
        <t>GROLEM — Roche / Sol
PV 80 · Att 120 · Déf 130
Att.Spé 55 · Déf.Spé 65 · Vit 45
Total 495
Talents : Tête de Roc, Fermeté (caché : Voile
  Sable)</t>
      </text>
    </comment>
    <comment ref="B2217" authorId="0" shapeId="0">
      <text>
        <t>Tête de Roc
Empêche dégâts du recul.</t>
      </text>
    </comment>
    <comment ref="C2217" authorId="0" shapeId="0">
      <text>
        <t>Tête de Roc
Empêche dégâts du recul.</t>
      </text>
    </comment>
    <comment ref="D2217" authorId="0" shapeId="0">
      <text>
        <t>Tête de Roc
Empêche dégâts du recul.</t>
      </text>
    </comment>
    <comment ref="E2217" authorId="0" shapeId="0">
      <text>
        <t>Tête de Roc
Empêche dégâts du recul.</t>
      </text>
    </comment>
    <comment ref="F2217" authorId="0" shapeId="0">
      <text>
        <t>Tête de Roc
Empêche dégâts du recul.</t>
      </text>
    </comment>
    <comment ref="B2218" authorId="0" shapeId="0">
      <text>
        <t>Destruction — Normal, physique
Puissance 200 · Précision 100 % · 5 PP
Inflige de sérieux dégâts, mais met le lanceur
KO.</t>
      </text>
    </comment>
    <comment ref="C2218" authorId="0" shapeId="0">
      <text>
        <t>Destruction — Normal, physique
Puissance 200 · Précision 100 % · 5 PP
Inflige de sérieux dégâts, mais met le lanceur
KO.</t>
      </text>
    </comment>
    <comment ref="D2218" authorId="0" shapeId="0">
      <text>
        <t>Destruction — Normal, physique
Puissance 200 · Précision 100 % · 5 PP
Inflige de sérieux dégâts, mais met le lanceur
KO.</t>
      </text>
    </comment>
    <comment ref="E2218" authorId="0" shapeId="0">
      <text>
        <t>Destruction — Normal, physique
Puissance 200 · Précision 100 % · 5 PP
Inflige de sérieux dégâts, mais met le lanceur
KO.</t>
      </text>
    </comment>
    <comment ref="F2218" authorId="0" shapeId="0">
      <text>
        <t>Destruction — Normal, physique
Puissance 200 · Précision 100 % · 5 PP
Inflige de sérieux dégâts, mais met le lanceur
KO.</t>
      </text>
    </comment>
    <comment ref="B2219" authorId="0" shapeId="0">
      <text>
        <t>Piège de Roc — Roche, statut
20 PP
Des pierres qui blessent l'ennemi à l'arrivée.</t>
      </text>
    </comment>
    <comment ref="C2219" authorId="0" shapeId="0">
      <text>
        <t>Piège de Roc — Roche, statut
20 PP
Des pierres qui blessent l'ennemi à l'arrivée.</t>
      </text>
    </comment>
    <comment ref="D2219" authorId="0" shapeId="0">
      <text>
        <t>Piège de Roc — Roche, statut
20 PP
Des pierres qui blessent l'ennemi à l'arrivée.</t>
      </text>
    </comment>
    <comment ref="E2219" authorId="0" shapeId="0">
      <text>
        <t>Piège de Roc — Roche, statut
20 PP
Des pierres qui blessent l'ennemi à l'arrivée.</t>
      </text>
    </comment>
    <comment ref="F2219" authorId="0" shapeId="0">
      <text>
        <t>Piège de Roc — Roche, statut
20 PP
Des pierres qui blessent l'ennemi à l'arrivée.</t>
      </text>
    </comment>
    <comment ref="B2220" authorId="0" shapeId="0">
      <text>
        <t>Boule Roc — Roche, physique
Puissance 25 · Précision 90 % · 10 PP
Projette des rochers sur l'ennemi 2 à 5 fois
de suite.</t>
      </text>
    </comment>
    <comment ref="C2220" authorId="0" shapeId="0">
      <text>
        <t>Boule Roc — Roche, physique
Puissance 25 · Précision 90 % · 10 PP
Projette des rochers sur l'ennemi 2 à 5 fois
de suite.</t>
      </text>
    </comment>
    <comment ref="D2220" authorId="0" shapeId="0">
      <text>
        <t>Boule Roc — Roche, physique
Puissance 25 · Précision 90 % · 10 PP
Projette des rochers sur l'ennemi 2 à 5 fois
de suite.</t>
      </text>
    </comment>
    <comment ref="E2220" authorId="0" shapeId="0">
      <text>
        <t>Boule Roc — Roche, physique
Puissance 25 · Précision 90 % · 10 PP
Projette des rochers sur l'ennemi 2 à 5 fois
de suite.</t>
      </text>
    </comment>
    <comment ref="F2220" authorId="0" shapeId="0">
      <text>
        <t>Boule Roc — Roche, physique
Puissance 25 · Précision 90 % · 10 PP
Projette des rochers sur l'ennemi 2 à 5 fois
de suite.</t>
      </text>
    </comment>
    <comment ref="B2221" authorId="0" shapeId="0">
      <text>
        <t>Séisme — Sol, physique
Puissance 100 · Précision 100 % · 10 PP
Secousse sans effet sur les adversaires
volants.</t>
      </text>
    </comment>
    <comment ref="C2221" authorId="0" shapeId="0">
      <text>
        <t>Séisme — Sol, physique
Puissance 100 · Précision 100 % · 10 PP
Secousse sans effet sur les adversaires
volants.</t>
      </text>
    </comment>
    <comment ref="D2221" authorId="0" shapeId="0">
      <text>
        <t>Séisme — Sol, physique
Puissance 100 · Précision 100 % · 10 PP
Secousse sans effet sur les adversaires
volants.</t>
      </text>
    </comment>
    <comment ref="E2221" authorId="0" shapeId="0">
      <text>
        <t>Séisme — Sol, physique
Puissance 100 · Précision 100 % · 10 PP
Secousse sans effet sur les adversaires
volants.</t>
      </text>
    </comment>
    <comment ref="F2221" authorId="0" shapeId="0">
      <text>
        <t>Séisme — Sol, physique
Puissance 100 · Précision 100 % · 10 PP
Secousse sans effet sur les adversaires
volants.</t>
      </text>
    </comment>
    <comment ref="B2223" authorId="0" shapeId="0">
      <text>
        <t>URSARING — Normal
PV 90 · Att 130 · Déf 75
Att.Spé 75 · Déf.Spé 75 · Vit 55
Total 500
Talents : Cran, Pied Véloce (caché : Tension)</t>
      </text>
    </comment>
    <comment ref="C2223" authorId="0" shapeId="0">
      <text>
        <t>COLOSSINGE — Combat
PV 65 · Att 105 · Déf 60
Att.Spé 60 · Déf.Spé 70 · Vit 95
Total 455
Talents : Esprit Vital, Colérique (caché :
  Acharné)</t>
      </text>
    </comment>
    <comment ref="D2223" authorId="0" shapeId="0">
      <text>
        <t>NIDOKING — Poison / Sol
PV 81 · Att 102 · Déf 77
Att.Spé 85 · Déf.Spé 75 · Vit 85
Total 505
Talents : Point Poison, Rivalité (caché : Sans
  Limite)</t>
      </text>
    </comment>
    <comment ref="B2226" authorId="0" shapeId="0">
      <text>
        <t>Cran
Monte l'Attaque si statut.</t>
      </text>
    </comment>
    <comment ref="C2226" authorId="0" shapeId="0">
      <text>
        <t>Esprit Vital
Empêche le sommeil.</t>
      </text>
    </comment>
    <comment ref="D2226" authorId="0" shapeId="0">
      <text>
        <t>Point Poison
Empoisonne quand touché.</t>
      </text>
    </comment>
    <comment ref="B2227" authorId="0" shapeId="0">
      <text>
        <t>Doux Parfum — Normal, statut
Précision 100 % · 20 PP</t>
      </text>
    </comment>
    <comment ref="C2227" authorId="0" shapeId="0">
      <text>
        <t>Punition — Ténèbres, physique
Puissance 60 · Précision 100 % · 5 PP
Plus puissant si l'ennemi s'est renforcé.</t>
      </text>
    </comment>
    <comment ref="D2227" authorId="0" shapeId="0">
      <text>
        <t>Attrition — Normal, physique
Puissance 70 · Précision 100 % · 20 PP</t>
      </text>
    </comment>
    <comment ref="B2228" authorId="0" shapeId="0">
      <text>
        <t>Camaraderie — Normal, statut
20 PP
Amadoue l'ennemi et baisse son Attaque.</t>
      </text>
    </comment>
    <comment ref="C2228" authorId="0" shapeId="0">
      <text>
        <t>Poing de Colère — Spectre, physique
Puissance 50 · Précision 100 % · 10 PP
Plus le lanceur a été touché, plus c'est fort.</t>
      </text>
    </comment>
    <comment ref="D2228" authorId="0" shapeId="0">
      <text>
        <t>Mania — Normal, physique
Puissance 120 · Précision 100 % · 10 PP
Une attaque furieuse de 2 à 3 tours. Lanceur
confus.</t>
      </text>
    </comment>
    <comment ref="B2229" authorId="0" shapeId="0">
      <text>
        <t>Tranche — Normal, physique
Puissance 70 · Précision 100 % · 20 PP
Coups de griffe, etc. Taux de critiques élevé.</t>
      </text>
    </comment>
    <comment ref="C2229" authorId="0" shapeId="0">
      <text>
        <t>Mania — Normal, physique
Puissance 120 · Précision 100 % · 10 PP
Une attaque furieuse de 2 à 3 tours. Lanceur
confus.</t>
      </text>
    </comment>
    <comment ref="D2229" authorId="0" shapeId="0">
      <text>
        <t>Poison Croix — Poison, physique
Puissance 70 · Précision 100 % · 20 PP
Une taillade qui peut empoisonner. Critiques.</t>
      </text>
    </comment>
    <comment ref="B2230" authorId="0" shapeId="0">
      <text>
        <t>Grimace — Normal, statut
Précision 100 % · 10 PP
Effraie avec une grimace pour baisser la
Vitesse.</t>
      </text>
    </comment>
    <comment ref="C2230" authorId="0" shapeId="0">
      <text>
        <t>Close Combat — Combat, physique
Puissance 120 · Précision 100 % · 5 PP</t>
      </text>
    </comment>
    <comment ref="D2230" authorId="0" shapeId="0">
      <text>
        <t>Piétisol — Sol, physique
Puissance 60 · Précision 100 % · 20 PP
Piétine le sol. Touche tout et baisse la Vit.</t>
      </text>
    </comment>
    <comment ref="B2232" authorId="0" shapeId="0">
      <text>
        <t>GALOPA — Feu
PV 65 · Att 100 · Déf 70
Att.Spé 80 · Déf.Spé 80 · Vit 105
Total 500
Talents : Fuite, Torche (caché : Corps Ardent)</t>
      </text>
    </comment>
    <comment ref="C2232" authorId="0" shapeId="0">
      <text>
        <t>NIDOQUEEN — Poison / Sol
PV 90 · Att 92 · Déf 87
Att.Spé 75 · Déf.Spé 85 · Vit 76
Total 505
Talents : Point Poison, Rivalité (caché : Sans
  Limite)</t>
      </text>
    </comment>
    <comment ref="D2232" authorId="0" shapeId="0">
      <text>
        <t>RAICHU — Électrik
PV 60 · Att 90 · Déf 55
Att.Spé 90 · Déf.Spé 80 · Vit 110
Total 485
Talents : Statik (caché : Paratonnerre)</t>
      </text>
    </comment>
    <comment ref="E2232" authorId="0" shapeId="0">
      <text>
        <t>GALOPA — Feu
PV 65 · Att 100 · Déf 70
Att.Spé 80 · Déf.Spé 80 · Vit 105
Total 500
Talents : Fuite, Torche (caché : Corps Ardent)</t>
      </text>
    </comment>
    <comment ref="B2235" authorId="0" shapeId="0">
      <text>
        <t>Fuite
Améliore chances de fuite.</t>
      </text>
    </comment>
    <comment ref="C2235" authorId="0" shapeId="0">
      <text>
        <t>Point Poison
Empoisonne quand touché.</t>
      </text>
    </comment>
    <comment ref="D2235" authorId="0" shapeId="0">
      <text>
        <t>Statik
Paralyse au toucher.</t>
      </text>
    </comment>
    <comment ref="E2235" authorId="0" shapeId="0">
      <text>
        <t>Fuite
Améliore chances de fuite.</t>
      </text>
    </comment>
    <comment ref="B2236" authorId="0" shapeId="0">
      <text>
        <t>Danse Flammes — Feu, spéciale
Puissance 35 · Précision 85 % · 15 PP</t>
      </text>
    </comment>
    <comment ref="C2236" authorId="0" shapeId="0">
      <text>
        <t>Dard-Venin — Poison, physique
Puissance 30 · Précision 100 % · 35 PP
Une attaque de dards, etc., pouvant
empoisonner.</t>
      </text>
    </comment>
    <comment ref="D2236" authorId="0" shapeId="0">
      <text>
        <t>Vive-Attaque — Normal, physique
Puissance 40 · Précision 100 % · 30 PP ·
Priorité +1
Attaque fulgurante qui permet de frapper
d'abord.</t>
      </text>
    </comment>
    <comment ref="E2236" authorId="0" shapeId="0">
      <text>
        <t>Danse Flammes — Feu, spéciale
Puissance 35 · Précision 85 % · 15 PP</t>
      </text>
    </comment>
    <comment ref="B2237" authorId="0" shapeId="0">
      <text>
        <t>Bélier — Normal, physique
Puissance 90 · Précision 85 % · 20 PP
Une charge violente qui blesse aussi le
lanceur.</t>
      </text>
    </comment>
    <comment ref="C2237" authorId="0" shapeId="0">
      <text>
        <t>Attrition — Normal, physique
Puissance 70 · Précision 100 % · 20 PP</t>
      </text>
    </comment>
    <comment ref="D2237" authorId="0" shapeId="0">
      <text>
        <t>Tonnerre — Électrik, spéciale
Puissance 90 · Précision 100 % · 15 PP
Forte attaque électrique pouvant paralyser
l'ennemi.</t>
      </text>
    </comment>
    <comment ref="E2237" authorId="0" shapeId="0">
      <text>
        <t>Bélier — Normal, physique
Puissance 90 · Précision 85 % · 20 PP
Une charge violente qui blesse aussi le
lanceur.</t>
      </text>
    </comment>
    <comment ref="B2238" authorId="0" shapeId="0">
      <text>
        <t>Feu d'Enfer — Feu, spéciale
Puissance 100 · Précision 50 % · 5 PP
Puissant et brûle à coup sûr, mais imprécis.</t>
      </text>
    </comment>
    <comment ref="C2238" authorId="0" shapeId="0">
      <text>
        <t>Plaquage — Normal, physique
Puissance 85 · Précision 100 % · 15 PP
Une attaque en charge. Peut paralyser
l'ennemi.</t>
      </text>
    </comment>
    <comment ref="D2238" authorId="0" shapeId="0">
      <text>
        <t>Reflet — Normal, statut
15 PP
Crée des images-miroirs pour augmenter
l'esquive.</t>
      </text>
    </comment>
    <comment ref="E2238" authorId="0" shapeId="0">
      <text>
        <t>Feu d'Enfer — Feu, spéciale
Puissance 100 · Précision 50 % · 5 PP
Puissant et brûle à coup sûr, mais imprécis.</t>
      </text>
    </comment>
    <comment ref="B2239" authorId="0" shapeId="0">
      <text>
        <t>Hâte — Psy, statut
30 PP
Relaxation du corps pour booster la Vitesse.</t>
      </text>
    </comment>
    <comment ref="C2239" authorId="0" shapeId="0">
      <text>
        <t>Poison Croix — Poison, physique
Puissance 70 · Précision 100 % · 20 PP
Une taillade qui peut empoisonner. Critiques.</t>
      </text>
    </comment>
    <comment ref="D2239" authorId="0" shapeId="0">
      <text>
        <t>Étincelle — Électrik, physique
Puissance 65 · Précision 100 % · 20 PP
Une charge électrique qui peut paralyser
l'ennemi.</t>
      </text>
    </comment>
    <comment ref="E2239" authorId="0" shapeId="0">
      <text>
        <t>Hâte — Psy, statut
30 PP
Relaxation du corps pour booster la Vitesse.</t>
      </text>
    </comment>
    <comment ref="B2242" authorId="0" shapeId="0">
      <text>
        <t>MAGNETON — Électrik
PV 50 · Att 60 · Déf 95
Att.Spé 120 · Déf.Spé 70 · Vit 70
Total 465
Talents : Magnépiège, Fermeté (caché :
  Analyste)</t>
      </text>
    </comment>
    <comment ref="C2242" authorId="0" shapeId="0">
      <text>
        <t>MARAISTE — Eau / Sol
PV 95 · Att 85 · Déf 85
Att.Spé 65 · Déf.Spé 65 · Vit 35
Total 430
Talents : Moiteur, Absorbe-Eau (caché :
  Inconscient)</t>
      </text>
    </comment>
    <comment ref="D2242" authorId="0" shapeId="0">
      <text>
        <t>NOADKOKO — Plante / Psy
PV 95 · Att 95 · Déf 85
Att.Spé 125 · Déf.Spé 75 · Vit 55
Total 530
Talents : Chlorophylle (caché : Récolte)</t>
      </text>
    </comment>
    <comment ref="E2242" authorId="0" shapeId="0">
      <text>
        <t>COCHIGNON — Glace / Sol
PV 100 · Att 100 · Déf 80
Att.Spé 60 · Déf.Spé 60 · Vit 50
Total 450
Talents : Benêt, Rideau Neige (caché :
  Isograisse)</t>
      </text>
    </comment>
    <comment ref="B2245" authorId="0" shapeId="0">
      <text>
        <t>Magnépiège
Piège les Pokémon Acier.</t>
      </text>
    </comment>
    <comment ref="C2245" authorId="0" shapeId="0">
      <text>
        <t>Moiteur
Empêche auto-destruction.</t>
      </text>
    </comment>
    <comment ref="D2245" authorId="0" shapeId="0">
      <text>
        <t>Chlorophylle
Augmente Vitesse au soleil.</t>
      </text>
    </comment>
    <comment ref="E2245" authorId="0" shapeId="0">
      <text>
        <t>Benêt
Empêche l'attirance.</t>
      </text>
    </comment>
    <comment ref="B2246" authorId="0" shapeId="0">
      <text>
        <t>Boule Élek — Électrik, spéciale
Puissance 1 · Précision 100 % · 10 PP
Une orbe qui blesse plus un ennemi lent.</t>
      </text>
    </comment>
    <comment ref="C2246" authorId="0" shapeId="0">
      <text>
        <t>Amnésie — Psy, statut
20 PP
Oublie quelque chose et booste la Déf. Spé.</t>
      </text>
    </comment>
    <comment ref="D2246" authorId="0" shapeId="0">
      <text>
        <t>Poudre Dodo — Plante, statut
Précision 75 % · 15 PP
Répand une poudre pouvant endormir l'ennemi.</t>
      </text>
    </comment>
    <comment ref="E2246" authorId="0" shapeId="0">
      <text>
        <t>Crocs Givre — Glace, physique
Puissance 65 · Précision 95 % · 15 PP</t>
      </text>
    </comment>
    <comment ref="B2247" authorId="0" shapeId="0">
      <text>
        <t>Luminocanon — Acier, spéciale
Puissance 80 · Précision 100 % · 10 PP
Un jet de lumière. Peut baisser la Déf. Spé.</t>
      </text>
    </comment>
    <comment ref="C2247" authorId="0" shapeId="0">
      <text>
        <t>Bâillement — Normal, statut
10 PP
Fait bâiller l'ennemi qui s'endort au tour
suivant.</t>
      </text>
    </comment>
    <comment ref="D2247" authorId="0" shapeId="0">
      <text>
        <t>Psykoud'Boul — Psy, physique
Puissance 80 · Précision 90 % · 15 PP
Un coup de tête. Peut apeurer l'ennemi.</t>
      </text>
    </comment>
    <comment ref="E2247" authorId="0" shapeId="0">
      <text>
        <t>Bélier — Normal, physique
Puissance 90 · Précision 85 % · 20 PP
Une charge violente qui blesse aussi le
lanceur.</t>
      </text>
    </comment>
    <comment ref="B2248" authorId="0" shapeId="0">
      <text>
        <t>Grincement — Normal, statut
Précision 85 % · 40 PP
Cri strident qui baisse la Défense ennemie.</t>
      </text>
    </comment>
    <comment ref="C2248" authorId="0" shapeId="0">
      <text>
        <t>Séisme — Sol, physique
Puissance 100 · Précision 100 % · 10 PP
Secousse sans effet sur les adversaires
volants.</t>
      </text>
    </comment>
    <comment ref="D2248" authorId="0" shapeId="0">
      <text>
        <t>Martobois — Plante, physique
Puissance 120 · Précision 100 % · 15 PP
Jette son corps sur l'ennemi. Se blesse aussi.</t>
      </text>
    </comment>
    <comment ref="E2248" authorId="0" shapeId="0">
      <text>
        <t>Brume — Glace, statut
30 PP
Crée une brume stoppant la réduction des
capacités.</t>
      </text>
    </comment>
    <comment ref="B2249" authorId="0" shapeId="0">
      <text>
        <t>Coup d'Jus — Électrik, spéciale
Puissance 80 · Précision 100 % · 15 PP
Électrocute tous les autres {PKMN}. Peut
paralyser.</t>
      </text>
    </comment>
    <comment ref="C2249" authorId="0" shapeId="0">
      <text>
        <t>Danse Pluie — Eau, statut
5 PP
Améliore les attaques Eau pendant 5 tours.</t>
      </text>
    </comment>
    <comment ref="D2249" authorId="0" shapeId="0">
      <text>
        <t>Soucigraine — Plante, statut
Précision 100 % · 10 PP
Plante une graine qui donne Insomnia.</t>
      </text>
    </comment>
    <comment ref="E2249" authorId="0" shapeId="0">
      <text>
        <t>Mania — Normal, physique
Puissance 120 · Précision 100 % · 10 PP
Une attaque furieuse de 2 à 3 tours. Lanceur
confus.</t>
      </text>
    </comment>
    <comment ref="B2251" authorId="0" shapeId="0">
      <text>
        <t>SABLAIREAU — Sol
PV 75 · Att 100 · Déf 110
Att.Spé 45 · Déf.Spé 55 · Vit 65
Total 450
Talents : Voile Sable (caché : Baigne Sable)</t>
      </text>
    </comment>
    <comment ref="C2251" authorId="0" shapeId="0">
      <text>
        <t>CIZAYOX — Insecte / Acier
PV 70 · Att 130 · Déf 100
Att.Spé 55 · Déf.Spé 80 · Vit 65
Total 500
Talents : Essaim, Technicien (caché : Light
  Metal)</t>
      </text>
    </comment>
    <comment ref="D2251" authorId="0" shapeId="0">
      <text>
        <t>FARFURET — Ténèbres / Glace
PV 55 · Att 95 · Déf 55
Att.Spé 35 · Déf.Spé 75 · Vit 115
Total 430
Talents : Attention, Regard Vif (caché :
  Pickpocket)</t>
      </text>
    </comment>
    <comment ref="E2251" authorId="0" shapeId="0">
      <text>
        <t>URSARING — Normal
PV 90 · Att 130 · Déf 75
Att.Spé 75 · Déf.Spé 75 · Vit 55
Total 500
Talents : Cran, Pied Véloce (caché : Tension)</t>
      </text>
    </comment>
    <comment ref="B2254" authorId="0" shapeId="0">
      <text>
        <t>Voile Sable
Evasion si tempête sable.</t>
      </text>
    </comment>
    <comment ref="C2254" authorId="0" shapeId="0">
      <text>
        <t>Essaim
Augmente attaques Insect.</t>
      </text>
    </comment>
    <comment ref="D2254" authorId="0" shapeId="0">
      <text>
        <t>Attention
Empêche la peur.</t>
      </text>
    </comment>
    <comment ref="E2254" authorId="0" shapeId="0">
      <text>
        <t>Cran
Monte l'Attaque si statut.</t>
      </text>
    </comment>
    <comment ref="B2255" authorId="0" shapeId="0">
      <text>
        <t>Tranche — Normal, physique
Puissance 70 · Précision 100 % · 20 PP
Coups de griffe, etc. Taux de critiques élevé.</t>
      </text>
    </comment>
    <comment ref="C2255" authorId="0" shapeId="0">
      <text>
        <t>Tranche — Normal, physique
Puissance 70 · Précision 100 % · 20 PP
Coups de griffe, etc. Taux de critiques élevé.</t>
      </text>
    </comment>
    <comment ref="D2255" authorId="0" shapeId="0">
      <text>
        <t>Grincement — Normal, statut
Précision 85 % · 40 PP
Cri strident qui baisse la Défense ennemie.</t>
      </text>
    </comment>
    <comment ref="E2255" authorId="0" shapeId="0">
      <text>
        <t>Doux Parfum — Normal, statut
Précision 100 % · 20 PP</t>
      </text>
    </comment>
    <comment ref="B2256" authorId="0" shapeId="0">
      <text>
        <t>Tunnel — Sol, physique
Puissance 80 · Précision 100 % · 10 PP
Creuse sous terre au 1{SUPER_ER} tour et
frappe au 2{SUPER_E}.</t>
      </text>
    </comment>
    <comment ref="C2256" authorId="0" shapeId="0">
      <text>
        <t>Coupe-Vent — Normal, spéciale
Puissance 80 · Précision 100 % · 10 PP
Une attaque en 2 tours qui frappe au
2{SUPER_E} tour.</t>
      </text>
    </comment>
    <comment ref="D2256" authorId="0" shapeId="0">
      <text>
        <t>Tranche — Normal, physique
Puissance 70 · Précision 100 % · 20 PP
Coups de griffe, etc. Taux de critiques élevé.</t>
      </text>
    </comment>
    <comment ref="E2256" authorId="0" shapeId="0">
      <text>
        <t>Camaraderie — Normal, statut
20 PP
Amadoue l'ennemi et baisse son Attaque.</t>
      </text>
    </comment>
    <comment ref="B2257" authorId="0" shapeId="0">
      <text>
        <t>Gyroballe — Acier, physique
Puissance 1 · Précision 100 % · 5 PP
Une toupie qui blesse plus un ennemi rapide.</t>
      </text>
    </comment>
    <comment ref="C2257" authorId="0" shapeId="0">
      <text>
        <t>Mur de Fer — Acier, statut
15 PP
Endurcit le corps pour booster la Défense.</t>
      </text>
    </comment>
    <comment ref="D2257" authorId="0" shapeId="0">
      <text>
        <t>Saisie — Ténèbres, statut
10 PP · Priorité +4
Vole les effets de la pro- chaine attaque de
la cible.</t>
      </text>
    </comment>
    <comment ref="E2257" authorId="0" shapeId="0">
      <text>
        <t>Tranche — Normal, physique
Puissance 70 · Précision 100 % · 20 PP
Coups de griffe, etc. Taux de critiques élevé.</t>
      </text>
    </comment>
    <comment ref="B2258" authorId="0" shapeId="0">
      <text>
        <t>Danse Lames — Normal, statut
20 PP
Une danse de combat pour booster l'Attaque.</t>
      </text>
    </comment>
    <comment ref="C2258" authorId="0" shapeId="0">
      <text>
        <t>Plaie Croix — Insecte, physique
Puissance 80 · Précision 100 % · 15 PP
Taillade l'ennemi de ses faux croisées.</t>
      </text>
    </comment>
    <comment ref="D2258" authorId="0" shapeId="0">
      <text>
        <t>Punition — Ténèbres, physique
Puissance 60 · Précision 100 % · 5 PP
Plus puissant si l'ennemi s'est renforcé.</t>
      </text>
    </comment>
    <comment ref="E2258" authorId="0" shapeId="0">
      <text>
        <t>Grimace — Normal, statut
Précision 100 % · 10 PP
Effraie avec une grimace pour baisser la
Vitesse.</t>
      </text>
    </comment>
    <comment ref="B2260" authorId="0" shapeId="0">
      <text>
        <t>STAROSS — Eau / Psy
PV 60 · Att 75 · Déf 85
Att.Spé 100 · Déf.Spé 85 · Vit 115
Total 520
Talents : Lumiattirance, Médic Nature (caché :
  Analyste)</t>
      </text>
    </comment>
    <comment ref="C2260" authorId="0" shapeId="0">
      <text>
        <t>NIDOQUEEN — Poison / Sol
PV 90 · Att 92 · Déf 87
Att.Spé 75 · Déf.Spé 85 · Vit 76
Total 505
Talents : Point Poison, Rivalité (caché : Sans
  Limite)</t>
      </text>
    </comment>
    <comment ref="D2260" authorId="0" shapeId="0">
      <text>
        <t>RAFFLESIA — Plante / Poison
PV 75 · Att 80 · Déf 85
Att.Spé 110 · Déf.Spé 90 · Vit 50
Total 490
Talents : Chlorophylle (caché : Pose Spore)</t>
      </text>
    </comment>
    <comment ref="E2260" authorId="0" shapeId="0">
      <text>
        <t>ELECTRODE — Électrik
PV 60 · Att 50 · Déf 70
Att.Spé 80 · Déf.Spé 80 · Vit 150
Total 490
Talents : Anti-Bruit, Statik (caché : Boom
  Final)</t>
      </text>
    </comment>
    <comment ref="F2260" authorId="0" shapeId="0">
      <text>
        <t>STAROSS — Eau / Psy
PV 60 · Att 75 · Déf 85
Att.Spé 100 · Déf.Spé 85 · Vit 115
Total 520
Talents : Lumiattirance, Médic Nature (caché :
  Analyste)</t>
      </text>
    </comment>
    <comment ref="B2263" authorId="0" shapeId="0">
      <text>
        <t>Lumiattirance
Augmente les rencontres.</t>
      </text>
    </comment>
    <comment ref="C2263" authorId="0" shapeId="0">
      <text>
        <t>Point Poison
Empoisonne quand touché.</t>
      </text>
    </comment>
    <comment ref="D2263" authorId="0" shapeId="0">
      <text>
        <t>Chlorophylle
Augmente Vitesse au soleil.</t>
      </text>
    </comment>
    <comment ref="E2263" authorId="0" shapeId="0">
      <text>
        <t>Anti-Bruit
Évite les coups sonores.</t>
      </text>
    </comment>
    <comment ref="F2263" authorId="0" shapeId="0">
      <text>
        <t>Lumiattirance
Augmente les rencontres.</t>
      </text>
    </comment>
    <comment ref="B2264" authorId="0" shapeId="0">
      <text>
        <t>Météores — Normal, spéciale
Puissance 60 · Ne rate jamais · 20 PP
Envoie des rayons en forme d'étoile. Touche
toujours.</t>
      </text>
    </comment>
    <comment ref="C2264" authorId="0" shapeId="0">
      <text>
        <t>Plaquage — Normal, physique
Puissance 85 · Précision 100 % · 15 PP
Une attaque en charge. Peut paralyser
l'ennemi.</t>
      </text>
    </comment>
    <comment ref="D2264" authorId="0" shapeId="0">
      <text>
        <t>Méga-Sangsue — Plante, spéciale
Puissance 40 · Précision 100 % · 25 PP</t>
      </text>
    </comment>
    <comment ref="E2264" authorId="0" shapeId="0">
      <text>
        <t>Mur Lumière — Psy, statut
30 PP
Crée un mur lumineux et réduit les dégâts
d'Atq. Spé.</t>
      </text>
    </comment>
    <comment ref="F2264" authorId="0" shapeId="0">
      <text>
        <t>Saumure — Eau, spéciale
Puissance 65 · Précision 100 % · 10 PP
Double les dégâts si l'ennemi a mi-PV ou
moins.</t>
      </text>
    </comment>
    <comment ref="B2265" authorId="0" shapeId="0">
      <text>
        <t>Saumure — Eau, spéciale
Puissance 65 · Précision 100 % · 10 PP
Double les dégâts si l'ennemi a mi-PV ou
moins.</t>
      </text>
    </comment>
    <comment ref="C2265" authorId="0" shapeId="0">
      <text>
        <t>Poison Croix — Poison, physique
Puissance 70 · Précision 100 % · 20 PP
Une taillade qui peut empoisonner. Critiques.</t>
      </text>
    </comment>
    <comment ref="D2265" authorId="0" shapeId="0">
      <text>
        <t>Air Veinard — Normal, statut
30 PP
Empêche les coups critiques ennemis.</t>
      </text>
    </comment>
    <comment ref="E2265" authorId="0" shapeId="0">
      <text>
        <t>Roulade — Roche, physique
Puissance 30 · Précision 90 % · 20 PP
Une attaque sur 5 tours, de plus en plus
puissante.</t>
      </text>
    </comment>
    <comment ref="F2265" authorId="0" shapeId="0">
      <text>
        <t>Onde Folie — Spectre, statut
Précision 100 % · 10 PP
Un horrible rayon qui rend l'ennemi confus.</t>
      </text>
    </comment>
    <comment ref="B2266" authorId="0" shapeId="0">
      <text>
        <t>Onde Folie — Spectre, statut
Précision 100 % · 10 PP
Un horrible rayon qui rend l'ennemi confus.</t>
      </text>
    </comment>
    <comment ref="C2266" authorId="0" shapeId="0">
      <text>
        <t>Piétisol — Sol, physique
Puissance 60 · Précision 100 % · 20 PP
Piétine le sol. Touche tout et baisse la Vit.</t>
      </text>
    </comment>
    <comment ref="D2266" authorId="0" shapeId="0">
      <text>
        <t>Rayon Lune — Fée, statut
5 PP
Restaure les PV. La quantité varie suivant le
temps.</t>
      </text>
    </comment>
    <comment ref="E2266" authorId="0" shapeId="0">
      <text>
        <t>Vol Magnétik — Électrik, statut
10 PP
Le lanceur lévite par magnétisme.</t>
      </text>
    </comment>
    <comment ref="F2266" authorId="0" shapeId="0">
      <text>
        <t>Lilliput — Normal, statut
10 PP</t>
      </text>
    </comment>
    <comment ref="B2267" authorId="0" shapeId="0">
      <text>
        <t>Lilliput — Normal, statut
10 PP</t>
      </text>
    </comment>
    <comment ref="C2267" authorId="0" shapeId="0">
      <text>
        <t>Telluriforce — Sol, spéciale
Puissance 90 · Précision 100 % · 10 PP
Le sol se déchaîne. Peut baisser la Déf. Spé.</t>
      </text>
    </comment>
    <comment ref="D2267" authorId="0" shapeId="0">
      <text>
        <t>Giga-Sangsue — Plante, spéciale
Puissance 75 · Précision 100 % · 25 PP
Une attaque qui absorbe la moitié des dégâts
infligés.</t>
      </text>
    </comment>
    <comment ref="E2267" authorId="0" shapeId="0">
      <text>
        <t>Coup d'Jus — Électrik, spéciale
Puissance 80 · Précision 100 % · 15 PP
Électrocute tous les autres {PKMN}. Peut
paralyser.</t>
      </text>
    </comment>
    <comment ref="F2267" authorId="0" shapeId="0">
      <text>
        <t>Copie-Type — Normal, statut
15 PP
Le lanceur copie le type de l'ennemi.</t>
      </text>
    </comment>
    <comment ref="B2269" authorId="0" shapeId="0">
      <text>
        <t>SAQUEDENEU — Plante
PV 65 · Att 55 · Déf 115
Att.Spé 100 · Déf.Spé 40 · Vit 60
Total 435
Talents : Chlorophylle, Feuille Garde (caché :
  Régé-Force)</t>
      </text>
    </comment>
    <comment ref="C2269" authorId="0" shapeId="0">
      <text>
        <t>FLORIZARRE — Plante / Poison
PV 80 · Att 82 · Déf 83
Att.Spé 100 · Déf.Spé 100 · Vit 80
Total 525
Talents : Engrais (caché : Chlorophylle)</t>
      </text>
    </comment>
    <comment ref="D2269" authorId="0" shapeId="0">
      <text>
        <t>EMPIFLOR — Plante / Poison
PV 80 · Att 105 · Déf 65
Att.Spé 100 · Déf.Spé 100 · Vit 70
Total 520
Talents : Chlorophylle (caché : Gloutonnerie)</t>
      </text>
    </comment>
    <comment ref="E2269" authorId="0" shapeId="0">
      <text>
        <t>JOLIFLOR — Plante
PV 75 · Att 80 · Déf 95
Att.Spé 90 · Déf.Spé 100 · Vit 50
Total 490
Talents : Chlorophylle (caché : Cœur Soin)</t>
      </text>
    </comment>
    <comment ref="B2272" authorId="0" shapeId="0">
      <text>
        <t>Chlorophylle
Augmente Vitesse au soleil.</t>
      </text>
    </comment>
    <comment ref="C2272" authorId="0" shapeId="0">
      <text>
        <t>Engrais
Augmente attaques Plante.</t>
      </text>
    </comment>
    <comment ref="D2272" authorId="0" shapeId="0">
      <text>
        <t>Chlorophylle
Augmente Vitesse au soleil.</t>
      </text>
    </comment>
    <comment ref="E2272" authorId="0" shapeId="0">
      <text>
        <t>Chlorophylle
Augmente Vitesse au soleil.</t>
      </text>
    </comment>
    <comment ref="B2273" authorId="0" shapeId="0">
      <text>
        <t>Giga-Sangsue — Plante, spéciale
Puissance 75 · Précision 100 % · 25 PP
Une attaque qui absorbe la moitié des dégâts
infligés.</t>
      </text>
    </comment>
    <comment ref="C2273" authorId="0" shapeId="0">
      <text>
        <t>Détritus — Poison, spéciale
Puissance 65 · Précision 100 % · 20 PP
Blesse en envoyant des détritus. Peut
empoisonner.</t>
      </text>
    </comment>
    <comment ref="D2273" authorId="0" shapeId="0">
      <text>
        <t>Acide — Poison, spéciale
Puissance 40 · Précision 100 % · 30 PP</t>
      </text>
    </comment>
    <comment ref="E2273" authorId="0" shapeId="0">
      <text>
        <t>Zénith — Feu, statut
5 PP
Améliore les attaques Feu pendant 5 tours.</t>
      </text>
    </comment>
    <comment ref="B2274" authorId="0" shapeId="0">
      <text>
        <t>Pouvoir Antique — Roche, spéciale
Puissance 60 · Précision 100 % · 5 PP
Une attaque pouvant augmenter toutes les
stats.</t>
      </text>
    </comment>
    <comment ref="C2274" authorId="0" shapeId="0">
      <text>
        <t>Croissance — Normal, statut
20 PP</t>
      </text>
    </comment>
    <comment ref="D2274" authorId="0" shapeId="0">
      <text>
        <t>Sabotage — Ténèbres, physique
Puissance 65 · Précision 100 % · 20 PP
Frappe l'objet tenu pour le rendre
inutilisable.</t>
      </text>
    </comment>
    <comment ref="E2274" authorId="0" shapeId="0">
      <text>
        <t>Poudre Dodo — Plante, statut
Précision 75 % · 15 PP
Répand une poudre pouvant endormir l'ennemi.</t>
      </text>
    </comment>
    <comment ref="B2275" authorId="0" shapeId="0">
      <text>
        <t>Souplesse — Normal, physique
Puissance 80 · Précision 75 % · 20 PP
Fouette l'ennemi avec la queue, une liane,
etc.</t>
      </text>
    </comment>
    <comment ref="C2275" authorId="0" shapeId="0">
      <text>
        <t>Damoclès — Normal, physique
Puissance 120 · Précision 100 % · 15 PP
Une dangereuse charge qui blesse aussi le
lanceur.</t>
      </text>
    </comment>
    <comment ref="D2275" authorId="0" shapeId="0">
      <text>
        <t>Doux Parfum — Normal, statut
Précision 100 % · 20 PP</t>
      </text>
    </comment>
    <comment ref="E2275" authorId="0" shapeId="0">
      <text>
        <t>Méga-Sangsue — Plante, spéciale
Puissance 40 · Précision 100 % · 25 PP</t>
      </text>
    </comment>
    <comment ref="B2276" authorId="0" shapeId="0">
      <text>
        <t>Chatouille — Normal, statut
Précision 100 % · 20 PP
Fait rire l'ennemi et baisse son Attaque et sa
Défense.</t>
      </text>
    </comment>
    <comment ref="C2276" authorId="0" shapeId="0">
      <text>
        <t>Soucigraine — Plante, statut
Précision 100 % · 10 PP
Plante une graine qui donne Insomnia.</t>
      </text>
    </comment>
    <comment ref="D2276" authorId="0" shapeId="0">
      <text>
        <t>Lame Feuille — Plante, physique
Puissance 90 · Précision 100 % · 15 PP
Tranche avec une feuille. Taux de critiques
élevé.</t>
      </text>
    </comment>
    <comment ref="E2276" authorId="0" shapeId="0">
      <text>
        <t>Air Veinard — Normal, statut
30 PP
Empêche les coups critiques ennemis.</t>
      </text>
    </comment>
    <comment ref="B2278" authorId="0" shapeId="0">
      <text>
        <t>XATU — Psy / Vol
PV 65 · Att 75 · Déf 70
Att.Spé 95 · Déf.Spé 70 · Vit 95
Total 470
Talents : Synchro, Matinal (caché : Miroir
  Magik)</t>
      </text>
    </comment>
    <comment ref="C2278" authorId="0" shapeId="0">
      <text>
        <t>NOADKOKO — Plante / Psy
PV 95 · Att 95 · Déf 85
Att.Spé 125 · Déf.Spé 75 · Vit 55
Total 530
Talents : Chlorophylle (caché : Récolte)</t>
      </text>
    </comment>
    <comment ref="D2278" authorId="0" shapeId="0">
      <text>
        <t>GIRAFARIG — Normal / Psy
PV 70 · Att 80 · Déf 65
Att.Spé 90 · Déf.Spé 65 · Vit 85
Total 455
Talents : Attention, Matinal (caché :
  Herbivore)</t>
      </text>
    </comment>
    <comment ref="B2281" authorId="0" shapeId="0">
      <text>
        <t>Synchro
Transfère statuts.</t>
      </text>
    </comment>
    <comment ref="C2281" authorId="0" shapeId="0">
      <text>
        <t>Chlorophylle
Augmente Vitesse au soleil.</t>
      </text>
    </comment>
    <comment ref="D2281" authorId="0" shapeId="0">
      <text>
        <t>Attention
Empêche la peur.</t>
      </text>
    </comment>
    <comment ref="B2282" authorId="0" shapeId="0">
      <text>
        <t>Psyko — Psy, spéciale
Puissance 90 · Précision 100 % · 10 PP
Une puissante attaque Psy pouvant baisser la
Déf. Spé.</t>
      </text>
    </comment>
    <comment ref="C2282" authorId="0" shapeId="0">
      <text>
        <t>Poudre Dodo — Plante, statut
Précision 75 % · 15 PP
Répand une poudre pouvant endormir l'ennemi.</t>
      </text>
    </comment>
    <comment ref="D2282" authorId="0" shapeId="0">
      <text>
        <t>Psykoud'Boul — Psy, physique
Puissance 80 · Précision 90 % · 15 PP
Un coup de tête. Peut apeurer l'ennemi.</t>
      </text>
    </comment>
    <comment ref="B2283" authorId="0" shapeId="0">
      <text>
        <t>Hypnose — Psy, statut
Précision 60 % · 20 PP
Une attaque hypnotique pouvant endormir
l'ennemi.</t>
      </text>
    </comment>
    <comment ref="C2283" authorId="0" shapeId="0">
      <text>
        <t>Psykoud'Boul — Psy, physique
Puissance 80 · Précision 90 % · 15 PP
Un coup de tête. Peut apeurer l'ennemi.</t>
      </text>
    </comment>
    <comment ref="D2283" authorId="0" shapeId="0">
      <text>
        <t>Double Laser — Psy, spéciale
Puissance 40 · Précision 100 % · 10 PP
Deux rayons oculaires qui frappent deux fois.</t>
      </text>
    </comment>
    <comment ref="B2284" authorId="0" shapeId="0">
      <text>
        <t>Œil Miracle — Psy, statut
40 PP
Annule l'Esquive et les immunités Ténèbres.</t>
      </text>
    </comment>
    <comment ref="C2284" authorId="0" shapeId="0">
      <text>
        <t>Martobois — Plante, physique
Puissance 120 · Précision 100 % · 15 PP
Jette son corps sur l'ennemi. Se blesse aussi.</t>
      </text>
    </comment>
    <comment ref="D2284" authorId="0" shapeId="0">
      <text>
        <t>Mâchouille — Ténèbres, physique
Puissance 80 · Précision 100 % · 15 PP</t>
      </text>
    </comment>
    <comment ref="B2285" authorId="0" shapeId="0">
      <text>
        <t>Lame d'Air — Vol, spéciale
Puissance 75 · Précision 95 % · 15 PP
Une lame d'air. Peut apeurer l'ennemi.</t>
      </text>
    </comment>
    <comment ref="C2285" authorId="0" shapeId="0">
      <text>
        <t>Soucigraine — Plante, statut
Précision 100 % · 10 PP
Plante une graine qui donne Insomnia.</t>
      </text>
    </comment>
    <comment ref="D2285" authorId="0" shapeId="0">
      <text>
        <t>Relais — Normal, statut
40 PP
Change de lanceur, mais garde les effets en
cours.</t>
      </text>
    </comment>
    <comment ref="B2287" authorId="0" shapeId="0">
      <text>
        <t>RAPASDEPIC — Normal / Vol
PV 65 · Att 90 · Déf 65
Att.Spé 61 · Déf.Spé 61 · Vit 100
Total 442
Talents : Regard Vif (caché : Sniper)</t>
      </text>
    </comment>
    <comment ref="C2287" authorId="0" shapeId="0">
      <text>
        <t>CANARTICHO — Normal / Vol
PV 52 · Att 90 · Déf 55
Att.Spé 58 · Déf.Spé 62 · Vit 60
Total 377
Talents : Regard Vif, Attention (caché :
  Acharné)</t>
      </text>
    </comment>
    <comment ref="D2287" authorId="0" shapeId="0">
      <text>
        <t>ROUCARNAGE — Normal / Vol
PV 83 · Att 80 · Déf 75
Att.Spé 70 · Déf.Spé 70 · Vit 101
Total 479
Talents : Regard Vif, Pieds Confus (caché :
  Cœur de Coq)</t>
      </text>
    </comment>
    <comment ref="E2287" authorId="0" shapeId="0">
      <text>
        <t>DODRIO — Normal / Vol
PV 60 · Att 110 · Déf 70
Att.Spé 60 · Déf.Spé 60 · Vit 110
Total 470
Talents : Fuite, Matinal (caché : Pieds
  Confus)</t>
      </text>
    </comment>
    <comment ref="B2290" authorId="0" shapeId="0">
      <text>
        <t>Regard Vif
Empêche perte de précision.</t>
      </text>
    </comment>
    <comment ref="C2290" authorId="0" shapeId="0">
      <text>
        <t>Regard Vif
Empêche perte de précision.</t>
      </text>
    </comment>
    <comment ref="D2290" authorId="0" shapeId="0">
      <text>
        <t>Regard Vif
Empêche perte de précision.</t>
      </text>
    </comment>
    <comment ref="E2290" authorId="0" shapeId="0">
      <text>
        <t>Fuite
Améliore chances de fuite.</t>
      </text>
    </comment>
    <comment ref="B2291" authorId="0" shapeId="0">
      <text>
        <t>Puissance — Normal, statut
30 PP
Concentration pour booster le taux de
critiques.</t>
      </text>
    </comment>
    <comment ref="C2291" authorId="0" shapeId="0">
      <text>
        <t>Tranche-Nuit — Ténèbres, physique
Puissance 70 · Précision 100 % · 15 PP
Frappe au plus vite. Critiques fréquents.</t>
      </text>
    </comment>
    <comment ref="D2291" authorId="0" shapeId="0">
      <text>
        <t>Hâte — Psy, statut
30 PP
Relaxation du corps pour booster la Vitesse.</t>
      </text>
    </comment>
    <comment ref="E2291" authorId="0" shapeId="0">
      <text>
        <t>Brouhaha — Normal, spéciale
Puissance 90 · Précision 100 % · 10 PP</t>
      </text>
    </comment>
    <comment ref="B2292" authorId="0" shapeId="0">
      <text>
        <t>Atterrissage — Vol, statut
5 PP
Rend au lanceur la moitié de ses PV max.</t>
      </text>
    </comment>
    <comment ref="C2292" authorId="0" shapeId="0">
      <text>
        <t>Acrobatie — Vol, physique
Puissance 55 · Précision 100 % · 15 PP
Double les dégâts si le lanceur n'a pas
d'objet.</t>
      </text>
    </comment>
    <comment ref="D2292" authorId="0" shapeId="0">
      <text>
        <t>Aéropique — Vol, physique
Puissance 60 · Ne rate jamais · 20 PP
Attaque très rapide et imparable.</t>
      </text>
    </comment>
    <comment ref="E2292" authorId="0" shapeId="0">
      <text>
        <t>Acupression — Normal, statut
30 PP
Monte beaucoup une stat au hasard.</t>
      </text>
    </comment>
    <comment ref="B2293" authorId="0" shapeId="0">
      <text>
        <t>Bec Vrille — Vol, physique
Puissance 80 · Précision 100 % · 20 PP
Une attaque utilisant le bec comme une
perceuse.</t>
      </text>
    </comment>
    <comment ref="C2293" authorId="0" shapeId="0">
      <text>
        <t>Ruse — Normal, physique
Puissance 30 · Précision 100 % · 10 PP ·
Priorité +2</t>
      </text>
    </comment>
    <comment ref="D2293" authorId="0" shapeId="0">
      <text>
        <t>Chute Libre — Vol, physique
Puissance 60 · Précision 100 % · 10 PP
Emporte l'ennemi dans le ciel et le lâche.</t>
      </text>
    </comment>
    <comment ref="E2293" authorId="0" shapeId="0">
      <text>
        <t>Danse Lames — Normal, statut
20 PP
Une danse de combat pour booster l'Attaque.</t>
      </text>
    </comment>
    <comment ref="B2294" authorId="0" shapeId="0">
      <text>
        <t>Tunnelier — Sol, physique
Puissance 80 · Précision 95 % · 10 PP
Tourne comme une perceuse. Critiques
fréquents.</t>
      </text>
    </comment>
    <comment ref="C2294" authorId="0" shapeId="0">
      <text>
        <t>Faux-Chage — Normal, physique
Puissance 40 · Précision 100 % · 40 PP</t>
      </text>
    </comment>
    <comment ref="D2294" authorId="0" shapeId="0">
      <text>
        <t>Atterrissage — Vol, statut
5 PP
Rend au lanceur la moitié de ses PV max.</t>
      </text>
    </comment>
    <comment ref="E2294" authorId="0" shapeId="0">
      <text>
        <t>Pied Sauté — Combat, physique
Puissance 100 · Précision 95 % · 10 PP
Un coup de pied sauté. Peut blesser le lanceur
si raté.</t>
      </text>
    </comment>
    <comment ref="B2296" authorId="0" shapeId="0">
      <text>
        <t>QWILFISH — Eau / Poison
PV 65 · Att 95 · Déf 85
Att.Spé 55 · Déf.Spé 55 · Vit 85
Total 440
Talents : Point Poison, Glissade (caché :
  Intimidation)</t>
      </text>
    </comment>
    <comment ref="C2296" authorId="0" shapeId="0">
      <text>
        <t>POISSOROY — Eau
PV 80 · Att 92 · Déf 65
Att.Spé 65 · Déf.Spé 80 · Vit 68
Total 450
Talents : Glissade, Ignifu-Voile (caché :
  Paratonnerre)</t>
      </text>
    </comment>
    <comment ref="D2296" authorId="0" shapeId="0">
      <text>
        <t>LEVIATOR — Eau / Vol
PV 95 · Att 125 · Déf 79
Att.Spé 60 · Déf.Spé 100 · Vit 81
Total 540
Talents : Intimidation (caché : Impudence)</t>
      </text>
    </comment>
    <comment ref="E2296" authorId="0" shapeId="0">
      <text>
        <t>MARAISTE — Eau / Sol
PV 95 · Att 85 · Déf 85
Att.Spé 65 · Déf.Spé 65 · Vit 35
Total 430
Talents : Moiteur, Absorbe-Eau (caché :
  Inconscient)</t>
      </text>
    </comment>
    <comment ref="B2299" authorId="0" shapeId="0">
      <text>
        <t>Point Poison
Empoisonne quand touché.</t>
      </text>
    </comment>
    <comment ref="C2299" authorId="0" shapeId="0">
      <text>
        <t>Glissade
Monte Vitesse s'il pleut.</t>
      </text>
    </comment>
    <comment ref="D2299" authorId="0" shapeId="0">
      <text>
        <t>Intimidation
Baisse l'Attaque ennemie.</t>
      </text>
    </comment>
    <comment ref="E2299" authorId="0" shapeId="0">
      <text>
        <t>Moiteur
Empêche auto-destruction.</t>
      </text>
    </comment>
    <comment ref="B2300" authorId="0" shapeId="0">
      <text>
        <t>Saumure — Eau, spéciale
Puissance 65 · Précision 100 % · 10 PP
Double les dégâts si l'ennemi a mi-PV ou
moins.</t>
      </text>
    </comment>
    <comment ref="C2300" authorId="0" shapeId="0">
      <text>
        <t>Furie — Normal, physique
Puissance 15 · Précision 85 % · 20 PP
Frappe l'ennemi 2 à 5 fois avec une corne, un
bec, etc.</t>
      </text>
    </comment>
    <comment ref="D2300" authorId="0" shapeId="0">
      <text>
        <t>Grimace — Normal, statut
Précision 100 % · 10 PP
Effraie avec une grimace pour baisser la
Vitesse.</t>
      </text>
    </comment>
    <comment ref="E2300" authorId="0" shapeId="0">
      <text>
        <t>Amnésie — Psy, statut
20 PP
Oublie quelque chose et booste la Déf. Spé.</t>
      </text>
    </comment>
    <comment ref="B2301" authorId="0" shapeId="0">
      <text>
        <t>Dard-Nuée — Insecte, physique
Puissance 25 · Précision 95 % · 20 PP
Envoie des dards qui frappent 2 à 5 fois.</t>
      </text>
    </comment>
    <comment ref="C2301" authorId="0" shapeId="0">
      <text>
        <t>Hâte — Psy, statut
30 PP
Relaxation du corps pour booster la Vitesse.</t>
      </text>
    </comment>
    <comment ref="D2301" authorId="0" shapeId="0">
      <text>
        <t>Draco-Rage — Dragon, spéciale
Puissance 1 · Précision 100 % · 10 PP
Envoie des ondes de choc infligeant 40 PV de
dégâts.</t>
      </text>
    </comment>
    <comment ref="E2301" authorId="0" shapeId="0">
      <text>
        <t>Bâillement — Normal, statut
10 PP
Fait bâiller l'ennemi qui s'endort au tour
suivant.</t>
      </text>
    </comment>
    <comment ref="B2302" authorId="0" shapeId="0">
      <text>
        <t>Bélier — Normal, physique
Puissance 90 · Précision 85 % · 20 PP
Une charge violente qui blesse aussi le
lanceur.</t>
      </text>
    </comment>
    <comment ref="C2302" authorId="0" shapeId="0">
      <text>
        <t>Cascade — Eau, physique
Puissance 80 · Précision 100 % · 15 PP
Charge rapide permettant de franchir des
cascades.</t>
      </text>
    </comment>
    <comment ref="D2302" authorId="0" shapeId="0">
      <text>
        <t>Mâchouille — Ténèbres, physique
Puissance 80 · Précision 100 % · 15 PP</t>
      </text>
    </comment>
    <comment ref="E2302" authorId="0" shapeId="0">
      <text>
        <t>Séisme — Sol, physique
Puissance 100 · Précision 100 % · 10 PP
Secousse sans effet sur les adversaires
volants.</t>
      </text>
    </comment>
    <comment ref="B2303" authorId="0" shapeId="0">
      <text>
        <t>Hydro-Queue — Eau, physique
Puissance 90 · Précision 90 % · 10 PP
Balaie l'ennemi de sa queue comme une vague.</t>
      </text>
    </comment>
    <comment ref="C2303" authorId="0" shapeId="0">
      <text>
        <t>Empal'Korne — Normal, physique
Puissance 1 · Précision 30 % · 5 PP
Empale l'ennemi d'un coup de corne. Met KO en
un coup.</t>
      </text>
    </comment>
    <comment ref="D2303" authorId="0" shapeId="0">
      <text>
        <t>Hydrocanon — Eau, spéciale
Puissance 110 · Précision 80 % · 5 PP
Envoie un puissant jet d'eau pour frapper
l'ennemi.</t>
      </text>
    </comment>
    <comment ref="E2303" authorId="0" shapeId="0">
      <text>
        <t>Danse Pluie — Eau, statut
5 PP
Améliore les attaques Eau pendant 5 tours.</t>
      </text>
    </comment>
    <comment ref="B2306" authorId="0" shapeId="0">
      <text>
        <t>KANGOUREX — Normal
PV 105 · Att 95 · Déf 80
Att.Spé 40 · Déf.Spé 80 · Vit 90
Total 490
Talents : Matinal, Querelleur (caché :
  Attention)</t>
      </text>
    </comment>
    <comment ref="C2306" authorId="0" shapeId="0">
      <text>
        <t>CORBOSS — Ténèbres / Vol
PV 100 · Att 125 · Déf 52
Att.Spé 105 · Déf.Spé 52 · Vit 71
Total 505
Talents : Insomnia, Chanceux (caché :
  Impudence)</t>
      </text>
    </comment>
    <comment ref="D2306" authorId="0" shapeId="0">
      <text>
        <t>NIDOQUEEN — Poison / Sol
PV 90 · Att 92 · Déf 87
Att.Spé 75 · Déf.Spé 85 · Vit 76
Total 505
Talents : Point Poison, Rivalité (caché : Sans
  Limite)</t>
      </text>
    </comment>
    <comment ref="E2306" authorId="0" shapeId="0">
      <text>
        <t>PERSIAN — Normal
PV 65 · Att 70 · Déf 60
Att.Spé 65 · Déf.Spé 65 · Vit 115
Total 440
Talents : Échauffement, Technicien (caché :
  Tension)</t>
      </text>
    </comment>
    <comment ref="F2306" authorId="0" shapeId="0">
      <text>
        <t>URSAKING — Sol / Normal
PV 130 · Att 140 · Déf 105
Att.Spé 45 · Déf.Spé 80 · Vit 50
Total 550
Talents : Cran, Pare-Balles (caché : Tension)</t>
      </text>
    </comment>
    <comment ref="G2306" authorId="0" shapeId="0">
      <text>
        <t>NIDOKING — Poison / Sol
PV 81 · Att 102 · Déf 77
Att.Spé 85 · Déf.Spé 75 · Vit 85
Total 505
Talents : Point Poison, Rivalité (caché : Sans
  Limite)</t>
      </text>
    </comment>
    <comment ref="B2309" authorId="0" shapeId="0">
      <text>
        <t>Matinal
Se réveille rapidement.</t>
      </text>
    </comment>
    <comment ref="C2309" authorId="0" shapeId="0">
      <text>
        <t>Insomnia
Empêche de s'endormir.</t>
      </text>
    </comment>
    <comment ref="D2309" authorId="0" shapeId="0">
      <text>
        <t>Point Poison
Empoisonne quand touché.</t>
      </text>
    </comment>
    <comment ref="E2309" authorId="0" shapeId="0">
      <text>
        <t>Échauffement
Empêche la paralysie.</t>
      </text>
    </comment>
    <comment ref="F2309" authorId="0" shapeId="0">
      <text>
        <t>Cran
Monte l'Attaque si statut.</t>
      </text>
    </comment>
    <comment ref="G2309" authorId="0" shapeId="0">
      <text>
        <t>Point Poison
Empoisonne quand touché.</t>
      </text>
    </comment>
    <comment ref="B2310" authorId="0" shapeId="0">
      <text>
        <t>Uppercut — Normal, physique
Puissance 70 · Précision 100 % · 10 PP
Un coup de poing cadencé. Peut rendre confus.</t>
      </text>
    </comment>
    <comment ref="C2310" authorId="0" shapeId="0">
      <text>
        <t>Vibrobscur — Ténèbres, spéciale
Puissance 80 · Précision 100 % · 15 PP
Une aura horrible. Peut apeurer l'ennemi.</t>
      </text>
    </comment>
    <comment ref="D2310" authorId="0" shapeId="0">
      <text>
        <t>Poing Glace — Glace, physique
Puissance 75 · Précision 100 % · 15 PP</t>
      </text>
    </comment>
    <comment ref="E2310" authorId="0" shapeId="0">
      <text>
        <t>Feinte — Ténèbres, physique
Puissance 60 · Ne rate jamais · 20 PP
Approche l'ennemi et frappe à coup sûr.</t>
      </text>
    </comment>
    <comment ref="F2310" authorId="0" shapeId="0">
      <text>
        <t>Assaut Frontal — Sol, physique
Puissance 120 · Précision 100 % · 5 PP
Une charge totale. Baisse ses propres
défenses.</t>
      </text>
    </comment>
    <comment ref="G2310" authorId="0" shapeId="0">
      <text>
        <t>Poing Éclair — Électrik, physique
Puissance 75 · Précision 100 % · 15 PP
Un poing électrique pouvant paralyser
l'ennemi.</t>
      </text>
    </comment>
    <comment ref="B2311" authorId="0" shapeId="0">
      <text>
        <t>Poing Feu — Feu, physique
Puissance 75 · Précision 100 % · 15 PP
Un poing de feu pouvant brûler l'ennemi.</t>
      </text>
    </comment>
    <comment ref="C2311" authorId="0" shapeId="0">
      <text>
        <t>Lame d'Air — Vol, spéciale
Puissance 75 · Précision 95 % · 15 PP
Une lame d'air. Peut apeurer l'ennemi.</t>
      </text>
    </comment>
    <comment ref="D2311" authorId="0" shapeId="0">
      <text>
        <t>Poison Croix — Poison, physique
Puissance 70 · Précision 100 % · 20 PP
Une taillade qui peut empoisonner. Critiques.</t>
      </text>
    </comment>
    <comment ref="E2311" authorId="0" shapeId="0">
      <text>
        <t>Vantardise — Normal, statut
Précision 85 % · 15 PP
Rend l'ennemi confus et booste l'Attaque.</t>
      </text>
    </comment>
    <comment ref="F2311" authorId="0" shapeId="0">
      <text>
        <t>Tempête de Sable — Roche, statut
10 PP
Une tempête de sable qui souffle pendant 5
tours.</t>
      </text>
    </comment>
    <comment ref="G2311" authorId="0" shapeId="0">
      <text>
        <t>Séisme — Sol, physique
Puissance 100 · Précision 100 % · 10 PP
Secousse sans effet sur les adversaires
volants.</t>
      </text>
    </comment>
    <comment ref="B2312" authorId="0" shapeId="0">
      <text>
        <t>Rune Protect — Normal, statut
25 PP
Force mystique empêchant tout changement de
statut.</t>
      </text>
    </comment>
    <comment ref="C2312" authorId="0" shapeId="0">
      <text>
        <t>Larcin — Ténèbres, physique
Puissance 60 · Précision 100 % · 25 PP
Peut voler l'objet tenu par l'ennemi pendant
l'attaque.</t>
      </text>
    </comment>
    <comment ref="D2312" authorId="0" shapeId="0">
      <text>
        <t>Piétisol — Sol, physique
Puissance 60 · Précision 100 % · 20 PP
Piétine le sol. Touche tout et baisse la Vit.</t>
      </text>
    </comment>
    <comment ref="E2312" authorId="0" shapeId="0">
      <text>
        <t>Grincement — Normal, statut
Précision 85 % · 40 PP
Cri strident qui baisse la Défense ennemie.</t>
      </text>
    </comment>
    <comment ref="F2312" authorId="0" shapeId="0">
      <text>
        <t>Câlinerie — Fée, physique
Puissance 90 · Précision 90 % · 10 PP
Un câlin brutal. Peut baisser l'Attaque de
l'ennemi.</t>
      </text>
    </comment>
    <comment ref="G2312" authorId="0" shapeId="0">
      <text>
        <t>Éboulement — Roche, physique
Puissance 75 · Précision 90 % · 10 PP
Envoie de gros rochers. Peut apeurer l'ennemi.</t>
      </text>
    </comment>
    <comment ref="B2313" authorId="0" shapeId="0">
      <text>
        <t>Ultimapoing — Normal, physique
Puissance 80 · Précision 85 % · 20 PP
Un coup de poing d'une puissance incroyable.</t>
      </text>
    </comment>
    <comment ref="C2313" authorId="0" shapeId="0">
      <text>
        <t>Reflet — Normal, statut
15 PP
Crée des images-miroirs pour augmenter
l'esquive.</t>
      </text>
    </comment>
    <comment ref="D2313" authorId="0" shapeId="0">
      <text>
        <t>Plaquage — Normal, physique
Puissance 85 · Précision 100 % · 15 PP
Une attaque en charge. Peut paralyser
l'ennemi.</t>
      </text>
    </comment>
    <comment ref="E2313" authorId="0" shapeId="0">
      <text>
        <t>Tranche — Normal, physique
Puissance 70 · Précision 100 % · 20 PP
Coups de griffe, etc. Taux de critiques élevé.</t>
      </text>
    </comment>
    <comment ref="F2313" authorId="0" shapeId="0">
      <text>
        <t>Damoclès — Normal, physique
Puissance 120 · Précision 100 % · 15 PP
Une dangereuse charge qui blesse aussi le
lanceur.</t>
      </text>
    </comment>
    <comment ref="G2313" authorId="0" shapeId="0">
      <text>
        <t>Mania — Normal, physique
Puissance 120 · Précision 100 % · 10 PP
Une attaque furieuse de 2 à 3 tours. Lanceur
confus.</t>
      </text>
    </comment>
    <comment ref="B2316" authorId="0" shapeId="0">
      <text>
        <t>CRUSTABRI — Eau / Glace
PV 50 · Att 95 · Déf 180
Att.Spé 85 · Déf.Spé 45 · Vit 70
Total 525
Talents : Coque Armure, Multi-Coups (caché :
  Envelocape)</t>
      </text>
    </comment>
    <comment ref="C2316" authorId="0" shapeId="0">
      <text>
        <t>ROUCARNAGE — Normal / Vol
PV 83 · Att 80 · Déf 75
Att.Spé 70 · Déf.Spé 70 · Vit 101
Total 479
Talents : Regard Vif, Pieds Confus (caché :
  Cœur de Coq)</t>
      </text>
    </comment>
    <comment ref="D2316" authorId="0" shapeId="0">
      <text>
        <t>ALAKAZAM — Psy
PV 55 · Att 50 · Déf 45
Att.Spé 135 · Déf.Spé 135 · Vit 120
Total 540
Talents : Synchro, Attention (caché : Garde
  Magik)</t>
      </text>
    </comment>
    <comment ref="E2316" authorId="0" shapeId="0">
      <text>
        <t>ARCANIN — Feu
PV 90 · Att 110 · Déf 80
Att.Spé 100 · Déf.Spé 80 · Vit 95
Total 555
Talents : Intimidation, Torche (caché : Cœur
  Noble)</t>
      </text>
    </comment>
    <comment ref="F2316" authorId="0" shapeId="0">
      <text>
        <t>VOLTALI — Électrik
PV 65 · Att 65 · Déf 60
Att.Spé 110 · Déf.Spé 95 · Vit 130
Total 525
Talents : Absorbe-Volt, Absorbe-Volt (caché :
  Pied Véloce)</t>
      </text>
    </comment>
    <comment ref="B2319" authorId="0" shapeId="0">
      <text>
        <t>Coque Armure
Bloque les coups critiques.</t>
      </text>
    </comment>
    <comment ref="C2319" authorId="0" shapeId="0">
      <text>
        <t>Regard Vif
Empêche perte de précision.</t>
      </text>
    </comment>
    <comment ref="D2319" authorId="0" shapeId="0">
      <text>
        <t>Synchro
Transfère statuts.</t>
      </text>
    </comment>
    <comment ref="E2319" authorId="0" shapeId="0">
      <text>
        <t>Intimidation
Baisse l'Attaque ennemie.</t>
      </text>
    </comment>
    <comment ref="F2319" authorId="0" shapeId="0">
      <text>
        <t>Absorbe-Volt
Change l'électricité en PV.</t>
      </text>
    </comment>
    <comment ref="B2320" authorId="0" shapeId="0">
      <text>
        <t>Onde Boréale — Glace, spéciale
Puissance 65 · Précision 100 % · 20 PP
Envoie un rayon arc-en-ciel pouvant baisser
l'Attaque.</t>
      </text>
    </comment>
    <comment ref="C2320" authorId="0" shapeId="0">
      <text>
        <t>Hâte — Psy, statut
30 PP
Relaxation du corps pour booster la Vitesse.</t>
      </text>
    </comment>
    <comment ref="D2320" authorId="0" shapeId="0">
      <text>
        <t>Interversion — Psy, statut
15 PP · Priorité +2
Le lanceur échange sa place avec son allié.</t>
      </text>
    </comment>
    <comment ref="E2320" authorId="0" shapeId="0">
      <text>
        <t>Rebondifeu — Feu, spéciale
Puissance 70 · Précision 100 % · 15 PP
Une flamme qui éclabousse tous les ennemis.</t>
      </text>
    </comment>
    <comment ref="F2320" authorId="0" shapeId="0">
      <text>
        <t>Cage Éclair — Électrik, statut
Précision 90 % · 20 PP
Un faible choc électrique qui paralyse
l'ennemi.</t>
      </text>
    </comment>
    <comment ref="B2321" authorId="0" shapeId="0">
      <text>
        <t>Picanon — Normal, physique
Puissance 20 · Précision 100 % · 15 PP
Lance des pointes qui frappent 2 à 5 fois.</t>
      </text>
    </comment>
    <comment ref="C2321" authorId="0" shapeId="0">
      <text>
        <t>Aéropique — Vol, physique
Puissance 60 · Ne rate jamais · 20 PP
Attaque très rapide et imparable.</t>
      </text>
    </comment>
    <comment ref="D2321" authorId="0" shapeId="0">
      <text>
        <t>Psyko — Psy, spéciale
Puissance 90 · Précision 100 % · 10 PP
Une puissante attaque Psy pouvant baisser la
Déf. Spé.</t>
      </text>
    </comment>
    <comment ref="E2321" authorId="0" shapeId="0">
      <text>
        <t>Hâte — Psy, statut
30 PP
Relaxation du corps pour booster la Vitesse.</t>
      </text>
    </comment>
    <comment ref="F2321" authorId="0" shapeId="0">
      <text>
        <t>Coup d'Jus — Électrik, spéciale
Puissance 80 · Précision 100 % · 15 PP
Électrocute tous les autres {PKMN}. Peut
paralyser.</t>
      </text>
    </comment>
    <comment ref="B2322" authorId="0" shapeId="0">
      <text>
        <t>Picots — Sol, statut
20 PP
Pointes blessant lors d'un changement
d'adversaire.</t>
      </text>
    </comment>
    <comment ref="C2322" authorId="0" shapeId="0">
      <text>
        <t>Chute Libre — Vol, physique
Puissance 60 · Précision 100 % · 10 PP
Emporte l'ennemi dans le ciel et le lâche.</t>
      </text>
    </comment>
    <comment ref="D2322" authorId="0" shapeId="0">
      <text>
        <t>Plénitude — Psy, statut
20 PP
Méditation pour augmenter l'Atq. Spé. et la
Déf. Spé.</t>
      </text>
    </comment>
    <comment ref="E2322" authorId="0" shapeId="0">
      <text>
        <t>Vengeance — Normal, physique
Puissance 70 · Précision 100 % · 5 PP
Plus puissant si un allié est tombé K.O.</t>
      </text>
    </comment>
    <comment ref="F2322" authorId="0" shapeId="0">
      <text>
        <t>Dernier Recours — Normal, physique
Puissance 140 · Précision 100 % · 5 PP
Utilisable après toutes les autres capacités.</t>
      </text>
    </comment>
    <comment ref="B2323" authorId="0" shapeId="0">
      <text>
        <t>Coqui-Lame — Eau, physique
Puissance 75 · Précision 95 % · 10 PP
Des coquilles tranchantes. Peut baisser la
Déf.</t>
      </text>
    </comment>
    <comment ref="C2323" authorId="0" shapeId="0">
      <text>
        <t>Atterrissage — Vol, statut
5 PP
Rend au lanceur la moitié de ses PV max.</t>
      </text>
    </comment>
    <comment ref="D2323" authorId="0" shapeId="0">
      <text>
        <t>Prescience — Psy, spéciale
Puissance 120 · Précision 100 % · 10 PP
Accumule de l'énergie pour frapper 2 tours
plus tard.</t>
      </text>
    </comment>
    <comment ref="E2323" authorId="0" shapeId="0">
      <text>
        <t>Lance-Flammes — Feu, spéciale
Puissance 90 · Précision 100 % · 15 PP
Une puissante attaque de feu pouvant brûler
l'ennemi.</t>
      </text>
    </comment>
    <comment ref="F2323" authorId="0" shapeId="0">
      <text>
        <t>Fatal-Foudre — Électrik, spéciale
Puissance 110 · Précision 70 % · 10 PP
Une attaque foudroyante pouvant paralyser
l'ennemi.</t>
      </text>
    </comment>
    <comment ref="B2325" authorId="0" shapeId="0">
      <text>
        <t>EMPIFLOR — Plante / Poison
PV 80 · Att 105 · Déf 65
Att.Spé 100 · Déf.Spé 100 · Vit 70
Total 520
Talents : Chlorophylle (caché : Gloutonnerie)</t>
      </text>
    </comment>
    <comment ref="C2325" authorId="0" shapeId="0">
      <text>
        <t>KRABBOSS — Eau
PV 55 · Att 130 · Déf 115
Att.Spé 50 · Déf.Spé 50 · Vit 75
Total 475
Talents : Hyper Cutter, Coque Armure (caché :
  Sans Limite)</t>
      </text>
    </comment>
    <comment ref="D2325" authorId="0" shapeId="0">
      <text>
        <t>PYROLI — Feu
PV 65 · Att 130 · Déf 60
Att.Spé 95 · Déf.Spé 110 · Vit 65
Total 525
Talents : Torche, Torche (caché : Cran)</t>
      </text>
    </comment>
    <comment ref="E2325" authorId="0" shapeId="0">
      <text>
        <t>DONPHAN — Sol
PV 90 · Att 120 · Déf 120
Att.Spé 60 · Déf.Spé 60 · Vit 50
Total 500
Talents : Fermeté (caché : Voile Sable)</t>
      </text>
    </comment>
    <comment ref="F2325" authorId="0" shapeId="0">
      <text>
        <t>DRACO — Dragon
PV 61 · Att 84 · Déf 65
Att.Spé 70 · Déf.Spé 70 · Vit 70
Total 420
Talents : Mue (caché : Écaille Spéciale)</t>
      </text>
    </comment>
    <comment ref="B2328" authorId="0" shapeId="0">
      <text>
        <t>Chlorophylle
Augmente Vitesse au soleil.</t>
      </text>
    </comment>
    <comment ref="C2328" authorId="0" shapeId="0">
      <text>
        <t>Hyper Cutter
Empêche réduction Attaque.</t>
      </text>
    </comment>
    <comment ref="D2328" authorId="0" shapeId="0">
      <text>
        <t>Torche
Puissance monte si brûlé.</t>
      </text>
    </comment>
    <comment ref="E2328" authorId="0" shapeId="0">
      <text>
        <t>Fermeté
Ignore les K.O. en un coup.</t>
      </text>
    </comment>
    <comment ref="F2328" authorId="0" shapeId="0">
      <text>
        <t>Mue
Mue pour se soigner.</t>
      </text>
    </comment>
    <comment ref="B2329" authorId="0" shapeId="0">
      <text>
        <t>Sabotage — Ténèbres, physique
Puissance 65 · Précision 100 % · 20 PP
Frappe l'objet tenu pour le rendre
inutilisable.</t>
      </text>
    </comment>
    <comment ref="C2329" authorId="0" shapeId="0">
      <text>
        <t>Écrasement — Normal, physique
Puissance 65 · Précision 100 % · 20 PP
Écrase avec un énorme pied. Peut apeurer
l'ennemi.</t>
      </text>
    </comment>
    <comment ref="D2329" authorId="0" shapeId="0">
      <text>
        <t>Purédpois — Poison, spéciale
Puissance 30 · Précision 70 % · 20 PP
Un gaz nocif pouvant empoisonner l'ennemi.</t>
      </text>
    </comment>
    <comment ref="E2329" authorId="0" shapeId="0">
      <text>
        <t>Grimace — Normal, statut
Précision 100 % · 10 PP
Effraie avec une grimace pour baisser la
Vitesse.</t>
      </text>
    </comment>
    <comment ref="F2329" authorId="0" shapeId="0">
      <text>
        <t>Hâte — Psy, statut
30 PP
Relaxation du corps pour booster la Vitesse.</t>
      </text>
    </comment>
    <comment ref="B2330" authorId="0" shapeId="0">
      <text>
        <t>Doux Parfum — Normal, statut
Précision 100 % · 20 PP</t>
      </text>
    </comment>
    <comment ref="C2330" authorId="0" shapeId="0">
      <text>
        <t>Abri — Normal, statut
10 PP · Priorité +4</t>
      </text>
    </comment>
    <comment ref="D2330" authorId="0" shapeId="0">
      <text>
        <t>Ébullilave — Feu, spéciale
Puissance 80 · Précision 100 % · 15 PP</t>
      </text>
    </comment>
    <comment ref="E2330" authorId="0" shapeId="0">
      <text>
        <t>Tour Rapide — Normal, physique
Puissance 50 · Précision 100 % · 40 PP</t>
      </text>
    </comment>
    <comment ref="F2330" authorId="0" shapeId="0">
      <text>
        <t>Draco-Queue — Dragon, physique
Puissance 60 · Précision 90 % · 10 PP ·
Priorité -6</t>
      </text>
    </comment>
    <comment ref="B2331" authorId="0" shapeId="0">
      <text>
        <t>Lame Feuille — Plante, physique
Puissance 90 · Précision 100 % · 15 PP
Tranche avec une feuille. Taux de critiques
élevé.</t>
      </text>
    </comment>
    <comment ref="C2331" authorId="0" shapeId="0">
      <text>
        <t>Guillotine — Normal, physique
Puissance 1 · Précision 30 % · 5 PP
Un puissant coup de pince qui peut mettre KO.</t>
      </text>
    </comment>
    <comment ref="D2331" authorId="0" shapeId="0">
      <text>
        <t>Dernier Recours — Normal, physique
Puissance 140 · Précision 100 % · 5 PP
Utilisable après toutes les autres capacités.</t>
      </text>
    </comment>
    <comment ref="E2331" authorId="0" shapeId="0">
      <text>
        <t>Séisme — Sol, physique
Puissance 100 · Précision 100 % · 10 PP
Secousse sans effet sur les adversaires
volants.</t>
      </text>
    </comment>
    <comment ref="F2331" authorId="0" shapeId="0">
      <text>
        <t>Hydro-Queue — Eau, physique
Puissance 90 · Précision 90 % · 10 PP
Balaie l'ennemi de sa queue comme une vague.</t>
      </text>
    </comment>
    <comment ref="B2332" authorId="0" shapeId="0">
      <text>
        <t>Suc Digestif — Poison, statut
Précision 100 % · 10 PP
Un acide qui annule le talent ennemi.</t>
      </text>
    </comment>
    <comment ref="C2332" authorId="0" shapeId="0">
      <text>
        <t>Souplesse — Normal, physique
Puissance 80 · Précision 75 % · 20 PP
Fouette l'ennemi avec la queue, une liane,
etc.</t>
      </text>
    </comment>
    <comment ref="D2332" authorId="0" shapeId="0">
      <text>
        <t>Boutefeu — Feu, physique
Puissance 120 · Précision 100 % · 15 PP
Une charge qui peut brûler. Blesse le lanceur.</t>
      </text>
    </comment>
    <comment ref="E2332" authorId="0" shapeId="0">
      <text>
        <t>Giga Impact — Normal, physique
Puissance 150 · Précision 90 % · 5 PP</t>
      </text>
    </comment>
    <comment ref="F2332" authorId="0" shapeId="0">
      <text>
        <t>Draco-Charge — Dragon, physique
Puissance 100 · Précision 75 % · 10 PP
Une charge menaçante. Peut apeurer.</t>
      </text>
    </comment>
    <comment ref="B2334" authorId="0" shapeId="0">
      <text>
        <t>TORTANK — Eau
PV 79 · Att 83 · Déf 100
Att.Spé 85 · Déf.Spé 105 · Vit 78
Total 530
Talents : Torrent (caché : Cuvette)</t>
      </text>
    </comment>
    <comment ref="C2334" authorId="0" shapeId="0">
      <text>
        <t>RAICHU — Électrik
PV 60 · Att 90 · Déf 55
Att.Spé 90 · Déf.Spé 80 · Vit 110
Total 485
Talents : Statik (caché : Paratonnerre)</t>
      </text>
    </comment>
    <comment ref="D2334" authorId="0" shapeId="0">
      <text>
        <t>TAUROS — Normal
PV 75 · Att 100 · Déf 95
Att.Spé 40 · Déf.Spé 70 · Vit 110
Total 490
Talents : Intimidation, Colérique (caché :
  Sans Limite)</t>
      </text>
    </comment>
    <comment ref="E2334" authorId="0" shapeId="0">
      <text>
        <t>RHINOFEROS — Sol / Roche
PV 105 · Att 130 · Déf 120
Att.Spé 45 · Déf.Spé 45 · Vit 40
Total 485
Talents : Paratonnerre, Tête de Roc (caché :
  Téméraire)</t>
      </text>
    </comment>
    <comment ref="F2334" authorId="0" shapeId="0">
      <text>
        <t>COTOVOL — Plante / Vol
PV 75 · Att 55 · Déf 70
Att.Spé 55 · Déf.Spé 95 · Vit 110
Total 460
Talents : Chlorophylle, Feuille Garde (caché :
  Infiltration)</t>
      </text>
    </comment>
    <comment ref="B2337" authorId="0" shapeId="0">
      <text>
        <t>Torrent
Augmente attaques Eau.</t>
      </text>
    </comment>
    <comment ref="C2337" authorId="0" shapeId="0">
      <text>
        <t>Statik
Paralyse au toucher.</t>
      </text>
    </comment>
    <comment ref="D2337" authorId="0" shapeId="0">
      <text>
        <t>Intimidation
Baisse l'Attaque ennemie.</t>
      </text>
    </comment>
    <comment ref="E2337" authorId="0" shapeId="0">
      <text>
        <t>Paratonnerre
Attire attaques élec.</t>
      </text>
    </comment>
    <comment ref="F2337" authorId="0" shapeId="0">
      <text>
        <t>Chlorophylle
Augmente Vitesse au soleil.</t>
      </text>
    </comment>
    <comment ref="B2338" authorId="0" shapeId="0">
      <text>
        <t>Abri — Normal, statut
10 PP · Priorité +4</t>
      </text>
    </comment>
    <comment ref="C2338" authorId="0" shapeId="0">
      <text>
        <t>Reflet — Normal, statut
15 PP
Crée des images-miroirs pour augmenter
l'esquive.</t>
      </text>
    </comment>
    <comment ref="D2338" authorId="0" shapeId="0">
      <text>
        <t>Représailles — Ténèbres, physique
Puissance 50 · Précision 100 % · 10 PP
Plus puissant si le lanceur agit en dernier.</t>
      </text>
    </comment>
    <comment ref="E2338" authorId="0" shapeId="0">
      <text>
        <t>Boule Roc — Roche, physique
Puissance 25 · Précision 90 % · 10 PP
Projette des rochers sur l'ennemi 2 à 5 fois
de suite.</t>
      </text>
    </comment>
    <comment ref="F2338" authorId="0" shapeId="0">
      <text>
        <t>Méga-Sangsue — Plante, spéciale
Puissance 40 · Précision 100 % · 25 PP</t>
      </text>
    </comment>
    <comment ref="B2339" authorId="0" shapeId="0">
      <text>
        <t>Vibraqua — Eau, spéciale
Puissance 60 · Précision 100 % · 20 PP
Envoi des ondes aquatiques. Peut rendre
confus.</t>
      </text>
    </comment>
    <comment ref="C2339" authorId="0" shapeId="0">
      <text>
        <t>Étincelle — Électrik, physique
Puissance 65 · Précision 100 % · 20 PP
Une charge électrique qui peut paralyser
l'ennemi.</t>
      </text>
    </comment>
    <comment ref="D2339" authorId="0" shapeId="0">
      <text>
        <t>Rengorgement — Normal, statut
30 PP
Le lanceur s'excite. Monte Atq. et Atq. Spé.</t>
      </text>
    </comment>
    <comment ref="E2339" authorId="0" shapeId="0">
      <text>
        <t>Tunnelier — Sol, physique
Puissance 80 · Précision 95 % · 10 PP
Tourne comme une perceuse. Critiques
fréquents.</t>
      </text>
    </comment>
    <comment ref="F2339" authorId="0" shapeId="0">
      <text>
        <t>Acrobatie — Vol, physique
Puissance 55 · Précision 100 % · 15 PP
Double les dégâts si le lanceur n'a pas
d'objet.</t>
      </text>
    </comment>
    <comment ref="B2340" authorId="0" shapeId="0">
      <text>
        <t>Hydro-Queue — Eau, physique
Puissance 90 · Précision 90 % · 10 PP
Balaie l'ennemi de sa queue comme une vague.</t>
      </text>
    </comment>
    <comment ref="C2340" authorId="0" shapeId="0">
      <text>
        <t>Frotte-Frimousse — Électrik, physique
Puissance 20 · Précision 100 % · 20 PP
Frotte ses joues sur l'ennemi et le paralyse.</t>
      </text>
    </comment>
    <comment ref="D2340" authorId="0" shapeId="0">
      <text>
        <t>Bélier — Normal, physique
Puissance 90 · Précision 85 % · 20 PP
Une charge violente qui blesse aussi le
lanceur.</t>
      </text>
    </comment>
    <comment ref="E2340" authorId="0" shapeId="0">
      <text>
        <t>Bélier — Normal, physique
Puissance 90 · Précision 85 % · 20 PP
Une charge violente qui blesse aussi le
lanceur.</t>
      </text>
    </comment>
    <comment ref="F2340" authorId="0" shapeId="0">
      <text>
        <t>Poudre Fureur — Insecte, statut
20 PP · Priorité +2
Une poudre qui attire toutes les attaques.</t>
      </text>
    </comment>
    <comment ref="B2341" authorId="0" shapeId="0">
      <text>
        <t>Coud'Krâne — Normal, physique
Puissance 130 · Précision 100 % · 10 PP
Monte la Défense au 1{SUPER_ER} tour et frappe
au 2{SUPER_E}.</t>
      </text>
    </comment>
    <comment ref="C2341" authorId="0" shapeId="0">
      <text>
        <t>Coup d'Jus — Électrik, spéciale
Puissance 80 · Précision 100 % · 15 PP
Électrocute tous les autres {PKMN}. Peut
paralyser.</t>
      </text>
    </comment>
    <comment ref="D2341" authorId="0" shapeId="0">
      <text>
        <t>Psykoud'Boul — Psy, physique
Puissance 80 · Précision 90 % · 15 PP
Un coup de tête. Peut apeurer l'ennemi.</t>
      </text>
    </comment>
    <comment ref="E2341" authorId="0" shapeId="0">
      <text>
        <t>Lame de Roc — Roche, physique
Puissance 100 · Précision 80 % · 5 PP
Transperce de pierres. Critiques fréquents.</t>
      </text>
    </comment>
    <comment ref="F2341" authorId="0" shapeId="0">
      <text>
        <t>Spore Coton — Plante, statut
Précision 100 % · 40 PP</t>
      </text>
    </comment>
    <comment ref="B2343" authorId="0" shapeId="0">
      <text>
        <t>GALOPA — Feu
PV 65 · Att 100 · Déf 70
Att.Spé 80 · Déf.Spé 80 · Vit 105
Total 500
Talents : Fuite, Torche (caché : Corps Ardent)</t>
      </text>
    </comment>
    <comment ref="C2343" authorId="0" shapeId="0">
      <text>
        <t>PHARAMP — Électrik
PV 90 · Att 75 · Déf 85
Att.Spé 115 · Déf.Spé 90 · Vit 55
Total 510
Talents : Statik (caché : Plus)</t>
      </text>
    </comment>
    <comment ref="D2343" authorId="0" shapeId="0">
      <text>
        <t>ECREMEUH — Normal
PV 95 · Att 80 · Déf 105
Att.Spé 40 · Déf.Spé 70 · Vit 100
Total 490
Talents : Isograisse, Querelleur (caché :
  Herbivore)</t>
      </text>
    </comment>
    <comment ref="E2343" authorId="0" shapeId="0">
      <text>
        <t>LANTURN — Eau / Électrik
PV 125 · Att 58 · Déf 58
Att.Spé 76 · Déf.Spé 76 · Vit 67
Total 460
Talents : Absorbe-Volt, Lumiattirance (caché :
  Absorbe-Eau)</t>
      </text>
    </comment>
    <comment ref="F2343" authorId="0" shapeId="0">
      <text>
        <t>ECTOPLASMA — Spectre / Poison
PV 60 · Att 65 · Déf 60
Att.Spé 130 · Déf.Spé 75 · Vit 110
Total 500
Talents : Lévitation, Corps Maudit</t>
      </text>
    </comment>
    <comment ref="B2346" authorId="0" shapeId="0">
      <text>
        <t>Fuite
Améliore chances de fuite.</t>
      </text>
    </comment>
    <comment ref="C2346" authorId="0" shapeId="0">
      <text>
        <t>Statik
Paralyse au toucher.</t>
      </text>
    </comment>
    <comment ref="D2346" authorId="0" shapeId="0">
      <text>
        <t>Isograisse
Contre chaleur et froid.</t>
      </text>
    </comment>
    <comment ref="E2346" authorId="0" shapeId="0">
      <text>
        <t>Absorbe-Volt
Change l'électricité en PV.</t>
      </text>
    </comment>
    <comment ref="F2346" authorId="0" shapeId="0">
      <text>
        <t>Lévitation
Ignore les attaques Sol.</t>
      </text>
    </comment>
    <comment ref="B2347" authorId="0" shapeId="0">
      <text>
        <t>Feu d'Enfer — Feu, spéciale
Puissance 100 · Précision 50 % · 5 PP
Puissant et brûle à coup sûr, mais imprécis.</t>
      </text>
    </comment>
    <comment ref="C2347" authorId="0" shapeId="0">
      <text>
        <t>Boule Élek — Électrik, spéciale
Puissance 1 · Précision 100 % · 10 PP
Une orbe qui blesse plus un ennemi lent.</t>
      </text>
    </comment>
    <comment ref="D2347" authorId="0" shapeId="0">
      <text>
        <t>Psykoud'Boul — Psy, physique
Puissance 80 · Précision 90 % · 15 PP
Un coup de tête. Peut apeurer l'ennemi.</t>
      </text>
    </comment>
    <comment ref="E2347" authorId="0" shapeId="0">
      <text>
        <t>Rayon Signal — Insecte, spéciale
Puissance 75 · Précision 100 % · 15 PP
Un étrange rayon qui peut rendre l'ennemi
confus.</t>
      </text>
    </comment>
    <comment ref="F2347" authorId="0" shapeId="0">
      <text>
        <t>Ball'Ombre — Spectre, spéciale
Puissance 80 · Précision 100 % · 15 PP
Projette une grande tache qui peut baisser la
Déf. Spé.</t>
      </text>
    </comment>
    <comment ref="B2348" authorId="0" shapeId="0">
      <text>
        <t>Hâte — Psy, statut
30 PP
Relaxation du corps pour booster la Vitesse.</t>
      </text>
    </comment>
    <comment ref="C2348" authorId="0" shapeId="0">
      <text>
        <t>Onde Folie — Spectre, statut
Précision 100 % · 10 PP
Un horrible rayon qui rend l'ennemi confus.</t>
      </text>
    </comment>
    <comment ref="D2348" authorId="0" shapeId="0">
      <text>
        <t>Séduction — Normal, statut
Précision 100 % · 20 PP
Baisse beaucoup l'Atq. Spé. du sexe opposé.</t>
      </text>
    </comment>
    <comment ref="E2348" authorId="0" shapeId="0">
      <text>
        <t>Gigotage — Normal, physique
Puissance 1 · Précision 100 % · 15 PP
Inflige plus de dégâts si les PV du lanceur
sont faibles.</t>
      </text>
    </comment>
    <comment ref="F2348" authorId="0" shapeId="0">
      <text>
        <t>Détritus — Poison, spéciale
Puissance 65 · Précision 100 % · 20 PP
Blesse en envoyant des détritus. Peut
empoisonner.</t>
      </text>
    </comment>
    <comment ref="B2349" authorId="0" shapeId="0">
      <text>
        <t>Déflagration — Feu, spéciale
Puissance 110 · Précision 85 % · 5 PP
Une explosion de flammes. Peut brûler
l'ennemi.</t>
      </text>
    </comment>
    <comment ref="C2349" authorId="0" shapeId="0">
      <text>
        <t>Rayon Gemme — Roche, spéciale
Puissance 80 · Précision 100 % · 20 PP
Des rayons brillants comme des diamants.</t>
      </text>
    </comment>
    <comment ref="D2349" authorId="0" shapeId="0">
      <text>
        <t>Gyroballe — Acier, physique
Puissance 1 · Précision 100 % · 5 PP
Une toupie qui blesse plus un ennemi rapide.</t>
      </text>
    </comment>
    <comment ref="E2349" authorId="0" shapeId="0">
      <text>
        <t>Coup d'Jus — Électrik, spéciale
Puissance 80 · Précision 100 % · 15 PP
Électrocute tous les autres {PKMN}. Peut
paralyser.</t>
      </text>
    </comment>
    <comment ref="F2349" authorId="0" shapeId="0">
      <text>
        <t>Dévorêve — Psy, spéciale
Puissance 100 · Précision 100 % · 15 PP
Aspire la moitié des dégâts infligés à
l'ennemi endormi.</t>
      </text>
    </comment>
    <comment ref="B2350" authorId="0" shapeId="0">
      <text>
        <t>Rebond — Vol, physique
Puissance 85 · Précision 85 % · 5 PP
Saute et tombe le tour suivant. Peut
paralyser.</t>
      </text>
    </comment>
    <comment ref="C2350" authorId="0" shapeId="0">
      <text>
        <t>Coup d'Jus — Électrik, spéciale
Puissance 80 · Précision 100 % · 15 PP
Électrocute tous les autres {PKMN}. Peut
paralyser.</t>
      </text>
    </comment>
    <comment ref="D2350" authorId="0" shapeId="0">
      <text>
        <t>Câlinerie — Fée, physique
Puissance 90 · Précision 90 % · 10 PP
Un câlin brutal. Peut baisser l'Attaque de
l'ennemi.</t>
      </text>
    </comment>
    <comment ref="E2350" authorId="0" shapeId="0">
      <text>
        <t>Bélier — Normal, physique
Puissance 90 · Précision 85 % · 20 PP
Une charge violente qui blesse aussi le
lanceur.</t>
      </text>
    </comment>
    <comment ref="F2350" authorId="0" shapeId="0">
      <text>
        <t>Vibrobscur — Ténèbres, spéciale
Puissance 80 · Précision 100 % · 15 PP
Une aura horrible. Peut apeurer l'ennemi.</t>
      </text>
    </comment>
    <comment ref="B2352" authorId="0" shapeId="0">
      <text>
        <t>MENTALI — Psy
PV 65 · Att 65 · Déf 60
Att.Spé 130 · Déf.Spé 95 · Vit 110
Total 525
Talents : Synchro, Synchro (caché : Miroir
  Magik)</t>
      </text>
    </comment>
    <comment ref="C2352" authorId="0" shapeId="0">
      <text>
        <t>M. MIME — Psy / Fée
PV 40 · Att 45 · Déf 65
Att.Spé 100 · Déf.Spé 120 · Vit 90
Total 460
Talents : Anti-Bruit, Filtre (caché :
  Technicien)</t>
      </text>
    </comment>
    <comment ref="D2352" authorId="0" shapeId="0">
      <text>
        <t>ROIGADA — Eau / Psy
PV 95 · Att 75 · Déf 80
Att.Spé 100 · Déf.Spé 110 · Vit 30
Total 490
Talents : Benêt, Tempo Perso (caché : Régé-
  Force)</t>
      </text>
    </comment>
    <comment ref="B2355" authorId="0" shapeId="0">
      <text>
        <t>Synchro
Transfère statuts.</t>
      </text>
    </comment>
    <comment ref="C2355" authorId="0" shapeId="0">
      <text>
        <t>Anti-Bruit
Évite les coups sonores.</t>
      </text>
    </comment>
    <comment ref="D2355" authorId="0" shapeId="0">
      <text>
        <t>Benêt
Empêche l'attirance.</t>
      </text>
    </comment>
    <comment ref="B2356" authorId="0" shapeId="0">
      <text>
        <t>Aurore — Normal, statut
5 PP
Restaure les PV. La quantité varie suivant le
temps.</t>
      </text>
    </comment>
    <comment ref="C2356" authorId="0" shapeId="0">
      <text>
        <t>Éclat Magique — Fée, spéciale
Puissance 80 · Précision 100 % · 10 PP
Un éclat lumineux qui blesse les ennemis.</t>
      </text>
    </comment>
    <comment ref="D2356" authorId="0" shapeId="0">
      <text>
        <t>Psykoud'Boul — Psy, physique
Puissance 80 · Précision 90 % · 15 PP
Un coup de tête. Peut apeurer l'ennemi.</t>
      </text>
    </comment>
    <comment ref="B2357" authorId="0" shapeId="0">
      <text>
        <t>Psyko — Psy, spéciale
Puissance 90 · Précision 100 % · 10 PP
Une puissante attaque Psy pouvant baisser la
Déf. Spé.</t>
      </text>
    </comment>
    <comment ref="C2357" authorId="0" shapeId="0">
      <text>
        <t>Tour de Magie — Psy, statut
Précision 100 % · 10 PP
Oblige la cible à échanger les objets tenus.</t>
      </text>
    </comment>
    <comment ref="D2357" authorId="0" shapeId="0">
      <text>
        <t>Machination — Ténèbres, statut
20 PP
De mauvaises pensées montent beaucoup l'Atq.
Spé.</t>
      </text>
    </comment>
    <comment ref="B2358" authorId="0" shapeId="0">
      <text>
        <t>Dernier Recours — Normal, physique
Puissance 140 · Précision 100 % · 5 PP
Utilisable après toutes les autres capacités.</t>
      </text>
    </comment>
    <comment ref="C2358" authorId="0" shapeId="0">
      <text>
        <t>Psyko — Psy, spéciale
Puissance 90 · Précision 100 % · 10 PP
Une puissante attaque Psy pouvant baisser la
Déf. Spé.</t>
      </text>
    </comment>
    <comment ref="D2358" authorId="0" shapeId="0">
      <text>
        <t>Vantardise — Normal, statut
Précision 85 % · 15 PP
Rend l'ennemi confus et booste l'Attaque.</t>
      </text>
    </comment>
    <comment ref="B2359" authorId="0" shapeId="0">
      <text>
        <t>Permuforce — Psy, statut
10 PP
Échange les hausses d'Attaque et d'Atq. Spé.</t>
      </text>
    </comment>
    <comment ref="C2359" authorId="0" shapeId="0">
      <text>
        <t>Imitation — Psy, statut
10 PP
Imite la cible et copie sa capacité spéciale.</t>
      </text>
    </comment>
    <comment ref="D2359" authorId="0" shapeId="0">
      <text>
        <t>Psyko — Psy, spéciale
Puissance 90 · Précision 100 % · 10 PP
Une puissante attaque Psy pouvant baisser la
Déf. Spé.</t>
      </text>
    </comment>
    <comment ref="B2362" authorId="0" shapeId="0">
      <text>
        <t>NOCTALI — Ténèbres
PV 95 · Att 65 · Déf 110
Att.Spé 60 · Déf.Spé 130 · Vit 65
Total 525
Talents : Synchro, Synchro (caché : Attention)</t>
      </text>
    </comment>
    <comment ref="B2365" authorId="0" shapeId="0">
      <text>
        <t>Synchro
Transfère statuts.</t>
      </text>
    </comment>
    <comment ref="B2366" authorId="0" shapeId="0">
      <text>
        <t>Vibrobscur — Ténèbres, spéciale
Puissance 80 · Précision 100 % · 15 PP
Une aura horrible. Peut apeurer l'ennemi.</t>
      </text>
    </comment>
    <comment ref="B2367" authorId="0" shapeId="0">
      <text>
        <t>Onde Folie — Spectre, statut
Précision 100 % · 10 PP
Un horrible rayon qui rend l'ennemi confus.</t>
      </text>
    </comment>
    <comment ref="B2368" authorId="0" shapeId="0">
      <text>
        <t>Ball'Ombre — Spectre, spéciale
Puissance 80 · Précision 100 % · 15 PP
Projette une grande tache qui peut baisser la
Déf. Spé.</t>
      </text>
    </comment>
    <comment ref="B2369" authorId="0" shapeId="0">
      <text>
        <t>Dernier Recours — Normal, physique
Puissance 140 · Précision 100 % · 5 PP
Utilisable après toutes les autres capacités.</t>
      </text>
    </comment>
    <comment ref="B2371" authorId="0" shapeId="0">
      <text>
        <t>MENTALI — Psy
PV 65 · Att 65 · Déf 60
Att.Spé 130 · Déf.Spé 95 · Vit 110
Total 525
Talents : Synchro, Synchro (caché : Miroir
  Magik)</t>
      </text>
    </comment>
    <comment ref="B2374" authorId="0" shapeId="0">
      <text>
        <t>Synchro
Transfère statuts.</t>
      </text>
    </comment>
    <comment ref="B2375" authorId="0" shapeId="0">
      <text>
        <t>Psyko — Psy, spéciale
Puissance 90 · Précision 100 % · 10 PP
Une puissante attaque Psy pouvant baisser la
Déf. Spé.</t>
      </text>
    </comment>
    <comment ref="B2376" authorId="0" shapeId="0">
      <text>
        <t>Boost — Normal, statut
10 PP
Copie les effets de l'ennemi et les passe au
lanceur.</t>
      </text>
    </comment>
    <comment ref="B2377" authorId="0" shapeId="0">
      <text>
        <t>Météores — Normal, spéciale
Puissance 60 · Ne rate jamais · 20 PP
Envoie des rayons en forme d'étoile. Touche
toujours.</t>
      </text>
    </comment>
    <comment ref="B2378" authorId="0" shapeId="0">
      <text>
        <t>Dernier Recours — Normal, physique
Puissance 140 · Précision 100 % · 5 PP
Utilisable après toutes les autres capacités.</t>
      </text>
    </comment>
    <comment ref="B2380" authorId="0" shapeId="0">
      <text>
        <t>PYROLI — Feu
PV 65 · Att 130 · Déf 60
Att.Spé 95 · Déf.Spé 110 · Vit 65
Total 525
Talents : Torche, Torche (caché : Cran)</t>
      </text>
    </comment>
    <comment ref="B2383" authorId="0" shapeId="0">
      <text>
        <t>Torche
Puissance monte si brûlé.</t>
      </text>
    </comment>
    <comment ref="B2384" authorId="0" shapeId="0">
      <text>
        <t>Déflagration — Feu, spéciale
Puissance 110 · Précision 85 % · 5 PP
Une explosion de flammes. Peut brûler
l'ennemi.</t>
      </text>
    </comment>
    <comment ref="B2385" authorId="0" shapeId="0">
      <text>
        <t>Vive-Attaque — Normal, physique
Puissance 40 · Précision 100 % · 30 PP ·
Priorité +1
Attaque fulgurante qui permet de frapper
d'abord.</t>
      </text>
    </comment>
    <comment ref="B2386" authorId="0" shapeId="0">
      <text>
        <t>Feu Follet — Feu, statut
Précision 85 % · 15 PP
Inflige une douloureuse brûlure à l'ennemi.</t>
      </text>
    </comment>
    <comment ref="B2387" authorId="0" shapeId="0">
      <text>
        <t>Dernier Recours — Normal, physique
Puissance 140 · Précision 100 % · 5 PP
Utilisable après toutes les autres capacités.</t>
      </text>
    </comment>
    <comment ref="B2389" authorId="0" shapeId="0">
      <text>
        <t>VOLTALI — Électrik
PV 65 · Att 65 · Déf 60
Att.Spé 110 · Déf.Spé 95 · Vit 130
Total 525
Talents : Absorbe-Volt, Absorbe-Volt (caché :
  Pied Véloce)</t>
      </text>
    </comment>
    <comment ref="B2392" authorId="0" shapeId="0">
      <text>
        <t>Absorbe-Volt
Change l'électricité en PV.</t>
      </text>
    </comment>
    <comment ref="B2393" authorId="0" shapeId="0">
      <text>
        <t>Tonnerre — Électrik, spéciale
Puissance 90 · Précision 100 % · 15 PP
Forte attaque électrique pouvant paralyser
l'ennemi.</t>
      </text>
    </comment>
    <comment ref="B2394" authorId="0" shapeId="0">
      <text>
        <t>Reflet — Normal, statut
15 PP
Crée des images-miroirs pour augmenter
l'esquive.</t>
      </text>
    </comment>
    <comment ref="B2395" authorId="0" shapeId="0">
      <text>
        <t>Cage Éclair — Électrik, statut
Précision 90 % · 20 PP
Un faible choc électrique qui paralyse
l'ennemi.</t>
      </text>
    </comment>
    <comment ref="B2396" authorId="0" shapeId="0">
      <text>
        <t>Dernier Recours — Normal, physique
Puissance 140 · Précision 100 % · 5 PP
Utilisable après toutes les autres capacités.</t>
      </text>
    </comment>
    <comment ref="B2398" authorId="0" shapeId="0">
      <text>
        <t>AQUALI — Eau
PV 130 · Att 65 · Déf 60
Att.Spé 110 · Déf.Spé 95 · Vit 65
Total 525
Talents : Absorbe-Eau, Absorbe-Eau (caché :
  Hydratation)</t>
      </text>
    </comment>
    <comment ref="B2401" authorId="0" shapeId="0">
      <text>
        <t>Absorbe-Eau
Change l'eau en PV.</t>
      </text>
    </comment>
    <comment ref="B2402" authorId="0" shapeId="0">
      <text>
        <t>Surf — Eau, spéciale
Puissance 90 · Précision 100 % · 15 PP</t>
      </text>
    </comment>
    <comment ref="B2403" authorId="0" shapeId="0">
      <text>
        <t>Vive-Attaque — Normal, physique
Puissance 40 · Précision 100 % · 30 PP ·
Priorité +1
Attaque fulgurante qui permet de frapper
d'abord.</t>
      </text>
    </comment>
    <comment ref="B2404" authorId="0" shapeId="0">
      <text>
        <t>Onde Boréale — Glace, spéciale
Puissance 65 · Précision 100 % · 20 PP
Envoie un rayon arc-en-ciel pouvant baisser
l'Attaque.</t>
      </text>
    </comment>
    <comment ref="B2405" authorId="0" shapeId="0">
      <text>
        <t>Dernier Recours — Normal, physique
Puissance 140 · Précision 100 % · 5 PP
Utilisable après toutes les autres capacités.</t>
      </text>
    </comment>
    <comment ref="B2408" authorId="0" shapeId="0">
      <text>
        <t>URSARING — Normal
PV 90 · Att 130 · Déf 75
Att.Spé 75 · Déf.Spé 75 · Vit 55
Total 500
Talents : Cran, Pied Véloce (caché : Tension)</t>
      </text>
    </comment>
    <comment ref="C2408" authorId="0" shapeId="0">
      <text>
        <t>NOSFERALTO — Poison / Vol
PV 75 · Att 80 · Déf 70
Att.Spé 65 · Déf.Spé 75 · Vit 90
Total 455
Talents : Attention (caché : Infiltration)</t>
      </text>
    </comment>
    <comment ref="D2408" authorId="0" shapeId="0">
      <text>
        <t>OCTILLERY — Eau
PV 75 · Att 105 · Déf 75
Att.Spé 105 · Déf.Spé 75 · Vit 45
Total 480
Talents : Ventouse, Sniper (caché : Lunatique)</t>
      </text>
    </comment>
    <comment ref="E2408" authorId="0" shapeId="0">
      <text>
        <t>EMPIFLOR — Plante / Poison
PV 80 · Att 105 · Déf 65
Att.Spé 100 · Déf.Spé 100 · Vit 70
Total 520
Talents : Chlorophylle (caché : Gloutonnerie)</t>
      </text>
    </comment>
    <comment ref="F2408" authorId="0" shapeId="0">
      <text>
        <t>TYPHLOSION — Feu
PV 78 · Att 84 · Déf 78
Att.Spé 109 · Déf.Spé 85 · Vit 100
Total 534
Talents : Brasier (caché : Torche)</t>
      </text>
    </comment>
    <comment ref="G2408" authorId="0" shapeId="0">
      <text>
        <t>TYRANOCIF — Roche / Ténèbres
PV 100 · Att 134 · Déf 110
Att.Spé 95 · Déf.Spé 100 · Vit 61
Total 600
Talents : Sable Volant (caché : Tension)</t>
      </text>
    </comment>
    <comment ref="B2410" authorId="0" shapeId="0">
      <text>
        <t>Baie Maron
Objet tenu qui réveille les {PKMN} dormant au
combat.</t>
      </text>
    </comment>
    <comment ref="D2410" authorId="0" shapeId="0">
      <text>
        <t>Vive Griffe
Objet tenu qui permet parfois de frapper le
premier.</t>
      </text>
    </comment>
    <comment ref="F2410" authorId="0" shapeId="0">
      <text>
        <t>Charbon
Objet à tenir. Renforce le type Feu.</t>
      </text>
    </comment>
    <comment ref="B2411" authorId="0" shapeId="0">
      <text>
        <t>Cran
Monte l'Attaque si statut.</t>
      </text>
    </comment>
    <comment ref="C2411" authorId="0" shapeId="0">
      <text>
        <t>Attention
Empêche la peur.</t>
      </text>
    </comment>
    <comment ref="D2411" authorId="0" shapeId="0">
      <text>
        <t>Ventouse
Fixe solidement le corps.</t>
      </text>
    </comment>
    <comment ref="E2411" authorId="0" shapeId="0">
      <text>
        <t>Chlorophylle
Augmente Vitesse au soleil.</t>
      </text>
    </comment>
    <comment ref="F2411" authorId="0" shapeId="0">
      <text>
        <t>Brasier
Augmente attaques Feu.</t>
      </text>
    </comment>
    <comment ref="G2411" authorId="0" shapeId="0">
      <text>
        <t>Sable Volant
Crée une tempête de sable.</t>
      </text>
    </comment>
    <comment ref="B2412" authorId="0" shapeId="0">
      <text>
        <t>Tranche — Normal, physique
Puissance 70 · Précision 100 % · 20 PP
Coups de griffe, etc. Taux de critiques élevé.</t>
      </text>
    </comment>
    <comment ref="C2412" authorId="0" shapeId="0">
      <text>
        <t>Choc Venin — Poison, spéciale
Puissance 65 · Précision 100 % · 10 PP
Double les dégâts sur un ennemi empoisonné.</t>
      </text>
    </comment>
    <comment ref="D2412" authorId="0" shapeId="0">
      <text>
        <t>Surf — Eau, spéciale
Puissance 90 · Précision 100 % · 15 PP</t>
      </text>
    </comment>
    <comment ref="E2412" authorId="0" shapeId="0">
      <text>
        <t>Bombe Beurk — Poison, spéciale
Puissance 90 · Précision 100 % · 10 PP
Envoie des détritus pour blesser. Peut
empoisonner.</t>
      </text>
    </comment>
    <comment ref="F2412" authorId="0" shapeId="0">
      <text>
        <t>Lance-Flammes — Feu, spéciale
Puissance 90 · Précision 100 % · 15 PP
Une puissante attaque de feu pouvant brûler
l'ennemi.</t>
      </text>
    </comment>
    <comment ref="G2412" authorId="0" shapeId="0">
      <text>
        <t>Mâchouille — Ténèbres, physique
Puissance 80 · Précision 100 % · 15 PP</t>
      </text>
    </comment>
    <comment ref="B2413" authorId="0" shapeId="0">
      <text>
        <t>Feinte — Ténèbres, physique
Puissance 60 · Ne rate jamais · 20 PP
Approche l'ennemi et frappe à coup sûr.</t>
      </text>
    </comment>
    <comment ref="C2413" authorId="0" shapeId="0">
      <text>
        <t>Aéropique — Vol, physique
Puissance 60 · Ne rate jamais · 20 PP
Attaque très rapide et imparable.</t>
      </text>
    </comment>
    <comment ref="D2413" authorId="0" shapeId="0">
      <text>
        <t>Laser Glace — Glace, spéciale
Puissance 90 · Précision 100 % · 10 PP</t>
      </text>
    </comment>
    <comment ref="E2413" authorId="0" shapeId="0">
      <text>
        <t>Giga-Sangsue — Plante, spéciale
Puissance 75 · Précision 100 % · 25 PP
Une attaque qui absorbe la moitié des dégâts
infligés.</t>
      </text>
    </comment>
    <comment ref="F2413" authorId="0" shapeId="0">
      <text>
        <t>Vive-Attaque — Normal, physique
Puissance 40 · Précision 100 % · 30 PP ·
Priorité +1
Attaque fulgurante qui permet de frapper
d'abord.</t>
      </text>
    </comment>
    <comment ref="G2413" authorId="0" shapeId="0">
      <text>
        <t>Séisme — Sol, physique
Puissance 100 · Précision 100 % · 10 PP
Secousse sans effet sur les adversaires
volants.</t>
      </text>
    </comment>
    <comment ref="B2414" authorId="0" shapeId="0">
      <text>
        <t>Éclate-Roc — Combat, physique
Puissance 40 · Précision 100 % · 15 PP
Une attaque puissante qui peut baisser la
Défense.</t>
      </text>
    </comment>
    <comment ref="C2414" authorId="0" shapeId="0">
      <text>
        <t>Reflet — Normal, statut
15 PP
Crée des images-miroirs pour augmenter
l'esquive.</t>
      </text>
    </comment>
    <comment ref="D2414" authorId="0" shapeId="0">
      <text>
        <t>Rafale Psy — Psy, spéciale
Puissance 65 · Précision 100 % · 20 PP
Étrange rayon pouvant rendre l'ennemi confus.</t>
      </text>
    </comment>
    <comment ref="E2414" authorId="0" shapeId="0">
      <text>
        <t>Poudre Dodo — Plante, statut
Précision 75 % · 15 PP
Répand une poudre pouvant endormir l'ennemi.</t>
      </text>
    </comment>
    <comment ref="F2414" authorId="0" shapeId="0">
      <text>
        <t>Queue de Fer — Acier, physique
Puissance 100 · Précision 75 % · 15 PP
Attaque avec la queue. Peut baisser la
Défense.</t>
      </text>
    </comment>
    <comment ref="G2414" authorId="0" shapeId="0">
      <text>
        <t>Éboulement — Roche, physique
Puissance 75 · Précision 90 % · 10 PP
Envoie de gros rochers. Peut apeurer l'ennemi.</t>
      </text>
    </comment>
    <comment ref="B2415" authorId="0" shapeId="0">
      <text>
        <t>Repos — Psy, statut
5 PP
Le lanceur dort 2 tours et regagne PV et
statut.</t>
      </text>
    </comment>
    <comment ref="C2415" authorId="0" shapeId="0">
      <text>
        <t>Onde Folie — Spectre, statut
Précision 100 % · 10 PP
Un horrible rayon qui rend l'ennemi confus.</t>
      </text>
    </comment>
    <comment ref="D2415" authorId="0" shapeId="0">
      <text>
        <t>Rayon Signal — Insecte, spéciale
Puissance 75 · Précision 100 % · 15 PP
Un étrange rayon qui peut rendre l'ennemi
confus.</t>
      </text>
    </comment>
    <comment ref="E2415" authorId="0" shapeId="0">
      <text>
        <t>Croissance — Normal, statut
20 PP</t>
      </text>
    </comment>
    <comment ref="F2415" authorId="0" shapeId="0">
      <text>
        <t>Poing Éclair — Électrik, physique
Puissance 75 · Précision 100 % · 15 PP
Un poing électrique pouvant paralyser
l'ennemi.</t>
      </text>
    </comment>
    <comment ref="G2415" authorId="0" shapeId="0">
      <text>
        <t>Crocs Feu — Feu, physique
Puissance 65 · Précision 95 % · 15 PP
Peut apeurer l'ennemi ou le brûler.</t>
      </text>
    </comment>
    <comment ref="B2417" authorId="0" shapeId="0">
      <text>
        <t>URSARING — Normal
PV 90 · Att 130 · Déf 75
Att.Spé 75 · Déf.Spé 75 · Vit 55
Total 500
Talents : Cran, Pied Véloce (caché : Tension)</t>
      </text>
    </comment>
    <comment ref="C2417" authorId="0" shapeId="0">
      <text>
        <t>NOSFERALTO — Poison / Vol
PV 75 · Att 80 · Déf 70
Att.Spé 65 · Déf.Spé 75 · Vit 90
Total 455
Talents : Attention (caché : Infiltration)</t>
      </text>
    </comment>
    <comment ref="D2417" authorId="0" shapeId="0">
      <text>
        <t>EMPIFLOR — Plante / Poison
PV 80 · Att 105 · Déf 65
Att.Spé 100 · Déf.Spé 100 · Vit 70
Total 520
Talents : Chlorophylle (caché : Gloutonnerie)</t>
      </text>
    </comment>
    <comment ref="E2417" authorId="0" shapeId="0">
      <text>
        <t>DEMOLOSSE — Ténèbres / Feu
PV 75 · Att 90 · Déf 50
Att.Spé 110 · Déf.Spé 80 · Vit 95
Total 500
Talents : Matinal, Torche (caché : Tension)</t>
      </text>
    </comment>
    <comment ref="F2417" authorId="0" shapeId="0">
      <text>
        <t>ALIGATUEUR — Eau
PV 85 · Att 105 · Déf 100
Att.Spé 79 · Déf.Spé 83 · Vit 78
Total 530
Talents : Torrent (caché : Sans Limite)</t>
      </text>
    </comment>
    <comment ref="G2417" authorId="0" shapeId="0">
      <text>
        <t>TYRANOCIF — Roche / Ténèbres
PV 100 · Att 134 · Déf 110
Att.Spé 95 · Déf.Spé 100 · Vit 61
Total 600
Talents : Sable Volant (caché : Tension)</t>
      </text>
    </comment>
    <comment ref="B2419" authorId="0" shapeId="0">
      <text>
        <t>Baie Maron
Objet tenu qui réveille les {PKMN} dormant au
combat.</t>
      </text>
    </comment>
    <comment ref="D2419" authorId="0" shapeId="0">
      <text>
        <t>Vive Griffe
Objet tenu qui permet parfois de frapper le
premier.</t>
      </text>
    </comment>
    <comment ref="F2419" authorId="0" shapeId="0">
      <text>
        <t>Eau Mystique
Objet à tenir. Renforce le type Eau.</t>
      </text>
    </comment>
    <comment ref="B2420" authorId="0" shapeId="0">
      <text>
        <t>Cran
Monte l'Attaque si statut.</t>
      </text>
    </comment>
    <comment ref="C2420" authorId="0" shapeId="0">
      <text>
        <t>Attention
Empêche la peur.</t>
      </text>
    </comment>
    <comment ref="D2420" authorId="0" shapeId="0">
      <text>
        <t>Chlorophylle
Augmente Vitesse au soleil.</t>
      </text>
    </comment>
    <comment ref="E2420" authorId="0" shapeId="0">
      <text>
        <t>Matinal
Se réveille rapidement.</t>
      </text>
    </comment>
    <comment ref="F2420" authorId="0" shapeId="0">
      <text>
        <t>Torrent
Augmente attaques Eau.</t>
      </text>
    </comment>
    <comment ref="G2420" authorId="0" shapeId="0">
      <text>
        <t>Sable Volant
Crée une tempête de sable.</t>
      </text>
    </comment>
    <comment ref="B2421" authorId="0" shapeId="0">
      <text>
        <t>Tranche — Normal, physique
Puissance 70 · Précision 100 % · 20 PP
Coups de griffe, etc. Taux de critiques élevé.</t>
      </text>
    </comment>
    <comment ref="C2421" authorId="0" shapeId="0">
      <text>
        <t>Choc Venin — Poison, spéciale
Puissance 65 · Précision 100 % · 10 PP
Double les dégâts sur un ennemi empoisonné.</t>
      </text>
    </comment>
    <comment ref="D2421" authorId="0" shapeId="0">
      <text>
        <t>Bombe Beurk — Poison, spéciale
Puissance 90 · Précision 100 % · 10 PP
Envoie des détritus pour blesser. Peut
empoisonner.</t>
      </text>
    </comment>
    <comment ref="E2421" authorId="0" shapeId="0">
      <text>
        <t>Lance-Flammes — Feu, spéciale
Puissance 90 · Précision 100 % · 15 PP
Une puissante attaque de feu pouvant brûler
l'ennemi.</t>
      </text>
    </comment>
    <comment ref="F2421" authorId="0" shapeId="0">
      <text>
        <t>Poing Glace — Glace, physique
Puissance 75 · Précision 100 % · 15 PP</t>
      </text>
    </comment>
    <comment ref="G2421" authorId="0" shapeId="0">
      <text>
        <t>Mâchouille — Ténèbres, physique
Puissance 80 · Précision 100 % · 15 PP</t>
      </text>
    </comment>
    <comment ref="B2422" authorId="0" shapeId="0">
      <text>
        <t>Feinte — Ténèbres, physique
Puissance 60 · Ne rate jamais · 20 PP
Approche l'ennemi et frappe à coup sûr.</t>
      </text>
    </comment>
    <comment ref="C2422" authorId="0" shapeId="0">
      <text>
        <t>Aéropique — Vol, physique
Puissance 60 · Ne rate jamais · 20 PP
Attaque très rapide et imparable.</t>
      </text>
    </comment>
    <comment ref="D2422" authorId="0" shapeId="0">
      <text>
        <t>Giga-Sangsue — Plante, spéciale
Puissance 75 · Précision 100 % · 25 PP
Une attaque qui absorbe la moitié des dégâts
infligés.</t>
      </text>
    </comment>
    <comment ref="E2422" authorId="0" shapeId="0">
      <text>
        <t>Queue de Fer — Acier, physique
Puissance 100 · Précision 75 % · 15 PP
Attaque avec la queue. Peut baisser la
Défense.</t>
      </text>
    </comment>
    <comment ref="F2422" authorId="0" shapeId="0">
      <text>
        <t>Surf — Eau, spéciale
Puissance 90 · Précision 100 % · 15 PP</t>
      </text>
    </comment>
    <comment ref="G2422" authorId="0" shapeId="0">
      <text>
        <t>Séisme — Sol, physique
Puissance 100 · Précision 100 % · 10 PP
Secousse sans effet sur les adversaires
volants.</t>
      </text>
    </comment>
    <comment ref="B2423" authorId="0" shapeId="0">
      <text>
        <t>Éclate-Roc — Combat, physique
Puissance 40 · Précision 100 % · 15 PP
Une attaque puissante qui peut baisser la
Défense.</t>
      </text>
    </comment>
    <comment ref="C2423" authorId="0" shapeId="0">
      <text>
        <t>Reflet — Normal, statut
15 PP
Crée des images-miroirs pour augmenter
l'esquive.</t>
      </text>
    </comment>
    <comment ref="D2423" authorId="0" shapeId="0">
      <text>
        <t>Poudre Dodo — Plante, statut
Précision 75 % · 15 PP
Répand une poudre pouvant endormir l'ennemi.</t>
      </text>
    </comment>
    <comment ref="E2423" authorId="0" shapeId="0">
      <text>
        <t>Mâchouille — Ténèbres, physique
Puissance 80 · Précision 100 % · 15 PP</t>
      </text>
    </comment>
    <comment ref="F2423" authorId="0" shapeId="0">
      <text>
        <t>Tranche — Normal, physique
Puissance 70 · Précision 100 % · 20 PP
Coups de griffe, etc. Taux de critiques élevé.</t>
      </text>
    </comment>
    <comment ref="G2423" authorId="0" shapeId="0">
      <text>
        <t>Éboulement — Roche, physique
Puissance 75 · Précision 90 % · 10 PP
Envoie de gros rochers. Peut apeurer l'ennemi.</t>
      </text>
    </comment>
    <comment ref="B2424" authorId="0" shapeId="0">
      <text>
        <t>Repos — Psy, statut
5 PP
Le lanceur dort 2 tours et regagne PV et
statut.</t>
      </text>
    </comment>
    <comment ref="C2424" authorId="0" shapeId="0">
      <text>
        <t>Onde Folie — Spectre, statut
Précision 100 % · 10 PP
Un horrible rayon qui rend l'ennemi confus.</t>
      </text>
    </comment>
    <comment ref="D2424" authorId="0" shapeId="0">
      <text>
        <t>Croissance — Normal, statut
20 PP</t>
      </text>
    </comment>
    <comment ref="E2424" authorId="0" shapeId="0">
      <text>
        <t>Reflet — Normal, statut
15 PP
Crée des images-miroirs pour augmenter
l'esquive.</t>
      </text>
    </comment>
    <comment ref="F2424" authorId="0" shapeId="0">
      <text>
        <t>Morsure — Ténèbres, physique
Puissance 60 · Précision 100 % · 25 PP
Mord méchamment l'ennemi et peut l'apeurer.</t>
      </text>
    </comment>
    <comment ref="G2424" authorId="0" shapeId="0">
      <text>
        <t>Crocs Feu — Feu, physique
Puissance 65 · Précision 95 % · 15 PP
Peut apeurer l'ennemi ou le brûler.</t>
      </text>
    </comment>
    <comment ref="B2426" authorId="0" shapeId="0">
      <text>
        <t>URSARING — Normal
PV 90 · Att 130 · Déf 75
Att.Spé 75 · Déf.Spé 75 · Vit 55
Total 500
Talents : Cran, Pied Véloce (caché : Tension)</t>
      </text>
    </comment>
    <comment ref="C2426" authorId="0" shapeId="0">
      <text>
        <t>NOSFERALTO — Poison / Vol
PV 75 · Att 80 · Déf 70
Att.Spé 65 · Déf.Spé 75 · Vit 90
Total 455
Talents : Attention (caché : Infiltration)</t>
      </text>
    </comment>
    <comment ref="D2426" authorId="0" shapeId="0">
      <text>
        <t>OCTILLERY — Eau
PV 75 · Att 105 · Déf 75
Att.Spé 105 · Déf.Spé 75 · Vit 45
Total 480
Talents : Ventouse, Sniper (caché : Lunatique)</t>
      </text>
    </comment>
    <comment ref="E2426" authorId="0" shapeId="0">
      <text>
        <t>DEMOLOSSE — Ténèbres / Feu
PV 75 · Att 90 · Déf 50
Att.Spé 110 · Déf.Spé 80 · Vit 95
Total 500
Talents : Matinal, Torche (caché : Tension)</t>
      </text>
    </comment>
    <comment ref="F2426" authorId="0" shapeId="0">
      <text>
        <t>MEGANIUM — Plante
PV 80 · Att 82 · Déf 100
Att.Spé 83 · Déf.Spé 100 · Vit 80
Total 525
Talents : Engrais (caché : Feuille Garde)</t>
      </text>
    </comment>
    <comment ref="G2426" authorId="0" shapeId="0">
      <text>
        <t>TYRANOCIF — Roche / Ténèbres
PV 100 · Att 134 · Déf 110
Att.Spé 95 · Déf.Spé 100 · Vit 61
Total 600
Talents : Sable Volant (caché : Tension)</t>
      </text>
    </comment>
    <comment ref="B2428" authorId="0" shapeId="0">
      <text>
        <t>Baie Maron
Objet tenu qui réveille les {PKMN} dormant au
combat.</t>
      </text>
    </comment>
    <comment ref="D2428" authorId="0" shapeId="0">
      <text>
        <t>Vive Griffe
Objet tenu qui permet parfois de frapper le
premier.</t>
      </text>
    </comment>
    <comment ref="F2428" authorId="0" shapeId="0">
      <text>
        <t>Graine Miracle</t>
      </text>
    </comment>
    <comment ref="B2429" authorId="0" shapeId="0">
      <text>
        <t>Cran
Monte l'Attaque si statut.</t>
      </text>
    </comment>
    <comment ref="C2429" authorId="0" shapeId="0">
      <text>
        <t>Attention
Empêche la peur.</t>
      </text>
    </comment>
    <comment ref="D2429" authorId="0" shapeId="0">
      <text>
        <t>Ventouse
Fixe solidement le corps.</t>
      </text>
    </comment>
    <comment ref="E2429" authorId="0" shapeId="0">
      <text>
        <t>Matinal
Se réveille rapidement.</t>
      </text>
    </comment>
    <comment ref="F2429" authorId="0" shapeId="0">
      <text>
        <t>Engrais
Augmente attaques Plante.</t>
      </text>
    </comment>
    <comment ref="G2429" authorId="0" shapeId="0">
      <text>
        <t>Sable Volant
Crée une tempête de sable.</t>
      </text>
    </comment>
    <comment ref="B2430" authorId="0" shapeId="0">
      <text>
        <t>Tranche — Normal, physique
Puissance 70 · Précision 100 % · 20 PP
Coups de griffe, etc. Taux de critiques élevé.</t>
      </text>
    </comment>
    <comment ref="C2430" authorId="0" shapeId="0">
      <text>
        <t>Choc Venin — Poison, spéciale
Puissance 65 · Précision 100 % · 10 PP
Double les dégâts sur un ennemi empoisonné.</t>
      </text>
    </comment>
    <comment ref="D2430" authorId="0" shapeId="0">
      <text>
        <t>Surf — Eau, spéciale
Puissance 90 · Précision 100 % · 15 PP</t>
      </text>
    </comment>
    <comment ref="E2430" authorId="0" shapeId="0">
      <text>
        <t>Lance-Flammes — Feu, spéciale
Puissance 90 · Précision 100 % · 15 PP
Une puissante attaque de feu pouvant brûler
l'ennemi.</t>
      </text>
    </comment>
    <comment ref="F2430" authorId="0" shapeId="0">
      <text>
        <t>Câlinerie — Fée, physique
Puissance 90 · Précision 90 % · 10 PP
Un câlin brutal. Peut baisser l'Attaque de
l'ennemi.</t>
      </text>
    </comment>
    <comment ref="G2430" authorId="0" shapeId="0">
      <text>
        <t>Mâchouille — Ténèbres, physique
Puissance 80 · Précision 100 % · 15 PP</t>
      </text>
    </comment>
    <comment ref="B2431" authorId="0" shapeId="0">
      <text>
        <t>Feinte — Ténèbres, physique
Puissance 60 · Ne rate jamais · 20 PP
Approche l'ennemi et frappe à coup sûr.</t>
      </text>
    </comment>
    <comment ref="C2431" authorId="0" shapeId="0">
      <text>
        <t>Aéropique — Vol, physique
Puissance 60 · Ne rate jamais · 20 PP
Attaque très rapide et imparable.</t>
      </text>
    </comment>
    <comment ref="D2431" authorId="0" shapeId="0">
      <text>
        <t>Laser Glace — Glace, spéciale
Puissance 90 · Précision 100 % · 10 PP</t>
      </text>
    </comment>
    <comment ref="E2431" authorId="0" shapeId="0">
      <text>
        <t>Queue de Fer — Acier, physique
Puissance 100 · Précision 75 % · 15 PP
Attaque avec la queue. Peut baisser la
Défense.</t>
      </text>
    </comment>
    <comment ref="F2431" authorId="0" shapeId="0">
      <text>
        <t>Danse Fleurs — Plante, spéciale
Puissance 120 · Précision 100 % · 10 PP
Une attaque furieuse de 2 à 3 tours. Lanceur
confus.</t>
      </text>
    </comment>
    <comment ref="G2431" authorId="0" shapeId="0">
      <text>
        <t>Séisme — Sol, physique
Puissance 100 · Précision 100 % · 10 PP
Secousse sans effet sur les adversaires
volants.</t>
      </text>
    </comment>
    <comment ref="B2432" authorId="0" shapeId="0">
      <text>
        <t>Éclate-Roc — Combat, physique
Puissance 40 · Précision 100 % · 15 PP
Une attaque puissante qui peut baisser la
Défense.</t>
      </text>
    </comment>
    <comment ref="C2432" authorId="0" shapeId="0">
      <text>
        <t>Reflet — Normal, statut
15 PP
Crée des images-miroirs pour augmenter
l'esquive.</t>
      </text>
    </comment>
    <comment ref="D2432" authorId="0" shapeId="0">
      <text>
        <t>Rafale Psy — Psy, spéciale
Puissance 65 · Précision 100 % · 20 PP
Étrange rayon pouvant rendre l'ennemi confus.</t>
      </text>
    </comment>
    <comment ref="E2432" authorId="0" shapeId="0">
      <text>
        <t>Mâchouille — Ténèbres, physique
Puissance 80 · Précision 100 % · 15 PP</t>
      </text>
    </comment>
    <comment ref="F2432" authorId="0" shapeId="0">
      <text>
        <t>Tempête Florale — Plante, physique
Puissance 90 · Précision 100 % · 15 PP
Une tempête de pétales sur tout le monde.</t>
      </text>
    </comment>
    <comment ref="G2432" authorId="0" shapeId="0">
      <text>
        <t>Éboulement — Roche, physique
Puissance 75 · Précision 90 % · 10 PP
Envoie de gros rochers. Peut apeurer l'ennemi.</t>
      </text>
    </comment>
    <comment ref="B2433" authorId="0" shapeId="0">
      <text>
        <t>Repos — Psy, statut
5 PP
Le lanceur dort 2 tours et regagne PV et
statut.</t>
      </text>
    </comment>
    <comment ref="C2433" authorId="0" shapeId="0">
      <text>
        <t>Onde Folie — Spectre, statut
Précision 100 % · 10 PP
Un horrible rayon qui rend l'ennemi confus.</t>
      </text>
    </comment>
    <comment ref="D2433" authorId="0" shapeId="0">
      <text>
        <t>Rayon Signal — Insecte, spéciale
Puissance 75 · Précision 100 % · 15 PP
Un étrange rayon qui peut rendre l'ennemi
confus.</t>
      </text>
    </comment>
    <comment ref="E2433" authorId="0" shapeId="0">
      <text>
        <t>Zénith — Feu, statut
5 PP
Améliore les attaques Feu pendant 5 tours.</t>
      </text>
    </comment>
    <comment ref="F2433" authorId="0" shapeId="0">
      <text>
        <t>Poudre Toxik — Poison, statut
Précision 75 % · 35 PP
Répand une poudre toxique pouvant empoisonner.</t>
      </text>
    </comment>
    <comment ref="G2433" authorId="0" shapeId="0">
      <text>
        <t>Crocs Feu — Feu, physique
Puissance 65 · Précision 95 % · 15 PP
Peut apeurer l'ennemi ou le brûler.</t>
      </text>
    </comment>
    <comment ref="B2436" authorId="0" shapeId="0">
      <text>
        <t>GIRAFARIG — Normal / Psy
PV 70 · Att 80 · Déf 65
Att.Spé 90 · Déf.Spé 65 · Vit 85
Total 455
Talents : Attention, Matinal (caché :
  Herbivore)</t>
      </text>
    </comment>
    <comment ref="C2436" authorId="0" shapeId="0">
      <text>
        <t>ROIGADA — Eau / Psy
PV 95 · Att 75 · Déf 80
Att.Spé 100 · Déf.Spé 110 · Vit 30
Total 490
Talents : Benêt, Tempo Perso (caché : Régé-
  Force)</t>
      </text>
    </comment>
    <comment ref="D2436" authorId="0" shapeId="0">
      <text>
        <t>MENTALI — Psy
PV 65 · Att 65 · Déf 60
Att.Spé 130 · Déf.Spé 95 · Vit 110
Total 525
Talents : Synchro, Synchro (caché : Miroir
  Magik)</t>
      </text>
    </comment>
    <comment ref="E2436" authorId="0" shapeId="0">
      <text>
        <t>FLAGADOSS — Eau / Psy
PV 95 · Att 75 · Déf 110
Att.Spé 100 · Déf.Spé 80 · Vit 30
Total 490
Talents : Benêt, Tempo Perso (caché : Régé-
  Force)</t>
      </text>
    </comment>
    <comment ref="F2436" authorId="0" shapeId="0">
      <text>
        <t>XATU — Psy / Vol
PV 65 · Att 75 · Déf 70
Att.Spé 95 · Déf.Spé 70 · Vit 95
Total 470
Talents : Synchro, Matinal (caché : Miroir
  Magik)</t>
      </text>
    </comment>
    <comment ref="E2438" authorId="0" shapeId="0">
      <text>
        <t>Vive Griffe
Objet tenu qui permet parfois de frapper le
premier.</t>
      </text>
    </comment>
    <comment ref="F2438" authorId="0" shapeId="0">
      <text>
        <t>Cuillère Tordue</t>
      </text>
    </comment>
    <comment ref="B2439" authorId="0" shapeId="0">
      <text>
        <t>Attention
Empêche la peur.</t>
      </text>
    </comment>
    <comment ref="C2439" authorId="0" shapeId="0">
      <text>
        <t>Benêt
Empêche l'attirance.</t>
      </text>
    </comment>
    <comment ref="D2439" authorId="0" shapeId="0">
      <text>
        <t>Synchro
Transfère statuts.</t>
      </text>
    </comment>
    <comment ref="E2439" authorId="0" shapeId="0">
      <text>
        <t>Benêt
Empêche l'attirance.</t>
      </text>
    </comment>
    <comment ref="F2439" authorId="0" shapeId="0">
      <text>
        <t>Synchro
Transfère statuts.</t>
      </text>
    </comment>
    <comment ref="B2440" authorId="0" shapeId="0">
      <text>
        <t>Psykoud'Boul — Psy, physique
Puissance 80 · Précision 90 % · 15 PP
Un coup de tête. Peut apeurer l'ennemi.</t>
      </text>
    </comment>
    <comment ref="C2440" authorId="0" shapeId="0">
      <text>
        <t>Amnésie — Psy, statut
20 PP
Oublie quelque chose et booste la Déf. Spé.</t>
      </text>
    </comment>
    <comment ref="D2440" authorId="0" shapeId="0">
      <text>
        <t>Psyko — Psy, spéciale
Puissance 90 · Précision 100 % · 10 PP
Une puissante attaque Psy pouvant baisser la
Déf. Spé.</t>
      </text>
    </comment>
    <comment ref="E2440" authorId="0" shapeId="0">
      <text>
        <t>Malédiction — Spectre, statut
10 PP
Coup qui fonctionne autre- ment pour les
Spectres.</t>
      </text>
    </comment>
    <comment ref="F2440" authorId="0" shapeId="0">
      <text>
        <t>Lame d'Air — Vol, spéciale
Puissance 75 · Précision 95 % · 15 PP
Une lame d'air. Peut apeurer l'ennemi.</t>
      </text>
    </comment>
    <comment ref="B2441" authorId="0" shapeId="0">
      <text>
        <t>Machination — Ténèbres, statut
20 PP
De mauvaises pensées montent beaucoup l'Atq.
Spé.</t>
      </text>
    </comment>
    <comment ref="C2441" authorId="0" shapeId="0">
      <text>
        <t>Poing Feu — Feu, physique
Puissance 75 · Précision 100 % · 15 PP
Un poing de feu pouvant brûler l'ennemi.</t>
      </text>
    </comment>
    <comment ref="D2441" authorId="0" shapeId="0">
      <text>
        <t>Ball'Ombre — Spectre, spéciale
Puissance 80 · Précision 100 % · 15 PP
Projette une grande tache qui peut baisser la
Déf. Spé.</t>
      </text>
    </comment>
    <comment ref="E2441" authorId="0" shapeId="0">
      <text>
        <t>Éclate-Roc — Combat, physique
Puissance 40 · Précision 100 % · 15 PP
Une attaque puissante qui peut baisser la
Défense.</t>
      </text>
    </comment>
    <comment ref="F2441" authorId="0" shapeId="0">
      <text>
        <t>Soin — Normal, statut
5 PP
Restaure jusqu'à la moitié des PV max du
lanceur.</t>
      </text>
    </comment>
    <comment ref="B2442" authorId="0" shapeId="0">
      <text>
        <t>Hâte — Psy, statut
30 PP
Relaxation du corps pour booster la Vitesse.</t>
      </text>
    </comment>
    <comment ref="C2442" authorId="0" shapeId="0">
      <text>
        <t>Surf — Eau, spéciale
Puissance 90 · Précision 100 % · 15 PP</t>
      </text>
    </comment>
    <comment ref="D2442" authorId="0" shapeId="0">
      <text>
        <t>Protection — Psy, statut
20 PP
Crée un mur lumineux. Affaiblit att.
physiques.</t>
      </text>
    </comment>
    <comment ref="E2442" authorId="0" shapeId="0">
      <text>
        <t>Plaquage — Normal, physique
Puissance 85 · Précision 100 % · 15 PP
Une attaque en charge. Peut paralyser
l'ennemi.</t>
      </text>
    </comment>
    <comment ref="F2442" authorId="0" shapeId="0">
      <text>
        <t>Onde Folie — Spectre, statut
Précision 100 % · 10 PP
Un horrible rayon qui rend l'ennemi confus.</t>
      </text>
    </comment>
    <comment ref="B2443" authorId="0" shapeId="0">
      <text>
        <t>Relais — Normal, statut
40 PP
Change de lanceur, mais garde les effets en
cours.</t>
      </text>
    </comment>
    <comment ref="C2443" authorId="0" shapeId="0">
      <text>
        <t>Psyko — Psy, spéciale
Puissance 90 · Précision 100 % · 10 PP
Une puissante attaque Psy pouvant baisser la
Déf. Spé.</t>
      </text>
    </comment>
    <comment ref="D2443" authorId="0" shapeId="0">
      <text>
        <t>Coup d'Boule — Normal, physique
Puissance 70 · Précision 100 % · 15 PP
Une charge qui peut apeurer l'ennemi.</t>
      </text>
    </comment>
    <comment ref="E2443" authorId="0" shapeId="0">
      <text>
        <t>Psykoud'Boul — Psy, physique
Puissance 80 · Précision 90 % · 15 PP
Un coup de tête. Peut apeurer l'ennemi.</t>
      </text>
    </comment>
    <comment ref="F2443" authorId="0" shapeId="0">
      <text>
        <t>Psyko — Psy, spéciale
Puissance 90 · Précision 100 % · 10 PP
Une puissante attaque Psy pouvant baisser la
Déf. Spé.</t>
      </text>
    </comment>
    <comment ref="B2446" authorId="0" shapeId="0">
      <text>
        <t>MIGALOS — Insecte / Poison
PV 70 · Att 90 · Déf 70
Att.Spé 60 · Déf.Spé 70 · Vit 40
Total 400
Talents : Essaim, Insomnia (caché : Sniper)</t>
      </text>
    </comment>
    <comment ref="C2446" authorId="0" shapeId="0">
      <text>
        <t>QWILFISH — Eau / Poison
PV 65 · Att 95 · Déf 85
Att.Spé 55 · Déf.Spé 55 · Vit 85
Total 440
Talents : Point Poison, Glissade (caché :
  Intimidation)</t>
      </text>
    </comment>
    <comment ref="D2446" authorId="0" shapeId="0">
      <text>
        <t>GROTADMORV — Poison
PV 105 · Att 105 · Déf 75
Att.Spé 65 · Déf.Spé 100 · Vit 50
Total 500
Talents : Puanteur, Glu (caché : Toxitouche)</t>
      </text>
    </comment>
    <comment ref="E2446" authorId="0" shapeId="0">
      <text>
        <t>AEROMITE — Insecte / Poison
PV 70 · Att 65 · Déf 60
Att.Spé 90 · Déf.Spé 75 · Vit 90
Total 450
Talents : Écran Poudre, Lentiteintée (caché :
  Peau Miracle)</t>
      </text>
    </comment>
    <comment ref="F2446" authorId="0" shapeId="0">
      <text>
        <t>NOSTENFER — Poison / Vol
PV 85 · Att 90 · Déf 80
Att.Spé 70 · Déf.Spé 80 · Vit 130
Total 535
Talents : Attention (caché : Infiltration)</t>
      </text>
    </comment>
    <comment ref="B2448" authorId="0" shapeId="0">
      <text>
        <t>Roche Royale</t>
      </text>
    </comment>
    <comment ref="D2448" authorId="0" shapeId="0">
      <text>
        <t>Restes
Objet tenu permet- tant de restaurer les PV au
combat.</t>
      </text>
    </comment>
    <comment ref="F2448" authorId="0" shapeId="0">
      <text>
        <t>Poudre Claire
Objet tenu qui éblouit et baisse la précision.</t>
      </text>
    </comment>
    <comment ref="B2449" authorId="0" shapeId="0">
      <text>
        <t>Essaim
Augmente attaques Insect.</t>
      </text>
    </comment>
    <comment ref="C2449" authorId="0" shapeId="0">
      <text>
        <t>Point Poison
Empoisonne quand touché.</t>
      </text>
    </comment>
    <comment ref="D2449" authorId="0" shapeId="0">
      <text>
        <t>Puanteur
Repousse Pokémon sauvage.</t>
      </text>
    </comment>
    <comment ref="E2449" authorId="0" shapeId="0">
      <text>
        <t>Écran Poudre
Empêche le cumul d'effets.</t>
      </text>
    </comment>
    <comment ref="F2449" authorId="0" shapeId="0">
      <text>
        <t>Attention
Empêche la peur.</t>
      </text>
    </comment>
    <comment ref="B2450" authorId="0" shapeId="0">
      <text>
        <t>Mégacorne — Insecte, physique
Puissance 120 · Précision 85 % · 10 PP
Une charge violente, toutes cornes en avant.</t>
      </text>
    </comment>
    <comment ref="C2450" authorId="0" shapeId="0">
      <text>
        <t>Hydro-Queue — Eau, physique
Puissance 90 · Précision 90 % · 10 PP
Balaie l'ennemi de sa queue comme une vague.</t>
      </text>
    </comment>
    <comment ref="D2450" authorId="0" shapeId="0">
      <text>
        <t>Lilliput — Normal, statut
10 PP</t>
      </text>
    </comment>
    <comment ref="E2450" authorId="0" shapeId="0">
      <text>
        <t>Vampirisme — Insecte, physique
Puissance 60 · Précision 100 % · 10 PP
Une attaque qui aspire la moitié des dégâts
infligés.</t>
      </text>
    </comment>
    <comment ref="F2450" authorId="0" shapeId="0">
      <text>
        <t>Reflet — Normal, statut
15 PP
Crée des images-miroirs pour augmenter
l'esquive.</t>
      </text>
    </comment>
    <comment ref="B2451" authorId="0" shapeId="0">
      <text>
        <t>Giga-Sangsue — Plante, spéciale
Puissance 75 · Précision 100 % · 25 PP
Une attaque qui absorbe la moitié des dégâts
infligés.</t>
      </text>
    </comment>
    <comment ref="C2451" authorId="0" shapeId="0">
      <text>
        <t>Toxik — Poison, statut
Précision 90 % · 10 PP
Empoisonne l'ennemi avec une toxine de plus en
plus forte.</t>
      </text>
    </comment>
    <comment ref="D2451" authorId="0" shapeId="0">
      <text>
        <t>Déflagration — Feu, spéciale
Puissance 110 · Précision 85 % · 5 PP
Une explosion de flammes. Peut brûler
l'ennemi.</t>
      </text>
    </comment>
    <comment ref="E2451" authorId="0" shapeId="0">
      <text>
        <t>Psyko — Psy, spéciale
Puissance 90 · Précision 100 % · 10 PP
Une puissante attaque Psy pouvant baisser la
Déf. Spé.</t>
      </text>
    </comment>
    <comment ref="F2451" authorId="0" shapeId="0">
      <text>
        <t>Toxik — Poison, statut
Précision 90 % · 10 PP
Empoisonne l'ennemi avec une toxine de plus en
plus forte.</t>
      </text>
    </comment>
    <comment ref="B2452" authorId="0" shapeId="0">
      <text>
        <t>Reflet — Normal, statut
15 PP
Crée des images-miroirs pour augmenter
l'esquive.</t>
      </text>
    </comment>
    <comment ref="C2452" authorId="0" shapeId="0">
      <text>
        <t>Abri — Normal, statut
10 PP · Priorité +4</t>
      </text>
    </comment>
    <comment ref="D2452" authorId="0" shapeId="0">
      <text>
        <t>Détricanon — Poison, physique
Puissance 120 · Précision 80 % · 5 PP
Des ordures sur l'ennemi. Peut empoisonner.</t>
      </text>
    </comment>
    <comment ref="E2452" authorId="0" shapeId="0">
      <text>
        <t>Crochet Venin — Poison, physique
Puissance 50 · Précision 100 % · 15 PP
Morsure pouvant sérieuse- ment empoisonner
l'ennemi.</t>
      </text>
    </comment>
    <comment ref="F2452" authorId="0" shapeId="0">
      <text>
        <t>Morsure — Ténèbres, physique
Puissance 60 · Précision 100 % · 25 PP
Mord méchamment l'ennemi et peut l'apeurer.</t>
      </text>
    </comment>
    <comment ref="B2453" authorId="0" shapeId="0">
      <text>
        <t>Toxik — Poison, statut
Précision 90 % · 10 PP
Empoisonne l'ennemi avec une toxine de plus en
plus forte.</t>
      </text>
    </comment>
    <comment ref="C2453" authorId="0" shapeId="0">
      <text>
        <t>Direct Toxik — Poison, physique
Puissance 80 · Précision 100 % · 20 PP
Un coup perforant qui peut empoisonner.</t>
      </text>
    </comment>
    <comment ref="D2453" authorId="0" shapeId="0">
      <text>
        <t>Toxik — Poison, statut
Précision 90 % · 10 PP
Empoisonne l'ennemi avec une toxine de plus en
plus forte.</t>
      </text>
    </comment>
    <comment ref="E2453" authorId="0" shapeId="0">
      <text>
        <t>Poudre Dodo — Plante, statut
Précision 75 % · 15 PP
Répand une poudre pouvant endormir l'ennemi.</t>
      </text>
    </comment>
    <comment ref="F2453" authorId="0" shapeId="0">
      <text>
        <t>Onde Folie — Spectre, statut
Précision 100 % · 10 PP
Un horrible rayon qui rend l'ennemi confus.</t>
      </text>
    </comment>
    <comment ref="B2456" authorId="0" shapeId="0">
      <text>
        <t>TYGNON — Combat
PV 50 · Att 105 · Déf 79
Att.Spé 35 · Déf.Spé 110 · Vit 76
Total 455
Talents : Regard Vif, Poing de Fer (caché :
  Attention)</t>
      </text>
    </comment>
    <comment ref="C2456" authorId="0" shapeId="0">
      <text>
        <t>SCARHINO — Insecte / Combat
PV 80 · Att 125 · Déf 75
Att.Spé 40 · Déf.Spé 95 · Vit 85
Total 500
Talents : Essaim, Cran (caché : Impudence)</t>
      </text>
    </comment>
    <comment ref="D2456" authorId="0" shapeId="0">
      <text>
        <t>KICKLEE — Combat
PV 50 · Att 120 · Déf 53
Att.Spé 35 · Déf.Spé 110 · Vit 87
Total 455
Talents : Échauffement, Téméraire (caché :
  Délestage)</t>
      </text>
    </comment>
    <comment ref="E2456" authorId="0" shapeId="0">
      <text>
        <t>STEELIX — Acier / Sol
PV 75 · Att 85 · Déf 200
Att.Spé 55 · Déf.Spé 65 · Vit 30
Total 510
Talents : Tête de Roc, Fermeté (caché : Sans
  Limite)</t>
      </text>
    </comment>
    <comment ref="F2456" authorId="0" shapeId="0">
      <text>
        <t>MACKOGNEUR — Combat
PV 90 · Att 130 · Déf 80
Att.Spé 65 · Déf.Spé 85 · Vit 55
Total 505
Talents : Cran, Annule Garde (caché :
  Impassible)</t>
      </text>
    </comment>
    <comment ref="B2458" authorId="0" shapeId="0">
      <text>
        <t>Lentilscope
Objet tenu pour monter le taux de critiques.</t>
      </text>
    </comment>
    <comment ref="D2458" authorId="0" shapeId="0">
      <text>
        <t>Mouchoir Soie
Objet à tenir. Renforce le type Normal.</t>
      </text>
    </comment>
    <comment ref="F2458" authorId="0" shapeId="0">
      <text>
        <t>Ceinture Noire
Objet tenu montant la puissance des attaques
Combat.</t>
      </text>
    </comment>
    <comment ref="B2459" authorId="0" shapeId="0">
      <text>
        <t>Regard Vif
Empêche perte de précision.</t>
      </text>
    </comment>
    <comment ref="C2459" authorId="0" shapeId="0">
      <text>
        <t>Essaim
Augmente attaques Insect.</t>
      </text>
    </comment>
    <comment ref="D2459" authorId="0" shapeId="0">
      <text>
        <t>Échauffement
Empêche la paralysie.</t>
      </text>
    </comment>
    <comment ref="E2459" authorId="0" shapeId="0">
      <text>
        <t>Tête de Roc
Empêche dégâts du recul.</t>
      </text>
    </comment>
    <comment ref="F2459" authorId="0" shapeId="0">
      <text>
        <t>Cran
Monte l'Attaque si statut.</t>
      </text>
    </comment>
    <comment ref="B2460" authorId="0" shapeId="0">
      <text>
        <t>Close Combat — Combat, physique
Puissance 120 · Précision 100 % · 5 PP</t>
      </text>
    </comment>
    <comment ref="C2460" authorId="0" shapeId="0">
      <text>
        <t>Close Combat — Combat, physique
Puissance 120 · Précision 100 % · 5 PP</t>
      </text>
    </comment>
    <comment ref="D2460" authorId="0" shapeId="0">
      <text>
        <t>Pied Brûleur — Feu, physique
Puissance 85 · Précision 90 % · 10 PP
Coup de pied à taux de critiques élevé. Peut
brûler.</t>
      </text>
    </comment>
    <comment ref="E2460" authorId="0" shapeId="0">
      <text>
        <t>Mâchouille — Ténèbres, physique
Puissance 80 · Précision 100 % · 15 PP</t>
      </text>
    </comment>
    <comment ref="F2460" authorId="0" shapeId="0">
      <text>
        <t>Éboulement — Roche, physique
Puissance 75 · Précision 90 % · 10 PP
Envoie de gros rochers. Peut apeurer l'ennemi.</t>
      </text>
    </comment>
    <comment ref="B2461" authorId="0" shapeId="0">
      <text>
        <t>Poursuite — Ténèbres, physique
Puissance 40 · Précision 100 % · 20 PP
Inflige de sérieux dégâts lorsque l'ennemi
change.</t>
      </text>
    </comment>
    <comment ref="C2461" authorId="0" shapeId="0">
      <text>
        <t>Mégacorne — Insecte, physique
Puissance 120 · Précision 85 % · 10 PP
Une charge violente, toutes cornes en avant.</t>
      </text>
    </comment>
    <comment ref="D2461" authorId="0" shapeId="0">
      <text>
        <t>Yoga — Psy, statut
40 PP
Méditation pacifique pour augmenter l'Attaque.</t>
      </text>
    </comment>
    <comment ref="E2461" authorId="0" shapeId="0">
      <text>
        <t>Séisme — Sol, physique
Puissance 100 · Précision 100 % · 10 PP
Secousse sans effet sur les adversaires
volants.</t>
      </text>
    </comment>
    <comment ref="F2461" authorId="0" shapeId="0">
      <text>
        <t>Poing Feu — Feu, physique
Puissance 75 · Précision 100 % · 15 PP
Un poing de feu pouvant brûler l'ennemi.</t>
      </text>
    </comment>
    <comment ref="B2462" authorId="0" shapeId="0">
      <text>
        <t>Uppercut — Normal, physique
Puissance 70 · Précision 100 % · 10 PP
Un coup de poing cadencé. Peut rendre confus.</t>
      </text>
    </comment>
    <comment ref="C2462" authorId="0" shapeId="0">
      <text>
        <t>Bélier — Normal, physique
Puissance 90 · Précision 85 % · 20 PP
Une charge violente qui blesse aussi le
lanceur.</t>
      </text>
    </comment>
    <comment ref="D2462" authorId="0" shapeId="0">
      <text>
        <t>Contre — Combat, physique
Puissance 1 · Précision 100 % · 15 PP
Inflige plus de dégâts si les PV du lanceur
sont faibles.</t>
      </text>
    </comment>
    <comment ref="E2462" authorId="0" shapeId="0">
      <text>
        <t>Lame de Roc — Roche, physique
Puissance 100 · Précision 80 % · 5 PP
Transperce de pierres. Critiques fréquents.</t>
      </text>
    </comment>
    <comment ref="F2462" authorId="0" shapeId="0">
      <text>
        <t>Corps Perdu — Combat, physique
Puissance 70 · Ne rate jamais · 10 PP ·
Priorité -1
Attaque après l'ennemi, mais n'échoue jamais.</t>
      </text>
    </comment>
    <comment ref="B2463" authorId="0" shapeId="0">
      <text>
        <t>Poing Éclair — Électrik, physique
Puissance 75 · Précision 100 % · 15 PP
Un poing électrique pouvant paralyser
l'ennemi.</t>
      </text>
    </comment>
    <comment ref="C2463" authorId="0" shapeId="0">
      <text>
        <t>Séisme — Sol, physique
Puissance 100 · Précision 100 % · 10 PP
Secousse sans effet sur les adversaires
volants.</t>
      </text>
    </comment>
    <comment ref="D2463" authorId="0" shapeId="0">
      <text>
        <t>Pied Voltige — Combat, physique
Puissance 130 · Précision 90 % · 10 PP
Un coup de genou sauté. Blesse s'il rate.</t>
      </text>
    </comment>
    <comment ref="E2463" authorId="0" shapeId="0">
      <text>
        <t>Queue de Fer — Acier, physique
Puissance 100 · Précision 75 % · 15 PP
Attaque avec la queue. Peut baisser la
Défense.</t>
      </text>
    </comment>
    <comment ref="F2463" authorId="0" shapeId="0">
      <text>
        <t>Coup Croix — Combat, physique
Puissance 100 · Précision 80 % · 5 PP
2 attaques tranchantes. Taux de critiques
élevé.</t>
      </text>
    </comment>
    <comment ref="B2466" authorId="0" shapeId="0">
      <text>
        <t>NOCTALI — Ténèbres
PV 95 · Att 65 · Déf 110
Att.Spé 60 · Déf.Spé 130 · Vit 65
Total 525
Talents : Synchro, Synchro (caché : Attention)</t>
      </text>
    </comment>
    <comment ref="C2466" authorId="0" shapeId="0">
      <text>
        <t>ECTOPLASMA — Spectre / Poison
PV 60 · Att 65 · Déf 60
Att.Spé 130 · Déf.Spé 75 · Vit 110
Total 500
Talents : Lévitation, Corps Maudit</t>
      </text>
    </comment>
    <comment ref="D2466" authorId="0" shapeId="0">
      <text>
        <t>RAFFLESIA — Plante / Poison
PV 75 · Att 80 · Déf 85
Att.Spé 110 · Déf.Spé 90 · Vit 50
Total 490
Talents : Chlorophylle (caché : Pose Spore)</t>
      </text>
    </comment>
    <comment ref="E2466" authorId="0" shapeId="0">
      <text>
        <t>CORBOSS — Ténèbres / Vol
PV 100 · Att 125 · Déf 52
Att.Spé 105 · Déf.Spé 52 · Vit 71
Total 505
Talents : Insomnia, Chanceux (caché :
  Impudence)</t>
      </text>
    </comment>
    <comment ref="F2466" authorId="0" shapeId="0">
      <text>
        <t>DEMOLOSSE — Ténèbres / Feu
PV 75 · Att 90 · Déf 50
Att.Spé 110 · Déf.Spé 80 · Vit 95
Total 500
Talents : Matinal, Torche (caché : Tension)</t>
      </text>
    </comment>
    <comment ref="B2468" authorId="0" shapeId="0">
      <text>
        <t>Baie Sitrus
Objet tenu qui restaure 30 PV pendant un
combat.</t>
      </text>
    </comment>
    <comment ref="D2468" authorId="0" shapeId="0">
      <text>
        <t>Restes
Objet tenu permet- tant de restaurer les PV au
combat.</t>
      </text>
    </comment>
    <comment ref="E2468" authorId="0" shapeId="0">
      <text>
        <t>Bec Pointu
Objet à tenir. Renforce le type Vol.</t>
      </text>
    </comment>
    <comment ref="F2468" authorId="0" shapeId="0">
      <text>
        <t>Lunettes Noires
Objet à tenir. Renforce le type Ténèbres.</t>
      </text>
    </comment>
    <comment ref="B2469" authorId="0" shapeId="0">
      <text>
        <t>Synchro
Transfère statuts.</t>
      </text>
    </comment>
    <comment ref="C2469" authorId="0" shapeId="0">
      <text>
        <t>Lévitation
Ignore les attaques Sol.</t>
      </text>
    </comment>
    <comment ref="D2469" authorId="0" shapeId="0">
      <text>
        <t>Chlorophylle
Augmente Vitesse au soleil.</t>
      </text>
    </comment>
    <comment ref="E2469" authorId="0" shapeId="0">
      <text>
        <t>Insomnia
Empêche de s'endormir.</t>
      </text>
    </comment>
    <comment ref="F2469" authorId="0" shapeId="0">
      <text>
        <t>Matinal
Se réveille rapidement.</t>
      </text>
    </comment>
    <comment ref="B2470" authorId="0" shapeId="0">
      <text>
        <t>Feinte — Ténèbres, physique
Puissance 60 · Ne rate jamais · 20 PP
Approche l'ennemi et frappe à coup sûr.</t>
      </text>
    </comment>
    <comment ref="C2470" authorId="0" shapeId="0">
      <text>
        <t>Ball'Ombre — Spectre, spéciale
Puissance 80 · Précision 100 % · 15 PP
Projette une grande tache qui peut baisser la
Déf. Spé.</t>
      </text>
    </comment>
    <comment ref="D2470" authorId="0" shapeId="0">
      <text>
        <t>Poudre Dodo — Plante, statut
Précision 75 % · 15 PP
Répand une poudre pouvant endormir l'ennemi.</t>
      </text>
    </comment>
    <comment ref="E2470" authorId="0" shapeId="0">
      <text>
        <t>Lame d'Air — Vol, spéciale
Puissance 75 · Précision 95 % · 15 PP
Une lame d'air. Peut apeurer l'ennemi.</t>
      </text>
    </comment>
    <comment ref="F2470" authorId="0" shapeId="0">
      <text>
        <t>Lance-Flammes — Feu, spéciale
Puissance 90 · Précision 100 % · 15 PP
Une puissante attaque de feu pouvant brûler
l'ennemi.</t>
      </text>
    </comment>
    <comment ref="B2471" authorId="0" shapeId="0">
      <text>
        <t>Reflet — Normal, statut
15 PP
Crée des images-miroirs pour augmenter
l'esquive.</t>
      </text>
    </comment>
    <comment ref="C2471" authorId="0" shapeId="0">
      <text>
        <t>Hypnose — Psy, statut
Précision 60 % · 20 PP
Une attaque hypnotique pouvant endormir
l'ennemi.</t>
      </text>
    </comment>
    <comment ref="D2471" authorId="0" shapeId="0">
      <text>
        <t>Giga-Sangsue — Plante, spéciale
Puissance 75 · Précision 100 % · 25 PP
Une attaque qui absorbe la moitié des dégâts
infligés.</t>
      </text>
    </comment>
    <comment ref="E2471" authorId="0" shapeId="0">
      <text>
        <t>Feinte — Ténèbres, physique
Puissance 60 · Ne rate jamais · 20 PP
Approche l'ennemi et frappe à coup sûr.</t>
      </text>
    </comment>
    <comment ref="F2471" authorId="0" shapeId="0">
      <text>
        <t>Mâchouille — Ténèbres, physique
Puissance 80 · Précision 100 % · 15 PP</t>
      </text>
    </comment>
    <comment ref="B2472" authorId="0" shapeId="0">
      <text>
        <t>Relais — Normal, statut
40 PP
Change de lanceur, mais garde les effets en
cours.</t>
      </text>
    </comment>
    <comment ref="C2472" authorId="0" shapeId="0">
      <text>
        <t>Dévorêve — Psy, spéciale
Puissance 100 · Précision 100 % · 15 PP
Aspire la moitié des dégâts infligés à
l'ennemi endormi.</t>
      </text>
    </comment>
    <comment ref="D2472" authorId="0" shapeId="0">
      <text>
        <t>Vampigraine — Plante, statut
Précision 90 % · 10 PP
Plante des graines pour voler des PV à chaque
tour.</t>
      </text>
    </comment>
    <comment ref="E2472" authorId="0" shapeId="0">
      <text>
        <t>Ailes d'Acier — Acier, physique
Puissance 70 · Précision 90 % · 25 PP
Frappe l'ennemi en déployant des ailes
d'acier.</t>
      </text>
    </comment>
    <comment ref="F2472" authorId="0" shapeId="0">
      <text>
        <t>Queue de Fer — Acier, physique
Puissance 100 · Précision 75 % · 15 PP
Attaque avec la queue. Peut baisser la
Défense.</t>
      </text>
    </comment>
    <comment ref="B2473" authorId="0" shapeId="0">
      <text>
        <t>Rayon Lune — Fée, statut
5 PP
Restaure les PV. La quantité varie suivant le
temps.</t>
      </text>
    </comment>
    <comment ref="C2473" authorId="0" shapeId="0">
      <text>
        <t>Onde Folie — Spectre, statut
Précision 100 % · 10 PP
Un horrible rayon qui rend l'ennemi confus.</t>
      </text>
    </comment>
    <comment ref="D2473" authorId="0" shapeId="0">
      <text>
        <t>Clonage — Normal, statut
10 PP
Crée un leurre avec 1/4 des PV max du lanceur.</t>
      </text>
    </comment>
    <comment ref="E2473" authorId="0" shapeId="0">
      <text>
        <t>Buée Noire — Glace, statut
30 PP
Crée un nuage noir annulant tout changement
d'état.</t>
      </text>
    </comment>
    <comment ref="F2473" authorId="0" shapeId="0">
      <text>
        <t>Contre — Combat, physique
Puissance 1 · Précision 100 % · 15 PP
Inflige plus de dégâts si les PV du lanceur
sont faibles.</t>
      </text>
    </comment>
    <comment ref="B2476" authorId="0" shapeId="0">
      <text>
        <t>LEVIATOR — Eau / Vol
PV 95 · Att 125 · Déf 79
Att.Spé 60 · Déf.Spé 100 · Vit 81
Total 540
Talents : Intimidation (caché : Impudence)</t>
      </text>
    </comment>
    <comment ref="C2476" authorId="0" shapeId="0">
      <text>
        <t>DRACOLOSSE — Dragon / Vol
PV 91 · Att 134 · Déf 95
Att.Spé 100 · Déf.Spé 100 · Vit 80
Total 600
Talents : Attention (caché : Multiécaille)</t>
      </text>
    </comment>
    <comment ref="D2476" authorId="0" shapeId="0">
      <text>
        <t>DRACAUFEU — Feu / Vol
PV 78 · Att 84 · Déf 78
Att.Spé 109 · Déf.Spé 85 · Vit 100
Total 534
Talents : Brasier (caché : Force Soleil)</t>
      </text>
    </comment>
    <comment ref="E2476" authorId="0" shapeId="0">
      <text>
        <t>DRACOLOSSE — Dragon / Vol
PV 91 · Att 134 · Déf 95
Att.Spé 100 · Déf.Spé 100 · Vit 80
Total 600
Talents : Attention (caché : Multiécaille)</t>
      </text>
    </comment>
    <comment ref="F2476" authorId="0" shapeId="0">
      <text>
        <t>PTERA — Roche / Vol
PV 80 · Att 105 · Déf 65
Att.Spé 60 · Déf.Spé 75 · Vit 130
Total 515
Talents : Tête de Roc, Pression (caché :
  Tension)</t>
      </text>
    </comment>
    <comment ref="G2476" authorId="0" shapeId="0">
      <text>
        <t>DRACOLOSSE — Dragon / Vol
PV 91 · Att 134 · Déf 95
Att.Spé 100 · Déf.Spé 100 · Vit 80
Total 600
Talents : Attention (caché : Multiécaille)</t>
      </text>
    </comment>
    <comment ref="B2478" authorId="0" shapeId="0">
      <text>
        <t>Restes
Objet tenu permet- tant de restaurer les PV au
combat.</t>
      </text>
    </comment>
    <comment ref="C2478" authorId="0" shapeId="0">
      <text>
        <t>Baie Sitrus
Objet tenu qui restaure 30 PV pendant un
combat.</t>
      </text>
    </comment>
    <comment ref="D2478" authorId="0" shapeId="0">
      <text>
        <t>Charbon
Objet à tenir. Renforce le type Feu.</t>
      </text>
    </comment>
    <comment ref="F2478" authorId="0" shapeId="0">
      <text>
        <t>Mouchoir Soie
Objet à tenir. Renforce le type Normal.</t>
      </text>
    </comment>
    <comment ref="G2478" authorId="0" shapeId="0">
      <text>
        <t>Baie Sitrus
Objet tenu qui restaure 30 PV pendant un
combat.</t>
      </text>
    </comment>
    <comment ref="B2479" authorId="0" shapeId="0">
      <text>
        <t>Intimidation
Baisse l'Attaque ennemie.</t>
      </text>
    </comment>
    <comment ref="C2479" authorId="0" shapeId="0">
      <text>
        <t>Attention
Empêche la peur.</t>
      </text>
    </comment>
    <comment ref="D2479" authorId="0" shapeId="0">
      <text>
        <t>Brasier
Augmente attaques Feu.</t>
      </text>
    </comment>
    <comment ref="E2479" authorId="0" shapeId="0">
      <text>
        <t>Attention
Empêche la peur.</t>
      </text>
    </comment>
    <comment ref="F2479" authorId="0" shapeId="0">
      <text>
        <t>Tête de Roc
Empêche dégâts du recul.</t>
      </text>
    </comment>
    <comment ref="G2479" authorId="0" shapeId="0">
      <text>
        <t>Attention
Empêche la peur.</t>
      </text>
    </comment>
    <comment ref="B2480" authorId="0" shapeId="0">
      <text>
        <t>Cascade — Eau, physique
Puissance 80 · Précision 100 % · 15 PP
Charge rapide permettant de franchir des
cascades.</t>
      </text>
    </comment>
    <comment ref="C2480" authorId="0" shapeId="0">
      <text>
        <t>Blizzard — Glace, spéciale
Puissance 110 · Précision 70 % · 5 PP</t>
      </text>
    </comment>
    <comment ref="D2480" authorId="0" shapeId="0">
      <text>
        <t>Lance-Flammes — Feu, spéciale
Puissance 90 · Précision 100 % · 15 PP
Une puissante attaque de feu pouvant brûler
l'ennemi.</t>
      </text>
    </comment>
    <comment ref="E2480" authorId="0" shapeId="0">
      <text>
        <t>Rebond — Vol, physique
Puissance 85 · Précision 85 % · 5 PP
Saute et tombe le tour suivant. Peut
paralyser.</t>
      </text>
    </comment>
    <comment ref="F2480" authorId="0" shapeId="0">
      <text>
        <t>Aéropique — Vol, physique
Puissance 60 · Ne rate jamais · 20 PP
Attaque très rapide et imparable.</t>
      </text>
    </comment>
    <comment ref="G2480" authorId="0" shapeId="0">
      <text>
        <t>Fatal-Foudre — Électrik, spéciale
Puissance 110 · Précision 70 % · 10 PP
Une attaque foudroyante pouvant paralyser
l'ennemi.</t>
      </text>
    </comment>
    <comment ref="B2481" authorId="0" shapeId="0">
      <text>
        <t>Danse Draco — Dragon, statut
20 PP
Danse mystique augmentant l'Attaque et la
Vitesse.</t>
      </text>
    </comment>
    <comment ref="C2481" authorId="0" shapeId="0">
      <text>
        <t>Déflagration — Feu, spéciale
Puissance 110 · Précision 85 % · 5 PP
Une explosion de flammes. Peut brûler
l'ennemi.</t>
      </text>
    </comment>
    <comment ref="D2481" authorId="0" shapeId="0">
      <text>
        <t>Cru-Ailes — Vol, physique
Puissance 60 · Précision 100 % · 35 PP
Frappe l'ennemi en déployant les ailes.</t>
      </text>
    </comment>
    <comment ref="E2481" authorId="0" shapeId="0">
      <text>
        <t>Draco-Griffe — Dragon, physique
Puissance 80 · Précision 100 % · 15 PP
Tranche violemment l'ennemi avec des griffes
acérées.</t>
      </text>
    </comment>
    <comment ref="F2481" authorId="0" shapeId="0">
      <text>
        <t>Éboulement — Roche, physique
Puissance 75 · Précision 90 % · 10 PP
Envoie de gros rochers. Peut apeurer l'ennemi.</t>
      </text>
    </comment>
    <comment ref="G2481" authorId="0" shapeId="0">
      <text>
        <t>Rune Protect — Normal, statut
25 PP
Force mystique empêchant tout changement de
statut.</t>
      </text>
    </comment>
    <comment ref="B2482" authorId="0" shapeId="0">
      <text>
        <t>Ultralaser — Normal, spéciale
Puissance 150 · Précision 90 % · 5 PP</t>
      </text>
    </comment>
    <comment ref="C2482" authorId="0" shapeId="0">
      <text>
        <t>Fatal-Foudre — Électrik, spéciale
Puissance 110 · Précision 70 % · 10 PP
Une attaque foudroyante pouvant paralyser
l'ennemi.</t>
      </text>
    </comment>
    <comment ref="D2482" authorId="0" shapeId="0">
      <text>
        <t>Reflet — Normal, statut
15 PP
Crée des images-miroirs pour augmenter
l'esquive.</t>
      </text>
    </comment>
    <comment ref="E2482" authorId="0" shapeId="0">
      <text>
        <t>Cascade — Eau, physique
Puissance 80 · Précision 100 % · 15 PP
Charge rapide permettant de franchir des
cascades.</t>
      </text>
    </comment>
    <comment ref="F2482" authorId="0" shapeId="0">
      <text>
        <t>Ultralaser — Normal, spéciale
Puissance 150 · Précision 90 % · 5 PP</t>
      </text>
    </comment>
    <comment ref="G2482" authorId="0" shapeId="0">
      <text>
        <t>Colère — Dragon, physique
Puissance 120 · Précision 100 % · 10 PP
Une attaque furieuse sur 2 à 3 tours. Lanceur
confus.</t>
      </text>
    </comment>
    <comment ref="B2483" authorId="0" shapeId="0">
      <text>
        <t>Séisme — Sol, physique
Puissance 100 · Précision 100 % · 10 PP
Secousse sans effet sur les adversaires
volants.</t>
      </text>
    </comment>
    <comment ref="C2483" authorId="0" shapeId="0">
      <text>
        <t>Vitesse Extrême — Normal, physique
Puissance 80 · Précision 100 % · 5 PP ·
Priorité +2
Une attaque extrêmement rapide et puissante.</t>
      </text>
    </comment>
    <comment ref="D2483" authorId="0" shapeId="0">
      <text>
        <t>Ailes d'Acier — Acier, physique
Puissance 70 · Précision 90 % · 25 PP
Frappe l'ennemi en déployant des ailes
d'acier.</t>
      </text>
    </comment>
    <comment ref="E2483" authorId="0" shapeId="0">
      <text>
        <t>Danse Draco — Dragon, statut
20 PP
Danse mystique augmentant l'Attaque et la
Vitesse.</t>
      </text>
    </comment>
    <comment ref="F2483" authorId="0" shapeId="0">
      <text>
        <t>Séisme — Sol, physique
Puissance 100 · Précision 100 % · 10 PP
Secousse sans effet sur les adversaires
volants.</t>
      </text>
    </comment>
    <comment ref="G2483" authorId="0" shapeId="0">
      <text>
        <t>Ultralaser — Normal, spéciale
Puissance 150 · Précision 90 % · 5 PP</t>
      </text>
    </comment>
    <comment ref="B2486" authorId="0" shapeId="0">
      <text>
        <t>RATTATAC — Normal
PV 55 · Att 81 · Déf 60
Att.Spé 50 · Déf.Spé 70 · Vit 97
Total 413
Talents : Fuite, Cran (caché : Agitation)</t>
      </text>
    </comment>
    <comment ref="C2486" authorId="0" shapeId="0">
      <text>
        <t>FOUINAR — Normal
PV 85 · Att 76 · Déf 64
Att.Spé 45 · Déf.Spé 55 · Vit 90
Total 415
Talents : Fuite, Regard Vif (caché : Fouille)</t>
      </text>
    </comment>
    <comment ref="B2489" authorId="0" shapeId="0">
      <text>
        <t>Fuite
Améliore chances de fuite.</t>
      </text>
    </comment>
    <comment ref="C2489" authorId="0" shapeId="0">
      <text>
        <t>Fuite
Améliore chances de fuite.</t>
      </text>
    </comment>
    <comment ref="B2490" authorId="0" shapeId="0">
      <text>
        <t>Coup Bas — Ténèbres, physique
Puissance 70 · Précision 100 % · 5 PP ·
Priorité +1</t>
      </text>
    </comment>
    <comment ref="C2490" authorId="0" shapeId="0">
      <text>
        <t>Câlinerie — Fée, physique
Puissance 90 · Précision 90 % · 10 PP
Un câlin brutal. Peut baisser l'Attaque de
l'ennemi.</t>
      </text>
    </comment>
    <comment ref="B2491" authorId="0" shapeId="0">
      <text>
        <t>Croc Fatal — Normal, physique
Puissance 1 · Précision 90 % · 10 PP
Coup de croc qui fait baisser les PV de
moitié.</t>
      </text>
    </comment>
    <comment ref="C2491" authorId="0" shapeId="0">
      <text>
        <t>Relais — Normal, statut
40 PP
Change de lanceur, mais garde les effets en
cours.</t>
      </text>
    </comment>
    <comment ref="B2492" authorId="0" shapeId="0">
      <text>
        <t>Damoclès — Normal, physique
Puissance 120 · Précision 100 % · 15 PP
Une dangereuse charge qui blesse aussi le
lanceur.</t>
      </text>
    </comment>
    <comment ref="C2492" authorId="0" shapeId="0">
      <text>
        <t>Moi d'Abord — Normal, statut
20 PP
Utilise l'attaque ennemie, en plus puissant.</t>
      </text>
    </comment>
    <comment ref="B2493" authorId="0" shapeId="0">
      <text>
        <t>Effort — Normal, physique
Puissance 1 · Précision 100 % · 5 PP
Gagne en puissance si PV inférieurs aux PV
ennemis.</t>
      </text>
    </comment>
    <comment ref="C2493" authorId="0" shapeId="0">
      <text>
        <t>Mégaphone — Normal, spéciale
Puissance 90 · Précision 100 % · 10 PP
Attaque bruyante blessant avec des ondes
sonores.</t>
      </text>
    </comment>
    <comment ref="B2495" authorId="0" shapeId="0">
      <text>
        <t>POISSOROY — Eau
PV 80 · Att 92 · Déf 65
Att.Spé 65 · Déf.Spé 80 · Vit 68
Total 450
Talents : Glissade, Ignifu-Voile (caché :
  Paratonnerre)</t>
      </text>
    </comment>
    <comment ref="B2498" authorId="0" shapeId="0">
      <text>
        <t>Glissade
Monte Vitesse s'il pleut.</t>
      </text>
    </comment>
    <comment ref="B2499" authorId="0" shapeId="0">
      <text>
        <t>Empal'Korne — Normal, physique
Puissance 1 · Précision 30 % · 5 PP
Empale l'ennemi d'un coup de corne. Met KO en
un coup.</t>
      </text>
    </comment>
    <comment ref="B2500" authorId="0" shapeId="0">
      <text>
        <t>Eau Revoir — Eau, physique
Puissance 60 · Précision 100 % · 20 PP
Attaque puis échange sa place avec un allié.</t>
      </text>
    </comment>
    <comment ref="B2501" authorId="0" shapeId="0">
      <text>
        <t>Détrempage — Eau, statut
Précision 100 % · 20 PP
Asperge l'ennemi et le change en type Eau.</t>
      </text>
    </comment>
    <comment ref="B2502" authorId="0" shapeId="0">
      <text>
        <t>Mégacorne — Insecte, physique
Puissance 120 · Précision 85 % · 10 PP
Une charge violente, toutes cornes en avant.</t>
      </text>
    </comment>
    <comment ref="B2504" authorId="0" shapeId="0">
      <text>
        <t>M. MIME — Psy / Fée
PV 40 · Att 45 · Déf 65
Att.Spé 100 · Déf.Spé 120 · Vit 90
Total 460
Talents : Anti-Bruit, Filtre (caché :
  Technicien)</t>
      </text>
    </comment>
    <comment ref="C2504" authorId="0" shapeId="0">
      <text>
        <t>MAGMAR — Feu
PV 65 · Att 95 · Déf 57
Att.Spé 100 · Déf.Spé 85 · Vit 93
Total 495
Talents : Corps Ardent (caché : Esprit Vital)</t>
      </text>
    </comment>
    <comment ref="D2504" authorId="0" shapeId="0">
      <text>
        <t>MACHOPEUR — Combat
PV 80 · Att 100 · Déf 70
Att.Spé 50 · Déf.Spé 60 · Vit 45
Total 405
Talents : Cran, Annule Garde (caché :
  Impassible)</t>
      </text>
    </comment>
    <comment ref="B2507" authorId="0" shapeId="0">
      <text>
        <t>Anti-Bruit
Évite les coups sonores.</t>
      </text>
    </comment>
    <comment ref="C2507" authorId="0" shapeId="0">
      <text>
        <t>Corps Ardent
Brûle l'ennemi au contact.</t>
      </text>
    </comment>
    <comment ref="D2507" authorId="0" shapeId="0">
      <text>
        <t>Cran
Monte l'Attaque si statut.</t>
      </text>
    </comment>
    <comment ref="B2508" authorId="0" shapeId="0">
      <text>
        <t>Imitation — Psy, statut
10 PP
Imite la cible et copie sa capacité spéciale.</t>
      </text>
    </comment>
    <comment ref="C2508" authorId="0" shapeId="0">
      <text>
        <t>Poing Feu — Feu, physique
Puissance 75 · Précision 100 % · 15 PP
Un poing de feu pouvant brûler l'ennemi.</t>
      </text>
    </comment>
    <comment ref="D2508" authorId="0" shapeId="0">
      <text>
        <t>Sacrifice — Combat, physique
Puissance 80 · Précision 80 % · 20 PP
Une charge violente qui blesse aussi le
lanceur.</t>
      </text>
    </comment>
    <comment ref="B2509" authorId="0" shapeId="0">
      <text>
        <t>Relais — Normal, statut
40 PP
Change de lanceur, mais garde les effets en
cours.</t>
      </text>
    </comment>
    <comment ref="C2509" authorId="0" shapeId="0">
      <text>
        <t>Ébullilave — Feu, spéciale
Puissance 80 · Précision 100 % · 15 PP</t>
      </text>
    </comment>
    <comment ref="D2509" authorId="0" shapeId="0">
      <text>
        <t>Gonflette — Combat, statut
20 PP
Se gonfle pour booster l'Attaque et la
Défense.</t>
      </text>
    </comment>
    <comment ref="B2510" authorId="0" shapeId="0">
      <text>
        <t>Rune Protect — Normal, statut
25 PP
Force mystique empêchant tout changement de
statut.</t>
      </text>
    </comment>
    <comment ref="C2510" authorId="0" shapeId="0">
      <text>
        <t>Zénith — Feu, statut
5 PP
Améliore les attaques Feu pendant 5 tours.</t>
      </text>
    </comment>
    <comment ref="D2510" authorId="0" shapeId="0">
      <text>
        <t>Coup Croix — Combat, physique
Puissance 100 · Précision 80 % · 5 PP
2 attaques tranchantes. Taux de critiques
élevé.</t>
      </text>
    </comment>
    <comment ref="B2511" authorId="0" shapeId="0">
      <text>
        <t>Vigilance — Fée, statut
10 PP · Priorité +3
Évite les capacités de statut pendant un tour.</t>
      </text>
    </comment>
    <comment ref="C2511" authorId="0" shapeId="0">
      <text>
        <t>Lance-Flammes — Feu, spéciale
Puissance 90 · Précision 100 % · 15 PP
Une puissante attaque de feu pouvant brûler
l'ennemi.</t>
      </text>
    </comment>
    <comment ref="D2511" authorId="0" shapeId="0">
      <text>
        <t>Grimace — Normal, statut
Précision 100 % · 10 PP
Effraie avec une grimace pour baisser la
Vitesse.</t>
      </text>
    </comment>
    <comment ref="B2513" authorId="0" shapeId="0">
      <text>
        <t>KRABBOSS — Eau
PV 55 · Att 130 · Déf 115
Att.Spé 50 · Déf.Spé 50 · Vit 75
Total 475
Talents : Hyper Cutter, Coque Armure (caché :
  Sans Limite)</t>
      </text>
    </comment>
    <comment ref="B2516" authorId="0" shapeId="0">
      <text>
        <t>Hyper Cutter
Empêche réduction Attaque.</t>
      </text>
    </comment>
    <comment ref="B2517" authorId="0" shapeId="0">
      <text>
        <t>Souplesse — Normal, physique
Puissance 80 · Précision 75 % · 20 PP
Fouette l'ennemi avec la queue, une liane,
etc.</t>
      </text>
    </comment>
    <comment ref="B2518" authorId="0" shapeId="0">
      <text>
        <t>Saumure — Eau, spéciale
Puissance 65 · Précision 100 % · 10 PP
Double les dégâts si l'ennemi a mi-PV ou
moins.</t>
      </text>
    </comment>
    <comment ref="B2519" authorId="0" shapeId="0">
      <text>
        <t>Pince-Masse — Eau, physique
Puissance 100 · Précision 90 % · 10 PP
Attaque critique qui utilise une grosse pince.</t>
      </text>
    </comment>
    <comment ref="B2520" authorId="0" shapeId="0">
      <text>
        <t>Gigotage — Normal, physique
Puissance 1 · Précision 100 % · 15 PP
Inflige plus de dégâts si les PV du lanceur
sont faibles.</t>
      </text>
    </comment>
    <comment ref="B2522" authorId="0" shapeId="0">
      <text>
        <t>KOKIYAS — Eau
PV 30 · Att 65 · Déf 100
Att.Spé 45 · Déf.Spé 25 · Vit 40
Total 305
Talents : Coque Armure, Multi-Coups (caché :
  Envelocape)</t>
      </text>
    </comment>
    <comment ref="C2522" authorId="0" shapeId="0">
      <text>
        <t>OCTILLERY — Eau
PV 75 · Att 105 · Déf 75
Att.Spé 105 · Déf.Spé 75 · Vit 45
Total 480
Talents : Ventouse, Sniper (caché : Lunatique)</t>
      </text>
    </comment>
    <comment ref="D2522" authorId="0" shapeId="0">
      <text>
        <t>REMORAID — Eau
PV 35 · Att 65 · Déf 35
Att.Spé 65 · Déf.Spé 35 · Vit 65
Total 300
Talents : Agitation, Sniper (caché :
  Lunatique)</t>
      </text>
    </comment>
    <comment ref="E2522" authorId="0" shapeId="0">
      <text>
        <t>CRUSTABRI — Eau / Glace
PV 50 · Att 95 · Déf 180
Att.Spé 85 · Déf.Spé 45 · Vit 70
Total 525
Talents : Coque Armure, Multi-Coups (caché :
  Envelocape)</t>
      </text>
    </comment>
    <comment ref="B2525" authorId="0" shapeId="0">
      <text>
        <t>Coque Armure
Bloque les coups critiques.</t>
      </text>
    </comment>
    <comment ref="C2525" authorId="0" shapeId="0">
      <text>
        <t>Ventouse
Fixe solidement le corps.</t>
      </text>
    </comment>
    <comment ref="D2525" authorId="0" shapeId="0">
      <text>
        <t>Agitation
Substitue préc. par puiss.</t>
      </text>
    </comment>
    <comment ref="E2525" authorId="0" shapeId="0">
      <text>
        <t>Coque Armure
Bloque les coups critiques.</t>
      </text>
    </comment>
    <comment ref="B2526" authorId="0" shapeId="0">
      <text>
        <t>Siphon — Eau, spéciale
Puissance 35 · Précision 85 % · 15 PP</t>
      </text>
    </comment>
    <comment ref="C2526" authorId="0" shapeId="0">
      <text>
        <t>Laser Glace — Glace, spéciale
Puissance 90 · Précision 100 % · 10 PP</t>
      </text>
    </comment>
    <comment ref="D2526" authorId="0" shapeId="0">
      <text>
        <t>Balle Graine — Plante, physique
Puissance 25 · Précision 100 % · 30 PP
Mitraille l'ennemi avec 2 à 5 graines à la
suite.</t>
      </text>
    </comment>
    <comment ref="E2526" authorId="0" shapeId="0">
      <text>
        <t>Coqui-Lame — Eau, physique
Puissance 75 · Précision 95 % · 10 PP
Des coquilles tranchantes. Peut baisser la
Déf.</t>
      </text>
    </comment>
    <comment ref="B2527" authorId="0" shapeId="0">
      <text>
        <t>Saumure — Eau, spéciale
Puissance 65 · Précision 100 % · 10 PP
Double les dégâts si l'ennemi a mi-PV ou
moins.</t>
      </text>
    </comment>
    <comment ref="C2527" authorId="0" shapeId="0">
      <text>
        <t>Balle Graine — Plante, physique
Puissance 25 · Précision 100 % · 30 PP
Mitraille l'ennemi avec 2 à 5 graines à la
suite.</t>
      </text>
    </comment>
    <comment ref="D2527" authorId="0" shapeId="0">
      <text>
        <t>Hydrocanon — Eau, spéciale
Puissance 110 · Précision 80 % · 5 PP
Envoie un puissant jet d'eau pour frapper
l'ennemi.</t>
      </text>
    </comment>
    <comment ref="E2527" authorId="0" shapeId="0">
      <text>
        <t>Chute Glace — Glace, physique
Puissance 85 · Précision 90 % · 10 PP
De gros glaçons. Peut apeurer l'ennemi.</t>
      </text>
    </comment>
    <comment ref="B2528" authorId="0" shapeId="0">
      <text>
        <t>Mur de Fer — Acier, statut
15 PP
Endurcit le corps pour booster la Défense.</t>
      </text>
    </comment>
    <comment ref="C2528" authorId="0" shapeId="0">
      <text>
        <t>Hydrocanon — Eau, spéciale
Puissance 110 · Précision 80 % · 5 PP
Envoie un puissant jet d'eau pour frapper
l'ennemi.</t>
      </text>
    </comment>
    <comment ref="D2528" authorId="0" shapeId="0">
      <text>
        <t>Ultralaser — Normal, spéciale
Puissance 150 · Précision 90 % · 5 PP</t>
      </text>
    </comment>
    <comment ref="E2528" authorId="0" shapeId="0">
      <text>
        <t>Saumure — Eau, spéciale
Puissance 65 · Précision 100 % · 10 PP
Double les dégâts si l'ennemi a mi-PV ou
moins.</t>
      </text>
    </comment>
    <comment ref="B2529" authorId="0" shapeId="0">
      <text>
        <t>Laser Glace — Glace, spéciale
Puissance 90 · Précision 100 % · 10 PP</t>
      </text>
    </comment>
    <comment ref="C2529" authorId="0" shapeId="0">
      <text>
        <t>Ultralaser — Normal, spéciale
Puissance 150 · Précision 90 % · 5 PP</t>
      </text>
    </comment>
    <comment ref="D2529" authorId="0" shapeId="0">
      <text>
        <t>Détrempage — Eau, statut
Précision 100 % · 20 PP
Asperge l'ennemi et le change en type Eau.</t>
      </text>
    </comment>
    <comment ref="E2529" authorId="0" shapeId="0">
      <text>
        <t>Mur de Fer — Acier, statut
15 PP
Endurcit le corps pour booster la Défense.</t>
      </text>
    </comment>
    <comment ref="B2531" authorId="0" shapeId="0">
      <text>
        <t>MACKOGNEUR — Combat
PV 90 · Att 130 · Déf 80
Att.Spé 65 · Déf.Spé 85 · Vit 55
Total 505
Talents : Cran, Annule Garde (caché :
  Impassible)</t>
      </text>
    </comment>
    <comment ref="C2531" authorId="0" shapeId="0">
      <text>
        <t>MACHOPEUR — Combat
PV 80 · Att 100 · Déf 70
Att.Spé 50 · Déf.Spé 60 · Vit 45
Total 405
Talents : Cran, Annule Garde (caché :
  Impassible)</t>
      </text>
    </comment>
    <comment ref="D2531" authorId="0" shapeId="0">
      <text>
        <t>MACKOGNEUR — Combat
PV 90 · Att 130 · Déf 80
Att.Spé 65 · Déf.Spé 85 · Vit 55
Total 505
Talents : Cran, Annule Garde (caché :
  Impassible)</t>
      </text>
    </comment>
    <comment ref="B2534" authorId="0" shapeId="0">
      <text>
        <t>Cran
Monte l'Attaque si statut.</t>
      </text>
    </comment>
    <comment ref="C2534" authorId="0" shapeId="0">
      <text>
        <t>Cran
Monte l'Attaque si statut.</t>
      </text>
    </comment>
    <comment ref="D2534" authorId="0" shapeId="0">
      <text>
        <t>Cran
Monte l'Attaque si statut.</t>
      </text>
    </comment>
    <comment ref="B2535" authorId="0" shapeId="0">
      <text>
        <t>Sacrifice — Combat, physique
Puissance 80 · Précision 80 % · 20 PP
Une charge violente qui blesse aussi le
lanceur.</t>
      </text>
    </comment>
    <comment ref="C2535" authorId="0" shapeId="0">
      <text>
        <t>Gonflette — Combat, statut
20 PP
Se gonfle pour booster l'Attaque et la
Défense.</t>
      </text>
    </comment>
    <comment ref="D2535" authorId="0" shapeId="0">
      <text>
        <t>Gonflette — Combat, statut
20 PP
Se gonfle pour booster l'Attaque et la
Défense.</t>
      </text>
    </comment>
    <comment ref="B2536" authorId="0" shapeId="0">
      <text>
        <t>Gonflette — Combat, statut
20 PP
Se gonfle pour booster l'Attaque et la
Défense.</t>
      </text>
    </comment>
    <comment ref="C2536" authorId="0" shapeId="0">
      <text>
        <t>Coup Croix — Combat, physique
Puissance 100 · Précision 80 % · 5 PP
2 attaques tranchantes. Taux de critiques
élevé.</t>
      </text>
    </comment>
    <comment ref="D2536" authorId="0" shapeId="0">
      <text>
        <t>Coup Croix — Combat, physique
Puissance 100 · Précision 80 % · 5 PP
2 attaques tranchantes. Taux de critiques
élevé.</t>
      </text>
    </comment>
    <comment ref="B2537" authorId="0" shapeId="0">
      <text>
        <t>Coup Croix — Combat, physique
Puissance 100 · Précision 80 % · 5 PP
2 attaques tranchantes. Taux de critiques
élevé.</t>
      </text>
    </comment>
    <comment ref="C2537" authorId="0" shapeId="0">
      <text>
        <t>Grimace — Normal, statut
Précision 100 % · 10 PP
Effraie avec une grimace pour baisser la
Vitesse.</t>
      </text>
    </comment>
    <comment ref="D2537" authorId="0" shapeId="0">
      <text>
        <t>Grimace — Normal, statut
Précision 100 % · 10 PP
Effraie avec une grimace pour baisser la
Vitesse.</t>
      </text>
    </comment>
    <comment ref="B2538" authorId="0" shapeId="0">
      <text>
        <t>Grimace — Normal, statut
Précision 100 % · 10 PP
Effraie avec une grimace pour baisser la
Vitesse.</t>
      </text>
    </comment>
    <comment ref="C2538" authorId="0" shapeId="0">
      <text>
        <t>Dynamo-Poing — Combat, physique
Puissance 100 · Précision 50 % · 5 PP
Puissant et rend confus, mais pas très précis.</t>
      </text>
    </comment>
    <comment ref="D2538" authorId="0" shapeId="0">
      <text>
        <t>Dynamo-Poing — Combat, physique
Puissance 100 · Précision 50 % · 5 PP
Puissant et rend confus, mais pas très précis.</t>
      </text>
    </comment>
    <comment ref="B2540" authorId="0" shapeId="0">
      <text>
        <t>MACHOC — Combat
PV 70 · Att 80 · Déf 50
Att.Spé 35 · Déf.Spé 35 · Vit 35
Total 305
Talents : Cran, Annule Garde (caché :
  Impassible)</t>
      </text>
    </comment>
    <comment ref="C2540" authorId="0" shapeId="0">
      <text>
        <t>MACHOPEUR — Combat
PV 80 · Att 100 · Déf 70
Att.Spé 50 · Déf.Spé 60 · Vit 45
Total 405
Talents : Cran, Annule Garde (caché :
  Impassible)</t>
      </text>
    </comment>
    <comment ref="D2540" authorId="0" shapeId="0">
      <text>
        <t>TARTARD — Eau / Combat
PV 90 · Att 95 · Déf 95
Att.Spé 70 · Déf.Spé 90 · Vit 70
Total 510
Talents : Absorbe-Eau, Moiteur (caché :
  Glissade)</t>
      </text>
    </comment>
    <comment ref="E2540" authorId="0" shapeId="0">
      <text>
        <t>MACKOGNEUR — Combat
PV 90 · Att 130 · Déf 80
Att.Spé 65 · Déf.Spé 85 · Vit 55
Total 505
Talents : Cran, Annule Garde (caché :
  Impassible)</t>
      </text>
    </comment>
    <comment ref="B2543" authorId="0" shapeId="0">
      <text>
        <t>Cran
Monte l'Attaque si statut.</t>
      </text>
    </comment>
    <comment ref="C2543" authorId="0" shapeId="0">
      <text>
        <t>Cran
Monte l'Attaque si statut.</t>
      </text>
    </comment>
    <comment ref="D2543" authorId="0" shapeId="0">
      <text>
        <t>Absorbe-Eau
Change l'eau en PV.</t>
      </text>
    </comment>
    <comment ref="E2543" authorId="0" shapeId="0">
      <text>
        <t>Cran
Monte l'Attaque si statut.</t>
      </text>
    </comment>
    <comment ref="B2544" authorId="0" shapeId="0">
      <text>
        <t>Gonflette — Combat, statut
20 PP
Se gonfle pour booster l'Attaque et la
Défense.</t>
      </text>
    </comment>
    <comment ref="C2544" authorId="0" shapeId="0">
      <text>
        <t>Gonflette — Combat, statut
20 PP
Se gonfle pour booster l'Attaque et la
Défense.</t>
      </text>
    </comment>
    <comment ref="D2544" authorId="0" shapeId="0">
      <text>
        <t>Cognobidon — Normal, statut
10 PP
Améliore l'Attaque à fond en sacrifiant la
moitié des PV.</t>
      </text>
    </comment>
    <comment ref="E2544" authorId="0" shapeId="0">
      <text>
        <t>Gonflette — Combat, statut
20 PP
Se gonfle pour booster l'Attaque et la
Défense.</t>
      </text>
    </comment>
    <comment ref="B2545" authorId="0" shapeId="0">
      <text>
        <t>Coup Croix — Combat, physique
Puissance 100 · Précision 80 % · 5 PP
2 attaques tranchantes. Taux de critiques
élevé.</t>
      </text>
    </comment>
    <comment ref="C2545" authorId="0" shapeId="0">
      <text>
        <t>Coup Croix — Combat, physique
Puissance 100 · Précision 80 % · 5 PP
2 attaques tranchantes. Taux de critiques
élevé.</t>
      </text>
    </comment>
    <comment ref="D2545" authorId="0" shapeId="0">
      <text>
        <t>Projection — Combat, physique
Puissance 60 · Précision 90 % · 10 PP ·
Priorité -6</t>
      </text>
    </comment>
    <comment ref="E2545" authorId="0" shapeId="0">
      <text>
        <t>Coup Croix — Combat, physique
Puissance 100 · Précision 80 % · 5 PP
2 attaques tranchantes. Taux de critiques
élevé.</t>
      </text>
    </comment>
    <comment ref="B2546" authorId="0" shapeId="0">
      <text>
        <t>Grimace — Normal, statut
Précision 100 % · 10 PP
Effraie avec une grimace pour baisser la
Vitesse.</t>
      </text>
    </comment>
    <comment ref="C2546" authorId="0" shapeId="0">
      <text>
        <t>Grimace — Normal, statut
Précision 100 % · 10 PP
Effraie avec une grimace pour baisser la
Vitesse.</t>
      </text>
    </comment>
    <comment ref="D2546" authorId="0" shapeId="0">
      <text>
        <t>Réveil Forcé — Combat, physique
Puissance 70 · Précision 100 % · 10 PP
Puissant sur un dormeur. Le réveille aussi.</t>
      </text>
    </comment>
    <comment ref="E2546" authorId="0" shapeId="0">
      <text>
        <t>Grimace — Normal, statut
Précision 100 % · 10 PP
Effraie avec une grimace pour baisser la
Vitesse.</t>
      </text>
    </comment>
    <comment ref="B2547" authorId="0" shapeId="0">
      <text>
        <t>Dynamo-Poing — Combat, physique
Puissance 100 · Précision 50 % · 5 PP
Puissant et rend confus, mais pas très précis.</t>
      </text>
    </comment>
    <comment ref="C2547" authorId="0" shapeId="0">
      <text>
        <t>Dynamo-Poing — Combat, physique
Puissance 100 · Précision 50 % · 5 PP
Puissant et rend confus, mais pas très précis.</t>
      </text>
    </comment>
    <comment ref="D2547" authorId="0" shapeId="0">
      <text>
        <t>Hydrocanon — Eau, spéciale
Puissance 110 · Précision 80 % · 5 PP
Envoie un puissant jet d'eau pour frapper
l'ennemi.</t>
      </text>
    </comment>
    <comment ref="E2547" authorId="0" shapeId="0">
      <text>
        <t>Dynamo-Poing — Combat, physique
Puissance 100 · Précision 50 % · 5 PP
Puissant et rend confus, mais pas très précis.</t>
      </text>
    </comment>
    <comment ref="B2549" authorId="0" shapeId="0">
      <text>
        <t>RONDOUDOU
PV 115 · Att 45 · Déf 20
Att.Spé 45 · Déf.Spé 25 · Vit 20
Total 270
Talents : Joli Sourire, Battant (caché :
  Garde-Ami)</t>
      </text>
    </comment>
    <comment ref="C2549" authorId="0" shapeId="0">
      <text>
        <t>GRODOUDOU
PV 140 · Att 70 · Déf 45
Att.Spé 50 · Déf.Spé 50 · Vit 45
Total 400
Talents : Joli Sourire, Battant (caché :
  Fouille)</t>
      </text>
    </comment>
    <comment ref="B2552" authorId="0" shapeId="0">
      <text>
        <t>Joli Sourire
Séduit quand touché.</t>
      </text>
    </comment>
    <comment ref="C2552" authorId="0" shapeId="0">
      <text>
        <t>Joli Sourire
Séduit quand touché.</t>
      </text>
    </comment>
    <comment ref="B2553" authorId="0" shapeId="0">
      <text>
        <t>Gyroballe — Acier, physique
Puissance 1 · Précision 100 % · 5 PP
Une toupie qui blesse plus un ennemi rapide.</t>
      </text>
    </comment>
    <comment ref="C2553" authorId="0" shapeId="0">
      <text>
        <t>Gyroballe — Acier, physique
Puissance 1 · Précision 100 % · 5 PP
Une toupie qui blesse plus un ennemi rapide.</t>
      </text>
    </comment>
    <comment ref="B2554" authorId="0" shapeId="0">
      <text>
        <t>Copie — Normal, statut
10 PP
Imite la dernière attaque utilisée par
l'ennemi.</t>
      </text>
    </comment>
    <comment ref="C2554" authorId="0" shapeId="0">
      <text>
        <t>Copie — Normal, statut
10 PP
Imite la dernière attaque utilisée par
l'ennemi.</t>
      </text>
    </comment>
    <comment ref="B2555" authorId="0" shapeId="0">
      <text>
        <t>Mégaphone — Normal, spéciale
Puissance 90 · Précision 100 % · 10 PP
Attaque bruyante blessant avec des ondes
sonores.</t>
      </text>
    </comment>
    <comment ref="C2555" authorId="0" shapeId="0">
      <text>
        <t>Mégaphone — Normal, spéciale
Puissance 90 · Précision 100 % · 10 PP
Attaque bruyante blessant avec des ondes
sonores.</t>
      </text>
    </comment>
    <comment ref="B2556" authorId="0" shapeId="0">
      <text>
        <t>Damoclès — Normal, physique
Puissance 120 · Précision 100 % · 15 PP
Une dangereuse charge qui blesse aussi le
lanceur.</t>
      </text>
    </comment>
    <comment ref="C2556" authorId="0" shapeId="0">
      <text>
        <t>Damoclès — Normal, physique
Puissance 120 · Précision 100 % · 15 PP
Une dangereuse charge qui blesse aussi le
lanceur.</t>
      </text>
    </comment>
    <comment ref="B2558" authorId="0" shapeId="0">
      <text>
        <t>COXYCLAQUE — Insecte / Vol
PV 55 · Att 35 · Déf 50
Att.Spé 55 · Déf.Spé 110 · Vit 85
Total 390
Talents : Essaim, Matinal (caché : Poing de
  Fer)</t>
      </text>
    </comment>
    <comment ref="C2558" authorId="0" shapeId="0">
      <text>
        <t>NOADKOKO — Plante / Psy
PV 95 · Att 95 · Déf 85
Att.Spé 125 · Déf.Spé 75 · Vit 55
Total 530
Talents : Chlorophylle (caché : Récolte)</t>
      </text>
    </comment>
    <comment ref="B2561" authorId="0" shapeId="0">
      <text>
        <t>Essaim
Augmente attaques Insect.</t>
      </text>
    </comment>
    <comment ref="C2561" authorId="0" shapeId="0">
      <text>
        <t>Chlorophylle
Augmente Vitesse au soleil.</t>
      </text>
    </comment>
    <comment ref="B2562" authorId="0" shapeId="0">
      <text>
        <t>Bourdon — Insecte, spéciale
Puissance 90 · Précision 100 % · 10 PP
Une onde sonore. Peut baisser la Déf. Spé.</t>
      </text>
    </comment>
    <comment ref="C2562" authorId="0" shapeId="0">
      <text>
        <t>Giga-Sangsue — Plante, spéciale
Puissance 75 · Précision 100 % · 25 PP
Une attaque qui absorbe la moitié des dégâts
infligés.</t>
      </text>
    </comment>
    <comment ref="B2563" authorId="0" shapeId="0">
      <text>
        <t>Lame d'Air — Vol, spéciale
Puissance 75 · Précision 95 % · 15 PP
Une lame d'air. Peut apeurer l'ennemi.</t>
      </text>
    </comment>
    <comment ref="C2563" authorId="0" shapeId="0">
      <text>
        <t>Lance-Soleil — Plante, spéciale
Puissance 120 · Précision 100 % · 10 PP
Absorbe la lumière et attaque le tour suivant.</t>
      </text>
    </comment>
    <comment ref="B2564" authorId="0" shapeId="0">
      <text>
        <t>Escarmouche — Insecte, physique
Puissance 90 · Précision 100 % · 10 PP ·
Priorité +2
Frappe fort et d'abord. Seulement au 1er tour.</t>
      </text>
    </comment>
    <comment ref="C2564" authorId="0" shapeId="0">
      <text>
        <t>Extrasenseur — Psy, spéciale
Puissance 80 · Précision 100 % · 20 PP
Pouvoir singulier qui peut apeurer l'ennemi.</t>
      </text>
    </comment>
    <comment ref="B2565" authorId="0" shapeId="0">
      <text>
        <t>Damoclès — Normal, physique
Puissance 120 · Précision 100 % · 15 PP
Une dangereuse charge qui blesse aussi le
lanceur.</t>
      </text>
    </comment>
    <comment ref="C2565" authorId="0" shapeId="0">
      <text>
        <t>Passe-Cadeau — Normal, statut
15 PP
Le lanceur donne son objet à l'ennemi.</t>
      </text>
    </comment>
    <comment ref="B2567" authorId="0" shapeId="0">
      <text>
        <t>CAPUMAIN — Normal
PV 55 · Att 70 · Déf 55
Att.Spé 40 · Déf.Spé 55 · Vit 85
Total 360
Talents : Fuite, Ramassage (caché : Multi-
  Coups)</t>
      </text>
    </comment>
    <comment ref="C2567" authorId="0" shapeId="0">
      <text>
        <t>METAMORPH — Normal
PV 48 · Att 48 · Déf 48
Att.Spé 48 · Déf.Spé 48 · Vit 48
Total 288
Talents : Échauffement (caché : Imposteur)</t>
      </text>
    </comment>
    <comment ref="B2570" authorId="0" shapeId="0">
      <text>
        <t>Fuite
Améliore chances de fuite.</t>
      </text>
    </comment>
    <comment ref="C2570" authorId="0" shapeId="0">
      <text>
        <t>Échauffement
Empêche la paralysie.</t>
      </text>
    </comment>
    <comment ref="B2571" authorId="0" shapeId="0">
      <text>
        <t>Coup Double — Normal, physique
Puissance 35 · Précision 90 % · 10 PP
Frappe deux fois avec la queue ou autre.</t>
      </text>
    </comment>
    <comment ref="C2571" authorId="0" shapeId="0">
      <text>
        <t>Morphing — Normal, statut
10 PP
Modifie ses cellules pour copier l'ennemi.</t>
      </text>
    </comment>
    <comment ref="B2572" authorId="0" shapeId="0">
      <text>
        <t>Dégommage — Ténèbres, physique
Puissance 1 · Précision 100 % · 10 PP
L'effet varie selon l'objet tenu.</t>
      </text>
    </comment>
    <comment ref="B2573" authorId="0" shapeId="0">
      <text>
        <t>Machination — Ténèbres, statut
20 PP
De mauvaises pensées montent beaucoup l'Atq.
Spé.</t>
      </text>
    </comment>
    <comment ref="B2574" authorId="0" shapeId="0">
      <text>
        <t>Dernier Recours — Normal, physique
Puissance 140 · Précision 100 % · 5 PP
Utilisable après toutes les autres capacités.</t>
      </text>
    </comment>
    <comment ref="B2577" authorId="0" shapeId="0">
      <text>
        <t>SABLAIREAU — Sol
PV 75 · Att 100 · Déf 110
Att.Spé 45 · Déf.Spé 55 · Vit 65
Total 450
Talents : Voile Sable (caché : Baigne Sable)</t>
      </text>
    </comment>
    <comment ref="C2577" authorId="0" shapeId="0">
      <text>
        <t>GROLEM — Roche / Sol
PV 80 · Att 120 · Déf 130
Att.Spé 55 · Déf.Spé 65 · Vit 45
Total 495
Talents : Tête de Roc, Fermeté (caché : Voile
  Sable)</t>
      </text>
    </comment>
    <comment ref="B2580" authorId="0" shapeId="0">
      <text>
        <t>Voile Sable
Evasion si tempête sable.</t>
      </text>
    </comment>
    <comment ref="C2580" authorId="0" shapeId="0">
      <text>
        <t>Tête de Roc
Empêche dégâts du recul.</t>
      </text>
    </comment>
    <comment ref="B2581" authorId="0" shapeId="0">
      <text>
        <t>Gyroballe — Acier, physique
Puissance 1 · Précision 100 % · 5 PP
Une toupie qui blesse plus un ennemi rapide.</t>
      </text>
    </comment>
    <comment ref="C2581" authorId="0" shapeId="0">
      <text>
        <t>Séisme — Sol, physique
Puissance 100 · Précision 100 % · 10 PP
Secousse sans effet sur les adversaires
volants.</t>
      </text>
    </comment>
    <comment ref="B2582" authorId="0" shapeId="0">
      <text>
        <t>Danse Lames — Normal, statut
20 PP
Une danse de combat pour booster l'Attaque.</t>
      </text>
    </comment>
    <comment ref="C2582" authorId="0" shapeId="0">
      <text>
        <t>Explosion — Normal, physique
Puissance 250 · Précision 100 % · 5 PP
Inflige de sérieux dégâts, mais met le lanceur
KO.</t>
      </text>
    </comment>
    <comment ref="B2583" authorId="0" shapeId="0">
      <text>
        <t>Tempête de Sable — Roche, statut
10 PP
Une tempête de sable qui souffle pendant 5
tours.</t>
      </text>
    </comment>
    <comment ref="C2583" authorId="0" shapeId="0">
      <text>
        <t>Damoclès — Normal, physique
Puissance 120 · Précision 100 % · 15 PP
Une dangereuse charge qui blesse aussi le
lanceur.</t>
      </text>
    </comment>
    <comment ref="B2584" authorId="0" shapeId="0">
      <text>
        <t>Séisme — Sol, physique
Puissance 100 · Précision 100 % · 10 PP
Secousse sans effet sur les adversaires
volants.</t>
      </text>
    </comment>
    <comment ref="C2584" authorId="0" shapeId="0">
      <text>
        <t>Lame de Roc — Roche, physique
Puissance 100 · Précision 80 % · 5 PP
Transperce de pierres. Critiques fréquents.</t>
      </text>
    </comment>
    <comment ref="B2586" authorId="0" shapeId="0">
      <text>
        <t>SPECTRUM — Spectre / Poison
PV 45 · Att 50 · Déf 45
Att.Spé 115 · Déf.Spé 55 · Vit 95
Total 405
Talents : Lévitation</t>
      </text>
    </comment>
    <comment ref="C2586" authorId="0" shapeId="0">
      <text>
        <t>RHINOFEROS — Sol / Roche
PV 105 · Att 130 · Déf 120
Att.Spé 45 · Déf.Spé 45 · Vit 40
Total 485
Talents : Paratonnerre, Tête de Roc (caché :
  Téméraire)</t>
      </text>
    </comment>
    <comment ref="B2589" authorId="0" shapeId="0">
      <text>
        <t>Lévitation
Ignore les attaques Sol.</t>
      </text>
    </comment>
    <comment ref="C2589" authorId="0" shapeId="0">
      <text>
        <t>Paratonnerre
Attire attaques élec.</t>
      </text>
    </comment>
    <comment ref="B2590" authorId="0" shapeId="0">
      <text>
        <t>Vibrobscur — Ténèbres, spéciale
Puissance 80 · Précision 100 % · 15 PP
Une aura horrible. Peut apeurer l'ennemi.</t>
      </text>
    </comment>
    <comment ref="C2590" authorId="0" shapeId="0">
      <text>
        <t>Bélier — Normal, physique
Puissance 90 · Précision 85 % · 20 PP
Une charge violente qui blesse aussi le
lanceur.</t>
      </text>
    </comment>
    <comment ref="B2591" authorId="0" shapeId="0">
      <text>
        <t>Lien du Destin — Spectre, statut
5 PP
Si le lanceur est mis KO, l'ennemi le sera
également.</t>
      </text>
    </comment>
    <comment ref="C2591" authorId="0" shapeId="0">
      <text>
        <t>Lame de Roc — Roche, physique
Puissance 100 · Précision 80 % · 5 PP
Transperce de pierres. Critiques fréquents.</t>
      </text>
    </comment>
    <comment ref="B2592" authorId="0" shapeId="0">
      <text>
        <t>Châtiment — Spectre, spéciale
Puissance 65 · Précision 100 % · 10 PP
Double les dégâts si l'ennemi a un statut.</t>
      </text>
    </comment>
    <comment ref="C2592" authorId="0" shapeId="0">
      <text>
        <t>Séisme — Sol, physique
Puissance 100 · Précision 100 % · 10 PP
Secousse sans effet sur les adversaires
volants.</t>
      </text>
    </comment>
    <comment ref="B2593" authorId="0" shapeId="0">
      <text>
        <t>Cauchemar — Spectre, statut
Précision 100 % · 15 PP
Inflige 1/4 de dégâts à un ennemi endormi
chaque tour.</t>
      </text>
    </comment>
    <comment ref="C2593" authorId="0" shapeId="0">
      <text>
        <t>Mégacorne — Insecte, physique
Puissance 120 · Précision 85 % · 10 PP
Une charge violente, toutes cornes en avant.</t>
      </text>
    </comment>
    <comment ref="B2596" authorId="0" shapeId="0">
      <text>
        <t>PYROLI — Feu
PV 65 · Att 130 · Déf 60
Att.Spé 95 · Déf.Spé 110 · Vit 65
Total 525
Talents : Torche, Torche (caché : Cran)</t>
      </text>
    </comment>
    <comment ref="C2596" authorId="0" shapeId="0">
      <text>
        <t>SAQUEDENEU — Plante
PV 65 · Att 55 · Déf 115
Att.Spé 100 · Déf.Spé 40 · Vit 60
Total 435
Talents : Chlorophylle, Feuille Garde (caché :
  Régé-Force)</t>
      </text>
    </comment>
    <comment ref="D2596" authorId="0" shapeId="0">
      <text>
        <t>TAUROS — Normal
PV 75 · Att 100 · Déf 95
Att.Spé 40 · Déf.Spé 70 · Vit 110
Total 490
Talents : Intimidation, Colérique (caché :
  Sans Limite)</t>
      </text>
    </comment>
    <comment ref="B2599" authorId="0" shapeId="0">
      <text>
        <t>Torche
Puissance monte si brûlé.</t>
      </text>
    </comment>
    <comment ref="C2599" authorId="0" shapeId="0">
      <text>
        <t>Chlorophylle
Augmente Vitesse au soleil.</t>
      </text>
    </comment>
    <comment ref="D2599" authorId="0" shapeId="0">
      <text>
        <t>Intimidation
Baisse l'Attaque ennemie.</t>
      </text>
    </comment>
    <comment ref="B2600" authorId="0" shapeId="0">
      <text>
        <t>Purédpois — Poison, spéciale
Puissance 30 · Précision 70 % · 20 PP
Un gaz nocif pouvant empoisonner l'ennemi.</t>
      </text>
    </comment>
    <comment ref="C2600" authorId="0" shapeId="0">
      <text>
        <t>Chatouille — Normal, statut
Précision 100 % · 20 PP
Fait rire l'ennemi et baisse son Attaque et sa
Défense.</t>
      </text>
    </comment>
    <comment ref="D2600" authorId="0" shapeId="0">
      <text>
        <t>Psykoud'Boul — Psy, physique
Puissance 80 · Précision 90 % · 15 PP
Un coup de tête. Peut apeurer l'ennemi.</t>
      </text>
    </comment>
    <comment ref="B2601" authorId="0" shapeId="0">
      <text>
        <t>Ébullilave — Feu, spéciale
Puissance 80 · Précision 100 % · 15 PP</t>
      </text>
    </comment>
    <comment ref="C2601" authorId="0" shapeId="0">
      <text>
        <t>Essorage — Normal, spéciale
Puissance 120 · Précision 100 % · 5 PP</t>
      </text>
    </comment>
    <comment ref="D2601" authorId="0" shapeId="0">
      <text>
        <t>Vantardise — Normal, statut
Précision 85 % · 15 PP
Rend l'ennemi confus et booste l'Attaque.</t>
      </text>
    </comment>
    <comment ref="B2602" authorId="0" shapeId="0">
      <text>
        <t>Dernier Recours — Normal, physique
Puissance 140 · Précision 100 % · 5 PP
Utilisable après toutes les autres capacités.</t>
      </text>
    </comment>
    <comment ref="C2602" authorId="0" shapeId="0">
      <text>
        <t>Champ Herbu — Plante, statut
10 PP
Le sol devient herbu 5 tours. Rend des PV.</t>
      </text>
    </comment>
    <comment ref="D2602" authorId="0" shapeId="0">
      <text>
        <t>Pied Brûleur — Feu, physique
Puissance 85 · Précision 90 % · 10 PP
Coup de pied à taux de critiques élevé. Peut
brûler.</t>
      </text>
    </comment>
    <comment ref="B2603" authorId="0" shapeId="0">
      <text>
        <t>Boutefeu — Feu, physique
Puissance 120 · Précision 100 % · 15 PP
Une charge qui peut brûler. Blesse le lanceur.</t>
      </text>
    </comment>
    <comment ref="C2603" authorId="0" shapeId="0">
      <text>
        <t>Mégafouet — Plante, physique
Puissance 120 · Précision 85 % · 10 PP
Fouette l'ennemi de lianes ou de tentacules.</t>
      </text>
    </comment>
    <comment ref="D2603" authorId="0" shapeId="0">
      <text>
        <t>Mania — Normal, physique
Puissance 120 · Précision 100 % · 10 PP
Une attaque furieuse de 2 à 3 tours. Lanceur
confus.</t>
      </text>
    </comment>
    <comment ref="B2605" authorId="0" shapeId="0">
      <text>
        <t>ELECTRODE — Électrik
PV 60 · Att 50 · Déf 70
Att.Spé 80 · Déf.Spé 80 · Vit 150
Total 490
Talents : Anti-Bruit, Statik (caché : Boom
  Final)</t>
      </text>
    </comment>
    <comment ref="C2605" authorId="0" shapeId="0">
      <text>
        <t>STAROSS — Eau / Psy
PV 60 · Att 75 · Déf 85
Att.Spé 100 · Déf.Spé 85 · Vit 115
Total 520
Talents : Lumiattirance, Médic Nature (caché :
  Analyste)</t>
      </text>
    </comment>
    <comment ref="D2605" authorId="0" shapeId="0">
      <text>
        <t>FEUNARD — Feu
PV 73 · Att 76 · Déf 75
Att.Spé 81 · Déf.Spé 100 · Vit 100
Total 505
Talents : Torche (caché : Sécheresse)</t>
      </text>
    </comment>
    <comment ref="B2608" authorId="0" shapeId="0">
      <text>
        <t>Anti-Bruit
Évite les coups sonores.</t>
      </text>
    </comment>
    <comment ref="C2608" authorId="0" shapeId="0">
      <text>
        <t>Lumiattirance
Augmente les rencontres.</t>
      </text>
    </comment>
    <comment ref="D2608" authorId="0" shapeId="0">
      <text>
        <t>Torche
Puissance monte si brûlé.</t>
      </text>
    </comment>
    <comment ref="B2609" authorId="0" shapeId="0">
      <text>
        <t>Explosion — Normal, physique
Puissance 250 · Précision 100 % · 5 PP
Inflige de sérieux dégâts, mais met le lanceur
KO.</t>
      </text>
    </comment>
    <comment ref="C2609" authorId="0" shapeId="0">
      <text>
        <t>Rayon Gemme — Roche, spéciale
Puissance 80 · Précision 100 % · 20 PP
Des rayons brillants comme des diamants.</t>
      </text>
    </comment>
    <comment ref="D2609" authorId="0" shapeId="0">
      <text>
        <t>Déflagration — Feu, spéciale
Puissance 110 · Précision 85 % · 5 PP
Une explosion de flammes. Peut brûler
l'ennemi.</t>
      </text>
    </comment>
    <comment ref="B2610" authorId="0" shapeId="0">
      <text>
        <t>Gyroballe — Acier, physique
Puissance 1 · Précision 100 % · 5 PP
Une toupie qui blesse plus un ennemi rapide.</t>
      </text>
    </comment>
    <comment ref="C2610" authorId="0" shapeId="0">
      <text>
        <t>Psyko — Psy, spéciale
Puissance 90 · Précision 100 % · 10 PP
Une puissante attaque Psy pouvant baisser la
Déf. Spé.</t>
      </text>
    </comment>
    <comment ref="D2610" authorId="0" shapeId="0">
      <text>
        <t>Rancune — Spectre, statut
5 PP
Si mis KO, supprime les PP du coup ennemi.</t>
      </text>
    </comment>
    <comment ref="B2611" authorId="0" shapeId="0">
      <text>
        <t>Luminocanon — Acier, spéciale
Puissance 80 · Précision 100 % · 10 PP
Un jet de lumière. Peut baisser la Déf. Spé.</t>
      </text>
    </comment>
    <comment ref="C2611" authorId="0" shapeId="0">
      <text>
        <t>Mur Lumière — Psy, statut
30 PP
Crée un mur lumineux et réduit les dégâts
d'Atq. Spé.</t>
      </text>
    </comment>
    <comment ref="D2611" authorId="0" shapeId="0">
      <text>
        <t>Séduction — Normal, statut
Précision 100 % · 20 PP
Baisse beaucoup l'Atq. Spé. du sexe opposé.</t>
      </text>
    </comment>
    <comment ref="B2612" authorId="0" shapeId="0">
      <text>
        <t>Voile Miroir — Psy, spéciale
Puissance 1 · Précision 100 % · 20 PP ·
Priorité -5
Renvoie l'attaque spéciale ennemie 2 fois plus
fort.</t>
      </text>
    </comment>
    <comment ref="C2612" authorId="0" shapeId="0">
      <text>
        <t>Force Cosmique — Psy, statut
20 PP
Pouvoir mystique qui monte la Défense et la
Déf. Spé.</t>
      </text>
    </comment>
    <comment ref="D2612" authorId="0" shapeId="0">
      <text>
        <t>Feu d'Enfer — Feu, spéciale
Puissance 100 · Précision 50 % · 5 PP
Puissant et brûle à coup sûr, mais imprécis.</t>
      </text>
    </comment>
    <comment ref="B2615" authorId="0" shapeId="0">
      <text>
        <t>QWILFISH — Eau / Poison
PV 65 · Att 95 · Déf 85
Att.Spé 55 · Déf.Spé 55 · Vit 85
Total 440
Talents : Point Poison, Glissade (caché :
  Intimidation)</t>
      </text>
    </comment>
    <comment ref="C2615" authorId="0" shapeId="0">
      <text>
        <t>MACHOPEUR — Combat
PV 80 · Att 100 · Déf 70
Att.Spé 50 · Déf.Spé 60 · Vit 45
Total 405
Talents : Cran, Annule Garde (caché :
  Impassible)</t>
      </text>
    </comment>
    <comment ref="D2615" authorId="0" shapeId="0">
      <text>
        <t>AKWAKWAK — Eau
PV 80 · Att 82 · Déf 78
Att.Spé 95 · Déf.Spé 80 · Vit 85
Total 500
Talents : Moiteur, Ciel Gris (caché :
  Glissade)</t>
      </text>
    </comment>
    <comment ref="B2618" authorId="0" shapeId="0">
      <text>
        <t>Point Poison
Empoisonne quand touché.</t>
      </text>
    </comment>
    <comment ref="C2618" authorId="0" shapeId="0">
      <text>
        <t>Cran
Monte l'Attaque si statut.</t>
      </text>
    </comment>
    <comment ref="D2618" authorId="0" shapeId="0">
      <text>
        <t>Moiteur
Empêche auto-destruction.</t>
      </text>
    </comment>
    <comment ref="B2619" authorId="0" shapeId="0">
      <text>
        <t>Bélier — Normal, physique
Puissance 90 · Précision 85 % · 20 PP
Une charge violente qui blesse aussi le
lanceur.</t>
      </text>
    </comment>
    <comment ref="C2619" authorId="0" shapeId="0">
      <text>
        <t>Sacrifice — Combat, physique
Puissance 80 · Précision 80 % · 20 PP
Une charge violente qui blesse aussi le
lanceur.</t>
      </text>
    </comment>
    <comment ref="D2619" authorId="0" shapeId="0">
      <text>
        <t>Boost — Normal, statut
10 PP
Copie les effets de l'ennemi et les passe au
lanceur.</t>
      </text>
    </comment>
    <comment ref="B2620" authorId="0" shapeId="0">
      <text>
        <t>Hydro-Queue — Eau, physique
Puissance 90 · Précision 90 % · 10 PP
Balaie l'ennemi de sa queue comme une vague.</t>
      </text>
    </comment>
    <comment ref="C2620" authorId="0" shapeId="0">
      <text>
        <t>Gonflette — Combat, statut
20 PP
Se gonfle pour booster l'Attaque et la
Défense.</t>
      </text>
    </comment>
    <comment ref="D2620" authorId="0" shapeId="0">
      <text>
        <t>Amnésie — Psy, statut
20 PP
Oublie quelque chose et booste la Déf. Spé.</t>
      </text>
    </comment>
    <comment ref="B2621" authorId="0" shapeId="0">
      <text>
        <t>Direct Toxik — Poison, physique
Puissance 80 · Précision 100 % · 20 PP
Un coup perforant qui peut empoisonner.</t>
      </text>
    </comment>
    <comment ref="C2621" authorId="0" shapeId="0">
      <text>
        <t>Coup Croix — Combat, physique
Puissance 100 · Précision 80 % · 5 PP
2 attaques tranchantes. Taux de critiques
élevé.</t>
      </text>
    </comment>
    <comment ref="D2621" authorId="0" shapeId="0">
      <text>
        <t>Hydrocanon — Eau, spéciale
Puissance 110 · Précision 80 % · 5 PP
Envoie un puissant jet d'eau pour frapper
l'ennemi.</t>
      </text>
    </comment>
    <comment ref="B2622" authorId="0" shapeId="0">
      <text>
        <t>Lien du Destin — Spectre, statut
5 PP
Si le lanceur est mis KO, l'ennemi le sera
également.</t>
      </text>
    </comment>
    <comment ref="C2622" authorId="0" shapeId="0">
      <text>
        <t>Grimace — Normal, statut
Précision 100 % · 10 PP
Effraie avec une grimace pour baisser la
Vitesse.</t>
      </text>
    </comment>
    <comment ref="D2622" authorId="0" shapeId="0">
      <text>
        <t>Zone Étrange — Psy, statut
10 PP
Échange Déf. et Déf. Spé. pendant 5 tours.</t>
      </text>
    </comment>
    <comment ref="B2624" authorId="0" shapeId="0">
      <text>
        <t>PERSIAN — Normal
PV 65 · Att 70 · Déf 60
Att.Spé 65 · Déf.Spé 65 · Vit 115
Total 440
Talents : Échauffement, Technicien (caché :
  Tension)</t>
      </text>
    </comment>
    <comment ref="B2627" authorId="0" shapeId="0">
      <text>
        <t>Échauffement
Empêche la paralysie.</t>
      </text>
    </comment>
    <comment ref="B2628" authorId="0" shapeId="0">
      <text>
        <t>Machination — Ténèbres, statut
20 PP
De mauvaises pensées montent beaucoup l'Atq.
Spé.</t>
      </text>
    </comment>
    <comment ref="B2629" authorId="0" shapeId="0">
      <text>
        <t>Assurance — Ténèbres, physique
Puissance 60 · Précision 100 % · 10 PP
Plus puissant si l'ennemi a déjà été blessé.</t>
      </text>
    </comment>
    <comment ref="B2630" authorId="0" shapeId="0">
      <text>
        <t>Séduction — Normal, statut
Précision 100 % · 20 PP
Baisse beaucoup l'Atq. Spé. du sexe opposé.</t>
      </text>
    </comment>
    <comment ref="B2631" authorId="0" shapeId="0">
      <text>
        <t>Tranche-Nuit — Ténèbres, physique
Puissance 70 · Précision 100 % · 15 PP
Frappe au plus vite. Critiques fréquents.</t>
      </text>
    </comment>
    <comment ref="B2633" authorId="0" shapeId="0">
      <text>
        <t>SMOGO — Poison
PV 40 · Att 65 · Déf 95
Att.Spé 60 · Déf.Spé 45 · Vit 35
Total 340
Talents : Lévitation, Gaz Inhibiteur (caché :
  Puanteur)</t>
      </text>
    </comment>
    <comment ref="C2633" authorId="0" shapeId="0">
      <text>
        <t>MAGMAR — Feu
PV 65 · Att 95 · Déf 57
Att.Spé 100 · Déf.Spé 85 · Vit 93
Total 495
Talents : Corps Ardent (caché : Esprit Vital)</t>
      </text>
    </comment>
    <comment ref="D2633" authorId="0" shapeId="0">
      <text>
        <t>SMOGO — Poison
PV 40 · Att 65 · Déf 95
Att.Spé 60 · Déf.Spé 45 · Vit 35
Total 340
Talents : Lévitation, Gaz Inhibiteur (caché :
  Puanteur)</t>
      </text>
    </comment>
    <comment ref="E2633" authorId="0" shapeId="0">
      <text>
        <t>SMOGO — Poison
PV 40 · Att 65 · Déf 95
Att.Spé 60 · Déf.Spé 45 · Vit 35
Total 340
Talents : Lévitation, Gaz Inhibiteur (caché :
  Puanteur)</t>
      </text>
    </comment>
    <comment ref="B2636" authorId="0" shapeId="0">
      <text>
        <t>Lévitation
Ignore les attaques Sol.</t>
      </text>
    </comment>
    <comment ref="C2636" authorId="0" shapeId="0">
      <text>
        <t>Corps Ardent
Brûle l'ennemi au contact.</t>
      </text>
    </comment>
    <comment ref="D2636" authorId="0" shapeId="0">
      <text>
        <t>Lévitation
Ignore les attaques Sol.</t>
      </text>
    </comment>
    <comment ref="E2636" authorId="0" shapeId="0">
      <text>
        <t>Lévitation
Ignore les attaques Sol.</t>
      </text>
    </comment>
    <comment ref="B2637" authorId="0" shapeId="0">
      <text>
        <t>Explosion — Normal, physique
Puissance 250 · Précision 100 % · 5 PP
Inflige de sérieux dégâts, mais met le lanceur
KO.</t>
      </text>
    </comment>
    <comment ref="C2637" authorId="0" shapeId="0">
      <text>
        <t>Ébullilave — Feu, spéciale
Puissance 80 · Précision 100 % · 15 PP</t>
      </text>
    </comment>
    <comment ref="D2637" authorId="0" shapeId="0">
      <text>
        <t>Explosion — Normal, physique
Puissance 250 · Précision 100 % · 5 PP
Inflige de sérieux dégâts, mais met le lanceur
KO.</t>
      </text>
    </comment>
    <comment ref="E2637" authorId="0" shapeId="0">
      <text>
        <t>Explosion — Normal, physique
Puissance 250 · Précision 100 % · 5 PP
Inflige de sérieux dégâts, mais met le lanceur
KO.</t>
      </text>
    </comment>
    <comment ref="B2638" authorId="0" shapeId="0">
      <text>
        <t>Lien du Destin — Spectre, statut
5 PP
Si le lanceur est mis KO, l'ennemi le sera
également.</t>
      </text>
    </comment>
    <comment ref="C2638" authorId="0" shapeId="0">
      <text>
        <t>Zénith — Feu, statut
5 PP
Améliore les attaques Feu pendant 5 tours.</t>
      </text>
    </comment>
    <comment ref="D2638" authorId="0" shapeId="0">
      <text>
        <t>Lien du Destin — Spectre, statut
5 PP
Si le lanceur est mis KO, l'ennemi le sera
également.</t>
      </text>
    </comment>
    <comment ref="E2638" authorId="0" shapeId="0">
      <text>
        <t>Lien du Destin — Spectre, statut
5 PP
Si le lanceur est mis KO, l'ennemi le sera
également.</t>
      </text>
    </comment>
    <comment ref="B2639" authorId="0" shapeId="0">
      <text>
        <t>Éructation — Poison, spéciale
Puissance 120 · Précision 90 % · 10 PP
Un gros rot. Exige d'avoir mangé une Baie.</t>
      </text>
    </comment>
    <comment ref="C2639" authorId="0" shapeId="0">
      <text>
        <t>Lance-Flammes — Feu, spéciale
Puissance 90 · Précision 100 % · 15 PP
Une puissante attaque de feu pouvant brûler
l'ennemi.</t>
      </text>
    </comment>
    <comment ref="D2639" authorId="0" shapeId="0">
      <text>
        <t>Éructation — Poison, spéciale
Puissance 120 · Précision 90 % · 10 PP
Un gros rot. Exige d'avoir mangé une Baie.</t>
      </text>
    </comment>
    <comment ref="E2639" authorId="0" shapeId="0">
      <text>
        <t>Éructation — Poison, spéciale
Puissance 120 · Précision 90 % · 10 PP
Un gros rot. Exige d'avoir mangé une Baie.</t>
      </text>
    </comment>
    <comment ref="B2640" authorId="0" shapeId="0">
      <text>
        <t>Souvenir — Ténèbres, statut
Précision 100 % · 10 PP
Le lanceur est mis K.O. et baisse les cap.
ennemies.</t>
      </text>
    </comment>
    <comment ref="C2640" authorId="0" shapeId="0">
      <text>
        <t>Déflagration — Feu, spéciale
Puissance 110 · Précision 85 % · 5 PP
Une explosion de flammes. Peut brûler
l'ennemi.</t>
      </text>
    </comment>
    <comment ref="D2640" authorId="0" shapeId="0">
      <text>
        <t>Souvenir — Ténèbres, statut
Précision 100 % · 10 PP
Le lanceur est mis K.O. et baisse les cap.
ennemies.</t>
      </text>
    </comment>
    <comment ref="E2640" authorId="0" shapeId="0">
      <text>
        <t>Souvenir — Ténèbres, statut
Précision 100 % · 10 PP
Le lanceur est mis K.O. et baisse les cap.
ennemies.</t>
      </text>
    </comment>
    <comment ref="B2643" authorId="0" shapeId="0">
      <text>
        <t>CADOIZO — Glace / Vol
PV 45 · Att 55 · Déf 45
Att.Spé 65 · Déf.Spé 45 · Vit 75
Total 330
Talents : Esprit Vital, Agitation (caché :
  Insomnia)</t>
      </text>
    </comment>
    <comment ref="B2646" authorId="0" shapeId="0">
      <text>
        <t>Esprit Vital
Empêche le sommeil.</t>
      </text>
    </comment>
    <comment ref="B2647" authorId="0" shapeId="0">
      <text>
        <t>Cadeau — Normal, physique
Puissance 1 · Précision 90 % · 15 PP
Cadeau en forme de bombe. Peut restaurer des
PV.</t>
      </text>
    </comment>
    <comment ref="B2648" authorId="0" shapeId="0">
      <text>
        <t>Bec Vrille — Vol, physique
Puissance 80 · Précision 100 % · 20 PP
Une attaque utilisant le bec comme une
perceuse.</t>
      </text>
    </comment>
    <comment ref="B2652" authorId="0" shapeId="0">
      <text>
        <t>URSARING — Normal
PV 90 · Att 130 · Déf 75
Att.Spé 75 · Déf.Spé 75 · Vit 55
Total 500
Talents : Cran, Pied Véloce (caché : Tension)</t>
      </text>
    </comment>
    <comment ref="C2652" authorId="0" shapeId="0">
      <text>
        <t>DONPHAN — Sol
PV 90 · Att 120 · Déf 120
Att.Spé 60 · Déf.Spé 60 · Vit 50
Total 500
Talents : Fermeté (caché : Voile Sable)</t>
      </text>
    </comment>
    <comment ref="B2655" authorId="0" shapeId="0">
      <text>
        <t>Cran
Monte l'Attaque si statut.</t>
      </text>
    </comment>
    <comment ref="C2655" authorId="0" shapeId="0">
      <text>
        <t>Fermeté
Ignore les K.O. en un coup.</t>
      </text>
    </comment>
    <comment ref="B2656" authorId="0" shapeId="0">
      <text>
        <t>Tranche — Normal, physique
Puissance 70 · Précision 100 % · 20 PP
Coups de griffe, etc. Taux de critiques élevé.</t>
      </text>
    </comment>
    <comment ref="C2656" authorId="0" shapeId="0">
      <text>
        <t>Tour Rapide — Normal, physique
Puissance 50 · Précision 100 % · 40 PP</t>
      </text>
    </comment>
    <comment ref="B2657" authorId="0" shapeId="0">
      <text>
        <t>Grimace — Normal, statut
Précision 100 % · 10 PP
Effraie avec une grimace pour baisser la
Vitesse.</t>
      </text>
    </comment>
    <comment ref="C2657" authorId="0" shapeId="0">
      <text>
        <t>Séisme — Sol, physique
Puissance 100 · Précision 100 % · 10 PP
Secousse sans effet sur les adversaires
volants.</t>
      </text>
    </comment>
    <comment ref="B2658" authorId="0" shapeId="0">
      <text>
        <t>Repos — Psy, statut
5 PP
Le lanceur dort 2 tours et regagne PV et
statut.</t>
      </text>
    </comment>
    <comment ref="C2658" authorId="0" shapeId="0">
      <text>
        <t>Giga Impact — Normal, physique
Puissance 150 · Précision 90 % · 5 PP</t>
      </text>
    </comment>
    <comment ref="B2659" authorId="0" shapeId="0">
      <text>
        <t>Ronflement — Normal, spéciale
Puissance 50 · Précision 100 % · 15 PP
Attaque sonore qui ne peut être lancée
qu'endormi.</t>
      </text>
    </comment>
    <comment ref="C2659" authorId="0" shapeId="0">
      <text>
        <t>Câlinerie — Fée, physique
Puissance 90 · Précision 90 % · 10 PP
Un câlin brutal. Peut baisser l'Attaque de
l'ennemi.</t>
      </text>
    </comment>
    <comment ref="B2662" authorId="0" shapeId="0">
      <text>
        <t>SMOGOGO — Poison
PV 65 · Att 90 · Déf 120
Att.Spé 85 · Déf.Spé 70 · Vit 60
Total 490
Talents : Lévitation, Gaz Inhibiteur (caché :
  Puanteur)</t>
      </text>
    </comment>
    <comment ref="C2662" authorId="0" shapeId="0">
      <text>
        <t>PYROLI — Feu
PV 65 · Att 130 · Déf 60
Att.Spé 95 · Déf.Spé 110 · Vit 65
Total 525
Talents : Torche, Torche (caché : Cran)</t>
      </text>
    </comment>
    <comment ref="D2662" authorId="0" shapeId="0">
      <text>
        <t>FEUNARD — Feu
PV 73 · Att 76 · Déf 75
Att.Spé 81 · Déf.Spé 100 · Vit 100
Total 505
Talents : Torche (caché : Sécheresse)</t>
      </text>
    </comment>
    <comment ref="B2665" authorId="0" shapeId="0">
      <text>
        <t>Lévitation
Ignore les attaques Sol.</t>
      </text>
    </comment>
    <comment ref="C2665" authorId="0" shapeId="0">
      <text>
        <t>Torche
Puissance monte si brûlé.</t>
      </text>
    </comment>
    <comment ref="D2665" authorId="0" shapeId="0">
      <text>
        <t>Torche
Puissance monte si brûlé.</t>
      </text>
    </comment>
    <comment ref="B2666" authorId="0" shapeId="0">
      <text>
        <t>Bombe Beurk — Poison, spéciale
Puissance 90 · Précision 100 % · 10 PP
Envoie des détritus pour blesser. Peut
empoisonner.</t>
      </text>
    </comment>
    <comment ref="C2666" authorId="0" shapeId="0">
      <text>
        <t>Purédpois — Poison, spéciale
Puissance 30 · Précision 70 % · 20 PP
Un gaz nocif pouvant empoisonner l'ennemi.</t>
      </text>
    </comment>
    <comment ref="D2666" authorId="0" shapeId="0">
      <text>
        <t>Lance-Flammes — Feu, spéciale
Puissance 90 · Précision 100 % · 15 PP
Une puissante attaque de feu pouvant brûler
l'ennemi.</t>
      </text>
    </comment>
    <comment ref="B2667" authorId="0" shapeId="0">
      <text>
        <t>Explosion — Normal, physique
Puissance 250 · Précision 100 % · 5 PP
Inflige de sérieux dégâts, mais met le lanceur
KO.</t>
      </text>
    </comment>
    <comment ref="C2667" authorId="0" shapeId="0">
      <text>
        <t>Ébullilave — Feu, spéciale
Puissance 80 · Précision 100 % · 15 PP</t>
      </text>
    </comment>
    <comment ref="D2667" authorId="0" shapeId="0">
      <text>
        <t>Possessif — Psy, statut
10 PP
Empêche les ennemis d'uti- liser les coups du
lanceur.</t>
      </text>
    </comment>
    <comment ref="B2668" authorId="0" shapeId="0">
      <text>
        <t>Lien du Destin — Spectre, statut
5 PP
Si le lanceur est mis KO, l'ennemi le sera
également.</t>
      </text>
    </comment>
    <comment ref="C2668" authorId="0" shapeId="0">
      <text>
        <t>Dernier Recours — Normal, physique
Puissance 140 · Précision 100 % · 5 PP
Utilisable après toutes les autres capacités.</t>
      </text>
    </comment>
    <comment ref="D2668" authorId="0" shapeId="0">
      <text>
        <t>Déflagration — Feu, spéciale
Puissance 110 · Précision 85 % · 5 PP
Une explosion de flammes. Peut brûler
l'ennemi.</t>
      </text>
    </comment>
    <comment ref="B2669" authorId="0" shapeId="0">
      <text>
        <t>Éructation — Poison, spéciale
Puissance 120 · Précision 90 % · 10 PP
Un gros rot. Exige d'avoir mangé une Baie.</t>
      </text>
    </comment>
    <comment ref="C2669" authorId="0" shapeId="0">
      <text>
        <t>Boutefeu — Feu, physique
Puissance 120 · Précision 100 % · 15 PP
Une charge qui peut brûler. Blesse le lanceur.</t>
      </text>
    </comment>
    <comment ref="D2669" authorId="0" shapeId="0">
      <text>
        <t>Rancune — Spectre, statut
5 PP
Si mis KO, supprime les PP du coup ennemi.</t>
      </text>
    </comment>
    <comment ref="B2671" authorId="0" shapeId="0">
      <text>
        <t>MIGALOS — Insecte / Poison
PV 70 · Att 90 · Déf 70
Att.Spé 60 · Déf.Spé 70 · Vit 40
Total 400
Talents : Essaim, Insomnia (caché : Sniper)</t>
      </text>
    </comment>
    <comment ref="C2671" authorId="0" shapeId="0">
      <text>
        <t>SCARABRUTE — Insecte
PV 65 · Att 125 · Déf 100
Att.Spé 55 · Déf.Spé 70 · Vit 85
Total 500
Talents : Hyper Cutter, Brise Moule (caché :
  Impudence)</t>
      </text>
    </comment>
    <comment ref="B2674" authorId="0" shapeId="0">
      <text>
        <t>Essaim
Augmente attaques Insect.</t>
      </text>
    </comment>
    <comment ref="C2674" authorId="0" shapeId="0">
      <text>
        <t>Hyper Cutter
Empêche réduction Attaque.</t>
      </text>
    </comment>
    <comment ref="B2675" authorId="0" shapeId="0">
      <text>
        <t>Psyko — Psy, spéciale
Puissance 90 · Précision 100 % · 10 PP
Une puissante attaque Psy pouvant baisser la
Déf. Spé.</t>
      </text>
    </comment>
    <comment ref="C2675" authorId="0" shapeId="0">
      <text>
        <t>Mania — Normal, physique
Puissance 120 · Précision 100 % · 10 PP
Une attaque furieuse de 2 à 3 tours. Lanceur
confus.</t>
      </text>
    </comment>
    <comment ref="B2676" authorId="0" shapeId="0">
      <text>
        <t>Direct Toxik — Poison, physique
Puissance 80 · Précision 100 % · 20 PP
Un coup perforant qui peut empoisonner.</t>
      </text>
    </comment>
    <comment ref="C2676" authorId="0" shapeId="0">
      <text>
        <t>Furie-Bond — Insecte, physique
Puissance 80 · Précision 100 % · 15 PP
Se jette sur l'ennemi et baisse son Attaque.</t>
      </text>
    </comment>
    <comment ref="B2677" authorId="0" shapeId="0">
      <text>
        <t>Poison Croix — Poison, physique
Puissance 70 · Précision 100 % · 20 PP
Une taillade qui peut empoisonner. Critiques.</t>
      </text>
    </comment>
    <comment ref="C2677" authorId="0" shapeId="0">
      <text>
        <t>Surpuissance — Combat, physique
Puissance 120 · Précision 100 % · 5 PP
Booste la force, mais baisse les capacités.</t>
      </text>
    </comment>
    <comment ref="B2678" authorId="0" shapeId="0">
      <text>
        <t>Toile Gluante — Insecte, statut
20 PP
Une toile qui ralentit l'ennemi à l'arrivée.</t>
      </text>
    </comment>
    <comment ref="C2678" authorId="0" shapeId="0">
      <text>
        <t>Guillotine — Normal, physique
Puissance 1 · Précision 30 % · 5 PP
Un puissant coup de pince qui peut mettre KO.</t>
      </text>
    </comment>
    <comment ref="B2681" authorId="0" shapeId="0">
      <text>
        <t>RAFFLESIA — Plante / Poison
PV 75 · Att 80 · Déf 85
Att.Spé 110 · Déf.Spé 90 · Vit 50
Total 490
Talents : Chlorophylle (caché : Pose Spore)</t>
      </text>
    </comment>
    <comment ref="C2681" authorId="0" shapeId="0">
      <text>
        <t>LIPPOUTOU — Glace / Psy
PV 65 · Att 50 · Déf 35
Att.Spé 115 · Déf.Spé 95 · Vit 95
Total 455
Talents : Benêt, Prédiction (caché : Peau
  Sèche)</t>
      </text>
    </comment>
    <comment ref="B2684" authorId="0" shapeId="0">
      <text>
        <t>Chlorophylle
Augmente Vitesse au soleil.</t>
      </text>
    </comment>
    <comment ref="C2684" authorId="0" shapeId="0">
      <text>
        <t>Benêt
Empêche l'attirance.</t>
      </text>
    </comment>
    <comment ref="B2685" authorId="0" shapeId="0">
      <text>
        <t>Toxik — Poison, statut
Précision 90 % · 10 PP
Empoisonne l'ennemi avec une toxine de plus en
plus forte.</t>
      </text>
    </comment>
    <comment ref="C2685" authorId="0" shapeId="0">
      <text>
        <t>Plaquage — Normal, physique
Puissance 85 · Précision 100 % · 15 PP
Une attaque en charge. Peut paralyser
l'ennemi.</t>
      </text>
    </comment>
    <comment ref="B2686" authorId="0" shapeId="0">
      <text>
        <t>Don Naturel — Normal, physique
Puissance 1 · Précision 100 % · 15 PP
L'effet varie selon la Baie tenue.</t>
      </text>
    </comment>
    <comment ref="C2686" authorId="0" shapeId="0">
      <text>
        <t>Essorage — Normal, spéciale
Puissance 120 · Précision 100 % · 5 PP</t>
      </text>
    </comment>
    <comment ref="B2687" authorId="0" shapeId="0">
      <text>
        <t>Danse Fleurs — Plante, spéciale
Puissance 120 · Précision 100 % · 10 PP
Une attaque furieuse de 2 à 3 tours. Lanceur
confus.</t>
      </text>
    </comment>
    <comment ref="C2687" authorId="0" shapeId="0">
      <text>
        <t>Requiem — Normal, statut
5 PP
Un Pokémon qui entend ce requiem est KO en 3
tours.</t>
      </text>
    </comment>
    <comment ref="B2688" authorId="0" shapeId="0">
      <text>
        <t>Tempête Florale — Plante, physique
Puissance 90 · Précision 100 % · 15 PP
Une tempête de pétales sur tout le monde.</t>
      </text>
    </comment>
    <comment ref="C2688" authorId="0" shapeId="0">
      <text>
        <t>Blizzard — Glace, spéciale
Puissance 110 · Précision 70 % · 5 PP</t>
      </text>
    </comment>
    <comment ref="B2690" authorId="0" shapeId="0">
      <text>
        <t>ELEKTEK — Électrik
PV 65 · Att 83 · Déf 57
Att.Spé 95 · Déf.Spé 85 · Vit 105
Total 490
Talents : Statik (caché : Esprit Vital)</t>
      </text>
    </comment>
    <comment ref="B2693" authorId="0" shapeId="0">
      <text>
        <t>Statik
Paralyse au toucher.</t>
      </text>
    </comment>
    <comment ref="B2694" authorId="0" shapeId="0">
      <text>
        <t>Coup d'Jus — Électrik, spéciale
Puissance 80 · Précision 100 % · 15 PP
Électrocute tous les autres {PKMN}. Peut
paralyser.</t>
      </text>
    </comment>
    <comment ref="B2695" authorId="0" shapeId="0">
      <text>
        <t>Grincement — Normal, statut
Précision 85 % · 40 PP
Cri strident qui baisse la Défense ennemie.</t>
      </text>
    </comment>
    <comment ref="B2696" authorId="0" shapeId="0">
      <text>
        <t>Tonnerre — Électrik, spéciale
Puissance 90 · Précision 100 % · 15 PP
Forte attaque électrique pouvant paralyser
l'ennemi.</t>
      </text>
    </comment>
    <comment ref="B2697" authorId="0" shapeId="0">
      <text>
        <t>Fatal-Foudre — Électrik, spéciale
Puissance 110 · Précision 70 % · 10 PP
Une attaque foudroyante pouvant paralyser
l'ennemi.</t>
      </text>
    </comment>
    <comment ref="B2700" authorId="0" shapeId="0">
      <text>
        <t>PIKACHU — Électrik
PV 35 · Att 55 · Déf 40
Att.Spé 50 · Déf.Spé 50 · Vit 90
Total 320
Talents : Statik (caché : Paratonnerre)</t>
      </text>
    </comment>
    <comment ref="C2700" authorId="0" shapeId="0">
      <text>
        <t>PHARAMP — Électrik
PV 90 · Att 75 · Déf 85
Att.Spé 115 · Déf.Spé 90 · Vit 55
Total 510
Talents : Statik (caché : Plus)</t>
      </text>
    </comment>
    <comment ref="B2703" authorId="0" shapeId="0">
      <text>
        <t>Statik
Paralyse au toucher.</t>
      </text>
    </comment>
    <comment ref="C2703" authorId="0" shapeId="0">
      <text>
        <t>Statik
Paralyse au toucher.</t>
      </text>
    </comment>
    <comment ref="B2704" authorId="0" shapeId="0">
      <text>
        <t>Hâte — Psy, statut
30 PP
Relaxation du corps pour booster la Vitesse.</t>
      </text>
    </comment>
    <comment ref="C2704" authorId="0" shapeId="0">
      <text>
        <t>Rayon Gemme — Roche, spéciale
Puissance 80 · Précision 100 % · 20 PP
Des rayons brillants comme des diamants.</t>
      </text>
    </comment>
    <comment ref="B2705" authorId="0" shapeId="0">
      <text>
        <t>Électacle — Électrik, physique
Puissance 120 · Précision 100 % · 15 PP
Une dangereuse charge qui blesse aussi le
lanceur.</t>
      </text>
    </comment>
    <comment ref="C2705" authorId="0" shapeId="0">
      <text>
        <t>Coup d'Jus — Électrik, spéciale
Puissance 80 · Précision 100 % · 15 PP
Électrocute tous les autres {PKMN}. Peut
paralyser.</t>
      </text>
    </comment>
    <comment ref="B2706" authorId="0" shapeId="0">
      <text>
        <t>Éclair Fou — Électrik, physique
Puissance 90 · Précision 100 % · 15 PP
Une charge électrique. Blesse le lanceur.</t>
      </text>
    </comment>
    <comment ref="C2706" authorId="0" shapeId="0">
      <text>
        <t>Cotogarde — Plante, statut
10 PP
S'entoure de coton. Monte énormément la Déf.</t>
      </text>
    </comment>
    <comment ref="B2707" authorId="0" shapeId="0">
      <text>
        <t>Mur Lumière — Psy, statut
30 PP
Crée un mur lumineux et réduit les dégâts
d'Atq. Spé.</t>
      </text>
    </comment>
    <comment ref="C2707" authorId="0" shapeId="0">
      <text>
        <t>Rayon Signal — Insecte, spéciale
Puissance 75 · Précision 100 % · 15 PP
Un étrange rayon qui peut rendre l'ennemi
confus.</t>
      </text>
    </comment>
    <comment ref="B2709" authorId="0" shapeId="0">
      <text>
        <t>MAGNETON — Électrik
PV 50 · Att 60 · Déf 95
Att.Spé 120 · Déf.Spé 70 · Vit 70
Total 465
Talents : Magnépiège, Fermeté (caché :
  Analyste)</t>
      </text>
    </comment>
    <comment ref="C2709" authorId="0" shapeId="0">
      <text>
        <t>ELECTRODE — Électrik
PV 60 · Att 50 · Déf 70
Att.Spé 80 · Déf.Spé 80 · Vit 150
Total 490
Talents : Anti-Bruit, Statik (caché : Boom
  Final)</t>
      </text>
    </comment>
    <comment ref="D2709" authorId="0" shapeId="0">
      <text>
        <t>MAGNETON — Électrik
PV 50 · Att 60 · Déf 95
Att.Spé 120 · Déf.Spé 70 · Vit 70
Total 465
Talents : Magnépiège, Fermeté (caché :
  Analyste)</t>
      </text>
    </comment>
    <comment ref="E2709" authorId="0" shapeId="0">
      <text>
        <t>VOLTALI — Électrik
PV 65 · Att 65 · Déf 60
Att.Spé 110 · Déf.Spé 95 · Vit 130
Total 525
Talents : Absorbe-Volt, Absorbe-Volt (caché :
  Pied Véloce)</t>
      </text>
    </comment>
    <comment ref="B2712" authorId="0" shapeId="0">
      <text>
        <t>Magnépiège
Piège les Pokémon Acier.</t>
      </text>
    </comment>
    <comment ref="C2712" authorId="0" shapeId="0">
      <text>
        <t>Anti-Bruit
Évite les coups sonores.</t>
      </text>
    </comment>
    <comment ref="D2712" authorId="0" shapeId="0">
      <text>
        <t>Magnépiège
Piège les Pokémon Acier.</t>
      </text>
    </comment>
    <comment ref="E2712" authorId="0" shapeId="0">
      <text>
        <t>Absorbe-Volt
Change l'électricité en PV.</t>
      </text>
    </comment>
    <comment ref="B2713" authorId="0" shapeId="0">
      <text>
        <t>Grincement — Normal, statut
Précision 85 % · 40 PP
Cri strident qui baisse la Défense ennemie.</t>
      </text>
    </comment>
    <comment ref="C2713" authorId="0" shapeId="0">
      <text>
        <t>Vol Magnétik — Électrik, statut
10 PP
Le lanceur lévite par magnétisme.</t>
      </text>
    </comment>
    <comment ref="D2713" authorId="0" shapeId="0">
      <text>
        <t>Grincement — Normal, statut
Précision 85 % · 40 PP
Cri strident qui baisse la Défense ennemie.</t>
      </text>
    </comment>
    <comment ref="E2713" authorId="0" shapeId="0">
      <text>
        <t>Cage Éclair — Électrik, statut
Précision 90 % · 20 PP
Un faible choc électrique qui paralyse
l'ennemi.</t>
      </text>
    </comment>
    <comment ref="B2714" authorId="0" shapeId="0">
      <text>
        <t>Coup d'Jus — Électrik, spéciale
Puissance 80 · Précision 100 % · 15 PP
Électrocute tous les autres {PKMN}. Peut
paralyser.</t>
      </text>
    </comment>
    <comment ref="C2714" authorId="0" shapeId="0">
      <text>
        <t>Coup d'Jus — Électrik, spéciale
Puissance 80 · Précision 100 % · 15 PP
Électrocute tous les autres {PKMN}. Peut
paralyser.</t>
      </text>
    </comment>
    <comment ref="D2714" authorId="0" shapeId="0">
      <text>
        <t>Coup d'Jus — Électrik, spéciale
Puissance 80 · Précision 100 % · 15 PP
Électrocute tous les autres {PKMN}. Peut
paralyser.</t>
      </text>
    </comment>
    <comment ref="E2714" authorId="0" shapeId="0">
      <text>
        <t>Coup d'Jus — Électrik, spéciale
Puissance 80 · Précision 100 % · 15 PP
Électrocute tous les autres {PKMN}. Peut
paralyser.</t>
      </text>
    </comment>
    <comment ref="B2715" authorId="0" shapeId="0">
      <text>
        <t>Verrouillage — Normal, statut
5 PP
Verrouille la cible pour ne pas la rater au
tour suivant.</t>
      </text>
    </comment>
    <comment ref="C2715" authorId="0" shapeId="0">
      <text>
        <t>Explosion — Normal, physique
Puissance 250 · Précision 100 % · 5 PP
Inflige de sérieux dégâts, mais met le lanceur
KO.</t>
      </text>
    </comment>
    <comment ref="D2715" authorId="0" shapeId="0">
      <text>
        <t>Verrouillage — Normal, statut
5 PP
Verrouille la cible pour ne pas la rater au
tour suivant.</t>
      </text>
    </comment>
    <comment ref="E2715" authorId="0" shapeId="0">
      <text>
        <t>Dernier Recours — Normal, physique
Puissance 140 · Précision 100 % · 5 PP
Utilisable après toutes les autres capacités.</t>
      </text>
    </comment>
    <comment ref="B2716" authorId="0" shapeId="0">
      <text>
        <t>Vol Magnétik — Électrik, statut
10 PP
Le lanceur lévite par magnétisme.</t>
      </text>
    </comment>
    <comment ref="C2716" authorId="0" shapeId="0">
      <text>
        <t>Gyroballe — Acier, physique
Puissance 1 · Précision 100 % · 5 PP
Une toupie qui blesse plus un ennemi rapide.</t>
      </text>
    </comment>
    <comment ref="D2716" authorId="0" shapeId="0">
      <text>
        <t>Vol Magnétik — Électrik, statut
10 PP
Le lanceur lévite par magnétisme.</t>
      </text>
    </comment>
    <comment ref="E2716" authorId="0" shapeId="0">
      <text>
        <t>Fatal-Foudre — Électrik, spéciale
Puissance 110 · Précision 70 % · 10 PP
Une attaque foudroyante pouvant paralyser
l'ennemi.</t>
      </text>
    </comment>
    <comment ref="B2718" authorId="0" shapeId="0">
      <text>
        <t>ELECTRODE — Électrik
PV 60 · Att 50 · Déf 70
Att.Spé 80 · Déf.Spé 80 · Vit 150
Total 490
Talents : Anti-Bruit, Statik (caché : Boom
  Final)</t>
      </text>
    </comment>
    <comment ref="C2718" authorId="0" shapeId="0">
      <text>
        <t>ELECTRODE — Électrik
PV 60 · Att 50 · Déf 70
Att.Spé 80 · Déf.Spé 80 · Vit 150
Total 490
Talents : Anti-Bruit, Statik (caché : Boom
  Final)</t>
      </text>
    </comment>
    <comment ref="D2718" authorId="0" shapeId="0">
      <text>
        <t>ELECTRODE — Électrik
PV 60 · Att 50 · Déf 70
Att.Spé 80 · Déf.Spé 80 · Vit 150
Total 490
Talents : Anti-Bruit, Statik (caché : Boom
  Final)</t>
      </text>
    </comment>
    <comment ref="E2718" authorId="0" shapeId="0">
      <text>
        <t>ELECTRODE — Électrik
PV 60 · Att 50 · Déf 70
Att.Spé 80 · Déf.Spé 80 · Vit 150
Total 490
Talents : Anti-Bruit, Statik (caché : Boom
  Final)</t>
      </text>
    </comment>
    <comment ref="B2721" authorId="0" shapeId="0">
      <text>
        <t>Anti-Bruit
Évite les coups sonores.</t>
      </text>
    </comment>
    <comment ref="C2721" authorId="0" shapeId="0">
      <text>
        <t>Anti-Bruit
Évite les coups sonores.</t>
      </text>
    </comment>
    <comment ref="D2721" authorId="0" shapeId="0">
      <text>
        <t>Anti-Bruit
Évite les coups sonores.</t>
      </text>
    </comment>
    <comment ref="E2721" authorId="0" shapeId="0">
      <text>
        <t>Anti-Bruit
Évite les coups sonores.</t>
      </text>
    </comment>
    <comment ref="B2722" authorId="0" shapeId="0">
      <text>
        <t>Coup d'Jus — Électrik, spéciale
Puissance 80 · Précision 100 % · 15 PP
Électrocute tous les autres {PKMN}. Peut
paralyser.</t>
      </text>
    </comment>
    <comment ref="C2722" authorId="0" shapeId="0">
      <text>
        <t>Coup d'Jus — Électrik, spéciale
Puissance 80 · Précision 100 % · 15 PP
Électrocute tous les autres {PKMN}. Peut
paralyser.</t>
      </text>
    </comment>
    <comment ref="D2722" authorId="0" shapeId="0">
      <text>
        <t>Coup d'Jus — Électrik, spéciale
Puissance 80 · Précision 100 % · 15 PP
Électrocute tous les autres {PKMN}. Peut
paralyser.</t>
      </text>
    </comment>
    <comment ref="E2722" authorId="0" shapeId="0">
      <text>
        <t>Explosion — Normal, physique
Puissance 250 · Précision 100 % · 5 PP
Inflige de sérieux dégâts, mais met le lanceur
KO.</t>
      </text>
    </comment>
    <comment ref="B2723" authorId="0" shapeId="0">
      <text>
        <t>Explosion — Normal, physique
Puissance 250 · Précision 100 % · 5 PP
Inflige de sérieux dégâts, mais met le lanceur
KO.</t>
      </text>
    </comment>
    <comment ref="C2723" authorId="0" shapeId="0">
      <text>
        <t>Explosion — Normal, physique
Puissance 250 · Précision 100 % · 5 PP
Inflige de sérieux dégâts, mais met le lanceur
KO.</t>
      </text>
    </comment>
    <comment ref="D2723" authorId="0" shapeId="0">
      <text>
        <t>Explosion — Normal, physique
Puissance 250 · Précision 100 % · 5 PP
Inflige de sérieux dégâts, mais met le lanceur
KO.</t>
      </text>
    </comment>
    <comment ref="E2723" authorId="0" shapeId="0">
      <text>
        <t>Gyroballe — Acier, physique
Puissance 1 · Précision 100 % · 5 PP
Une toupie qui blesse plus un ennemi rapide.</t>
      </text>
    </comment>
    <comment ref="B2724" authorId="0" shapeId="0">
      <text>
        <t>Gyroballe — Acier, physique
Puissance 1 · Précision 100 % · 5 PP
Une toupie qui blesse plus un ennemi rapide.</t>
      </text>
    </comment>
    <comment ref="C2724" authorId="0" shapeId="0">
      <text>
        <t>Gyroballe — Acier, physique
Puissance 1 · Précision 100 % · 5 PP
Une toupie qui blesse plus un ennemi rapide.</t>
      </text>
    </comment>
    <comment ref="D2724" authorId="0" shapeId="0">
      <text>
        <t>Gyroballe — Acier, physique
Puissance 1 · Précision 100 % · 5 PP
Une toupie qui blesse plus un ennemi rapide.</t>
      </text>
    </comment>
    <comment ref="E2724" authorId="0" shapeId="0">
      <text>
        <t>Luminocanon — Acier, spéciale
Puissance 80 · Précision 100 % · 10 PP
Un jet de lumière. Peut baisser la Déf. Spé.</t>
      </text>
    </comment>
    <comment ref="B2725" authorId="0" shapeId="0">
      <text>
        <t>Luminocanon — Acier, spéciale
Puissance 80 · Précision 100 % · 10 PP
Un jet de lumière. Peut baisser la Déf. Spé.</t>
      </text>
    </comment>
    <comment ref="C2725" authorId="0" shapeId="0">
      <text>
        <t>Luminocanon — Acier, spéciale
Puissance 80 · Précision 100 % · 10 PP
Un jet de lumière. Peut baisser la Déf. Spé.</t>
      </text>
    </comment>
    <comment ref="D2725" authorId="0" shapeId="0">
      <text>
        <t>Luminocanon — Acier, spéciale
Puissance 80 · Précision 100 % · 10 PP
Un jet de lumière. Peut baisser la Déf. Spé.</t>
      </text>
    </comment>
    <comment ref="E2725" authorId="0" shapeId="0">
      <text>
        <t>Voile Miroir — Psy, spéciale
Puissance 1 · Précision 100 % · 20 PP ·
Priorité -5
Renvoie l'attaque spéciale ennemie 2 fois plus
fort.</t>
      </text>
    </comment>
    <comment ref="B2727" authorId="0" shapeId="0">
      <text>
        <t>ELECTRODE — Électrik
PV 60 · Att 50 · Déf 70
Att.Spé 80 · Déf.Spé 80 · Vit 150
Total 490
Talents : Anti-Bruit, Statik (caché : Boom
  Final)</t>
      </text>
    </comment>
    <comment ref="C2727" authorId="0" shapeId="0">
      <text>
        <t>MAGNEZONE — Électrik / Acier
PV 70 · Att 70 · Déf 115
Att.Spé 130 · Déf.Spé 90 · Vit 60
Total 535
Talents : Magnépiège, Fermeté (caché :
  Analyste)</t>
      </text>
    </comment>
    <comment ref="D2727" authorId="0" shapeId="0">
      <text>
        <t>LANTURN — Eau / Électrik
PV 125 · Att 58 · Déf 58
Att.Spé 76 · Déf.Spé 76 · Vit 67
Total 460
Talents : Absorbe-Volt, Lumiattirance (caché :
  Absorbe-Eau)</t>
      </text>
    </comment>
    <comment ref="E2727" authorId="0" shapeId="0">
      <text>
        <t>ELECSPRINT — Électrik
PV 70 · Att 75 · Déf 60
Att.Spé 105 · Déf.Spé 60 · Vit 105
Total 475
Talents : Statik, Paratonnerre (caché : Moins)</t>
      </text>
    </comment>
    <comment ref="F2727" authorId="0" shapeId="0">
      <text>
        <t>ELEKABLE — Électrik
PV 75 · Att 123 · Déf 67
Att.Spé 95 · Déf.Spé 85 · Vit 95
Total 540
Talents : Motorisé (caché : Esprit Vital)</t>
      </text>
    </comment>
    <comment ref="G2727" authorId="0" shapeId="0">
      <text>
        <t>RAICHU — Électrik
PV 60 · Att 90 · Déf 55
Att.Spé 90 · Déf.Spé 80 · Vit 110
Total 485
Talents : Statik (caché : Paratonnerre)</t>
      </text>
    </comment>
    <comment ref="B2729" authorId="0" shapeId="0">
      <text>
        <t>Bandeau
Objet tenu pouvant parfois empêcher d'être mis
KO.</t>
      </text>
    </comment>
    <comment ref="D2729" authorId="0" shapeId="0">
      <text>
        <t>Restes
Objet tenu permet- tant de restaurer les PV au
combat.</t>
      </text>
    </comment>
    <comment ref="F2729" authorId="0" shapeId="0">
      <text>
        <t>Lentilscope
Objet tenu pour monter le taux de critiques.</t>
      </text>
    </comment>
    <comment ref="G2729" authorId="0" shapeId="0">
      <text>
        <t>Aimant
Objet tenu montant la puissance des attaques
Electrik.</t>
      </text>
    </comment>
    <comment ref="B2730" authorId="0" shapeId="0">
      <text>
        <t>Anti-Bruit
Évite les coups sonores.</t>
      </text>
    </comment>
    <comment ref="C2730" authorId="0" shapeId="0">
      <text>
        <t>Magnépiège
Piège les Pokémon Acier.</t>
      </text>
    </comment>
    <comment ref="D2730" authorId="0" shapeId="0">
      <text>
        <t>Absorbe-Volt
Change l'électricité en PV.</t>
      </text>
    </comment>
    <comment ref="E2730" authorId="0" shapeId="0">
      <text>
        <t>Statik
Paralyse au toucher.</t>
      </text>
    </comment>
    <comment ref="F2730" authorId="0" shapeId="0">
      <text>
        <t>Motorisé
Électrik monte la Vitesse.</t>
      </text>
    </comment>
    <comment ref="G2730" authorId="0" shapeId="0">
      <text>
        <t>Statik
Paralyse au toucher.</t>
      </text>
    </comment>
    <comment ref="B2731" authorId="0" shapeId="0">
      <text>
        <t>Onde de Choc — Électrik, spéciale
Puissance 60 · Ne rate jamais · 20 PP
Attaque électrique rapide et impossible à
esquiver.</t>
      </text>
    </comment>
    <comment ref="C2731" authorId="0" shapeId="0">
      <text>
        <t>Fatal-Foudre — Électrik, spéciale
Puissance 110 · Précision 70 % · 10 PP
Une attaque foudroyante pouvant paralyser
l'ennemi.</t>
      </text>
    </comment>
    <comment ref="D2731" authorId="0" shapeId="0">
      <text>
        <t>Déluge Plasmique — Électrik, statut
25 PP · Priorité +1
Les capacités Normal deviennent Électrik.</t>
      </text>
    </comment>
    <comment ref="E2731" authorId="0" shapeId="0">
      <text>
        <t>Éclair Fou — Électrik, physique
Puissance 90 · Précision 100 % · 15 PP
Une charge électrique. Blesse le lanceur.</t>
      </text>
    </comment>
    <comment ref="F2731" authorId="0" shapeId="0">
      <text>
        <t>Tonnerre — Électrik, spéciale
Puissance 90 · Précision 100 % · 15 PP
Forte attaque électrique pouvant paralyser
l'ennemi.</t>
      </text>
    </comment>
    <comment ref="G2731" authorId="0" shapeId="0">
      <text>
        <t>Fatal-Foudre — Électrik, spéciale
Puissance 110 · Précision 70 % · 10 PP
Une attaque foudroyante pouvant paralyser
l'ennemi.</t>
      </text>
    </comment>
    <comment ref="B2732" authorId="0" shapeId="0">
      <text>
        <t>Danse Pluie — Eau, statut
5 PP
Améliore les attaques Eau pendant 5 tours.</t>
      </text>
    </comment>
    <comment ref="C2732" authorId="0" shapeId="0">
      <text>
        <t>Protection — Psy, statut
20 PP
Crée un mur lumineux. Affaiblit att.
physiques.</t>
      </text>
    </comment>
    <comment ref="D2732" authorId="0" shapeId="0">
      <text>
        <t>Hydrocanon — Eau, spéciale
Puissance 110 · Précision 80 % · 5 PP
Envoie un puissant jet d'eau pour frapper
l'ennemi.</t>
      </text>
    </comment>
    <comment ref="E2732" authorId="0" shapeId="0">
      <text>
        <t>Chargeur — Électrik, statut
20 PP
Accumule de l'énergie pour la prochaine
capacité Électrik.</t>
      </text>
    </comment>
    <comment ref="F2732" authorId="0" shapeId="0">
      <text>
        <t>Poing Feu — Feu, physique
Puissance 75 · Précision 100 % · 15 PP
Un poing de feu pouvant brûler l'ennemi.</t>
      </text>
    </comment>
    <comment ref="G2732" authorId="0" shapeId="0">
      <text>
        <t>Danse Pluie — Eau, statut
5 PP
Améliore les attaques Eau pendant 5 tours.</t>
      </text>
    </comment>
    <comment ref="B2733" authorId="0" shapeId="0">
      <text>
        <t>Cage Éclair — Électrik, statut
Précision 90 % · 20 PP
Un faible choc électrique qui paralyse
l'ennemi.</t>
      </text>
    </comment>
    <comment ref="C2733" authorId="0" shapeId="0">
      <text>
        <t>Danse Pluie — Eau, statut
5 PP
Améliore les attaques Eau pendant 5 tours.</t>
      </text>
    </comment>
    <comment ref="D2733" authorId="0" shapeId="0">
      <text>
        <t>Coup d'Jus — Électrik, spéciale
Puissance 80 · Précision 100 % · 15 PP
Électrocute tous les autres {PKMN}. Peut
paralyser.</t>
      </text>
    </comment>
    <comment ref="E2733" authorId="0" shapeId="0">
      <text>
        <t>Mâchouille — Ténèbres, physique
Puissance 80 · Précision 100 % · 15 PP</t>
      </text>
    </comment>
    <comment ref="F2733" authorId="0" shapeId="0">
      <text>
        <t>Poing Glace — Glace, physique
Puissance 75 · Précision 100 % · 15 PP</t>
      </text>
    </comment>
    <comment ref="G2733" authorId="0" shapeId="0">
      <text>
        <t>Plaquage — Normal, physique
Puissance 85 · Précision 100 % · 15 PP
Une attaque en charge. Peut paralyser
l'ennemi.</t>
      </text>
    </comment>
    <comment ref="B2734" authorId="0" shapeId="0">
      <text>
        <t>Explosion — Normal, physique
Puissance 250 · Précision 100 % · 5 PP
Inflige de sérieux dégâts, mais met le lanceur
KO.</t>
      </text>
    </comment>
    <comment ref="C2734" authorId="0" shapeId="0">
      <text>
        <t>Damoclès — Normal, physique
Puissance 120 · Précision 100 % · 15 PP
Une dangereuse charge qui blesse aussi le
lanceur.</t>
      </text>
    </comment>
    <comment ref="D2734" authorId="0" shapeId="0">
      <text>
        <t>Onde Folie — Spectre, statut
Précision 100 % · 10 PP
Un horrible rayon qui rend l'ennemi confus.</t>
      </text>
    </comment>
    <comment ref="E2734" authorId="0" shapeId="0">
      <text>
        <t>Champ Électrifié — Électrik, statut
10 PP
Électrifie le sol 5 tours. Bloque le sommeil.</t>
      </text>
    </comment>
    <comment ref="F2734" authorId="0" shapeId="0">
      <text>
        <t>Sacrifice — Combat, physique
Puissance 80 · Précision 80 % · 20 PP
Une charge violente qui blesse aussi le
lanceur.</t>
      </text>
    </comment>
    <comment ref="G2734" authorId="0" shapeId="0">
      <text>
        <t>Surf — Eau, spéciale
Puissance 90 · Précision 100 % · 15 PP</t>
      </text>
    </comment>
    <comment ref="B2737" authorId="0" shapeId="0">
      <text>
        <t>CERFROUSSE — Normal
PV 73 · Att 95 · Déf 62
Att.Spé 85 · Déf.Spé 65 · Vit 85
Total 465
Talents : Intimidation, Fouille (caché :
  Herbivore)</t>
      </text>
    </comment>
    <comment ref="B2740" authorId="0" shapeId="0">
      <text>
        <t>Intimidation
Baisse l'Attaque ennemie.</t>
      </text>
    </comment>
    <comment ref="B2741" authorId="0" shapeId="0">
      <text>
        <t>Pied Sauté — Combat, physique
Puissance 100 · Précision 95 % · 10 PP
Un coup de pied sauté. Peut blesser le lanceur
si raté.</t>
      </text>
    </comment>
    <comment ref="B2742" authorId="0" shapeId="0">
      <text>
        <t>Possessif — Psy, statut
10 PP
Empêche les ennemis d'uti- liser les coups du
lanceur.</t>
      </text>
    </comment>
    <comment ref="B2743" authorId="0" shapeId="0">
      <text>
        <t>Séduction — Normal, statut
Précision 100 % · 20 PP
Baisse beaucoup l'Atq. Spé. du sexe opposé.</t>
      </text>
    </comment>
    <comment ref="B2744" authorId="0" shapeId="0">
      <text>
        <t>Moi d'Abord — Normal, statut
20 PP
Utilise l'attaque ennemie, en plus puissant.</t>
      </text>
    </comment>
    <comment ref="B2746" authorId="0" shapeId="0">
      <text>
        <t>GRANBULL — Fée
PV 90 · Att 120 · Déf 75
Att.Spé 60 · Déf.Spé 60 · Vit 45
Total 450
Talents : Intimidation, Pied Véloce (caché :
  Phobique)</t>
      </text>
    </comment>
    <comment ref="B2749" authorId="0" shapeId="0">
      <text>
        <t>Intimidation
Baisse l'Attaque ennemie.</t>
      </text>
    </comment>
    <comment ref="B2750" authorId="0" shapeId="0">
      <text>
        <t>Hurlement — Normal, statut
20 PP · Priorité -6
Fait fuir l'ennemi. Contre un Dresseur, le
remplace.</t>
      </text>
    </comment>
    <comment ref="B2751" authorId="0" shapeId="0">
      <text>
        <t>Frénésie — Normal, physique
Puissance 20 · Précision 100 % · 20 PP
Augmente l'Attaque du lanceur à chaque coup
reçu.</t>
      </text>
    </comment>
    <comment ref="B2752" authorId="0" shapeId="0">
      <text>
        <t>Câlinerie — Fée, physique
Puissance 90 · Précision 90 % · 10 PP
Un câlin brutal. Peut baisser l'Attaque de
l'ennemi.</t>
      </text>
    </comment>
    <comment ref="B2753" authorId="0" shapeId="0">
      <text>
        <t>Représailles — Ténèbres, physique
Puissance 50 · Précision 100 % · 10 PP
Plus puissant si le lanceur agit en dernier.</t>
      </text>
    </comment>
    <comment ref="B2756" authorId="0" shapeId="0">
      <text>
        <t>ARCANIN — Feu
PV 90 · Att 110 · Déf 80
Att.Spé 100 · Déf.Spé 80 · Vit 95
Total 555
Talents : Intimidation, Torche (caché : Cœur
  Noble)</t>
      </text>
    </comment>
    <comment ref="B2759" authorId="0" shapeId="0">
      <text>
        <t>Intimidation
Baisse l'Attaque ennemie.</t>
      </text>
    </comment>
    <comment ref="B2760" authorId="0" shapeId="0">
      <text>
        <t>Mâchouille — Ténèbres, physique
Puissance 80 · Précision 100 % · 15 PP</t>
      </text>
    </comment>
    <comment ref="B2761" authorId="0" shapeId="0">
      <text>
        <t>Canicule — Feu, spéciale
Puissance 95 · Précision 90 % · 10 PP
Un souffle ardent pouvant brûler l'ennemi.</t>
      </text>
    </comment>
    <comment ref="B2762" authorId="0" shapeId="0">
      <text>
        <t>Colère — Dragon, physique
Puissance 120 · Précision 100 % · 10 PP
Une attaque furieuse sur 2 à 3 tours. Lanceur
confus.</t>
      </text>
    </comment>
    <comment ref="B2763" authorId="0" shapeId="0">
      <text>
        <t>Boutefeu — Feu, physique
Puissance 120 · Précision 100 % · 15 PP
Une charge qui peut brûler. Blesse le lanceur.</t>
      </text>
    </comment>
    <comment ref="B2765" authorId="0" shapeId="0">
      <text>
        <t>OCTILLERY — Eau
PV 75 · Att 105 · Déf 75
Att.Spé 105 · Déf.Spé 75 · Vit 45
Total 480
Talents : Ventouse, Sniper (caché : Lunatique)</t>
      </text>
    </comment>
    <comment ref="C2765" authorId="0" shapeId="0">
      <text>
        <t>NOSTENFER — Poison / Vol
PV 85 · Att 90 · Déf 80
Att.Spé 70 · Déf.Spé 80 · Vit 130
Total 535
Talents : Attention (caché : Infiltration)</t>
      </text>
    </comment>
    <comment ref="B2768" authorId="0" shapeId="0">
      <text>
        <t>Ventouse
Fixe solidement le corps.</t>
      </text>
    </comment>
    <comment ref="C2768" authorId="0" shapeId="0">
      <text>
        <t>Attention
Empêche la peur.</t>
      </text>
    </comment>
    <comment ref="B2769" authorId="0" shapeId="0">
      <text>
        <t>Rayon Signal — Insecte, spéciale
Puissance 75 · Précision 100 % · 15 PP
Un étrange rayon qui peut rendre l'ennemi
confus.</t>
      </text>
    </comment>
    <comment ref="C2769" authorId="0" shapeId="0">
      <text>
        <t>Buée Noire — Glace, statut
30 PP
Crée un nuage noir annulant tout changement
d'état.</t>
      </text>
    </comment>
    <comment ref="B2770" authorId="0" shapeId="0">
      <text>
        <t>Laser Glace — Glace, spéciale
Puissance 90 · Précision 100 % · 10 PP</t>
      </text>
    </comment>
    <comment ref="C2770" authorId="0" shapeId="0">
      <text>
        <t>Choc Venin — Poison, spéciale
Puissance 65 · Précision 100 % · 10 PP
Double les dégâts sur un ennemi empoisonné.</t>
      </text>
    </comment>
    <comment ref="B2771" authorId="0" shapeId="0">
      <text>
        <t>Balle Graine — Plante, physique
Puissance 25 · Précision 100 % · 30 PP
Mitraille l'ennemi avec 2 à 5 graines à la
suite.</t>
      </text>
    </comment>
    <comment ref="C2771" authorId="0" shapeId="0">
      <text>
        <t>Lame d'Air — Vol, spéciale
Puissance 75 · Précision 95 % · 15 PP
Une lame d'air. Peut apeurer l'ennemi.</t>
      </text>
    </comment>
    <comment ref="B2772" authorId="0" shapeId="0">
      <text>
        <t>Hydrocanon — Eau, spéciale
Puissance 110 · Précision 80 % · 5 PP
Envoie un puissant jet d'eau pour frapper
l'ennemi.</t>
      </text>
    </comment>
    <comment ref="C2772" authorId="0" shapeId="0">
      <text>
        <t>Prévention — Combat, statut
15 PP · Priorité +3
Évite les attaques rapides pendant un tour.</t>
      </text>
    </comment>
    <comment ref="B2774" authorId="0" shapeId="0">
      <text>
        <t>NOADKOKO — Plante / Psy
PV 95 · Att 95 · Déf 85
Att.Spé 125 · Déf.Spé 75 · Vit 55
Total 530
Talents : Chlorophylle (caché : Récolte)</t>
      </text>
    </comment>
    <comment ref="C2774" authorId="0" shapeId="0">
      <text>
        <t>XATU — Psy / Vol
PV 65 · Att 75 · Déf 70
Att.Spé 95 · Déf.Spé 70 · Vit 95
Total 470
Talents : Synchro, Matinal (caché : Miroir
  Magik)</t>
      </text>
    </comment>
    <comment ref="D2774" authorId="0" shapeId="0">
      <text>
        <t>STAROSS — Eau / Psy
PV 60 · Att 75 · Déf 85
Att.Spé 100 · Déf.Spé 85 · Vit 115
Total 520
Talents : Lumiattirance, Médic Nature (caché :
  Analyste)</t>
      </text>
    </comment>
    <comment ref="B2777" authorId="0" shapeId="0">
      <text>
        <t>Chlorophylle
Augmente Vitesse au soleil.</t>
      </text>
    </comment>
    <comment ref="C2777" authorId="0" shapeId="0">
      <text>
        <t>Synchro
Transfère statuts.</t>
      </text>
    </comment>
    <comment ref="D2777" authorId="0" shapeId="0">
      <text>
        <t>Lumiattirance
Augmente les rencontres.</t>
      </text>
    </comment>
    <comment ref="B2778" authorId="0" shapeId="0">
      <text>
        <t>Tempête Verte — Plante, spéciale
Puissance 130 · Précision 90 % · 5 PP
Des feuilles. Le lanceur perd beaucoup d'Atq.
Spé.</t>
      </text>
    </comment>
    <comment ref="C2778" authorId="0" shapeId="0">
      <text>
        <t>Échange Psy — Psy, statut
Précision 100 % · 10 PP
Transfère ses problèmes de statut à l'ennemi.</t>
      </text>
    </comment>
    <comment ref="D2778" authorId="0" shapeId="0">
      <text>
        <t>Lilliput — Normal, statut
10 PP</t>
      </text>
    </comment>
    <comment ref="B2779" authorId="0" shapeId="0">
      <text>
        <t>Don Naturel — Normal, physique
Puissance 1 · Précision 100 % · 15 PP
L'effet varie selon la Baie tenue.</t>
      </text>
    </comment>
    <comment ref="C2779" authorId="0" shapeId="0">
      <text>
        <t>Prescience — Psy, spéciale
Puissance 120 · Précision 100 % · 10 PP
Accumule de l'énergie pour frapper 2 tours
plus tard.</t>
      </text>
    </comment>
    <comment ref="D2779" authorId="0" shapeId="0">
      <text>
        <t>Copie-Type — Normal, statut
15 PP
Le lanceur copie le type de l'ennemi.</t>
      </text>
    </comment>
    <comment ref="B2780" authorId="0" shapeId="0">
      <text>
        <t>Giga-Sangsue — Plante, spéciale
Puissance 75 · Précision 100 % · 25 PP
Une attaque qui absorbe la moitié des dégâts
infligés.</t>
      </text>
    </comment>
    <comment ref="C2780" authorId="0" shapeId="0">
      <text>
        <t>Permuforce — Psy, statut
10 PP
Échange les hausses d'Attaque et d'Atq. Spé.</t>
      </text>
    </comment>
    <comment ref="D2780" authorId="0" shapeId="0">
      <text>
        <t>Rayon Gemme — Roche, spéciale
Puissance 80 · Précision 100 % · 20 PP
Des rayons brillants comme des diamants.</t>
      </text>
    </comment>
    <comment ref="B2781" authorId="0" shapeId="0">
      <text>
        <t>Lance-Soleil — Plante, spéciale
Puissance 120 · Précision 100 % · 10 PP
Absorbe la lumière et attaque le tour suivant.</t>
      </text>
    </comment>
    <comment ref="C2781" authorId="0" shapeId="0">
      <text>
        <t>Permugarde — Psy, statut
10 PP
Échange les hausses de Déf. et de Déf. Spé.</t>
      </text>
    </comment>
    <comment ref="D2781" authorId="0" shapeId="0">
      <text>
        <t>Psyko — Psy, spéciale
Puissance 90 · Précision 100 % · 10 PP
Une puissante attaque Psy pouvant baisser la
Déf. Spé.</t>
      </text>
    </comment>
    <comment ref="B2783" authorId="0" shapeId="0">
      <text>
        <t>XATU — Psy / Vol
PV 65 · Att 75 · Déf 70
Att.Spé 95 · Déf.Spé 70 · Vit 95
Total 470
Talents : Synchro, Matinal (caché : Miroir
  Magik)</t>
      </text>
    </comment>
    <comment ref="B2786" authorId="0" shapeId="0">
      <text>
        <t>Synchro
Transfère statuts.</t>
      </text>
    </comment>
    <comment ref="B2787" authorId="0" shapeId="0">
      <text>
        <t>Échange Psy — Psy, statut
Précision 100 % · 10 PP
Transfère ses problèmes de statut à l'ennemi.</t>
      </text>
    </comment>
    <comment ref="B2788" authorId="0" shapeId="0">
      <text>
        <t>Prescience — Psy, spéciale
Puissance 120 · Précision 100 % · 10 PP
Accumule de l'énergie pour frapper 2 tours
plus tard.</t>
      </text>
    </comment>
    <comment ref="B2789" authorId="0" shapeId="0">
      <text>
        <t>Permuforce — Psy, statut
10 PP
Échange les hausses d'Attaque et d'Atq. Spé.</t>
      </text>
    </comment>
    <comment ref="B2790" authorId="0" shapeId="0">
      <text>
        <t>Permugarde — Psy, statut
10 PP
Échange les hausses de Déf. et de Déf. Spé.</t>
      </text>
    </comment>
    <comment ref="B2793" authorId="0" shapeId="0">
      <text>
        <t>REMORAID — Eau
PV 35 · Att 65 · Déf 35
Att.Spé 65 · Déf.Spé 35 · Vit 65
Total 300
Talents : Agitation, Sniper (caché :
  Lunatique)</t>
      </text>
    </comment>
    <comment ref="C2793" authorId="0" shapeId="0">
      <text>
        <t>OCTILLERY — Eau
PV 75 · Att 105 · Déf 75
Att.Spé 105 · Déf.Spé 75 · Vit 45
Total 480
Talents : Ventouse, Sniper (caché : Lunatique)</t>
      </text>
    </comment>
    <comment ref="B2796" authorId="0" shapeId="0">
      <text>
        <t>Agitation
Substitue préc. par puiss.</t>
      </text>
    </comment>
    <comment ref="C2796" authorId="0" shapeId="0">
      <text>
        <t>Ventouse
Fixe solidement le corps.</t>
      </text>
    </comment>
    <comment ref="B2797" authorId="0" shapeId="0">
      <text>
        <t>Balle Graine — Plante, physique
Puissance 25 · Précision 100 % · 30 PP
Mitraille l'ennemi avec 2 à 5 graines à la
suite.</t>
      </text>
    </comment>
    <comment ref="C2797" authorId="0" shapeId="0">
      <text>
        <t>Laser Glace — Glace, spéciale
Puissance 90 · Précision 100 % · 10 PP</t>
      </text>
    </comment>
    <comment ref="B2798" authorId="0" shapeId="0">
      <text>
        <t>Hydrocanon — Eau, spéciale
Puissance 110 · Précision 80 % · 5 PP
Envoie un puissant jet d'eau pour frapper
l'ennemi.</t>
      </text>
    </comment>
    <comment ref="C2798" authorId="0" shapeId="0">
      <text>
        <t>Balle Graine — Plante, physique
Puissance 25 · Précision 100 % · 30 PP
Mitraille l'ennemi avec 2 à 5 graines à la
suite.</t>
      </text>
    </comment>
    <comment ref="B2799" authorId="0" shapeId="0">
      <text>
        <t>Ultralaser — Normal, spéciale
Puissance 150 · Précision 90 % · 5 PP</t>
      </text>
    </comment>
    <comment ref="C2799" authorId="0" shapeId="0">
      <text>
        <t>Hydrocanon — Eau, spéciale
Puissance 110 · Précision 80 % · 5 PP
Envoie un puissant jet d'eau pour frapper
l'ennemi.</t>
      </text>
    </comment>
    <comment ref="B2800" authorId="0" shapeId="0">
      <text>
        <t>Détrempage — Eau, statut
Précision 100 % · 20 PP
Asperge l'ennemi et le change en type Eau.</t>
      </text>
    </comment>
    <comment ref="C2800" authorId="0" shapeId="0">
      <text>
        <t>Ultralaser — Normal, spéciale
Puissance 150 · Précision 90 % · 5 PP</t>
      </text>
    </comment>
    <comment ref="B2802" authorId="0" shapeId="0">
      <text>
        <t>MAGICARPE — Eau
PV 20 · Att 10 · Déf 55
Att.Spé 15 · Déf.Spé 20 · Vit 80
Total 200
Talents : Glissade (caché : Phobique)</t>
      </text>
    </comment>
    <comment ref="C2802" authorId="0" shapeId="0">
      <text>
        <t>LEVIATOR — Eau / Vol
PV 95 · Att 125 · Déf 79
Att.Spé 60 · Déf.Spé 100 · Vit 81
Total 540
Talents : Intimidation (caché : Impudence)</t>
      </text>
    </comment>
    <comment ref="D2802" authorId="0" shapeId="0">
      <text>
        <t>QWILFISH — Eau / Poison
PV 65 · Att 95 · Déf 85
Att.Spé 55 · Déf.Spé 55 · Vit 85
Total 440
Talents : Point Poison, Glissade (caché :
  Intimidation)</t>
      </text>
    </comment>
    <comment ref="E2802" authorId="0" shapeId="0">
      <text>
        <t>TENTACRUEL — Eau / Poison
PV 80 · Att 70 · Déf 65
Att.Spé 80 · Déf.Spé 120 · Vit 100
Total 515
Talents : Corps Sain, Suintement (caché :
  Cuvette)</t>
      </text>
    </comment>
    <comment ref="B2805" authorId="0" shapeId="0">
      <text>
        <t>Glissade
Monte Vitesse s'il pleut.</t>
      </text>
    </comment>
    <comment ref="C2805" authorId="0" shapeId="0">
      <text>
        <t>Intimidation
Baisse l'Attaque ennemie.</t>
      </text>
    </comment>
    <comment ref="D2805" authorId="0" shapeId="0">
      <text>
        <t>Point Poison
Empoisonne quand touché.</t>
      </text>
    </comment>
    <comment ref="E2805" authorId="0" shapeId="0">
      <text>
        <t>Corps Sain
Empêche réduction de cap.</t>
      </text>
    </comment>
    <comment ref="B2806" authorId="0" shapeId="0">
      <text>
        <t>Trempette — Normal, statut
40 PP
Éclabousse l'ennemi sans aucun effet.</t>
      </text>
    </comment>
    <comment ref="C2806" authorId="0" shapeId="0">
      <text>
        <t>Danse Draco — Dragon, statut
20 PP
Danse mystique augmentant l'Attaque et la
Vitesse.</t>
      </text>
    </comment>
    <comment ref="D2806" authorId="0" shapeId="0">
      <text>
        <t>Hydro-Queue — Eau, physique
Puissance 90 · Précision 90 % · 10 PP
Balaie l'ennemi de sa queue comme une vague.</t>
      </text>
    </comment>
    <comment ref="E2806" authorId="0" shapeId="0">
      <text>
        <t>Châtiment — Spectre, spéciale
Puissance 65 · Précision 100 % · 10 PP
Double les dégâts si l'ennemi a un statut.</t>
      </text>
    </comment>
    <comment ref="B2807" authorId="0" shapeId="0">
      <text>
        <t>Charge — Normal, physique
Puissance 40 · Précision 100 % · 35 PP
Charge l'ennemi avec un violent plaquage.</t>
      </text>
    </comment>
    <comment ref="C2807" authorId="0" shapeId="0">
      <text>
        <t>Vent Violent — Vol, spéciale
Puissance 110 · Précision 70 % · 10 PP
Un vent violent. Peut rendre confus.</t>
      </text>
    </comment>
    <comment ref="D2807" authorId="0" shapeId="0">
      <text>
        <t>Direct Toxik — Poison, physique
Puissance 80 · Précision 100 % · 20 PP
Un coup perforant qui peut empoisonner.</t>
      </text>
    </comment>
    <comment ref="E2807" authorId="0" shapeId="0">
      <text>
        <t>Cradovague — Poison, spéciale
Puissance 95 · Précision 100 % · 10 PP
Une vague de boue. Peut empoisonner.</t>
      </text>
    </comment>
    <comment ref="B2808" authorId="0" shapeId="0">
      <text>
        <t>Gigotage — Normal, physique
Puissance 1 · Précision 100 % · 15 PP
Inflige plus de dégâts si les PV du lanceur
sont faibles.</t>
      </text>
    </comment>
    <comment ref="C2808" authorId="0" shapeId="0">
      <text>
        <t>Danse Pluie — Eau, statut
5 PP
Améliore les attaques Eau pendant 5 tours.</t>
      </text>
    </comment>
    <comment ref="D2808" authorId="0" shapeId="0">
      <text>
        <t>Lien du Destin — Spectre, statut
5 PP
Si le lanceur est mis KO, l'ennemi le sera
également.</t>
      </text>
    </comment>
    <comment ref="E2808" authorId="0" shapeId="0">
      <text>
        <t>Hydrocanon — Eau, spéciale
Puissance 110 · Précision 80 % · 5 PP
Envoie un puissant jet d'eau pour frapper
l'ennemi.</t>
      </text>
    </comment>
    <comment ref="C2809" authorId="0" shapeId="0">
      <text>
        <t>Ultralaser — Normal, spéciale
Puissance 150 · Précision 90 % · 5 PP</t>
      </text>
    </comment>
    <comment ref="D2809" authorId="0" shapeId="0">
      <text>
        <t>Hydrocanon — Eau, spéciale
Puissance 110 · Précision 80 % · 5 PP
Envoie un puissant jet d'eau pour frapper
l'ennemi.</t>
      </text>
    </comment>
    <comment ref="E2809" authorId="0" shapeId="0">
      <text>
        <t>Essorage — Normal, spéciale
Puissance 120 · Précision 100 % · 5 PP</t>
      </text>
    </comment>
    <comment ref="B2811" authorId="0" shapeId="0">
      <text>
        <t>LEVIATOR — Eau / Vol
PV 95 · Att 125 · Déf 79
Att.Spé 60 · Déf.Spé 100 · Vit 81
Total 540
Talents : Intimidation (caché : Impudence)</t>
      </text>
    </comment>
    <comment ref="C2811" authorId="0" shapeId="0">
      <text>
        <t>LEVIATOR — Eau / Vol
PV 95 · Att 125 · Déf 79
Att.Spé 60 · Déf.Spé 100 · Vit 81
Total 540
Talents : Intimidation (caché : Impudence)</t>
      </text>
    </comment>
    <comment ref="D2811" authorId="0" shapeId="0">
      <text>
        <t>LEVIATOR — Eau / Vol
PV 95 · Att 125 · Déf 79
Att.Spé 60 · Déf.Spé 100 · Vit 81
Total 540
Talents : Intimidation (caché : Impudence)</t>
      </text>
    </comment>
    <comment ref="B2814" authorId="0" shapeId="0">
      <text>
        <t>Intimidation
Baisse l'Attaque ennemie.</t>
      </text>
    </comment>
    <comment ref="C2814" authorId="0" shapeId="0">
      <text>
        <t>Intimidation
Baisse l'Attaque ennemie.</t>
      </text>
    </comment>
    <comment ref="D2814" authorId="0" shapeId="0">
      <text>
        <t>Intimidation
Baisse l'Attaque ennemie.</t>
      </text>
    </comment>
    <comment ref="B2815" authorId="0" shapeId="0">
      <text>
        <t>Danse Draco — Dragon, statut
20 PP
Danse mystique augmentant l'Attaque et la
Vitesse.</t>
      </text>
    </comment>
    <comment ref="C2815" authorId="0" shapeId="0">
      <text>
        <t>Danse Draco — Dragon, statut
20 PP
Danse mystique augmentant l'Attaque et la
Vitesse.</t>
      </text>
    </comment>
    <comment ref="D2815" authorId="0" shapeId="0">
      <text>
        <t>Danse Draco — Dragon, statut
20 PP
Danse mystique augmentant l'Attaque et la
Vitesse.</t>
      </text>
    </comment>
    <comment ref="B2816" authorId="0" shapeId="0">
      <text>
        <t>Vent Violent — Vol, spéciale
Puissance 110 · Précision 70 % · 10 PP
Un vent violent. Peut rendre confus.</t>
      </text>
    </comment>
    <comment ref="C2816" authorId="0" shapeId="0">
      <text>
        <t>Vent Violent — Vol, spéciale
Puissance 110 · Précision 70 % · 10 PP
Un vent violent. Peut rendre confus.</t>
      </text>
    </comment>
    <comment ref="D2816" authorId="0" shapeId="0">
      <text>
        <t>Vent Violent — Vol, spéciale
Puissance 110 · Précision 70 % · 10 PP
Un vent violent. Peut rendre confus.</t>
      </text>
    </comment>
    <comment ref="B2817" authorId="0" shapeId="0">
      <text>
        <t>Danse Pluie — Eau, statut
5 PP
Améliore les attaques Eau pendant 5 tours.</t>
      </text>
    </comment>
    <comment ref="C2817" authorId="0" shapeId="0">
      <text>
        <t>Danse Pluie — Eau, statut
5 PP
Améliore les attaques Eau pendant 5 tours.</t>
      </text>
    </comment>
    <comment ref="D2817" authorId="0" shapeId="0">
      <text>
        <t>Danse Pluie — Eau, statut
5 PP
Améliore les attaques Eau pendant 5 tours.</t>
      </text>
    </comment>
    <comment ref="B2818" authorId="0" shapeId="0">
      <text>
        <t>Ultralaser — Normal, spéciale
Puissance 150 · Précision 90 % · 5 PP</t>
      </text>
    </comment>
    <comment ref="C2818" authorId="0" shapeId="0">
      <text>
        <t>Ultralaser — Normal, spéciale
Puissance 150 · Précision 90 % · 5 PP</t>
      </text>
    </comment>
    <comment ref="D2818" authorId="0" shapeId="0">
      <text>
        <t>Ultralaser — Normal, spéciale
Puissance 150 · Précision 90 % · 5 PP</t>
      </text>
    </comment>
    <comment ref="B2820" authorId="0" shapeId="0">
      <text>
        <t>POISSOROY — Eau
PV 80 · Att 92 · Déf 65
Att.Spé 65 · Déf.Spé 80 · Vit 68
Total 450
Talents : Glissade, Ignifu-Voile (caché :
  Paratonnerre)</t>
      </text>
    </comment>
    <comment ref="C2820" authorId="0" shapeId="0">
      <text>
        <t>TETARTE — Eau
PV 65 · Att 65 · Déf 65
Att.Spé 50 · Déf.Spé 50 · Vit 90
Total 385
Talents : Absorbe-Eau, Moiteur (caché :
  Glissade)</t>
      </text>
    </comment>
    <comment ref="D2820" authorId="0" shapeId="0">
      <text>
        <t>POISSOROY — Eau
PV 80 · Att 92 · Déf 65
Att.Spé 65 · Déf.Spé 80 · Vit 68
Total 450
Talents : Glissade, Ignifu-Voile (caché :
  Paratonnerre)</t>
      </text>
    </comment>
    <comment ref="B2823" authorId="0" shapeId="0">
      <text>
        <t>Glissade
Monte Vitesse s'il pleut.</t>
      </text>
    </comment>
    <comment ref="C2823" authorId="0" shapeId="0">
      <text>
        <t>Absorbe-Eau
Change l'eau en PV.</t>
      </text>
    </comment>
    <comment ref="D2823" authorId="0" shapeId="0">
      <text>
        <t>Glissade
Monte Vitesse s'il pleut.</t>
      </text>
    </comment>
    <comment ref="B2824" authorId="0" shapeId="0">
      <text>
        <t>Empal'Korne — Normal, physique
Puissance 1 · Précision 30 % · 5 PP
Empale l'ennemi d'un coup de corne. Met KO en
un coup.</t>
      </text>
    </comment>
    <comment ref="C2824" authorId="0" shapeId="0">
      <text>
        <t>Cognobidon — Normal, statut
10 PP
Améliore l'Attaque à fond en sacrifiant la
moitié des PV.</t>
      </text>
    </comment>
    <comment ref="D2824" authorId="0" shapeId="0">
      <text>
        <t>Empal'Korne — Normal, physique
Puissance 1 · Précision 30 % · 5 PP
Empale l'ennemi d'un coup de corne. Met KO en
un coup.</t>
      </text>
    </comment>
    <comment ref="B2825" authorId="0" shapeId="0">
      <text>
        <t>Eau Revoir — Eau, physique
Puissance 60 · Précision 100 % · 20 PP
Attaque puis échange sa place avec un allié.</t>
      </text>
    </comment>
    <comment ref="C2825" authorId="0" shapeId="0">
      <text>
        <t>Réveil Forcé — Combat, physique
Puissance 70 · Précision 100 % · 10 PP
Puissant sur un dormeur. Le réveille aussi.</t>
      </text>
    </comment>
    <comment ref="D2825" authorId="0" shapeId="0">
      <text>
        <t>Eau Revoir — Eau, physique
Puissance 60 · Précision 100 % · 20 PP
Attaque puis échange sa place avec un allié.</t>
      </text>
    </comment>
    <comment ref="B2826" authorId="0" shapeId="0">
      <text>
        <t>Détrempage — Eau, statut
Précision 100 % · 20 PP
Asperge l'ennemi et le change en type Eau.</t>
      </text>
    </comment>
    <comment ref="C2826" authorId="0" shapeId="0">
      <text>
        <t>Hydrocanon — Eau, spéciale
Puissance 110 · Précision 80 % · 5 PP
Envoie un puissant jet d'eau pour frapper
l'ennemi.</t>
      </text>
    </comment>
    <comment ref="D2826" authorId="0" shapeId="0">
      <text>
        <t>Détrempage — Eau, statut
Précision 100 % · 20 PP
Asperge l'ennemi et le change en type Eau.</t>
      </text>
    </comment>
    <comment ref="B2827" authorId="0" shapeId="0">
      <text>
        <t>Mégacorne — Insecte, physique
Puissance 120 · Précision 85 % · 10 PP
Une charge violente, toutes cornes en avant.</t>
      </text>
    </comment>
    <comment ref="C2827" authorId="0" shapeId="0">
      <text>
        <t>Boue-Bombe — Sol, spéciale
Puissance 65 · Précision 85 % · 10 PP
Une boule de boue qui baisse la Précision.</t>
      </text>
    </comment>
    <comment ref="D2827" authorId="0" shapeId="0">
      <text>
        <t>Mégacorne — Insecte, physique
Puissance 120 · Précision 85 % · 10 PP
Une charge violente, toutes cornes en avant.</t>
      </text>
    </comment>
    <comment ref="B2830" authorId="0" shapeId="0">
      <text>
        <t>NIDOKING — Poison / Sol
PV 81 · Att 102 · Déf 77
Att.Spé 85 · Déf.Spé 75 · Vit 85
Total 505
Talents : Point Poison, Rivalité (caché : Sans
  Limite)</t>
      </text>
    </comment>
    <comment ref="C2830" authorId="0" shapeId="0">
      <text>
        <t>ROIGADA — Eau / Psy
PV 95 · Att 75 · Déf 80
Att.Spé 100 · Déf.Spé 110 · Vit 30
Total 490
Talents : Benêt, Tempo Perso (caché : Régé-
  Force)</t>
      </text>
    </comment>
    <comment ref="D2830" authorId="0" shapeId="0">
      <text>
        <t>POISSOROY — Eau
PV 80 · Att 92 · Déf 65
Att.Spé 65 · Déf.Spé 80 · Vit 68
Total 450
Talents : Glissade, Ignifu-Voile (caché :
  Paratonnerre)</t>
      </text>
    </comment>
    <comment ref="B2833" authorId="0" shapeId="0">
      <text>
        <t>Point Poison
Empoisonne quand touché.</t>
      </text>
    </comment>
    <comment ref="C2833" authorId="0" shapeId="0">
      <text>
        <t>Benêt
Empêche l'attirance.</t>
      </text>
    </comment>
    <comment ref="D2833" authorId="0" shapeId="0">
      <text>
        <t>Glissade
Monte Vitesse s'il pleut.</t>
      </text>
    </comment>
    <comment ref="B2834" authorId="0" shapeId="0">
      <text>
        <t>Mania — Normal, physique
Puissance 120 · Précision 100 % · 10 PP
Une attaque furieuse de 2 à 3 tours. Lanceur
confus.</t>
      </text>
    </comment>
    <comment ref="C2834" authorId="0" shapeId="0">
      <text>
        <t>Vantardise — Normal, statut
Précision 85 % · 15 PP
Rend l'ennemi confus et booste l'Attaque.</t>
      </text>
    </comment>
    <comment ref="D2834" authorId="0" shapeId="0">
      <text>
        <t>Empal'Korne — Normal, physique
Puissance 1 · Précision 30 % · 5 PP
Empale l'ennemi d'un coup de corne. Met KO en
un coup.</t>
      </text>
    </comment>
    <comment ref="B2835" authorId="0" shapeId="0">
      <text>
        <t>Poison Croix — Poison, physique
Puissance 70 · Précision 100 % · 20 PP
Une taillade qui peut empoisonner. Critiques.</t>
      </text>
    </comment>
    <comment ref="C2835" authorId="0" shapeId="0">
      <text>
        <t>Psyko — Psy, spéciale
Puissance 90 · Précision 100 % · 10 PP
Une puissante attaque Psy pouvant baisser la
Déf. Spé.</t>
      </text>
    </comment>
    <comment ref="D2835" authorId="0" shapeId="0">
      <text>
        <t>Eau Revoir — Eau, physique
Puissance 60 · Précision 100 % · 20 PP
Attaque puis échange sa place avec un allié.</t>
      </text>
    </comment>
    <comment ref="B2836" authorId="0" shapeId="0">
      <text>
        <t>Piétisol — Sol, physique
Puissance 60 · Précision 100 % · 20 PP
Piétine le sol. Touche tout et baisse la Vit.</t>
      </text>
    </comment>
    <comment ref="C2836" authorId="0" shapeId="0">
      <text>
        <t>Atout — Normal, spéciale
Puissance 1 · Ne rate jamais · 5 PP
Moins la capacité a de PP, plus elle est
puissante.</t>
      </text>
    </comment>
    <comment ref="D2836" authorId="0" shapeId="0">
      <text>
        <t>Détrempage — Eau, statut
Précision 100 % · 20 PP
Asperge l'ennemi et le change en type Eau.</t>
      </text>
    </comment>
    <comment ref="B2837" authorId="0" shapeId="0">
      <text>
        <t>Telluriforce — Sol, spéciale
Puissance 90 · Précision 100 % · 10 PP
Le sol se déchaîne. Peut baisser la Déf. Spé.</t>
      </text>
    </comment>
    <comment ref="C2837" authorId="0" shapeId="0">
      <text>
        <t>Boost — Normal, statut
10 PP
Copie les effets de l'ennemi et les passe au
lanceur.</t>
      </text>
    </comment>
    <comment ref="D2837" authorId="0" shapeId="0">
      <text>
        <t>Mégacorne — Insecte, physique
Puissance 120 · Précision 85 % · 10 PP
Une charge violente, toutes cornes en avant.</t>
      </text>
    </comment>
    <comment ref="B2839" authorId="0" shapeId="0">
      <text>
        <t>PIKACHU — Électrik
PV 35 · Att 55 · Déf 40
Att.Spé 50 · Déf.Spé 50 · Vit 90
Total 320
Talents : Statik (caché : Paratonnerre)</t>
      </text>
    </comment>
    <comment ref="C2839" authorId="0" shapeId="0">
      <text>
        <t>PIKACHU — Électrik
PV 35 · Att 55 · Déf 40
Att.Spé 50 · Déf.Spé 50 · Vit 90
Total 320
Talents : Statik (caché : Paratonnerre)</t>
      </text>
    </comment>
    <comment ref="D2839" authorId="0" shapeId="0">
      <text>
        <t>PIKACHU — Électrik
PV 35 · Att 55 · Déf 40
Att.Spé 50 · Déf.Spé 50 · Vit 90
Total 320
Talents : Statik (caché : Paratonnerre)</t>
      </text>
    </comment>
    <comment ref="B2842" authorId="0" shapeId="0">
      <text>
        <t>Statik
Paralyse au toucher.</t>
      </text>
    </comment>
    <comment ref="C2842" authorId="0" shapeId="0">
      <text>
        <t>Statik
Paralyse au toucher.</t>
      </text>
    </comment>
    <comment ref="D2842" authorId="0" shapeId="0">
      <text>
        <t>Statik
Paralyse au toucher.</t>
      </text>
    </comment>
    <comment ref="B2843" authorId="0" shapeId="0">
      <text>
        <t>Électacle — Électrik, physique
Puissance 120 · Précision 100 % · 15 PP
Une dangereuse charge qui blesse aussi le
lanceur.</t>
      </text>
    </comment>
    <comment ref="C2843" authorId="0" shapeId="0">
      <text>
        <t>Électacle — Électrik, physique
Puissance 120 · Précision 100 % · 15 PP
Une dangereuse charge qui blesse aussi le
lanceur.</t>
      </text>
    </comment>
    <comment ref="D2843" authorId="0" shapeId="0">
      <text>
        <t>Électacle — Électrik, physique
Puissance 120 · Précision 100 % · 15 PP
Une dangereuse charge qui blesse aussi le
lanceur.</t>
      </text>
    </comment>
    <comment ref="B2844" authorId="0" shapeId="0">
      <text>
        <t>Éclair Fou — Électrik, physique
Puissance 90 · Précision 100 % · 15 PP
Une charge électrique. Blesse le lanceur.</t>
      </text>
    </comment>
    <comment ref="C2844" authorId="0" shapeId="0">
      <text>
        <t>Éclair Fou — Électrik, physique
Puissance 90 · Précision 100 % · 15 PP
Une charge électrique. Blesse le lanceur.</t>
      </text>
    </comment>
    <comment ref="D2844" authorId="0" shapeId="0">
      <text>
        <t>Éclair Fou — Électrik, physique
Puissance 90 · Précision 100 % · 15 PP
Une charge électrique. Blesse le lanceur.</t>
      </text>
    </comment>
    <comment ref="B2845" authorId="0" shapeId="0">
      <text>
        <t>Mur Lumière — Psy, statut
30 PP
Crée un mur lumineux et réduit les dégâts
d'Atq. Spé.</t>
      </text>
    </comment>
    <comment ref="C2845" authorId="0" shapeId="0">
      <text>
        <t>Mur Lumière — Psy, statut
30 PP
Crée un mur lumineux et réduit les dégâts
d'Atq. Spé.</t>
      </text>
    </comment>
    <comment ref="D2845" authorId="0" shapeId="0">
      <text>
        <t>Mur Lumière — Psy, statut
30 PP
Crée un mur lumineux et réduit les dégâts
d'Atq. Spé.</t>
      </text>
    </comment>
    <comment ref="B2846" authorId="0" shapeId="0">
      <text>
        <t>Fatal-Foudre — Électrik, spéciale
Puissance 110 · Précision 70 % · 10 PP
Une attaque foudroyante pouvant paralyser
l'ennemi.</t>
      </text>
    </comment>
    <comment ref="C2846" authorId="0" shapeId="0">
      <text>
        <t>Fatal-Foudre — Électrik, spéciale
Puissance 110 · Précision 70 % · 10 PP
Une attaque foudroyante pouvant paralyser
l'ennemi.</t>
      </text>
    </comment>
    <comment ref="D2846" authorId="0" shapeId="0">
      <text>
        <t>Fatal-Foudre — Électrik, spéciale
Puissance 110 · Précision 70 % · 10 PP
Une attaque foudroyante pouvant paralyser
l'ennemi.</t>
      </text>
    </comment>
    <comment ref="B2848" authorId="0" shapeId="0">
      <text>
        <t>CANARTICHO — Normal / Vol
PV 52 · Att 90 · Déf 55
Att.Spé 58 · Déf.Spé 62 · Vit 60
Total 377
Talents : Regard Vif, Attention (caché :
  Acharné)</t>
      </text>
    </comment>
    <comment ref="B2851" authorId="0" shapeId="0">
      <text>
        <t>Regard Vif
Empêche perte de précision.</t>
      </text>
    </comment>
    <comment ref="B2852" authorId="0" shapeId="0">
      <text>
        <t>Ruse — Normal, physique
Puissance 30 · Précision 100 % · 10 PP ·
Priorité +2</t>
      </text>
    </comment>
    <comment ref="B2853" authorId="0" shapeId="0">
      <text>
        <t>Faux-Chage — Normal, physique
Puissance 40 · Précision 100 % · 40 PP</t>
      </text>
    </comment>
    <comment ref="B2854" authorId="0" shapeId="0">
      <text>
        <t>Lame d'Air — Vol, spéciale
Puissance 75 · Précision 95 % · 15 PP
Une lame d'air. Peut apeurer l'ennemi.</t>
      </text>
    </comment>
    <comment ref="B2855" authorId="0" shapeId="0">
      <text>
        <t>Rapace — Vol, physique
Puissance 120 · Précision 100 % · 15 PP
Une charge en rase-mottes. Blesse le lanceur.</t>
      </text>
    </comment>
    <comment ref="B2857" authorId="0" shapeId="0">
      <text>
        <t>AIRMURE — Acier / Vol
PV 65 · Att 80 · Déf 140
Att.Spé 40 · Déf.Spé 70 · Vit 70
Total 465
Talents : Regard Vif, Fermeté (caché :
  Armurouillée)</t>
      </text>
    </comment>
    <comment ref="C2857" authorId="0" shapeId="0">
      <text>
        <t>RAPASDEPIC — Normal / Vol
PV 65 · Att 90 · Déf 65
Att.Spé 61 · Déf.Spé 61 · Vit 100
Total 442
Talents : Regard Vif (caché : Sniper)</t>
      </text>
    </comment>
    <comment ref="B2860" authorId="0" shapeId="0">
      <text>
        <t>Regard Vif
Empêche perte de précision.</t>
      </text>
    </comment>
    <comment ref="C2860" authorId="0" shapeId="0">
      <text>
        <t>Regard Vif
Empêche perte de précision.</t>
      </text>
    </comment>
    <comment ref="B2861" authorId="0" shapeId="0">
      <text>
        <t>Strido-Son — Acier, statut
Précision 85 % · 40 PP
Cri horrible qui baisse beaucoup la Déf. Spé.</t>
      </text>
    </comment>
    <comment ref="C2861" authorId="0" shapeId="0">
      <text>
        <t>Puissance — Normal, statut
30 PP
Concentration pour booster le taux de
critiques.</t>
      </text>
    </comment>
    <comment ref="B2862" authorId="0" shapeId="0">
      <text>
        <t>Lame d'Air — Vol, spéciale
Puissance 75 · Précision 95 % · 15 PP
Une lame d'air. Peut apeurer l'ennemi.</t>
      </text>
    </comment>
    <comment ref="C2862" authorId="0" shapeId="0">
      <text>
        <t>Atterrissage — Vol, statut
5 PP
Rend au lanceur la moitié de ses PV max.</t>
      </text>
    </comment>
    <comment ref="B2863" authorId="0" shapeId="0">
      <text>
        <t>Allègement — Acier, statut
15 PP
S'allège pour monter beaucoup la Vitesse.</t>
      </text>
    </comment>
    <comment ref="C2863" authorId="0" shapeId="0">
      <text>
        <t>Bec Vrille — Vol, physique
Puissance 80 · Précision 100 % · 20 PP
Une attaque utilisant le bec comme une
perceuse.</t>
      </text>
    </comment>
    <comment ref="B2864" authorId="0" shapeId="0">
      <text>
        <t>Tranche-Nuit — Ténèbres, physique
Puissance 70 · Précision 100 % · 15 PP
Frappe au plus vite. Critiques fréquents.</t>
      </text>
    </comment>
    <comment ref="C2864" authorId="0" shapeId="0">
      <text>
        <t>Tunnelier — Sol, physique
Puissance 80 · Précision 95 % · 10 PP
Tourne comme une perceuse. Critiques
fréquents.</t>
      </text>
    </comment>
    <comment ref="B2866" authorId="0" shapeId="0">
      <text>
        <t>SABLAIREAU — Sol
PV 75 · Att 100 · Déf 110
Att.Spé 45 · Déf.Spé 55 · Vit 65
Total 450
Talents : Voile Sable (caché : Baigne Sable)</t>
      </text>
    </comment>
    <comment ref="C2866" authorId="0" shapeId="0">
      <text>
        <t>GRAVALANCH — Roche / Sol
PV 55 · Att 95 · Déf 115
Att.Spé 45 · Déf.Spé 45 · Vit 35
Total 390
Talents : Tête de Roc, Fermeté (caché : Voile
  Sable)</t>
      </text>
    </comment>
    <comment ref="D2866" authorId="0" shapeId="0">
      <text>
        <t>GROLEM — Roche / Sol
PV 80 · Att 120 · Déf 130
Att.Spé 55 · Déf.Spé 65 · Vit 45
Total 495
Talents : Tête de Roc, Fermeté (caché : Voile
  Sable)</t>
      </text>
    </comment>
    <comment ref="E2866" authorId="0" shapeId="0">
      <text>
        <t>GRAVALANCH — Roche / Sol
PV 55 · Att 95 · Déf 115
Att.Spé 45 · Déf.Spé 45 · Vit 35
Total 390
Talents : Tête de Roc, Fermeté (caché : Voile
  Sable)</t>
      </text>
    </comment>
    <comment ref="B2869" authorId="0" shapeId="0">
      <text>
        <t>Voile Sable
Evasion si tempête sable.</t>
      </text>
    </comment>
    <comment ref="C2869" authorId="0" shapeId="0">
      <text>
        <t>Tête de Roc
Empêche dégâts du recul.</t>
      </text>
    </comment>
    <comment ref="D2869" authorId="0" shapeId="0">
      <text>
        <t>Tête de Roc
Empêche dégâts du recul.</t>
      </text>
    </comment>
    <comment ref="E2869" authorId="0" shapeId="0">
      <text>
        <t>Tête de Roc
Empêche dégâts du recul.</t>
      </text>
    </comment>
    <comment ref="B2870" authorId="0" shapeId="0">
      <text>
        <t>Gyroballe — Acier, physique
Puissance 1 · Précision 100 % · 5 PP
Une toupie qui blesse plus un ennemi rapide.</t>
      </text>
    </comment>
    <comment ref="C2870" authorId="0" shapeId="0">
      <text>
        <t>Séisme — Sol, physique
Puissance 100 · Précision 100 % · 10 PP
Secousse sans effet sur les adversaires
volants.</t>
      </text>
    </comment>
    <comment ref="D2870" authorId="0" shapeId="0">
      <text>
        <t>Séisme — Sol, physique
Puissance 100 · Précision 100 % · 10 PP
Secousse sans effet sur les adversaires
volants.</t>
      </text>
    </comment>
    <comment ref="E2870" authorId="0" shapeId="0">
      <text>
        <t>Séisme — Sol, physique
Puissance 100 · Précision 100 % · 10 PP
Secousse sans effet sur les adversaires
volants.</t>
      </text>
    </comment>
    <comment ref="B2871" authorId="0" shapeId="0">
      <text>
        <t>Danse Lames — Normal, statut
20 PP
Une danse de combat pour booster l'Attaque.</t>
      </text>
    </comment>
    <comment ref="C2871" authorId="0" shapeId="0">
      <text>
        <t>Explosion — Normal, physique
Puissance 250 · Précision 100 % · 5 PP
Inflige de sérieux dégâts, mais met le lanceur
KO.</t>
      </text>
    </comment>
    <comment ref="D2871" authorId="0" shapeId="0">
      <text>
        <t>Explosion — Normal, physique
Puissance 250 · Précision 100 % · 5 PP
Inflige de sérieux dégâts, mais met le lanceur
KO.</t>
      </text>
    </comment>
    <comment ref="E2871" authorId="0" shapeId="0">
      <text>
        <t>Explosion — Normal, physique
Puissance 250 · Précision 100 % · 5 PP
Inflige de sérieux dégâts, mais met le lanceur
KO.</t>
      </text>
    </comment>
    <comment ref="B2872" authorId="0" shapeId="0">
      <text>
        <t>Tempête de Sable — Roche, statut
10 PP
Une tempête de sable qui souffle pendant 5
tours.</t>
      </text>
    </comment>
    <comment ref="C2872" authorId="0" shapeId="0">
      <text>
        <t>Damoclès — Normal, physique
Puissance 120 · Précision 100 % · 15 PP
Une dangereuse charge qui blesse aussi le
lanceur.</t>
      </text>
    </comment>
    <comment ref="D2872" authorId="0" shapeId="0">
      <text>
        <t>Damoclès — Normal, physique
Puissance 120 · Précision 100 % · 15 PP
Une dangereuse charge qui blesse aussi le
lanceur.</t>
      </text>
    </comment>
    <comment ref="E2872" authorId="0" shapeId="0">
      <text>
        <t>Damoclès — Normal, physique
Puissance 120 · Précision 100 % · 15 PP
Une dangereuse charge qui blesse aussi le
lanceur.</t>
      </text>
    </comment>
    <comment ref="B2873" authorId="0" shapeId="0">
      <text>
        <t>Séisme — Sol, physique
Puissance 100 · Précision 100 % · 10 PP
Secousse sans effet sur les adversaires
volants.</t>
      </text>
    </comment>
    <comment ref="C2873" authorId="0" shapeId="0">
      <text>
        <t>Lame de Roc — Roche, physique
Puissance 100 · Précision 80 % · 5 PP
Transperce de pierres. Critiques fréquents.</t>
      </text>
    </comment>
    <comment ref="D2873" authorId="0" shapeId="0">
      <text>
        <t>Lame de Roc — Roche, physique
Puissance 100 · Précision 80 % · 5 PP
Transperce de pierres. Critiques fréquents.</t>
      </text>
    </comment>
    <comment ref="E2873" authorId="0" shapeId="0">
      <text>
        <t>Lame de Roc — Roche, physique
Puissance 100 · Précision 80 % · 5 PP
Transperce de pierres. Critiques fréquents.</t>
      </text>
    </comment>
    <comment ref="B2876" authorId="0" shapeId="0">
      <text>
        <t>GERMIGNON — Plante
PV 45 · Att 49 · Déf 65
Att.Spé 49 · Déf.Spé 65 · Vit 45
Total 318
Talents : Engrais (caché : Feuille Garde)</t>
      </text>
    </comment>
    <comment ref="C2876" authorId="0" shapeId="0">
      <text>
        <t>HERICENDRE — Feu
PV 39 · Att 52 · Déf 43
Att.Spé 60 · Déf.Spé 50 · Vit 65
Total 309
Talents : Brasier (caché : Torche)</t>
      </text>
    </comment>
    <comment ref="D2876" authorId="0" shapeId="0">
      <text>
        <t>KAIMINUS — Eau
PV 50 · Att 65 · Déf 64
Att.Spé 44 · Déf.Spé 48 · Vit 43
Total 314
Talents : Torrent (caché : Sans Limite)</t>
      </text>
    </comment>
    <comment ref="B2879" authorId="0" shapeId="0">
      <text>
        <t>Engrais
Augmente attaques Plante.</t>
      </text>
    </comment>
    <comment ref="C2879" authorId="0" shapeId="0">
      <text>
        <t>Brasier
Augmente attaques Feu.</t>
      </text>
    </comment>
    <comment ref="D2879" authorId="0" shapeId="0">
      <text>
        <t>Torrent
Augmente attaques Eau.</t>
      </text>
    </comment>
    <comment ref="B2880" authorId="0" shapeId="0">
      <text>
        <t>Plaquage — Normal, physique
Puissance 85 · Précision 100 % · 15 PP
Une attaque en charge. Peut paralyser
l'ennemi.</t>
      </text>
    </comment>
    <comment ref="C2880" authorId="0" shapeId="0">
      <text>
        <t>Roulade — Roche, physique
Puissance 30 · Précision 90 % · 20 PP
Une attaque sur 5 tours, de plus en plus
puissante.</t>
      </text>
    </comment>
    <comment ref="D2880" authorId="0" shapeId="0">
      <text>
        <t>Mania — Normal, physique
Puissance 120 · Précision 100 % · 10 PP
Une attaque furieuse de 2 à 3 tours. Lanceur
confus.</t>
      </text>
    </comment>
    <comment ref="B2881" authorId="0" shapeId="0">
      <text>
        <t>Rune Protect — Normal, statut
25 PP
Force mystique empêchant tout changement de
statut.</t>
      </text>
    </comment>
    <comment ref="C2881" authorId="0" shapeId="0">
      <text>
        <t>Damoclès — Normal, physique
Puissance 120 · Précision 100 % · 15 PP
Une dangereuse charge qui blesse aussi le
lanceur.</t>
      </text>
    </comment>
    <comment ref="D2881" authorId="0" shapeId="0">
      <text>
        <t>Hydro-Queue — Eau, physique
Puissance 90 · Précision 90 % · 10 PP
Balaie l'ennemi de sa queue comme une vague.</t>
      </text>
    </comment>
    <comment ref="B2882" authorId="0" shapeId="0">
      <text>
        <t>Aromathérapie — Plante, statut
5 PP
Parfum apaisant soignant les changements de
statut.</t>
      </text>
    </comment>
    <comment ref="C2882" authorId="0" shapeId="0">
      <text>
        <t>Flamme Ultime — Feu, spéciale
Puissance 130 · Précision 100 % · 5 PP
Se consume et perd le type Feu.</t>
      </text>
    </comment>
    <comment ref="D2882" authorId="0" shapeId="0">
      <text>
        <t>Surpuissance — Combat, physique
Puissance 120 · Précision 100 % · 5 PP
Booste la force, mais baisse les capacités.</t>
      </text>
    </comment>
    <comment ref="B2883" authorId="0" shapeId="0">
      <text>
        <t>Lance-Soleil — Plante, spéciale
Puissance 120 · Précision 100 % · 10 PP
Absorbe la lumière et attaque le tour suivant.</t>
      </text>
    </comment>
    <comment ref="C2883" authorId="0" shapeId="0">
      <text>
        <t>Éruption — Feu, spéciale
Puissance 150 · Précision 100 % · 5 PP
Inflige plus de dégâts si les PV du lanceur
sont élevés.</t>
      </text>
    </comment>
    <comment ref="D2883" authorId="0" shapeId="0">
      <text>
        <t>Hydrocanon — Eau, spéciale
Puissance 110 · Précision 80 % · 5 PP
Envoie un puissant jet d'eau pour frapper
l'ennemi.</t>
      </text>
    </comment>
    <comment ref="B2885" authorId="0" shapeId="0">
      <text>
        <t>RAPASDEPIC — Normal / Vol
PV 65 · Att 90 · Déf 65
Att.Spé 61 · Déf.Spé 61 · Vit 100
Total 442
Talents : Regard Vif (caché : Sniper)</t>
      </text>
    </comment>
    <comment ref="C2885" authorId="0" shapeId="0">
      <text>
        <t>RAPASDEPIC — Normal / Vol
PV 65 · Att 90 · Déf 65
Att.Spé 61 · Déf.Spé 61 · Vit 100
Total 442
Talents : Regard Vif (caché : Sniper)</t>
      </text>
    </comment>
    <comment ref="B2888" authorId="0" shapeId="0">
      <text>
        <t>Regard Vif
Empêche perte de précision.</t>
      </text>
    </comment>
    <comment ref="C2888" authorId="0" shapeId="0">
      <text>
        <t>Regard Vif
Empêche perte de précision.</t>
      </text>
    </comment>
    <comment ref="B2889" authorId="0" shapeId="0">
      <text>
        <t>Puissance — Normal, statut
30 PP
Concentration pour booster le taux de
critiques.</t>
      </text>
    </comment>
    <comment ref="C2889" authorId="0" shapeId="0">
      <text>
        <t>Puissance — Normal, statut
30 PP
Concentration pour booster le taux de
critiques.</t>
      </text>
    </comment>
    <comment ref="B2890" authorId="0" shapeId="0">
      <text>
        <t>Atterrissage — Vol, statut
5 PP
Rend au lanceur la moitié de ses PV max.</t>
      </text>
    </comment>
    <comment ref="C2890" authorId="0" shapeId="0">
      <text>
        <t>Atterrissage — Vol, statut
5 PP
Rend au lanceur la moitié de ses PV max.</t>
      </text>
    </comment>
    <comment ref="B2891" authorId="0" shapeId="0">
      <text>
        <t>Bec Vrille — Vol, physique
Puissance 80 · Précision 100 % · 20 PP
Une attaque utilisant le bec comme une
perceuse.</t>
      </text>
    </comment>
    <comment ref="C2891" authorId="0" shapeId="0">
      <text>
        <t>Bec Vrille — Vol, physique
Puissance 80 · Précision 100 % · 20 PP
Une attaque utilisant le bec comme une
perceuse.</t>
      </text>
    </comment>
    <comment ref="B2892" authorId="0" shapeId="0">
      <text>
        <t>Tunnelier — Sol, physique
Puissance 80 · Précision 95 % · 10 PP
Tourne comme une perceuse. Critiques
fréquents.</t>
      </text>
    </comment>
    <comment ref="C2892" authorId="0" shapeId="0">
      <text>
        <t>Tunnelier — Sol, physique
Puissance 80 · Précision 95 % · 10 PP
Tourne comme une perceuse. Critiques
fréquents.</t>
      </text>
    </comment>
    <comment ref="B2894" authorId="0" shapeId="0">
      <text>
        <t>CIZAYOX — Insecte / Acier
PV 70 · Att 130 · Déf 100
Att.Spé 55 · Déf.Spé 80 · Vit 65
Total 500
Talents : Essaim, Technicien (caché : Light
  Metal)</t>
      </text>
    </comment>
    <comment ref="B2897" authorId="0" shapeId="0">
      <text>
        <t>Essaim
Augmente attaques Insect.</t>
      </text>
    </comment>
    <comment ref="B2898" authorId="0" shapeId="0">
      <text>
        <t>Tranche-Nuit — Ténèbres, physique
Puissance 70 · Précision 100 % · 15 PP
Frappe au plus vite. Critiques fréquents.</t>
      </text>
    </comment>
    <comment ref="B2899" authorId="0" shapeId="0">
      <text>
        <t>Coup Double — Normal, physique
Puissance 35 · Précision 90 % · 10 PP
Frappe deux fois avec la queue ou autre.</t>
      </text>
    </comment>
    <comment ref="B2900" authorId="0" shapeId="0">
      <text>
        <t>Tête de Fer — Acier, physique
Puissance 80 · Précision 100 % · 15 PP
Un crâne dur. Peut apeurer l'ennemi.</t>
      </text>
    </comment>
    <comment ref="B2901" authorId="0" shapeId="0">
      <text>
        <t>Danse Lames — Normal, statut
20 PP
Une danse de combat pour booster l'Attaque.</t>
      </text>
    </comment>
    <comment ref="B2904" authorId="0" shapeId="0">
      <text>
        <t>MELOFEE
PV 70 · Att 45 · Déf 48
Att.Spé 60 · Déf.Spé 65 · Vit 35
Total 323
Talents : Joli Sourire, Garde Magik (caché :
  Garde-Ami)</t>
      </text>
    </comment>
    <comment ref="B2907" authorId="0" shapeId="0">
      <text>
        <t>Joli Sourire
Séduit quand touché.</t>
      </text>
    </comment>
    <comment ref="B2908" authorId="0" shapeId="0">
      <text>
        <t>Gravité — Psy, statut
5 PP
La gravité monte et annule la lévitation.</t>
      </text>
    </comment>
    <comment ref="B2909" authorId="0" shapeId="0">
      <text>
        <t>Poing Météore — Acier, physique
Puissance 90 · Précision 90 % · 10 PP
Coup de poing météore. Peut augmenter
l'Attaque.</t>
      </text>
    </comment>
    <comment ref="B2910" authorId="0" shapeId="0">
      <text>
        <t>Vœu Soin — Psy, statut
10 PP</t>
      </text>
    </comment>
    <comment ref="B2911" authorId="0" shapeId="0">
      <text>
        <t>Après Vous — Normal, statut
15 PP
Laisse la cible agir juste après.</t>
      </text>
    </comment>
    <comment ref="B2913" authorId="0" shapeId="0">
      <text>
        <t>CAPUMAIN — Normal
PV 55 · Att 70 · Déf 55
Att.Spé 40 · Déf.Spé 55 · Vit 85
Total 360
Talents : Fuite, Ramassage (caché : Multi-
  Coups)</t>
      </text>
    </comment>
    <comment ref="C2913" authorId="0" shapeId="0">
      <text>
        <t>OSSELAIT — Sol
PV 50 · Att 50 · Déf 95
Att.Spé 40 · Déf.Spé 50 · Vit 35
Total 320
Talents : Tête de Roc, Paratonnerre (caché :
  Armurbaston)</t>
      </text>
    </comment>
    <comment ref="B2916" authorId="0" shapeId="0">
      <text>
        <t>Fuite
Améliore chances de fuite.</t>
      </text>
    </comment>
    <comment ref="C2916" authorId="0" shapeId="0">
      <text>
        <t>Tête de Roc
Empêche dégâts du recul.</t>
      </text>
    </comment>
    <comment ref="B2917" authorId="0" shapeId="0">
      <text>
        <t>Coup Double — Normal, physique
Puissance 35 · Précision 90 % · 10 PP
Frappe deux fois avec la queue ou autre.</t>
      </text>
    </comment>
    <comment ref="C2917" authorId="0" shapeId="0">
      <text>
        <t>Effort — Normal, physique
Puissance 1 · Précision 100 % · 5 PP
Gagne en puissance si PV inférieurs aux PV
ennemis.</t>
      </text>
    </comment>
    <comment ref="B2918" authorId="0" shapeId="0">
      <text>
        <t>Dégommage — Ténèbres, physique
Puissance 1 · Précision 100 % · 10 PP
L'effet varie selon l'objet tenu.</t>
      </text>
    </comment>
    <comment ref="C2918" authorId="0" shapeId="0">
      <text>
        <t>Damoclès — Normal, physique
Puissance 120 · Précision 100 % · 15 PP
Une dangereuse charge qui blesse aussi le
lanceur.</t>
      </text>
    </comment>
    <comment ref="B2919" authorId="0" shapeId="0">
      <text>
        <t>Machination — Ténèbres, statut
20 PP
De mauvaises pensées montent beaucoup l'Atq.
Spé.</t>
      </text>
    </comment>
    <comment ref="C2919" authorId="0" shapeId="0">
      <text>
        <t>Vengeance — Normal, physique
Puissance 70 · Précision 100 % · 5 PP
Plus puissant si un allié est tombé K.O.</t>
      </text>
    </comment>
    <comment ref="B2920" authorId="0" shapeId="0">
      <text>
        <t>Dernier Recours — Normal, physique
Puissance 140 · Précision 100 % · 5 PP
Utilisable après toutes les autres capacités.</t>
      </text>
    </comment>
    <comment ref="C2920" authorId="0" shapeId="0">
      <text>
        <t>Charge Os — Sol, physique
Puissance 25 · Précision 90 % · 10 PP
Frappe l'ennemi 2 à 5 fois avec un os.</t>
      </text>
    </comment>
    <comment ref="B2922" authorId="0" shapeId="0">
      <text>
        <t>ELECTRODE — Électrik
PV 60 · Att 50 · Déf 70
Att.Spé 80 · Déf.Spé 80 · Vit 150
Total 490
Talents : Anti-Bruit, Statik (caché : Boom
  Final)</t>
      </text>
    </comment>
    <comment ref="C2922" authorId="0" shapeId="0">
      <text>
        <t>MAGNETI — Électrik
PV 25 · Att 35 · Déf 70
Att.Spé 95 · Déf.Spé 55 · Vit 45
Total 325
Talents : Magnépiège, Fermeté (caché :
  Analyste)</t>
      </text>
    </comment>
    <comment ref="B2925" authorId="0" shapeId="0">
      <text>
        <t>Anti-Bruit
Évite les coups sonores.</t>
      </text>
    </comment>
    <comment ref="C2925" authorId="0" shapeId="0">
      <text>
        <t>Magnépiège
Piège les Pokémon Acier.</t>
      </text>
    </comment>
    <comment ref="B2926" authorId="0" shapeId="0">
      <text>
        <t>Explosion — Normal, physique
Puissance 250 · Précision 100 % · 5 PP
Inflige de sérieux dégâts, mais met le lanceur
KO.</t>
      </text>
    </comment>
    <comment ref="C2926" authorId="0" shapeId="0">
      <text>
        <t>Verrouillage — Normal, statut
5 PP
Verrouille la cible pour ne pas la rater au
tour suivant.</t>
      </text>
    </comment>
    <comment ref="B2927" authorId="0" shapeId="0">
      <text>
        <t>Gyroballe — Acier, physique
Puissance 1 · Précision 100 % · 5 PP
Une toupie qui blesse plus un ennemi rapide.</t>
      </text>
    </comment>
    <comment ref="C2927" authorId="0" shapeId="0">
      <text>
        <t>Vol Magnétik — Électrik, statut
10 PP
Le lanceur lévite par magnétisme.</t>
      </text>
    </comment>
    <comment ref="B2928" authorId="0" shapeId="0">
      <text>
        <t>Luminocanon — Acier, spéciale
Puissance 80 · Précision 100 % · 10 PP
Un jet de lumière. Peut baisser la Déf. Spé.</t>
      </text>
    </comment>
    <comment ref="C2928" authorId="0" shapeId="0">
      <text>
        <t>Gyroballe — Acier, physique
Puissance 1 · Précision 100 % · 5 PP
Une toupie qui blesse plus un ennemi rapide.</t>
      </text>
    </comment>
    <comment ref="B2929" authorId="0" shapeId="0">
      <text>
        <t>Voile Miroir — Psy, spéciale
Puissance 1 · Précision 100 % · 20 PP ·
Priorité -5
Renvoie l'attaque spéciale ennemie 2 fois plus
fort.</t>
      </text>
    </comment>
    <comment ref="C2929" authorId="0" shapeId="0">
      <text>
        <t>Élecanon — Électrik, spéciale
Puissance 120 · Précision 50 % · 5 PP
Puissant et paralysant, mais pas très précis.</t>
      </text>
    </comment>
    <comment ref="B2931" authorId="0" shapeId="0">
      <text>
        <t>XATU — Psy / Vol
PV 65 · Att 75 · Déf 70
Att.Spé 95 · Déf.Spé 70 · Vit 95
Total 470
Talents : Synchro, Matinal (caché : Miroir
  Magik)</t>
      </text>
    </comment>
    <comment ref="C2931" authorId="0" shapeId="0">
      <text>
        <t>ALAKAZAM — Psy
PV 55 · Att 50 · Déf 45
Att.Spé 135 · Déf.Spé 135 · Vit 120
Total 540
Talents : Synchro, Attention (caché : Garde
  Magik)</t>
      </text>
    </comment>
    <comment ref="B2934" authorId="0" shapeId="0">
      <text>
        <t>Synchro
Transfère statuts.</t>
      </text>
    </comment>
    <comment ref="C2934" authorId="0" shapeId="0">
      <text>
        <t>Synchro
Transfère statuts.</t>
      </text>
    </comment>
    <comment ref="B2935" authorId="0" shapeId="0">
      <text>
        <t>Prescience — Psy, spéciale
Puissance 120 · Précision 100 % · 10 PP
Accumule de l'énergie pour frapper 2 tours
plus tard.</t>
      </text>
    </comment>
    <comment ref="C2935" authorId="0" shapeId="0">
      <text>
        <t>Psyko — Psy, spéciale
Puissance 90 · Précision 100 % · 10 PP
Une puissante attaque Psy pouvant baisser la
Déf. Spé.</t>
      </text>
    </comment>
    <comment ref="B2936" authorId="0" shapeId="0">
      <text>
        <t>Permuforce — Psy, statut
10 PP
Échange les hausses d'Attaque et d'Atq. Spé.</t>
      </text>
    </comment>
    <comment ref="C2936" authorId="0" shapeId="0">
      <text>
        <t>Plénitude — Psy, statut
20 PP
Méditation pour augmenter l'Atq. Spé. et la
Déf. Spé.</t>
      </text>
    </comment>
    <comment ref="B2937" authorId="0" shapeId="0">
      <text>
        <t>Permugarde — Psy, statut
10 PP
Échange les hausses de Déf. et de Déf. Spé.</t>
      </text>
    </comment>
    <comment ref="C2937" authorId="0" shapeId="0">
      <text>
        <t>Prescience — Psy, spéciale
Puissance 120 · Précision 100 % · 10 PP
Accumule de l'énergie pour frapper 2 tours
plus tard.</t>
      </text>
    </comment>
    <comment ref="B2938" authorId="0" shapeId="0">
      <text>
        <t>Moi d'Abord — Normal, statut
20 PP
Utilise l'attaque ennemie, en plus puissant.</t>
      </text>
    </comment>
    <comment ref="C2938" authorId="0" shapeId="0">
      <text>
        <t>Tour de Magie — Psy, statut
Précision 100 % · 10 PP
Oblige la cible à échanger les objets tenus.</t>
      </text>
    </comment>
    <comment ref="B2940" authorId="0" shapeId="0">
      <text>
        <t>TAUROS — Normal
PV 75 · Att 100 · Déf 95
Att.Spé 40 · Déf.Spé 70 · Vit 110
Total 490
Talents : Intimidation, Colérique (caché :
  Sans Limite)</t>
      </text>
    </comment>
    <comment ref="C2940" authorId="0" shapeId="0">
      <text>
        <t>EMPIFLOR — Plante / Poison
PV 80 · Att 105 · Déf 65
Att.Spé 100 · Déf.Spé 100 · Vit 70
Total 520
Talents : Chlorophylle (caché : Gloutonnerie)</t>
      </text>
    </comment>
    <comment ref="B2943" authorId="0" shapeId="0">
      <text>
        <t>Intimidation
Baisse l'Attaque ennemie.</t>
      </text>
    </comment>
    <comment ref="C2943" authorId="0" shapeId="0">
      <text>
        <t>Chlorophylle
Augmente Vitesse au soleil.</t>
      </text>
    </comment>
    <comment ref="B2944" authorId="0" shapeId="0">
      <text>
        <t>Psykoud'Boul — Psy, physique
Puissance 80 · Précision 90 % · 15 PP
Un coup de tête. Peut apeurer l'ennemi.</t>
      </text>
    </comment>
    <comment ref="C2944" authorId="0" shapeId="0">
      <text>
        <t>Lame Feuille — Plante, physique
Puissance 90 · Précision 100 % · 15 PP
Tranche avec une feuille. Taux de critiques
élevé.</t>
      </text>
    </comment>
    <comment ref="B2945" authorId="0" shapeId="0">
      <text>
        <t>Vantardise — Normal, statut
Précision 85 % · 15 PP
Rend l'ennemi confus et booste l'Attaque.</t>
      </text>
    </comment>
    <comment ref="C2945" authorId="0" shapeId="0">
      <text>
        <t>Suc Digestif — Poison, statut
Précision 100 % · 10 PP
Un acide qui annule le talent ennemi.</t>
      </text>
    </comment>
    <comment ref="B2946" authorId="0" shapeId="0">
      <text>
        <t>Pied Brûleur — Feu, physique
Puissance 85 · Précision 90 % · 10 PP
Coup de pied à taux de critiques élevé. Peut
brûler.</t>
      </text>
    </comment>
    <comment ref="C2946" authorId="0" shapeId="0">
      <text>
        <t>Tranch'Herbe — Plante, physique
Puissance 55 · Précision 95 % · 25 PP
Tranche avec des feuilles. Taux de critiques
élevé.</t>
      </text>
    </comment>
    <comment ref="B2947" authorId="0" shapeId="0">
      <text>
        <t>Mania — Normal, physique
Puissance 120 · Précision 100 % · 10 PP
Une attaque furieuse de 2 à 3 tours. Lanceur
confus.</t>
      </text>
    </comment>
    <comment ref="C2947" authorId="0" shapeId="0">
      <text>
        <t>Direct Toxik — Poison, physique
Puissance 80 · Précision 100 % · 20 PP
Un coup perforant qui peut empoisonner.</t>
      </text>
    </comment>
    <comment ref="B2949" authorId="0" shapeId="0">
      <text>
        <t>PARASECT — Insecte / Plante
PV 60 · Att 95 · Déf 80
Att.Spé 60 · Déf.Spé 80 · Vit 30
Total 405
Talents : Pose Spore, Peau Sèche (caché :
  Moiteur)</t>
      </text>
    </comment>
    <comment ref="C2949" authorId="0" shapeId="0">
      <text>
        <t>TARTARD — Eau / Combat
PV 90 · Att 95 · Déf 95
Att.Spé 70 · Déf.Spé 90 · Vit 70
Total 510
Talents : Absorbe-Eau, Moiteur (caché :
  Glissade)</t>
      </text>
    </comment>
    <comment ref="D2949" authorId="0" shapeId="0">
      <text>
        <t>METAMORPH — Normal
PV 48 · Att 48 · Déf 48
Att.Spé 48 · Déf.Spé 48 · Vit 48
Total 288
Talents : Échauffement (caché : Imposteur)</t>
      </text>
    </comment>
    <comment ref="B2952" authorId="0" shapeId="0">
      <text>
        <t>Pose Spore
Laisse spores si touché.</t>
      </text>
    </comment>
    <comment ref="C2952" authorId="0" shapeId="0">
      <text>
        <t>Absorbe-Eau
Change l'eau en PV.</t>
      </text>
    </comment>
    <comment ref="D2952" authorId="0" shapeId="0">
      <text>
        <t>Échauffement
Empêche la paralysie.</t>
      </text>
    </comment>
    <comment ref="B2953" authorId="0" shapeId="0">
      <text>
        <t>Croissance — Normal, statut
20 PP</t>
      </text>
    </comment>
    <comment ref="C2953" authorId="0" shapeId="0">
      <text>
        <t>Lire-Esprit — Normal, statut
5 PP
Pressent l'action pour réussir l'attaque
suivante.</t>
      </text>
    </comment>
    <comment ref="D2953" authorId="0" shapeId="0">
      <text>
        <t>Morphing — Normal, statut
10 PP
Modifie ses cellules pour copier l'ennemi.</t>
      </text>
    </comment>
    <comment ref="B2954" authorId="0" shapeId="0">
      <text>
        <t>Giga-Sangsue — Plante, spéciale
Puissance 75 · Précision 100 % · 25 PP
Une attaque qui absorbe la moitié des dégâts
infligés.</t>
      </text>
    </comment>
    <comment ref="C2954" authorId="0" shapeId="0">
      <text>
        <t>Cognobidon — Normal, statut
10 PP
Améliore l'Attaque à fond en sacrifiant la
moitié des PV.</t>
      </text>
    </comment>
    <comment ref="B2955" authorId="0" shapeId="0">
      <text>
        <t>Aromathérapie — Plante, statut
5 PP
Parfum apaisant soignant les changements de
statut.</t>
      </text>
    </comment>
    <comment ref="C2955" authorId="0" shapeId="0">
      <text>
        <t>Projection — Combat, physique
Puissance 60 · Précision 90 % · 10 PP ·
Priorité -6</t>
      </text>
    </comment>
    <comment ref="B2956" authorId="0" shapeId="0">
      <text>
        <t>Pince-Masse — Eau, physique
Puissance 100 · Précision 90 % · 10 PP
Attaque critique qui utilise une grosse pince.</t>
      </text>
    </comment>
    <comment ref="C2956" authorId="0" shapeId="0">
      <text>
        <t>Réveil Forcé — Combat, physique
Puissance 70 · Précision 100 % · 10 PP
Puissant sur un dormeur. Le réveille aussi.</t>
      </text>
    </comment>
    <comment ref="B2959" authorId="0" shapeId="0">
      <text>
        <t>RAFFLESIA — Plante / Poison
PV 75 · Att 80 · Déf 85
Att.Spé 110 · Déf.Spé 90 · Vit 50
Total 490
Talents : Chlorophylle (caché : Pose Spore)</t>
      </text>
    </comment>
    <comment ref="C2959" authorId="0" shapeId="0">
      <text>
        <t>ARBOK — Poison
PV 60 · Att 95 · Déf 69
Att.Spé 65 · Déf.Spé 79 · Vit 80
Total 448
Talents : Intimidation, Mue (caché : Tension)</t>
      </text>
    </comment>
    <comment ref="D2959" authorId="0" shapeId="0">
      <text>
        <t>RAFFLESIA — Plante / Poison
PV 75 · Att 80 · Déf 85
Att.Spé 110 · Déf.Spé 90 · Vit 50
Total 490
Talents : Chlorophylle (caché : Pose Spore)</t>
      </text>
    </comment>
    <comment ref="B2962" authorId="0" shapeId="0">
      <text>
        <t>Chlorophylle
Augmente Vitesse au soleil.</t>
      </text>
    </comment>
    <comment ref="C2962" authorId="0" shapeId="0">
      <text>
        <t>Intimidation
Baisse l'Attaque ennemie.</t>
      </text>
    </comment>
    <comment ref="D2962" authorId="0" shapeId="0">
      <text>
        <t>Chlorophylle
Augmente Vitesse au soleil.</t>
      </text>
    </comment>
    <comment ref="B2963" authorId="0" shapeId="0">
      <text>
        <t>Giga-Sangsue — Plante, spéciale
Puissance 75 · Précision 100 % · 25 PP
Une attaque qui absorbe la moitié des dégâts
infligés.</t>
      </text>
    </comment>
    <comment ref="C2963" authorId="0" shapeId="0">
      <text>
        <t>Suc Digestif — Poison, statut
Précision 100 % · 10 PP
Un acide qui annule le talent ennemi.</t>
      </text>
    </comment>
    <comment ref="D2963" authorId="0" shapeId="0">
      <text>
        <t>Giga-Sangsue — Plante, spéciale
Puissance 75 · Précision 100 % · 25 PP
Une attaque qui absorbe la moitié des dégâts
infligés.</t>
      </text>
    </comment>
    <comment ref="B2964" authorId="0" shapeId="0">
      <text>
        <t>Toxik — Poison, statut
Précision 90 % · 10 PP
Empoisonne l'ennemi avec une toxine de plus en
plus forte.</t>
      </text>
    </comment>
    <comment ref="C2964" authorId="0" shapeId="0">
      <text>
        <t>Éructation — Poison, spéciale
Puissance 120 · Précision 90 % · 10 PP
Un gros rot. Exige d'avoir mangé une Baie.</t>
      </text>
    </comment>
    <comment ref="D2964" authorId="0" shapeId="0">
      <text>
        <t>Toxik — Poison, statut
Précision 90 % · 10 PP
Empoisonne l'ennemi avec une toxine de plus en
plus forte.</t>
      </text>
    </comment>
    <comment ref="B2965" authorId="0" shapeId="0">
      <text>
        <t>Don Naturel — Normal, physique
Puissance 1 · Précision 100 % · 15 PP
L'effet varie selon la Baie tenue.</t>
      </text>
    </comment>
    <comment ref="C2965" authorId="0" shapeId="0">
      <text>
        <t>Buée Noire — Glace, statut
30 PP
Crée un nuage noir annulant tout changement
d'état.</t>
      </text>
    </comment>
    <comment ref="D2965" authorId="0" shapeId="0">
      <text>
        <t>Don Naturel — Normal, physique
Puissance 1 · Précision 100 % · 15 PP
L'effet varie selon la Baie tenue.</t>
      </text>
    </comment>
    <comment ref="B2966" authorId="0" shapeId="0">
      <text>
        <t>Danse Fleurs — Plante, spéciale
Puissance 120 · Précision 100 % · 10 PP
Une attaque furieuse de 2 à 3 tours. Lanceur
confus.</t>
      </text>
    </comment>
    <comment ref="C2966" authorId="0" shapeId="0">
      <text>
        <t>Enroulement — Poison, statut
20 PP
S'enroule. Monte Atq., Déf. et Précision.</t>
      </text>
    </comment>
    <comment ref="D2966" authorId="0" shapeId="0">
      <text>
        <t>Danse Fleurs — Plante, spéciale
Puissance 120 · Précision 100 % · 10 PP
Une attaque furieuse de 2 à 3 tours. Lanceur
confus.</t>
      </text>
    </comment>
    <comment ref="B2968" authorId="0" shapeId="0">
      <text>
        <t>FLORIZARRE — Plante / Poison
PV 80 · Att 82 · Déf 83
Att.Spé 100 · Déf.Spé 100 · Vit 80
Total 525
Talents : Engrais (caché : Chlorophylle)</t>
      </text>
    </comment>
    <comment ref="C2968" authorId="0" shapeId="0">
      <text>
        <t>QWILFISH — Eau / Poison
PV 65 · Att 95 · Déf 85
Att.Spé 55 · Déf.Spé 55 · Vit 85
Total 440
Talents : Point Poison, Glissade (caché :
  Intimidation)</t>
      </text>
    </comment>
    <comment ref="D2968" authorId="0" shapeId="0">
      <text>
        <t>GROTADMORV — Poison
PV 105 · Att 105 · Déf 75
Att.Spé 65 · Déf.Spé 100 · Vit 50
Total 500
Talents : Puanteur, Glu (caché : Toxitouche)</t>
      </text>
    </comment>
    <comment ref="B2971" authorId="0" shapeId="0">
      <text>
        <t>Engrais
Augmente attaques Plante.</t>
      </text>
    </comment>
    <comment ref="C2971" authorId="0" shapeId="0">
      <text>
        <t>Point Poison
Empoisonne quand touché.</t>
      </text>
    </comment>
    <comment ref="D2971" authorId="0" shapeId="0">
      <text>
        <t>Puanteur
Repousse Pokémon sauvage.</t>
      </text>
    </comment>
    <comment ref="B2972" authorId="0" shapeId="0">
      <text>
        <t>Soucigraine — Plante, statut
Précision 100 % · 10 PP
Plante une graine qui donne Insomnia.</t>
      </text>
    </comment>
    <comment ref="C2972" authorId="0" shapeId="0">
      <text>
        <t>Hydro-Queue — Eau, physique
Puissance 90 · Précision 90 % · 10 PP
Balaie l'ennemi de sa queue comme une vague.</t>
      </text>
    </comment>
    <comment ref="D2972" authorId="0" shapeId="0">
      <text>
        <t>Détricanon — Poison, physique
Puissance 120 · Précision 80 % · 5 PP
Des ordures sur l'ennemi. Peut empoisonner.</t>
      </text>
    </comment>
    <comment ref="B2973" authorId="0" shapeId="0">
      <text>
        <t>Synthèse — Plante, statut
5 PP
Restaure les PV. La quantité varie suivant le
temps.</t>
      </text>
    </comment>
    <comment ref="C2973" authorId="0" shapeId="0">
      <text>
        <t>Direct Toxik — Poison, physique
Puissance 80 · Précision 100 % · 20 PP
Un coup perforant qui peut empoisonner.</t>
      </text>
    </comment>
    <comment ref="D2973" authorId="0" shapeId="0">
      <text>
        <t>Acidarmure — Poison, statut
20 PP
Liquéfie le corps du lanceur et booste sa
Défense.</t>
      </text>
    </comment>
    <comment ref="B2974" authorId="0" shapeId="0">
      <text>
        <t>Tempête Florale — Plante, physique
Puissance 90 · Précision 100 % · 15 PP
Une tempête de pétales sur tout le monde.</t>
      </text>
    </comment>
    <comment ref="C2974" authorId="0" shapeId="0">
      <text>
        <t>Lien du Destin — Spectre, statut
5 PP
Si le lanceur est mis KO, l'ennemi le sera
également.</t>
      </text>
    </comment>
    <comment ref="D2974" authorId="0" shapeId="0">
      <text>
        <t>Éructation — Poison, spéciale
Puissance 120 · Précision 90 % · 10 PP
Un gros rot. Exige d'avoir mangé une Baie.</t>
      </text>
    </comment>
    <comment ref="B2975" authorId="0" shapeId="0">
      <text>
        <t>Lance-Soleil — Plante, spéciale
Puissance 120 · Précision 100 % · 10 PP
Absorbe la lumière et attaque le tour suivant.</t>
      </text>
    </comment>
    <comment ref="C2975" authorId="0" shapeId="0">
      <text>
        <t>Hydrocanon — Eau, spéciale
Puissance 110 · Précision 80 % · 5 PP
Envoie un puissant jet d'eau pour frapper
l'ennemi.</t>
      </text>
    </comment>
    <comment ref="D2975" authorId="0" shapeId="0">
      <text>
        <t>Souvenir — Ténèbres, statut
Précision 100 % · 10 PP
Le lanceur est mis K.O. et baisse les cap.
ennemies.</t>
      </text>
    </comment>
    <comment ref="B2977" authorId="0" shapeId="0">
      <text>
        <t>TENTACRUEL — Eau / Poison
PV 80 · Att 70 · Déf 65
Att.Spé 80 · Déf.Spé 120 · Vit 100
Total 515
Talents : Corps Sain, Suintement (caché :
  Cuvette)</t>
      </text>
    </comment>
    <comment ref="C2977" authorId="0" shapeId="0">
      <text>
        <t>NIDOQUEEN — Poison / Sol
PV 90 · Att 92 · Déf 87
Att.Spé 75 · Déf.Spé 85 · Vit 76
Total 505
Talents : Point Poison, Rivalité (caché : Sans
  Limite)</t>
      </text>
    </comment>
    <comment ref="B2980" authorId="0" shapeId="0">
      <text>
        <t>Corps Sain
Empêche réduction de cap.</t>
      </text>
    </comment>
    <comment ref="C2980" authorId="0" shapeId="0">
      <text>
        <t>Point Poison
Empoisonne quand touché.</t>
      </text>
    </comment>
    <comment ref="B2981" authorId="0" shapeId="0">
      <text>
        <t>Châtiment — Spectre, spéciale
Puissance 65 · Précision 100 % · 10 PP
Double les dégâts si l'ennemi a un statut.</t>
      </text>
    </comment>
    <comment ref="C2981" authorId="0" shapeId="0">
      <text>
        <t>Poison Croix — Poison, physique
Puissance 70 · Précision 100 % · 20 PP
Une taillade qui peut empoisonner. Critiques.</t>
      </text>
    </comment>
    <comment ref="B2982" authorId="0" shapeId="0">
      <text>
        <t>Cradovague — Poison, spéciale
Puissance 95 · Précision 100 % · 10 PP
Une vague de boue. Peut empoisonner.</t>
      </text>
    </comment>
    <comment ref="C2982" authorId="0" shapeId="0">
      <text>
        <t>Piétisol — Sol, physique
Puissance 60 · Précision 100 % · 20 PP
Piétine le sol. Touche tout et baisse la Vit.</t>
      </text>
    </comment>
    <comment ref="B2983" authorId="0" shapeId="0">
      <text>
        <t>Hydrocanon — Eau, spéciale
Puissance 110 · Précision 80 % · 5 PP
Envoie un puissant jet d'eau pour frapper
l'ennemi.</t>
      </text>
    </comment>
    <comment ref="C2983" authorId="0" shapeId="0">
      <text>
        <t>Telluriforce — Sol, spéciale
Puissance 90 · Précision 100 % · 10 PP
Le sol se déchaîne. Peut baisser la Déf. Spé.</t>
      </text>
    </comment>
    <comment ref="B2984" authorId="0" shapeId="0">
      <text>
        <t>Essorage — Normal, spéciale
Puissance 120 · Précision 100 % · 5 PP</t>
      </text>
    </comment>
    <comment ref="C2984" authorId="0" shapeId="0">
      <text>
        <t>Surpuissance — Combat, physique
Puissance 120 · Précision 100 % · 5 PP
Booste la force, mais baisse les capacités.</t>
      </text>
    </comment>
    <comment ref="B2986" authorId="0" shapeId="0">
      <text>
        <t>TENTACRUEL — Eau / Poison
PV 80 · Att 70 · Déf 65
Att.Spé 80 · Déf.Spé 120 · Vit 100
Total 515
Talents : Corps Sain, Suintement (caché :
  Cuvette)</t>
      </text>
    </comment>
    <comment ref="C2986" authorId="0" shapeId="0">
      <text>
        <t>NIDOKING — Poison / Sol
PV 81 · Att 102 · Déf 77
Att.Spé 85 · Déf.Spé 75 · Vit 85
Total 505
Talents : Point Poison, Rivalité (caché : Sans
  Limite)</t>
      </text>
    </comment>
    <comment ref="B2989" authorId="0" shapeId="0">
      <text>
        <t>Corps Sain
Empêche réduction de cap.</t>
      </text>
    </comment>
    <comment ref="C2989" authorId="0" shapeId="0">
      <text>
        <t>Point Poison
Empoisonne quand touché.</t>
      </text>
    </comment>
    <comment ref="B2990" authorId="0" shapeId="0">
      <text>
        <t>Châtiment — Spectre, spéciale
Puissance 65 · Précision 100 % · 10 PP
Double les dégâts si l'ennemi a un statut.</t>
      </text>
    </comment>
    <comment ref="C2990" authorId="0" shapeId="0">
      <text>
        <t>Piétisol — Sol, physique
Puissance 60 · Précision 100 % · 20 PP
Piétine le sol. Touche tout et baisse la Vit.</t>
      </text>
    </comment>
    <comment ref="B2991" authorId="0" shapeId="0">
      <text>
        <t>Cradovague — Poison, spéciale
Puissance 95 · Précision 100 % · 10 PP
Une vague de boue. Peut empoisonner.</t>
      </text>
    </comment>
    <comment ref="C2991" authorId="0" shapeId="0">
      <text>
        <t>Telluriforce — Sol, spéciale
Puissance 90 · Précision 100 % · 10 PP
Le sol se déchaîne. Peut baisser la Déf. Spé.</t>
      </text>
    </comment>
    <comment ref="B2992" authorId="0" shapeId="0">
      <text>
        <t>Hydrocanon — Eau, spéciale
Puissance 110 · Précision 80 % · 5 PP
Envoie un puissant jet d'eau pour frapper
l'ennemi.</t>
      </text>
    </comment>
    <comment ref="C2992" authorId="0" shapeId="0">
      <text>
        <t>Mégacorne — Insecte, physique
Puissance 120 · Précision 85 % · 10 PP
Une charge violente, toutes cornes en avant.</t>
      </text>
    </comment>
    <comment ref="B2993" authorId="0" shapeId="0">
      <text>
        <t>Essorage — Normal, spéciale
Puissance 120 · Précision 100 % · 5 PP</t>
      </text>
    </comment>
    <comment ref="C2993" authorId="0" shapeId="0">
      <text>
        <t>Encornebois — Plante, physique
Puissance 75 · Précision 100 % · 10 PP</t>
      </text>
    </comment>
    <comment ref="B2995" authorId="0" shapeId="0">
      <text>
        <t>SMOGOGO — Poison
PV 65 · Att 90 · Déf 120
Att.Spé 85 · Déf.Spé 70 · Vit 60
Total 490
Talents : Lévitation, Gaz Inhibiteur (caché :
  Puanteur)</t>
      </text>
    </comment>
    <comment ref="C2995" authorId="0" shapeId="0">
      <text>
        <t>GROTADMORV — Poison
PV 105 · Att 105 · Déf 75
Att.Spé 65 · Déf.Spé 100 · Vit 50
Total 500
Talents : Puanteur, Glu (caché : Toxitouche)</t>
      </text>
    </comment>
    <comment ref="D2995" authorId="0" shapeId="0">
      <text>
        <t>AVALTOUT — Poison
PV 100 · Att 73 · Déf 83
Att.Spé 73 · Déf.Spé 83 · Vit 55
Total 467
Talents : Suintement, Glu (caché :
  Gloutonnerie)</t>
      </text>
    </comment>
    <comment ref="E2995" authorId="0" shapeId="0">
      <text>
        <t>NIDOQUEEN — Poison / Sol
PV 90 · Att 92 · Déf 87
Att.Spé 75 · Déf.Spé 85 · Vit 76
Total 505
Talents : Point Poison, Rivalité (caché : Sans
  Limite)</t>
      </text>
    </comment>
    <comment ref="F2995" authorId="0" shapeId="0">
      <text>
        <t>NOSTENFER — Poison / Vol
PV 85 · Att 90 · Déf 80
Att.Spé 70 · Déf.Spé 80 · Vit 130
Total 535
Talents : Attention (caché : Infiltration)</t>
      </text>
    </comment>
    <comment ref="G2995" authorId="0" shapeId="0">
      <text>
        <t>AEROMITE — Insecte / Poison
PV 70 · Att 65 · Déf 60
Att.Spé 90 · Déf.Spé 75 · Vit 90
Total 450
Talents : Écran Poudre, Lentiteintée (caché :
  Peau Miracle)</t>
      </text>
    </comment>
    <comment ref="B2997" authorId="0" shapeId="0">
      <text>
        <t>Restes
Objet tenu permet- tant de restaurer les PV au
combat.</t>
      </text>
    </comment>
    <comment ref="E2997" authorId="0" shapeId="0">
      <text>
        <t>Vive Griffe
Objet tenu qui permet parfois de frapper le
premier.</t>
      </text>
    </comment>
    <comment ref="G2997" authorId="0" shapeId="0">
      <text>
        <t>Poudre Claire
Objet tenu qui éblouit et baisse la précision.</t>
      </text>
    </comment>
    <comment ref="B2998" authorId="0" shapeId="0">
      <text>
        <t>Lévitation
Ignore les attaques Sol.</t>
      </text>
    </comment>
    <comment ref="C2998" authorId="0" shapeId="0">
      <text>
        <t>Puanteur
Repousse Pokémon sauvage.</t>
      </text>
    </comment>
    <comment ref="D2998" authorId="0" shapeId="0">
      <text>
        <t>Suintement
Blesse quand drainé.</t>
      </text>
    </comment>
    <comment ref="E2998" authorId="0" shapeId="0">
      <text>
        <t>Point Poison
Empoisonne quand touché.</t>
      </text>
    </comment>
    <comment ref="F2998" authorId="0" shapeId="0">
      <text>
        <t>Attention
Empêche la peur.</t>
      </text>
    </comment>
    <comment ref="G2998" authorId="0" shapeId="0">
      <text>
        <t>Écran Poudre
Empêche le cumul d'effets.</t>
      </text>
    </comment>
    <comment ref="B2999" authorId="0" shapeId="0">
      <text>
        <t>Bombe Beurk — Poison, spéciale
Puissance 90 · Précision 100 % · 10 PP
Envoie des détritus pour blesser. Peut
empoisonner.</t>
      </text>
    </comment>
    <comment ref="C2999" authorId="0" shapeId="0">
      <text>
        <t>Lilliput — Normal, statut
10 PP</t>
      </text>
    </comment>
    <comment ref="D2999" authorId="0" shapeId="0">
      <text>
        <t>Avale — Normal, statut
10 PP
Absorbe la puissance accu- mulée et restaure
les PV.</t>
      </text>
    </comment>
    <comment ref="E2999" authorId="0" shapeId="0">
      <text>
        <t>Séisme — Sol, physique
Puissance 100 · Précision 100 % · 10 PP
Secousse sans effet sur les adversaires
volants.</t>
      </text>
    </comment>
    <comment ref="F2999" authorId="0" shapeId="0">
      <text>
        <t>Lame d'Air — Vol, spéciale
Puissance 75 · Précision 95 % · 15 PP
Une lame d'air. Peut apeurer l'ennemi.</t>
      </text>
    </comment>
    <comment ref="G2999" authorId="0" shapeId="0">
      <text>
        <t>Rayon Signal — Insecte, spéciale
Puissance 75 · Précision 100 % · 15 PP
Un étrange rayon qui peut rendre l'ennemi
confus.</t>
      </text>
    </comment>
    <comment ref="B3000" authorId="0" shapeId="0">
      <text>
        <t>Lance-Flammes — Feu, spéciale
Puissance 90 · Précision 100 % · 15 PP
Une puissante attaque de feu pouvant brûler
l'ennemi.</t>
      </text>
    </comment>
    <comment ref="C3000" authorId="0" shapeId="0">
      <text>
        <t>Détricanon — Poison, physique
Puissance 120 · Précision 80 % · 5 PP
Des ordures sur l'ennemi. Peut empoisonner.</t>
      </text>
    </comment>
    <comment ref="D3000" authorId="0" shapeId="0">
      <text>
        <t>Stockage — Normal, statut
20 PP
Accumule de la puissance pendant 3 tours
maximum.</t>
      </text>
    </comment>
    <comment ref="E3000" authorId="0" shapeId="0">
      <text>
        <t>Poison Croix — Poison, physique
Puissance 70 · Précision 100 % · 20 PP
Une taillade qui peut empoisonner. Critiques.</t>
      </text>
    </comment>
    <comment ref="F3000" authorId="0" shapeId="0">
      <text>
        <t>Choc Venin — Poison, spéciale
Puissance 65 · Précision 100 % · 10 PP
Double les dégâts sur un ennemi empoisonné.</t>
      </text>
    </comment>
    <comment ref="G3000" authorId="0" shapeId="0">
      <text>
        <t>Crochet Venin — Poison, physique
Puissance 50 · Précision 100 % · 15 PP
Morsure pouvant sérieuse- ment empoisonner
l'ennemi.</t>
      </text>
    </comment>
    <comment ref="B3001" authorId="0" shapeId="0">
      <text>
        <t>Éructation — Poison, spéciale
Puissance 120 · Précision 90 % · 10 PP
Un gros rot. Exige d'avoir mangé une Baie.</t>
      </text>
    </comment>
    <comment ref="C3001" authorId="0" shapeId="0">
      <text>
        <t>Toxik — Poison, statut
Précision 90 % · 10 PP
Empoisonne l'ennemi avec une toxine de plus en
plus forte.</t>
      </text>
    </comment>
    <comment ref="D3001" authorId="0" shapeId="0">
      <text>
        <t>Amnésie — Psy, statut
20 PP
Oublie quelque chose et booste la Déf. Spé.</t>
      </text>
    </comment>
    <comment ref="E3001" authorId="0" shapeId="0">
      <text>
        <t>Fatal-Foudre — Électrik, spéciale
Puissance 110 · Précision 70 % · 10 PP
Une attaque foudroyante pouvant paralyser
l'ennemi.</t>
      </text>
    </comment>
    <comment ref="F3001" authorId="0" shapeId="0">
      <text>
        <t>Toxik — Poison, statut
Précision 90 % · 10 PP
Empoisonne l'ennemi avec une toxine de plus en
plus forte.</t>
      </text>
    </comment>
    <comment ref="G3001" authorId="0" shapeId="0">
      <text>
        <t>Toxik — Poison, statut
Précision 90 % · 10 PP
Empoisonne l'ennemi avec une toxine de plus en
plus forte.</t>
      </text>
    </comment>
    <comment ref="B3002" authorId="0" shapeId="0">
      <text>
        <t>Amnésie — Psy, statut
20 PP
Oublie quelque chose et booste la Déf. Spé.</t>
      </text>
    </comment>
    <comment ref="C3002" authorId="0" shapeId="0">
      <text>
        <t>Acidarmure — Poison, statut
20 PP
Liquéfie le corps du lanceur et booste sa
Défense.</t>
      </text>
    </comment>
    <comment ref="D3002" authorId="0" shapeId="0">
      <text>
        <t>Relâche — Normal, spéciale
Puissance 1 · Précision 100 % · 10 PP
Libère la puissance précédemment accumulée.</t>
      </text>
    </comment>
    <comment ref="E3002" authorId="0" shapeId="0">
      <text>
        <t>Surpuissance — Combat, physique
Puissance 120 · Précision 100 % · 5 PP
Booste la force, mais baisse les capacités.</t>
      </text>
    </comment>
    <comment ref="F3002" authorId="0" shapeId="0">
      <text>
        <t>Onde Folie — Spectre, statut
Précision 100 % · 10 PP
Un horrible rayon qui rend l'ennemi confus.</t>
      </text>
    </comment>
    <comment ref="G3002" authorId="0" shapeId="0">
      <text>
        <t>Reflet — Normal, statut
15 PP
Crée des images-miroirs pour augmenter
l'esquive.</t>
      </text>
    </comment>
    <comment ref="B3005" authorId="0" shapeId="0">
      <text>
        <t>YANMA — Insecte / Vol
PV 65 · Att 65 · Déf 45
Att.Spé 75 · Déf.Spé 45 · Vit 95
Total 390
Talents : Turbo, Œil Composé (caché : Fouille)</t>
      </text>
    </comment>
    <comment ref="C3005" authorId="0" shapeId="0">
      <text>
        <t>CORNEBRE — Ténèbres / Vol
PV 60 · Att 85 · Déf 42
Att.Spé 85 · Déf.Spé 42 · Vit 91
Total 405
Talents : Insomnia, Chanceux (caché : Farceur)</t>
      </text>
    </comment>
    <comment ref="D3005" authorId="0" shapeId="0">
      <text>
        <t>DODRIO — Normal / Vol
PV 60 · Att 110 · Déf 70
Att.Spé 60 · Déf.Spé 60 · Vit 110
Total 470
Talents : Fuite, Matinal (caché : Pieds
  Confus)</t>
      </text>
    </comment>
    <comment ref="B3008" authorId="0" shapeId="0">
      <text>
        <t>Turbo
Améliore la Vitesse.</t>
      </text>
    </comment>
    <comment ref="C3008" authorId="0" shapeId="0">
      <text>
        <t>Insomnia
Empêche de s'endormir.</t>
      </text>
    </comment>
    <comment ref="D3008" authorId="0" shapeId="0">
      <text>
        <t>Fuite
Améliore chances de fuite.</t>
      </text>
    </comment>
    <comment ref="B3009" authorId="0" shapeId="0">
      <text>
        <t>Grincement — Normal, statut
Précision 85 % · 40 PP
Cri strident qui baisse la Défense ennemie.</t>
      </text>
    </comment>
    <comment ref="C3009" authorId="0" shapeId="0">
      <text>
        <t>Regard Noir — Normal, statut
5 PP
Lance un regard méchant pour empêcher la
fuite.</t>
      </text>
    </comment>
    <comment ref="D3009" authorId="0" shapeId="0">
      <text>
        <t>Pied Sauté — Combat, physique
Puissance 100 · Précision 95 % · 10 PP
Un coup de pied sauté. Peut blesser le lanceur
si raté.</t>
      </text>
    </comment>
    <comment ref="B3010" authorId="0" shapeId="0">
      <text>
        <t>Demi-Tour — Insecte, physique
Puissance 70 · Précision 100 % · 20 PP</t>
      </text>
    </comment>
    <comment ref="C3010" authorId="0" shapeId="0">
      <text>
        <t>Tricherie — Ténèbres, physique
Puissance 95 · Précision 100 % · 15 PP
Plus l'Attaque ennemie est haute, plus ça fait
mal.</t>
      </text>
    </comment>
    <comment ref="D3010" authorId="0" shapeId="0">
      <text>
        <t>Bec Vrille — Vol, physique
Puissance 80 · Précision 100 % · 20 PP
Une attaque utilisant le bec comme une
perceuse.</t>
      </text>
    </comment>
    <comment ref="B3011" authorId="0" shapeId="0">
      <text>
        <t>Lame d'Air — Vol, spéciale
Puissance 75 · Précision 95 % · 15 PP
Une lame d'air. Peut apeurer l'ennemi.</t>
      </text>
    </comment>
    <comment ref="C3011" authorId="0" shapeId="0">
      <text>
        <t>Vent Arrière — Vol, statut
15 PP</t>
      </text>
    </comment>
    <comment ref="D3011" authorId="0" shapeId="0">
      <text>
        <t>Effort — Normal, physique
Puissance 1 · Précision 100 % · 5 PP
Gagne en puissance si PV inférieurs aux PV
ennemis.</t>
      </text>
    </comment>
    <comment ref="B3012" authorId="0" shapeId="0">
      <text>
        <t>Bourdon — Insecte, spéciale
Puissance 90 · Précision 100 % · 10 PP
Une onde sonore. Peut baisser la Déf. Spé.</t>
      </text>
    </comment>
    <comment ref="C3012" authorId="0" shapeId="0">
      <text>
        <t>Coup Bas — Ténèbres, physique
Puissance 70 · Précision 100 % · 5 PP ·
Priorité +1</t>
      </text>
    </comment>
    <comment ref="D3012" authorId="0" shapeId="0">
      <text>
        <t>Mania — Normal, physique
Puissance 120 · Précision 100 % · 10 PP
Une attaque furieuse de 2 à 3 tours. Lanceur
confus.</t>
      </text>
    </comment>
    <comment ref="B3014" authorId="0" shapeId="0">
      <text>
        <t>NOARFANG — Normal / Vol
PV 100 · Att 50 · Déf 50
Att.Spé 86 · Déf.Spé 96 · Vit 70
Total 452
Talents : Insomnia, Regard Vif (caché :
  Lentiteintée)</t>
      </text>
    </comment>
    <comment ref="B3017" authorId="0" shapeId="0">
      <text>
        <t>Insomnia
Empêche de s'endormir.</t>
      </text>
    </comment>
    <comment ref="B3018" authorId="0" shapeId="0">
      <text>
        <t>Atterrissage — Vol, statut
5 PP
Rend au lanceur la moitié de ses PV max.</t>
      </text>
    </comment>
    <comment ref="B3019" authorId="0" shapeId="0">
      <text>
        <t>Pouvoir Lunaire — Fée, spéciale
Puissance 95 · Précision 100 % · 15 PP
La force de la lune. Peut baisser l'Atq. Spé.</t>
      </text>
    </comment>
    <comment ref="B3020" authorId="0" shapeId="0">
      <text>
        <t>Synchropeine — Psy, spéciale
Puissance 120 · Précision 100 % · 10 PP
Onde étrange. Ne blesse que les {PKMN} du même
type.</t>
      </text>
    </comment>
    <comment ref="B3021" authorId="0" shapeId="0">
      <text>
        <t>Dévorêve — Psy, spéciale
Puissance 100 · Précision 100 % · 15 PP
Aspire la moitié des dégâts infligés à
l'ennemi endormi.</t>
      </text>
    </comment>
    <comment ref="B3024" authorId="0" shapeId="0">
      <text>
        <t>SMOGOGO — Poison
PV 65 · Att 90 · Déf 120
Att.Spé 85 · Déf.Spé 70 · Vit 60
Total 490
Talents : Lévitation, Gaz Inhibiteur (caché :
  Puanteur)</t>
      </text>
    </comment>
    <comment ref="B3027" authorId="0" shapeId="0">
      <text>
        <t>Lévitation
Ignore les attaques Sol.</t>
      </text>
    </comment>
    <comment ref="B3028" authorId="0" shapeId="0">
      <text>
        <t>Explosion — Normal, physique
Puissance 250 · Précision 100 % · 5 PP
Inflige de sérieux dégâts, mais met le lanceur
KO.</t>
      </text>
    </comment>
    <comment ref="B3029" authorId="0" shapeId="0">
      <text>
        <t>Lien du Destin — Spectre, statut
5 PP
Si le lanceur est mis KO, l'ennemi le sera
également.</t>
      </text>
    </comment>
    <comment ref="B3030" authorId="0" shapeId="0">
      <text>
        <t>Éructation — Poison, spéciale
Puissance 120 · Précision 90 % · 10 PP
Un gros rot. Exige d'avoir mangé une Baie.</t>
      </text>
    </comment>
    <comment ref="B3031" authorId="0" shapeId="0">
      <text>
        <t>Souvenir — Ténèbres, statut
Précision 100 % · 10 PP
Le lanceur est mis K.O. et baisse les cap.
ennemies.</t>
      </text>
    </comment>
    <comment ref="B3033" authorId="0" shapeId="0">
      <text>
        <t>MAGMAR — Feu
PV 65 · Att 95 · Déf 57
Att.Spé 100 · Déf.Spé 85 · Vit 93
Total 495
Talents : Corps Ardent (caché : Esprit Vital)</t>
      </text>
    </comment>
    <comment ref="C3033" authorId="0" shapeId="0">
      <text>
        <t>ELEKTEK — Électrik
PV 65 · Att 83 · Déf 57
Att.Spé 95 · Déf.Spé 85 · Vit 105
Total 490
Talents : Statik (caché : Esprit Vital)</t>
      </text>
    </comment>
    <comment ref="B3036" authorId="0" shapeId="0">
      <text>
        <t>Corps Ardent
Brûle l'ennemi au contact.</t>
      </text>
    </comment>
    <comment ref="C3036" authorId="0" shapeId="0">
      <text>
        <t>Statik
Paralyse au toucher.</t>
      </text>
    </comment>
    <comment ref="B3037" authorId="0" shapeId="0">
      <text>
        <t>Ébullilave — Feu, spéciale
Puissance 80 · Précision 100 % · 15 PP</t>
      </text>
    </comment>
    <comment ref="C3037" authorId="0" shapeId="0">
      <text>
        <t>Coup d'Jus — Électrik, spéciale
Puissance 80 · Précision 100 % · 15 PP
Électrocute tous les autres {PKMN}. Peut
paralyser.</t>
      </text>
    </comment>
    <comment ref="B3038" authorId="0" shapeId="0">
      <text>
        <t>Zénith — Feu, statut
5 PP
Améliore les attaques Feu pendant 5 tours.</t>
      </text>
    </comment>
    <comment ref="C3038" authorId="0" shapeId="0">
      <text>
        <t>Grincement — Normal, statut
Précision 85 % · 40 PP
Cri strident qui baisse la Défense ennemie.</t>
      </text>
    </comment>
    <comment ref="B3039" authorId="0" shapeId="0">
      <text>
        <t>Lance-Flammes — Feu, spéciale
Puissance 90 · Précision 100 % · 15 PP
Une puissante attaque de feu pouvant brûler
l'ennemi.</t>
      </text>
    </comment>
    <comment ref="C3039" authorId="0" shapeId="0">
      <text>
        <t>Tonnerre — Électrik, spéciale
Puissance 90 · Précision 100 % · 15 PP
Forte attaque électrique pouvant paralyser
l'ennemi.</t>
      </text>
    </comment>
    <comment ref="B3040" authorId="0" shapeId="0">
      <text>
        <t>Déflagration — Feu, spéciale
Puissance 110 · Précision 85 % · 5 PP
Une explosion de flammes. Peut brûler
l'ennemi.</t>
      </text>
    </comment>
    <comment ref="C3040" authorId="0" shapeId="0">
      <text>
        <t>Fatal-Foudre — Électrik, spéciale
Puissance 110 · Précision 70 % · 10 PP
Une attaque foudroyante pouvant paralyser
l'ennemi.</t>
      </text>
    </comment>
    <comment ref="B3042" authorId="0" shapeId="0">
      <text>
        <t>SMOGO — Poison
PV 40 · Att 65 · Déf 95
Att.Spé 60 · Déf.Spé 45 · Vit 35
Total 340
Talents : Lévitation, Gaz Inhibiteur (caché :
  Puanteur)</t>
      </text>
    </comment>
    <comment ref="C3042" authorId="0" shapeId="0">
      <text>
        <t>MAGMAR — Feu
PV 65 · Att 95 · Déf 57
Att.Spé 100 · Déf.Spé 85 · Vit 93
Total 495
Talents : Corps Ardent (caché : Esprit Vital)</t>
      </text>
    </comment>
    <comment ref="D3042" authorId="0" shapeId="0">
      <text>
        <t>SMOGOGO — Poison
PV 65 · Att 90 · Déf 120
Att.Spé 85 · Déf.Spé 70 · Vit 60
Total 490
Talents : Lévitation, Gaz Inhibiteur (caché :
  Puanteur)</t>
      </text>
    </comment>
    <comment ref="B3045" authorId="0" shapeId="0">
      <text>
        <t>Lévitation
Ignore les attaques Sol.</t>
      </text>
    </comment>
    <comment ref="C3045" authorId="0" shapeId="0">
      <text>
        <t>Corps Ardent
Brûle l'ennemi au contact.</t>
      </text>
    </comment>
    <comment ref="D3045" authorId="0" shapeId="0">
      <text>
        <t>Lévitation
Ignore les attaques Sol.</t>
      </text>
    </comment>
    <comment ref="B3046" authorId="0" shapeId="0">
      <text>
        <t>Explosion — Normal, physique
Puissance 250 · Précision 100 % · 5 PP
Inflige de sérieux dégâts, mais met le lanceur
KO.</t>
      </text>
    </comment>
    <comment ref="C3046" authorId="0" shapeId="0">
      <text>
        <t>Ébullilave — Feu, spéciale
Puissance 80 · Précision 100 % · 15 PP</t>
      </text>
    </comment>
    <comment ref="D3046" authorId="0" shapeId="0">
      <text>
        <t>Explosion — Normal, physique
Puissance 250 · Précision 100 % · 5 PP
Inflige de sérieux dégâts, mais met le lanceur
KO.</t>
      </text>
    </comment>
    <comment ref="B3047" authorId="0" shapeId="0">
      <text>
        <t>Lien du Destin — Spectre, statut
5 PP
Si le lanceur est mis KO, l'ennemi le sera
également.</t>
      </text>
    </comment>
    <comment ref="C3047" authorId="0" shapeId="0">
      <text>
        <t>Zénith — Feu, statut
5 PP
Améliore les attaques Feu pendant 5 tours.</t>
      </text>
    </comment>
    <comment ref="D3047" authorId="0" shapeId="0">
      <text>
        <t>Lien du Destin — Spectre, statut
5 PP
Si le lanceur est mis KO, l'ennemi le sera
également.</t>
      </text>
    </comment>
    <comment ref="B3048" authorId="0" shapeId="0">
      <text>
        <t>Éructation — Poison, spéciale
Puissance 120 · Précision 90 % · 10 PP
Un gros rot. Exige d'avoir mangé une Baie.</t>
      </text>
    </comment>
    <comment ref="C3048" authorId="0" shapeId="0">
      <text>
        <t>Lance-Flammes — Feu, spéciale
Puissance 90 · Précision 100 % · 15 PP
Une puissante attaque de feu pouvant brûler
l'ennemi.</t>
      </text>
    </comment>
    <comment ref="D3048" authorId="0" shapeId="0">
      <text>
        <t>Éructation — Poison, spéciale
Puissance 120 · Précision 90 % · 10 PP
Un gros rot. Exige d'avoir mangé une Baie.</t>
      </text>
    </comment>
    <comment ref="B3049" authorId="0" shapeId="0">
      <text>
        <t>Souvenir — Ténèbres, statut
Précision 100 % · 10 PP
Le lanceur est mis K.O. et baisse les cap.
ennemies.</t>
      </text>
    </comment>
    <comment ref="C3049" authorId="0" shapeId="0">
      <text>
        <t>Déflagration — Feu, spéciale
Puissance 110 · Précision 85 % · 5 PP
Une explosion de flammes. Peut brûler
l'ennemi.</t>
      </text>
    </comment>
    <comment ref="D3049" authorId="0" shapeId="0">
      <text>
        <t>Souvenir — Ténèbres, statut
Précision 100 % · 10 PP
Le lanceur est mis K.O. et baisse les cap.
ennemies.</t>
      </text>
    </comment>
    <comment ref="B3051" authorId="0" shapeId="0">
      <text>
        <t>TARTARD — Eau / Combat
PV 90 · Att 95 · Déf 95
Att.Spé 70 · Déf.Spé 90 · Vit 70
Total 510
Talents : Absorbe-Eau, Moiteur (caché :
  Glissade)</t>
      </text>
    </comment>
    <comment ref="C3051" authorId="0" shapeId="0">
      <text>
        <t>DRACAUFEU — Feu / Vol
PV 78 · Att 84 · Déf 78
Att.Spé 109 · Déf.Spé 85 · Vit 100
Total 534
Talents : Brasier (caché : Force Soleil)</t>
      </text>
    </comment>
    <comment ref="D3051" authorId="0" shapeId="0">
      <text>
        <t>SMOGOGO — Poison
PV 65 · Att 90 · Déf 120
Att.Spé 85 · Déf.Spé 70 · Vit 60
Total 490
Talents : Lévitation, Gaz Inhibiteur (caché :
  Puanteur)</t>
      </text>
    </comment>
    <comment ref="B3054" authorId="0" shapeId="0">
      <text>
        <t>Absorbe-Eau
Change l'eau en PV.</t>
      </text>
    </comment>
    <comment ref="C3054" authorId="0" shapeId="0">
      <text>
        <t>Brasier
Augmente attaques Feu.</t>
      </text>
    </comment>
    <comment ref="D3054" authorId="0" shapeId="0">
      <text>
        <t>Lévitation
Ignore les attaques Sol.</t>
      </text>
    </comment>
    <comment ref="B3055" authorId="0" shapeId="0">
      <text>
        <t>Lire-Esprit — Normal, statut
5 PP
Pressent l'action pour réussir l'attaque
suivante.</t>
      </text>
    </comment>
    <comment ref="C3055" authorId="0" shapeId="0">
      <text>
        <t>Rebondifeu — Feu, spéciale
Puissance 70 · Précision 100 % · 15 PP
Une flamme qui éclabousse tous les ennemis.</t>
      </text>
    </comment>
    <comment ref="D3055" authorId="0" shapeId="0">
      <text>
        <t>Bombe Beurk — Poison, spéciale
Puissance 90 · Précision 100 % · 10 PP
Envoie des détritus pour blesser. Peut
empoisonner.</t>
      </text>
    </comment>
    <comment ref="B3056" authorId="0" shapeId="0">
      <text>
        <t>Cognobidon — Normal, statut
10 PP
Améliore l'Attaque à fond en sacrifiant la
moitié des PV.</t>
      </text>
    </comment>
    <comment ref="C3056" authorId="0" shapeId="0">
      <text>
        <t>Tranche — Normal, physique
Puissance 70 · Précision 100 % · 20 PP
Coups de griffe, etc. Taux de critiques élevé.</t>
      </text>
    </comment>
    <comment ref="D3056" authorId="0" shapeId="0">
      <text>
        <t>Explosion — Normal, physique
Puissance 250 · Précision 100 % · 5 PP
Inflige de sérieux dégâts, mais met le lanceur
KO.</t>
      </text>
    </comment>
    <comment ref="B3057" authorId="0" shapeId="0">
      <text>
        <t>Projection — Combat, physique
Puissance 60 · Précision 90 % · 10 PP ·
Priorité -6</t>
      </text>
    </comment>
    <comment ref="C3057" authorId="0" shapeId="0">
      <text>
        <t>Lance-Flammes — Feu, spéciale
Puissance 90 · Précision 100 % · 15 PP
Une puissante attaque de feu pouvant brûler
l'ennemi.</t>
      </text>
    </comment>
    <comment ref="D3057" authorId="0" shapeId="0">
      <text>
        <t>Lien du Destin — Spectre, statut
5 PP
Si le lanceur est mis KO, l'ennemi le sera
également.</t>
      </text>
    </comment>
    <comment ref="B3058" authorId="0" shapeId="0">
      <text>
        <t>Réveil Forcé — Combat, physique
Puissance 70 · Précision 100 % · 10 PP
Puissant sur un dormeur. Le réveille aussi.</t>
      </text>
    </comment>
    <comment ref="C3058" authorId="0" shapeId="0">
      <text>
        <t>Danse Flammes — Feu, spéciale
Puissance 35 · Précision 85 % · 15 PP</t>
      </text>
    </comment>
    <comment ref="D3058" authorId="0" shapeId="0">
      <text>
        <t>Éructation — Poison, spéciale
Puissance 120 · Précision 90 % · 10 PP
Un gros rot. Exige d'avoir mangé une Baie.</t>
      </text>
    </comment>
    <comment ref="B3061" authorId="0" shapeId="0">
      <text>
        <t>COTOVOL — Plante / Vol
PV 75 · Att 55 · Déf 70
Att.Spé 55 · Déf.Spé 95 · Vit 110
Total 460
Talents : Chlorophylle, Feuille Garde (caché :
  Infiltration)</t>
      </text>
    </comment>
    <comment ref="C3061" authorId="0" shapeId="0">
      <text>
        <t>COTOVOL — Plante / Vol
PV 75 · Att 55 · Déf 70
Att.Spé 55 · Déf.Spé 95 · Vit 110
Total 460
Talents : Chlorophylle, Feuille Garde (caché :
  Infiltration)</t>
      </text>
    </comment>
    <comment ref="D3061" authorId="0" shapeId="0">
      <text>
        <t>COTOVOL — Plante / Vol
PV 75 · Att 55 · Déf 70
Att.Spé 55 · Déf.Spé 95 · Vit 110
Total 460
Talents : Chlorophylle, Feuille Garde (caché :
  Infiltration)</t>
      </text>
    </comment>
    <comment ref="B3064" authorId="0" shapeId="0">
      <text>
        <t>Chlorophylle
Augmente Vitesse au soleil.</t>
      </text>
    </comment>
    <comment ref="C3064" authorId="0" shapeId="0">
      <text>
        <t>Chlorophylle
Augmente Vitesse au soleil.</t>
      </text>
    </comment>
    <comment ref="D3064" authorId="0" shapeId="0">
      <text>
        <t>Chlorophylle
Augmente Vitesse au soleil.</t>
      </text>
    </comment>
    <comment ref="B3065" authorId="0" shapeId="0">
      <text>
        <t>Poudre Fureur — Insecte, statut
20 PP · Priorité +2
Une poudre qui attire toutes les attaques.</t>
      </text>
    </comment>
    <comment ref="C3065" authorId="0" shapeId="0">
      <text>
        <t>Poudre Fureur — Insecte, statut
20 PP · Priorité +2
Une poudre qui attire toutes les attaques.</t>
      </text>
    </comment>
    <comment ref="D3065" authorId="0" shapeId="0">
      <text>
        <t>Poudre Fureur — Insecte, statut
20 PP · Priorité +2
Une poudre qui attire toutes les attaques.</t>
      </text>
    </comment>
    <comment ref="B3066" authorId="0" shapeId="0">
      <text>
        <t>Spore Coton — Plante, statut
Précision 100 % · 40 PP</t>
      </text>
    </comment>
    <comment ref="C3066" authorId="0" shapeId="0">
      <text>
        <t>Spore Coton — Plante, statut
Précision 100 % · 40 PP</t>
      </text>
    </comment>
    <comment ref="D3066" authorId="0" shapeId="0">
      <text>
        <t>Spore Coton — Plante, statut
Précision 100 % · 40 PP</t>
      </text>
    </comment>
    <comment ref="B3067" authorId="0" shapeId="0">
      <text>
        <t>Demi-Tour — Insecte, physique
Puissance 70 · Précision 100 % · 20 PP</t>
      </text>
    </comment>
    <comment ref="C3067" authorId="0" shapeId="0">
      <text>
        <t>Demi-Tour — Insecte, physique
Puissance 70 · Précision 100 % · 20 PP</t>
      </text>
    </comment>
    <comment ref="D3067" authorId="0" shapeId="0">
      <text>
        <t>Demi-Tour — Insecte, physique
Puissance 70 · Précision 100 % · 20 PP</t>
      </text>
    </comment>
    <comment ref="B3068" authorId="0" shapeId="0">
      <text>
        <t>Soucigraine — Plante, statut
Précision 100 % · 10 PP
Plante une graine qui donne Insomnia.</t>
      </text>
    </comment>
    <comment ref="C3068" authorId="0" shapeId="0">
      <text>
        <t>Soucigraine — Plante, statut
Précision 100 % · 10 PP
Plante une graine qui donne Insomnia.</t>
      </text>
    </comment>
    <comment ref="D3068" authorId="0" shapeId="0">
      <text>
        <t>Soucigraine — Plante, statut
Précision 100 % · 10 PP
Plante une graine qui donne Insomnia.</t>
      </text>
    </comment>
    <comment ref="B3070" authorId="0" shapeId="0">
      <text>
        <t>JOLIFLOR — Plante
PV 75 · Att 80 · Déf 95
Att.Spé 90 · Déf.Spé 100 · Vit 50
Total 490
Talents : Chlorophylle (caché : Cœur Soin)</t>
      </text>
    </comment>
    <comment ref="C3070" authorId="0" shapeId="0">
      <text>
        <t>NOADKOKO — Plante / Psy
PV 95 · Att 95 · Déf 85
Att.Spé 125 · Déf.Spé 75 · Vit 55
Total 530
Talents : Chlorophylle (caché : Récolte)</t>
      </text>
    </comment>
    <comment ref="D3070" authorId="0" shapeId="0">
      <text>
        <t>HELIATRONC — Plante
PV 75 · Att 75 · Déf 55
Att.Spé 105 · Déf.Spé 85 · Vit 30
Total 425
Talents : Chlorophylle, Force Soleil (caché :
  Matinal)</t>
      </text>
    </comment>
    <comment ref="B3073" authorId="0" shapeId="0">
      <text>
        <t>Chlorophylle
Augmente Vitesse au soleil.</t>
      </text>
    </comment>
    <comment ref="C3073" authorId="0" shapeId="0">
      <text>
        <t>Chlorophylle
Augmente Vitesse au soleil.</t>
      </text>
    </comment>
    <comment ref="D3073" authorId="0" shapeId="0">
      <text>
        <t>Chlorophylle
Augmente Vitesse au soleil.</t>
      </text>
    </comment>
    <comment ref="B3074" authorId="0" shapeId="0">
      <text>
        <t>Air Veinard — Normal, statut
30 PP
Empêche les coups critiques ennemis.</t>
      </text>
    </comment>
    <comment ref="C3074" authorId="0" shapeId="0">
      <text>
        <t>Don Naturel — Normal, physique
Puissance 1 · Précision 100 % · 15 PP
L'effet varie selon la Baie tenue.</t>
      </text>
    </comment>
    <comment ref="D3074" authorId="0" shapeId="0">
      <text>
        <t>Zénith — Feu, statut
5 PP
Améliore les attaques Feu pendant 5 tours.</t>
      </text>
    </comment>
    <comment ref="B3075" authorId="0" shapeId="0">
      <text>
        <t>Rayon Lune — Fée, statut
5 PP
Restaure les PV. La quantité varie suivant le
temps.</t>
      </text>
    </comment>
    <comment ref="C3075" authorId="0" shapeId="0">
      <text>
        <t>Giga-Sangsue — Plante, spéciale
Puissance 75 · Précision 100 % · 25 PP
Une attaque qui absorbe la moitié des dégâts
infligés.</t>
      </text>
    </comment>
    <comment ref="D3075" authorId="0" shapeId="0">
      <text>
        <t>Tempête Verte — Plante, spéciale
Puissance 130 · Précision 90 % · 5 PP
Des feuilles. Le lanceur perd beaucoup d'Atq.
Spé.</t>
      </text>
    </comment>
    <comment ref="B3076" authorId="0" shapeId="0">
      <text>
        <t>Papillodanse — Insecte, statut
20 PP
Monte l'Atq. Spé., la Déf. Spé. et la Vit.</t>
      </text>
    </comment>
    <comment ref="C3076" authorId="0" shapeId="0">
      <text>
        <t>Lance-Soleil — Plante, spéciale
Puissance 120 · Précision 100 % · 10 PP
Absorbe la lumière et attaque le tour suivant.</t>
      </text>
    </comment>
    <comment ref="D3076" authorId="0" shapeId="0">
      <text>
        <t>Lance-Flammes — Feu, spéciale
Puissance 90 · Précision 100 % · 15 PP
Une puissante attaque de feu pouvant brûler
l'ennemi.</t>
      </text>
    </comment>
    <comment ref="B3077" authorId="0" shapeId="0">
      <text>
        <t>Giga-Sangsue — Plante, spéciale
Puissance 75 · Précision 100 % · 25 PP
Une attaque qui absorbe la moitié des dégâts
infligés.</t>
      </text>
    </comment>
    <comment ref="C3077" authorId="0" shapeId="0">
      <text>
        <t>Extrasenseur — Psy, spéciale
Puissance 80 · Précision 100 % · 20 PP
Pouvoir singulier qui peut apeurer l'ennemi.</t>
      </text>
    </comment>
    <comment ref="D3077" authorId="0" shapeId="0">
      <text>
        <t>Tempête Florale — Plante, physique
Puissance 90 · Précision 100 % · 15 PP
Une tempête de pétales sur tout le monde.</t>
      </text>
    </comment>
    <comment ref="B3079" authorId="0" shapeId="0">
      <text>
        <t>PARASECT — Insecte / Plante
PV 60 · Att 95 · Déf 80
Att.Spé 60 · Déf.Spé 80 · Vit 30
Total 405
Talents : Pose Spore, Peau Sèche (caché :
  Moiteur)</t>
      </text>
    </comment>
    <comment ref="C3079" authorId="0" shapeId="0">
      <text>
        <t>NOADKOKO — Plante / Psy
PV 95 · Att 95 · Déf 85
Att.Spé 125 · Déf.Spé 75 · Vit 55
Total 530
Talents : Chlorophylle (caché : Récolte)</t>
      </text>
    </comment>
    <comment ref="D3079" authorId="0" shapeId="0">
      <text>
        <t>HELIATRONC — Plante
PV 75 · Att 75 · Déf 55
Att.Spé 105 · Déf.Spé 85 · Vit 30
Total 425
Talents : Chlorophylle, Force Soleil (caché :
  Matinal)</t>
      </text>
    </comment>
    <comment ref="B3082" authorId="0" shapeId="0">
      <text>
        <t>Pose Spore
Laisse spores si touché.</t>
      </text>
    </comment>
    <comment ref="C3082" authorId="0" shapeId="0">
      <text>
        <t>Chlorophylle
Augmente Vitesse au soleil.</t>
      </text>
    </comment>
    <comment ref="D3082" authorId="0" shapeId="0">
      <text>
        <t>Chlorophylle
Augmente Vitesse au soleil.</t>
      </text>
    </comment>
    <comment ref="B3083" authorId="0" shapeId="0">
      <text>
        <t>Croissance — Normal, statut
20 PP</t>
      </text>
    </comment>
    <comment ref="C3083" authorId="0" shapeId="0">
      <text>
        <t>Tempête Verte — Plante, spéciale
Puissance 130 · Précision 90 % · 5 PP
Des feuilles. Le lanceur perd beaucoup d'Atq.
Spé.</t>
      </text>
    </comment>
    <comment ref="D3083" authorId="0" shapeId="0">
      <text>
        <t>Zénith — Feu, statut
5 PP
Améliore les attaques Feu pendant 5 tours.</t>
      </text>
    </comment>
    <comment ref="B3084" authorId="0" shapeId="0">
      <text>
        <t>Giga-Sangsue — Plante, spéciale
Puissance 75 · Précision 100 % · 25 PP
Une attaque qui absorbe la moitié des dégâts
infligés.</t>
      </text>
    </comment>
    <comment ref="C3084" authorId="0" shapeId="0">
      <text>
        <t>Don Naturel — Normal, physique
Puissance 1 · Précision 100 % · 15 PP
L'effet varie selon la Baie tenue.</t>
      </text>
    </comment>
    <comment ref="D3084" authorId="0" shapeId="0">
      <text>
        <t>Tempête Verte — Plante, spéciale
Puissance 130 · Précision 90 % · 5 PP
Des feuilles. Le lanceur perd beaucoup d'Atq.
Spé.</t>
      </text>
    </comment>
    <comment ref="B3085" authorId="0" shapeId="0">
      <text>
        <t>Aromathérapie — Plante, statut
5 PP
Parfum apaisant soignant les changements de
statut.</t>
      </text>
    </comment>
    <comment ref="C3085" authorId="0" shapeId="0">
      <text>
        <t>Giga-Sangsue — Plante, spéciale
Puissance 75 · Précision 100 % · 25 PP
Une attaque qui absorbe la moitié des dégâts
infligés.</t>
      </text>
    </comment>
    <comment ref="D3085" authorId="0" shapeId="0">
      <text>
        <t>Lance-Flammes — Feu, spéciale
Puissance 90 · Précision 100 % · 15 PP
Une puissante attaque de feu pouvant brûler
l'ennemi.</t>
      </text>
    </comment>
    <comment ref="B3086" authorId="0" shapeId="0">
      <text>
        <t>Pince-Masse — Eau, physique
Puissance 100 · Précision 90 % · 10 PP
Attaque critique qui utilise une grosse pince.</t>
      </text>
    </comment>
    <comment ref="C3086" authorId="0" shapeId="0">
      <text>
        <t>Lance-Soleil — Plante, spéciale
Puissance 120 · Précision 100 % · 10 PP
Absorbe la lumière et attaque le tour suivant.</t>
      </text>
    </comment>
    <comment ref="D3086" authorId="0" shapeId="0">
      <text>
        <t>Tempête Florale — Plante, physique
Puissance 90 · Précision 100 % · 15 PP
Une tempête de pétales sur tout le monde.</t>
      </text>
    </comment>
    <comment ref="B3088" authorId="0" shapeId="0">
      <text>
        <t>EMPIFLOR — Plante / Poison
PV 80 · Att 105 · Déf 65
Att.Spé 100 · Déf.Spé 100 · Vit 70
Total 520
Talents : Chlorophylle (caché : Gloutonnerie)</t>
      </text>
    </comment>
    <comment ref="C3088" authorId="0" shapeId="0">
      <text>
        <t>RAFFLESIA — Plante / Poison
PV 75 · Att 80 · Déf 85
Att.Spé 110 · Déf.Spé 90 · Vit 50
Total 490
Talents : Chlorophylle (caché : Pose Spore)</t>
      </text>
    </comment>
    <comment ref="B3091" authorId="0" shapeId="0">
      <text>
        <t>Chlorophylle
Augmente Vitesse au soleil.</t>
      </text>
    </comment>
    <comment ref="C3091" authorId="0" shapeId="0">
      <text>
        <t>Chlorophylle
Augmente Vitesse au soleil.</t>
      </text>
    </comment>
    <comment ref="B3092" authorId="0" shapeId="0">
      <text>
        <t>Lame Feuille — Plante, physique
Puissance 90 · Précision 100 % · 15 PP
Tranche avec une feuille. Taux de critiques
élevé.</t>
      </text>
    </comment>
    <comment ref="C3092" authorId="0" shapeId="0">
      <text>
        <t>Giga-Sangsue — Plante, spéciale
Puissance 75 · Précision 100 % · 25 PP
Une attaque qui absorbe la moitié des dégâts
infligés.</t>
      </text>
    </comment>
    <comment ref="B3093" authorId="0" shapeId="0">
      <text>
        <t>Suc Digestif — Poison, statut
Précision 100 % · 10 PP
Un acide qui annule le talent ennemi.</t>
      </text>
    </comment>
    <comment ref="C3093" authorId="0" shapeId="0">
      <text>
        <t>Toxik — Poison, statut
Précision 90 % · 10 PP
Empoisonne l'ennemi avec une toxine de plus en
plus forte.</t>
      </text>
    </comment>
    <comment ref="B3094" authorId="0" shapeId="0">
      <text>
        <t>Tranch'Herbe — Plante, physique
Puissance 55 · Précision 95 % · 25 PP
Tranche avec des feuilles. Taux de critiques
élevé.</t>
      </text>
    </comment>
    <comment ref="C3094" authorId="0" shapeId="0">
      <text>
        <t>Don Naturel — Normal, physique
Puissance 1 · Précision 100 % · 15 PP
L'effet varie selon la Baie tenue.</t>
      </text>
    </comment>
    <comment ref="B3095" authorId="0" shapeId="0">
      <text>
        <t>Direct Toxik — Poison, physique
Puissance 80 · Précision 100 % · 20 PP
Un coup perforant qui peut empoisonner.</t>
      </text>
    </comment>
    <comment ref="C3095" authorId="0" shapeId="0">
      <text>
        <t>Danse Fleurs — Plante, spéciale
Puissance 120 · Précision 100 % · 10 PP
Une attaque furieuse de 2 à 3 tours. Lanceur
confus.</t>
      </text>
    </comment>
    <comment ref="B3097" authorId="0" shapeId="0">
      <text>
        <t>COTOVOL — Plante / Vol
PV 75 · Att 55 · Déf 70
Att.Spé 55 · Déf.Spé 95 · Vit 110
Total 460
Talents : Chlorophylle, Feuille Garde (caché :
  Infiltration)</t>
      </text>
    </comment>
    <comment ref="C3097" authorId="0" shapeId="0">
      <text>
        <t>ROSERADE — Plante / Poison
PV 60 · Att 70 · Déf 65
Att.Spé 125 · Déf.Spé 105 · Vit 90
Total 515
Talents : Médic Nature, Point Poison (caché :
  Technicien)</t>
      </text>
    </comment>
    <comment ref="D3097" authorId="0" shapeId="0">
      <text>
        <t>BOULDENEU — Plante
PV 100 · Att 100 · Déf 125
Att.Spé 110 · Déf.Spé 50 · Vit 50
Total 535
Talents : Chlorophylle, Feuille Garde (caché :
  Régé-Force)</t>
      </text>
    </comment>
    <comment ref="E3097" authorId="0" shapeId="0">
      <text>
        <t>FLORIZARRE — Plante / Poison
PV 80 · Att 82 · Déf 83
Att.Spé 100 · Déf.Spé 100 · Vit 80
Total 525
Talents : Engrais (caché : Chlorophylle)</t>
      </text>
    </comment>
    <comment ref="F3097" authorId="0" shapeId="0">
      <text>
        <t>EMPIFLOR — Plante / Poison
PV 80 · Att 105 · Déf 65
Att.Spé 100 · Déf.Spé 100 · Vit 70
Total 520
Talents : Chlorophylle (caché : Gloutonnerie)</t>
      </text>
    </comment>
    <comment ref="G3097" authorId="0" shapeId="0">
      <text>
        <t>JOLIFLOR — Plante
PV 75 · Att 80 · Déf 95
Att.Spé 90 · Déf.Spé 100 · Vit 50
Total 490
Talents : Chlorophylle (caché : Cœur Soin)</t>
      </text>
    </comment>
    <comment ref="B3099" authorId="0" shapeId="0">
      <text>
        <t>Bandeau
Objet tenu pouvant parfois empêcher d'être mis
KO.</t>
      </text>
    </comment>
    <comment ref="E3099" authorId="0" shapeId="0">
      <text>
        <t>Restes
Objet tenu permet- tant de restaurer les PV au
combat.</t>
      </text>
    </comment>
    <comment ref="F3099" authorId="0" shapeId="0">
      <text>
        <t>Pic Venin
Objet à tenir. Renforce le type Poison.</t>
      </text>
    </comment>
    <comment ref="G3099" authorId="0" shapeId="0">
      <text>
        <t>Graine Miracle</t>
      </text>
    </comment>
    <comment ref="B3100" authorId="0" shapeId="0">
      <text>
        <t>Chlorophylle
Augmente Vitesse au soleil.</t>
      </text>
    </comment>
    <comment ref="C3100" authorId="0" shapeId="0">
      <text>
        <t>Médic Nature
Soigne Pokémon changeant.</t>
      </text>
    </comment>
    <comment ref="D3100" authorId="0" shapeId="0">
      <text>
        <t>Chlorophylle
Augmente Vitesse au soleil.</t>
      </text>
    </comment>
    <comment ref="E3100" authorId="0" shapeId="0">
      <text>
        <t>Engrais
Augmente attaques Plante.</t>
      </text>
    </comment>
    <comment ref="F3100" authorId="0" shapeId="0">
      <text>
        <t>Chlorophylle
Augmente Vitesse au soleil.</t>
      </text>
    </comment>
    <comment ref="G3100" authorId="0" shapeId="0">
      <text>
        <t>Chlorophylle
Augmente Vitesse au soleil.</t>
      </text>
    </comment>
    <comment ref="B3101" authorId="0" shapeId="0">
      <text>
        <t>Acrobatie — Vol, physique
Puissance 55 · Précision 100 % · 15 PP
Double les dégâts si le lanceur n'a pas
d'objet.</t>
      </text>
    </comment>
    <comment ref="C3101" authorId="0" shapeId="0">
      <text>
        <t>Synthèse — Plante, statut
5 PP
Restaure les PV. La quantité varie suivant le
temps.</t>
      </text>
    </comment>
    <comment ref="D3101" authorId="0" shapeId="0">
      <text>
        <t>Mégafouet — Plante, physique
Puissance 120 · Précision 85 % · 10 PP
Fouette l'ennemi de lianes ou de tentacules.</t>
      </text>
    </comment>
    <comment ref="E3101" authorId="0" shapeId="0">
      <text>
        <t>Zénith — Feu, statut
5 PP
Améliore les attaques Feu pendant 5 tours.</t>
      </text>
    </comment>
    <comment ref="F3101" authorId="0" shapeId="0">
      <text>
        <t>Bombe Beurk — Poison, spéciale
Puissance 90 · Précision 100 % · 10 PP
Envoie des détritus pour blesser. Peut
empoisonner.</t>
      </text>
    </comment>
    <comment ref="G3101" authorId="0" shapeId="0">
      <text>
        <t>Tempête Florale — Plante, physique
Puissance 90 · Précision 100 % · 15 PP
Une tempête de pétales sur tout le monde.</t>
      </text>
    </comment>
    <comment ref="B3102" authorId="0" shapeId="0">
      <text>
        <t>Demi-Tour — Insecte, physique
Puissance 70 · Précision 100 % · 20 PP</t>
      </text>
    </comment>
    <comment ref="C3102" authorId="0" shapeId="0">
      <text>
        <t>Siffl'Herbe — Plante, statut
Précision 55 % · 15 PP
Endort l'ennemi en sifflant une douce mélodie.</t>
      </text>
    </comment>
    <comment ref="D3102" authorId="0" shapeId="0">
      <text>
        <t>Essorage — Normal, spéciale
Puissance 120 · Précision 100 % · 5 PP</t>
      </text>
    </comment>
    <comment ref="E3102" authorId="0" shapeId="0">
      <text>
        <t>Lance-Soleil — Plante, spéciale
Puissance 120 · Précision 100 % · 10 PP
Absorbe la lumière et attaque le tour suivant.</t>
      </text>
    </comment>
    <comment ref="F3102" authorId="0" shapeId="0">
      <text>
        <t>Lame Feuille — Plante, physique
Puissance 90 · Précision 100 % · 15 PP
Tranche avec une feuille. Taux de critiques
élevé.</t>
      </text>
    </comment>
    <comment ref="G3102" authorId="0" shapeId="0">
      <text>
        <t>Papillodanse — Insecte, statut
20 PP
Monte l'Atq. Spé., la Déf. Spé. et la Vit.</t>
      </text>
    </comment>
    <comment ref="B3103" authorId="0" shapeId="0">
      <text>
        <t>Poudre Dodo — Plante, statut
Précision 75 % · 15 PP
Répand une poudre pouvant endormir l'ennemi.</t>
      </text>
    </comment>
    <comment ref="C3103" authorId="0" shapeId="0">
      <text>
        <t>Toxik — Poison, statut
Précision 90 % · 10 PP
Empoisonne l'ennemi avec une toxine de plus en
plus forte.</t>
      </text>
    </comment>
    <comment ref="D3103" authorId="0" shapeId="0">
      <text>
        <t>Champ Herbu — Plante, statut
10 PP
Le sol devient herbu 5 tours. Rend des PV.</t>
      </text>
    </comment>
    <comment ref="E3103" authorId="0" shapeId="0">
      <text>
        <t>Bombe Beurk — Poison, spéciale
Puissance 90 · Précision 100 % · 10 PP
Envoie des détritus pour blesser. Peut
empoisonner.</t>
      </text>
    </comment>
    <comment ref="F3103" authorId="0" shapeId="0">
      <text>
        <t>Danse Lames — Normal, statut
20 PP
Une danse de combat pour booster l'Attaque.</t>
      </text>
    </comment>
    <comment ref="G3103" authorId="0" shapeId="0">
      <text>
        <t>Para-Spore — Plante, statut
Précision 75 % · 30 PP
Répand une poudre pouvant paralyser l'ennemi.</t>
      </text>
    </comment>
    <comment ref="B3104" authorId="0" shapeId="0">
      <text>
        <t>Vampigraine — Plante, statut
Précision 90 % · 10 PP
Plante des graines pour voler des PV à chaque
tour.</t>
      </text>
    </comment>
    <comment ref="C3104" authorId="0" shapeId="0">
      <text>
        <t>Danse Fleurs — Plante, spéciale
Puissance 120 · Précision 100 % · 10 PP
Une attaque furieuse de 2 à 3 tours. Lanceur
confus.</t>
      </text>
    </comment>
    <comment ref="D3104" authorId="0" shapeId="0">
      <text>
        <t>Chatouille — Normal, statut
Précision 100 % · 20 PP
Fait rire l'ennemi et baisse son Attaque et sa
Défense.</t>
      </text>
    </comment>
    <comment ref="E3104" authorId="0" shapeId="0">
      <text>
        <t>Poudre Dodo — Plante, statut
Précision 75 % · 15 PP
Répand une poudre pouvant endormir l'ennemi.</t>
      </text>
    </comment>
    <comment ref="F3104" authorId="0" shapeId="0">
      <text>
        <t>Poudre Dodo — Plante, statut
Précision 75 % · 15 PP
Répand une poudre pouvant endormir l'ennemi.</t>
      </text>
    </comment>
    <comment ref="G3104" authorId="0" shapeId="0">
      <text>
        <t>Attraction — Normal, statut
Précision 100 % · 15 PP
Le genre opposé a moins de chances d'attaquer.</t>
      </text>
    </comment>
    <comment ref="B3107" authorId="0" shapeId="0">
      <text>
        <t>HYPNOMADE — Psy
PV 85 · Att 73 · Déf 70
Att.Spé 73 · Déf.Spé 115 · Vit 67
Total 483
Talents : Insomnia, Prédiction (caché :
  Attention)</t>
      </text>
    </comment>
    <comment ref="C3107" authorId="0" shapeId="0">
      <text>
        <t>LIPPOUTOU — Glace / Psy
PV 65 · Att 50 · Déf 35
Att.Spé 115 · Déf.Spé 95 · Vit 95
Total 455
Talents : Benêt, Prédiction (caché : Peau
  Sèche)</t>
      </text>
    </comment>
    <comment ref="D3107" authorId="0" shapeId="0">
      <text>
        <t>HYPNOMADE — Psy
PV 85 · Att 73 · Déf 70
Att.Spé 73 · Déf.Spé 115 · Vit 67
Total 483
Talents : Insomnia, Prédiction (caché :
  Attention)</t>
      </text>
    </comment>
    <comment ref="B3110" authorId="0" shapeId="0">
      <text>
        <t>Insomnia
Empêche de s'endormir.</t>
      </text>
    </comment>
    <comment ref="C3110" authorId="0" shapeId="0">
      <text>
        <t>Benêt
Empêche l'attirance.</t>
      </text>
    </comment>
    <comment ref="D3110" authorId="0" shapeId="0">
      <text>
        <t>Insomnia
Empêche de s'endormir.</t>
      </text>
    </comment>
    <comment ref="B3111" authorId="0" shapeId="0">
      <text>
        <t>Vantardise — Normal, statut
Précision 85 % · 15 PP
Rend l'ennemi confus et booste l'Attaque.</t>
      </text>
    </comment>
    <comment ref="C3111" authorId="0" shapeId="0">
      <text>
        <t>Avalanche — Glace, physique
Puissance 60 · Précision 100 % · 10 PP ·
Priorité -4</t>
      </text>
    </comment>
    <comment ref="D3111" authorId="0" shapeId="0">
      <text>
        <t>Vantardise — Normal, statut
Précision 85 % · 15 PP
Rend l'ennemi confus et booste l'Attaque.</t>
      </text>
    </comment>
    <comment ref="B3112" authorId="0" shapeId="0">
      <text>
        <t>Psyko — Psy, spéciale
Puissance 90 · Précision 100 % · 10 PP
Une puissante attaque Psy pouvant baisser la
Déf. Spé.</t>
      </text>
    </comment>
    <comment ref="C3112" authorId="0" shapeId="0">
      <text>
        <t>Plaquage — Normal, physique
Puissance 85 · Précision 100 % · 15 PP
Une attaque en charge. Peut paralyser
l'ennemi.</t>
      </text>
    </comment>
    <comment ref="D3112" authorId="0" shapeId="0">
      <text>
        <t>Psyko — Psy, spéciale
Puissance 90 · Précision 100 % · 10 PP
Une puissante attaque Psy pouvant baisser la
Déf. Spé.</t>
      </text>
    </comment>
    <comment ref="B3113" authorId="0" shapeId="0">
      <text>
        <t>Machination — Ténèbres, statut
20 PP
De mauvaises pensées montent beaucoup l'Atq.
Spé.</t>
      </text>
    </comment>
    <comment ref="C3113" authorId="0" shapeId="0">
      <text>
        <t>Essorage — Normal, spéciale
Puissance 120 · Précision 100 % · 5 PP</t>
      </text>
    </comment>
    <comment ref="D3113" authorId="0" shapeId="0">
      <text>
        <t>Machination — Ténèbres, statut
20 PP
De mauvaises pensées montent beaucoup l'Atq.
Spé.</t>
      </text>
    </comment>
    <comment ref="B3114" authorId="0" shapeId="0">
      <text>
        <t>Choc Psy — Psy, spéciale
Puissance 80 · Précision 100 % · 10 PP</t>
      </text>
    </comment>
    <comment ref="C3114" authorId="0" shapeId="0">
      <text>
        <t>Requiem — Normal, statut
5 PP
Un Pokémon qui entend ce requiem est KO en 3
tours.</t>
      </text>
    </comment>
    <comment ref="D3114" authorId="0" shapeId="0">
      <text>
        <t>Choc Psy — Psy, spéciale
Puissance 80 · Précision 100 % · 10 PP</t>
      </text>
    </comment>
    <comment ref="B3116" authorId="0" shapeId="0">
      <text>
        <t>ALAKAZAM — Psy
PV 55 · Att 50 · Déf 45
Att.Spé 135 · Déf.Spé 135 · Vit 120
Total 540
Talents : Synchro, Attention (caché : Garde
  Magik)</t>
      </text>
    </comment>
    <comment ref="B3119" authorId="0" shapeId="0">
      <text>
        <t>Synchro
Transfère statuts.</t>
      </text>
    </comment>
    <comment ref="B3120" authorId="0" shapeId="0">
      <text>
        <t>Psyko — Psy, spéciale
Puissance 90 · Précision 100 % · 10 PP
Une puissante attaque Psy pouvant baisser la
Déf. Spé.</t>
      </text>
    </comment>
    <comment ref="B3121" authorId="0" shapeId="0">
      <text>
        <t>Plénitude — Psy, statut
20 PP
Méditation pour augmenter l'Atq. Spé. et la
Déf. Spé.</t>
      </text>
    </comment>
    <comment ref="B3122" authorId="0" shapeId="0">
      <text>
        <t>Prescience — Psy, spéciale
Puissance 120 · Précision 100 % · 10 PP
Accumule de l'énergie pour frapper 2 tours
plus tard.</t>
      </text>
    </comment>
    <comment ref="B3123" authorId="0" shapeId="0">
      <text>
        <t>Tour de Magie — Psy, statut
Précision 100 % · 10 PP
Oblige la cible à échanger les objets tenus.</t>
      </text>
    </comment>
    <comment ref="B3125" authorId="0" shapeId="0">
      <text>
        <t>NOARFANG — Normal / Vol
PV 100 · Att 50 · Déf 50
Att.Spé 86 · Déf.Spé 96 · Vit 70
Total 452
Talents : Insomnia, Regard Vif (caché :
  Lentiteintée)</t>
      </text>
    </comment>
    <comment ref="C3125" authorId="0" shapeId="0">
      <text>
        <t>FLAGADOSS — Eau / Psy
PV 95 · Att 75 · Déf 110
Att.Spé 100 · Déf.Spé 80 · Vit 30
Total 490
Talents : Benêt, Tempo Perso (caché : Régé-
  Force)</t>
      </text>
    </comment>
    <comment ref="D3125" authorId="0" shapeId="0">
      <text>
        <t>XATU — Psy / Vol
PV 65 · Att 75 · Déf 70
Att.Spé 95 · Déf.Spé 70 · Vit 95
Total 470
Talents : Synchro, Matinal (caché : Miroir
  Magik)</t>
      </text>
    </comment>
    <comment ref="B3128" authorId="0" shapeId="0">
      <text>
        <t>Insomnia
Empêche de s'endormir.</t>
      </text>
    </comment>
    <comment ref="C3128" authorId="0" shapeId="0">
      <text>
        <t>Benêt
Empêche l'attirance.</t>
      </text>
    </comment>
    <comment ref="D3128" authorId="0" shapeId="0">
      <text>
        <t>Synchro
Transfère statuts.</t>
      </text>
    </comment>
    <comment ref="B3129" authorId="0" shapeId="0">
      <text>
        <t>Atterrissage — Vol, statut
5 PP
Rend au lanceur la moitié de ses PV max.</t>
      </text>
    </comment>
    <comment ref="C3129" authorId="0" shapeId="0">
      <text>
        <t>Paresse — Normal, statut
5 PP
Se détend et récupère la moitié des PV
maximum.</t>
      </text>
    </comment>
    <comment ref="D3129" authorId="0" shapeId="0">
      <text>
        <t>Prescience — Psy, spéciale
Puissance 120 · Précision 100 % · 10 PP
Accumule de l'énergie pour frapper 2 tours
plus tard.</t>
      </text>
    </comment>
    <comment ref="B3130" authorId="0" shapeId="0">
      <text>
        <t>Pouvoir Lunaire — Fée, spéciale
Puissance 95 · Précision 100 % · 15 PP
La force de la lune. Peut baisser l'Atq. Spé.</t>
      </text>
    </comment>
    <comment ref="C3130" authorId="0" shapeId="0">
      <text>
        <t>Amnésie — Psy, statut
20 PP
Oublie quelque chose et booste la Déf. Spé.</t>
      </text>
    </comment>
    <comment ref="D3130" authorId="0" shapeId="0">
      <text>
        <t>Permuforce — Psy, statut
10 PP
Échange les hausses d'Attaque et d'Atq. Spé.</t>
      </text>
    </comment>
    <comment ref="B3131" authorId="0" shapeId="0">
      <text>
        <t>Synchropeine — Psy, spéciale
Puissance 120 · Précision 100 % · 10 PP
Onde étrange. Ne blesse que les {PKMN} du même
type.</t>
      </text>
    </comment>
    <comment ref="C3131" authorId="0" shapeId="0">
      <text>
        <t>Psyko — Psy, spéciale
Puissance 90 · Précision 100 % · 10 PP
Une puissante attaque Psy pouvant baisser la
Déf. Spé.</t>
      </text>
    </comment>
    <comment ref="D3131" authorId="0" shapeId="0">
      <text>
        <t>Permugarde — Psy, statut
10 PP
Échange les hausses de Déf. et de Déf. Spé.</t>
      </text>
    </comment>
    <comment ref="B3132" authorId="0" shapeId="0">
      <text>
        <t>Dévorêve — Psy, spéciale
Puissance 100 · Précision 100 % · 15 PP
Aspire la moitié des dégâts infligés à
l'ennemi endormi.</t>
      </text>
    </comment>
    <comment ref="C3132" authorId="0" shapeId="0">
      <text>
        <t>Danse Pluie — Eau, statut
5 PP
Améliore les attaques Eau pendant 5 tours.</t>
      </text>
    </comment>
    <comment ref="D3132" authorId="0" shapeId="0">
      <text>
        <t>Moi d'Abord — Normal, statut
20 PP
Utilise l'attaque ennemie, en plus puissant.</t>
      </text>
    </comment>
    <comment ref="B3134" authorId="0" shapeId="0">
      <text>
        <t>ZARBI — Psy
PV 48 · Att 72 · Déf 48
Att.Spé 72 · Déf.Spé 48 · Vit 48
Total 336
Talents : Lévitation</t>
      </text>
    </comment>
    <comment ref="C3134" authorId="0" shapeId="0">
      <text>
        <t>M. MIME — Psy / Fée
PV 40 · Att 45 · Déf 65
Att.Spé 100 · Déf.Spé 120 · Vit 90
Total 460
Talents : Anti-Bruit, Filtre (caché :
  Technicien)</t>
      </text>
    </comment>
    <comment ref="D3134" authorId="0" shapeId="0">
      <text>
        <t>NOADKOKO — Plante / Psy
PV 95 · Att 95 · Déf 85
Att.Spé 125 · Déf.Spé 75 · Vit 55
Total 530
Talents : Chlorophylle (caché : Récolte)</t>
      </text>
    </comment>
    <comment ref="B3137" authorId="0" shapeId="0">
      <text>
        <t>Lévitation
Ignore les attaques Sol.</t>
      </text>
    </comment>
    <comment ref="C3137" authorId="0" shapeId="0">
      <text>
        <t>Anti-Bruit
Évite les coups sonores.</t>
      </text>
    </comment>
    <comment ref="D3137" authorId="0" shapeId="0">
      <text>
        <t>Chlorophylle
Augmente Vitesse au soleil.</t>
      </text>
    </comment>
    <comment ref="B3138" authorId="0" shapeId="0">
      <text>
        <t>Puissance Cachée — Normal, spéciale
Puissance 60 · Précision 100 % · 15 PP</t>
      </text>
    </comment>
    <comment ref="C3138" authorId="0" shapeId="0">
      <text>
        <t>Imitation — Psy, statut
10 PP
Imite la cible et copie sa capacité spéciale.</t>
      </text>
    </comment>
    <comment ref="D3138" authorId="0" shapeId="0">
      <text>
        <t>Don Naturel — Normal, physique
Puissance 1 · Précision 100 % · 15 PP
L'effet varie selon la Baie tenue.</t>
      </text>
    </comment>
    <comment ref="C3139" authorId="0" shapeId="0">
      <text>
        <t>Relais — Normal, statut
40 PP
Change de lanceur, mais garde les effets en
cours.</t>
      </text>
    </comment>
    <comment ref="D3139" authorId="0" shapeId="0">
      <text>
        <t>Giga-Sangsue — Plante, spéciale
Puissance 75 · Précision 100 % · 25 PP
Une attaque qui absorbe la moitié des dégâts
infligés.</t>
      </text>
    </comment>
    <comment ref="C3140" authorId="0" shapeId="0">
      <text>
        <t>Rune Protect — Normal, statut
25 PP
Force mystique empêchant tout changement de
statut.</t>
      </text>
    </comment>
    <comment ref="D3140" authorId="0" shapeId="0">
      <text>
        <t>Lance-Soleil — Plante, spéciale
Puissance 120 · Précision 100 % · 10 PP
Absorbe la lumière et attaque le tour suivant.</t>
      </text>
    </comment>
    <comment ref="C3141" authorId="0" shapeId="0">
      <text>
        <t>Vigilance — Fée, statut
10 PP · Priorité +3
Évite les capacités de statut pendant un tour.</t>
      </text>
    </comment>
    <comment ref="D3141" authorId="0" shapeId="0">
      <text>
        <t>Extrasenseur — Psy, spéciale
Puissance 80 · Précision 100 % · 20 PP
Pouvoir singulier qui peut apeurer l'ennemi.</t>
      </text>
    </comment>
    <comment ref="B3143" authorId="0" shapeId="0">
      <text>
        <t>M. MIME — Psy / Fée
PV 40 · Att 45 · Déf 65
Att.Spé 100 · Déf.Spé 120 · Vit 90
Total 460
Talents : Anti-Bruit, Filtre (caché :
  Technicien)</t>
      </text>
    </comment>
    <comment ref="C3143" authorId="0" shapeId="0">
      <text>
        <t>LIPPOUTOU — Glace / Psy
PV 65 · Att 50 · Déf 35
Att.Spé 115 · Déf.Spé 95 · Vit 95
Total 455
Talents : Benêt, Prédiction (caché : Peau
  Sèche)</t>
      </text>
    </comment>
    <comment ref="D3143" authorId="0" shapeId="0">
      <text>
        <t>FLAGADOSS — Eau / Psy
PV 95 · Att 75 · Déf 110
Att.Spé 100 · Déf.Spé 80 · Vit 30
Total 490
Talents : Benêt, Tempo Perso (caché : Régé-
  Force)</t>
      </text>
    </comment>
    <comment ref="E3143" authorId="0" shapeId="0">
      <text>
        <t>QULBUTOKE — Psy
PV 190 · Att 33 · Déf 58
Att.Spé 33 · Déf.Spé 58 · Vit 33
Total 405
Talents : Marque Ombre (caché : Télépathe)</t>
      </text>
    </comment>
    <comment ref="F3143" authorId="0" shapeId="0">
      <text>
        <t>MENTALI — Psy
PV 65 · Att 65 · Déf 60
Att.Spé 130 · Déf.Spé 95 · Vit 110
Total 525
Talents : Synchro, Synchro (caché : Miroir
  Magik)</t>
      </text>
    </comment>
    <comment ref="G3143" authorId="0" shapeId="0">
      <text>
        <t>ALAKAZAM — Psy
PV 55 · Att 50 · Déf 45
Att.Spé 135 · Déf.Spé 135 · Vit 120
Total 540
Talents : Synchro, Attention (caché : Garde
  Magik)</t>
      </text>
    </comment>
    <comment ref="B3145" authorId="0" shapeId="0">
      <text>
        <t>Vive Griffe
Objet tenu qui permet parfois de frapper le
premier.</t>
      </text>
    </comment>
    <comment ref="D3145" authorId="0" shapeId="0">
      <text>
        <t>Baie Maron
Objet tenu qui réveille les {PKMN} dormant au
combat.</t>
      </text>
    </comment>
    <comment ref="E3145" authorId="0" shapeId="0">
      <text>
        <t>Restes
Objet tenu permet- tant de restaurer les PV au
combat.</t>
      </text>
    </comment>
    <comment ref="G3145" authorId="0" shapeId="0">
      <text>
        <t>Cuillère Tordue</t>
      </text>
    </comment>
    <comment ref="B3146" authorId="0" shapeId="0">
      <text>
        <t>Anti-Bruit
Évite les coups sonores.</t>
      </text>
    </comment>
    <comment ref="C3146" authorId="0" shapeId="0">
      <text>
        <t>Benêt
Empêche l'attirance.</t>
      </text>
    </comment>
    <comment ref="D3146" authorId="0" shapeId="0">
      <text>
        <t>Benêt
Empêche l'attirance.</t>
      </text>
    </comment>
    <comment ref="E3146" authorId="0" shapeId="0">
      <text>
        <t>Marque Ombre
Empêche la fuite ennemie.</t>
      </text>
    </comment>
    <comment ref="F3146" authorId="0" shapeId="0">
      <text>
        <t>Synchro
Transfère statuts.</t>
      </text>
    </comment>
    <comment ref="G3146" authorId="0" shapeId="0">
      <text>
        <t>Synchro
Transfère statuts.</t>
      </text>
    </comment>
    <comment ref="B3147" authorId="0" shapeId="0">
      <text>
        <t>Feuille Magik — Plante, spéciale
Puissance 60 · Ne rate jamais · 20 PP
Envoie des feuilles ne pouvant être esquivées.</t>
      </text>
    </comment>
    <comment ref="C3147" authorId="0" shapeId="0">
      <text>
        <t>Psyko — Psy, spéciale
Puissance 90 · Précision 100 % · 10 PP
Une puissante attaque Psy pouvant baisser la
Déf. Spé.</t>
      </text>
    </comment>
    <comment ref="D3147" authorId="0" shapeId="0">
      <text>
        <t>Repos — Psy, statut
5 PP
Le lanceur dort 2 tours et regagne PV et
statut.</t>
      </text>
    </comment>
    <comment ref="E3147" authorId="0" shapeId="0">
      <text>
        <t>Voile Miroir — Psy, spéciale
Puissance 1 · Précision 100 % · 20 PP ·
Priorité -5
Renvoie l'attaque spéciale ennemie 2 fois plus
fort.</t>
      </text>
    </comment>
    <comment ref="F3147" authorId="0" shapeId="0">
      <text>
        <t>Psyko — Psy, spéciale
Puissance 90 · Précision 100 % · 10 PP
Une puissante attaque Psy pouvant baisser la
Déf. Spé.</t>
      </text>
    </comment>
    <comment ref="G3147" authorId="0" shapeId="0">
      <text>
        <t>Ball'Ombre — Spectre, spéciale
Puissance 80 · Précision 100 % · 15 PP
Projette une grande tache qui peut baisser la
Déf. Spé.</t>
      </text>
    </comment>
    <comment ref="B3148" authorId="0" shapeId="0">
      <text>
        <t>Psyko — Psy, spéciale
Puissance 90 · Précision 100 % · 10 PP
Une puissante attaque Psy pouvant baisser la
Déf. Spé.</t>
      </text>
    </comment>
    <comment ref="C3148" authorId="0" shapeId="0">
      <text>
        <t>Laser Glace — Glace, spéciale
Puissance 90 · Précision 100 % · 10 PP</t>
      </text>
    </comment>
    <comment ref="D3148" authorId="0" shapeId="0">
      <text>
        <t>Blabla Dodo — Normal, statut
10 PP
Utilise un coup au hasard en dormant.</t>
      </text>
    </comment>
    <comment ref="E3148" authorId="0" shapeId="0">
      <text>
        <t>Riposte — Combat, physique
Puissance 1 · Précision 100 % · 20 PP ·
Priorité -5
Renvoie toute attaque physique, 2 fois plus
fort.</t>
      </text>
    </comment>
    <comment ref="F3148" authorId="0" shapeId="0">
      <text>
        <t>Aurore — Normal, statut
5 PP
Restaure les PV. La quantité varie suivant le
temps.</t>
      </text>
    </comment>
    <comment ref="G3148" authorId="0" shapeId="0">
      <text>
        <t>Psyko — Psy, spéciale
Puissance 90 · Précision 100 % · 10 PP
Une puissante attaque Psy pouvant baisser la
Déf. Spé.</t>
      </text>
    </comment>
    <comment ref="B3149" authorId="0" shapeId="0">
      <text>
        <t>Clonage — Normal, statut
10 PP
Crée un leurre avec 1/4 des PV max du lanceur.</t>
      </text>
    </comment>
    <comment ref="C3149" authorId="0" shapeId="0">
      <text>
        <t>Grobisou — Normal, statut
Précision 75 % · 10 PP
Demande un bisou en grimaçant. Peut endormir.</t>
      </text>
    </comment>
    <comment ref="D3149" authorId="0" shapeId="0">
      <text>
        <t>Sacrifice — Combat, physique
Puissance 80 · Précision 80 % · 20 PP
Une charge violente qui blesse aussi le
lanceur.</t>
      </text>
    </comment>
    <comment ref="E3149" authorId="0" shapeId="0">
      <text>
        <t>Rune Protect — Normal, statut
25 PP
Force mystique empêchant tout changement de
statut.</t>
      </text>
    </comment>
    <comment ref="F3149" authorId="0" shapeId="0">
      <text>
        <t>Prescience — Psy, spéciale
Puissance 120 · Précision 100 % · 10 PP
Accumule de l'énergie pour frapper 2 tours
plus tard.</t>
      </text>
    </comment>
    <comment ref="G3149" authorId="0" shapeId="0">
      <text>
        <t>Soin — Normal, statut
5 PP
Restaure jusqu'à la moitié des PV max du
lanceur.</t>
      </text>
    </comment>
    <comment ref="B3150" authorId="0" shapeId="0">
      <text>
        <t>Protection — Psy, statut
20 PP
Crée un mur lumineux. Affaiblit att.
physiques.</t>
      </text>
    </comment>
    <comment ref="C3150" authorId="0" shapeId="0">
      <text>
        <t>Nœud Herbe — Plante, spéciale
Puissance 1 · Précision 100 % · 20 PP
Un piège qui blesse plus un ennemi lourd.</t>
      </text>
    </comment>
    <comment ref="D3150" authorId="0" shapeId="0">
      <text>
        <t>Surf — Eau, spéciale
Puissance 90 · Précision 100 % · 15 PP</t>
      </text>
    </comment>
    <comment ref="E3150" authorId="0" shapeId="0">
      <text>
        <t>Lien du Destin — Spectre, statut
5 PP
Si le lanceur est mis KO, l'ennemi le sera
également.</t>
      </text>
    </comment>
    <comment ref="F3150" authorId="0" shapeId="0">
      <text>
        <t>Rayon Gemme — Roche, spéciale
Puissance 80 · Précision 100 % · 20 PP
Des rayons brillants comme des diamants.</t>
      </text>
    </comment>
    <comment ref="G3150" authorId="0" shapeId="0">
      <text>
        <t>Plénitude — Psy, statut
20 PP
Méditation pour augmenter l'Atq. Spé. et la
Déf. Spé.</t>
      </text>
    </comment>
    <comment ref="B3153" authorId="0" shapeId="0">
      <text>
        <t>SMOGO — Poison
PV 40 · Att 65 · Déf 95
Att.Spé 60 · Déf.Spé 45 · Vit 35
Total 340
Talents : Lévitation, Gaz Inhibiteur (caché :
  Puanteur)</t>
      </text>
    </comment>
    <comment ref="C3153" authorId="0" shapeId="0">
      <text>
        <t>SMOGO — Poison
PV 40 · Att 65 · Déf 95
Att.Spé 60 · Déf.Spé 45 · Vit 35
Total 340
Talents : Lévitation, Gaz Inhibiteur (caché :
  Puanteur)</t>
      </text>
    </comment>
    <comment ref="D3153" authorId="0" shapeId="0">
      <text>
        <t>SMOGO — Poison
PV 40 · Att 65 · Déf 95
Att.Spé 60 · Déf.Spé 45 · Vit 35
Total 340
Talents : Lévitation, Gaz Inhibiteur (caché :
  Puanteur)</t>
      </text>
    </comment>
    <comment ref="E3153" authorId="0" shapeId="0">
      <text>
        <t>SMOGO — Poison
PV 40 · Att 65 · Déf 95
Att.Spé 60 · Déf.Spé 45 · Vit 35
Total 340
Talents : Lévitation, Gaz Inhibiteur (caché :
  Puanteur)</t>
      </text>
    </comment>
    <comment ref="B3156" authorId="0" shapeId="0">
      <text>
        <t>Lévitation
Ignore les attaques Sol.</t>
      </text>
    </comment>
    <comment ref="C3156" authorId="0" shapeId="0">
      <text>
        <t>Lévitation
Ignore les attaques Sol.</t>
      </text>
    </comment>
    <comment ref="D3156" authorId="0" shapeId="0">
      <text>
        <t>Lévitation
Ignore les attaques Sol.</t>
      </text>
    </comment>
    <comment ref="E3156" authorId="0" shapeId="0">
      <text>
        <t>Lévitation
Ignore les attaques Sol.</t>
      </text>
    </comment>
    <comment ref="B3157" authorId="0" shapeId="0">
      <text>
        <t>Explosion — Normal, physique
Puissance 250 · Précision 100 % · 5 PP
Inflige de sérieux dégâts, mais met le lanceur
KO.</t>
      </text>
    </comment>
    <comment ref="C3157" authorId="0" shapeId="0">
      <text>
        <t>Explosion — Normal, physique
Puissance 250 · Précision 100 % · 5 PP
Inflige de sérieux dégâts, mais met le lanceur
KO.</t>
      </text>
    </comment>
    <comment ref="D3157" authorId="0" shapeId="0">
      <text>
        <t>Explosion — Normal, physique
Puissance 250 · Précision 100 % · 5 PP
Inflige de sérieux dégâts, mais met le lanceur
KO.</t>
      </text>
    </comment>
    <comment ref="E3157" authorId="0" shapeId="0">
      <text>
        <t>Explosion — Normal, physique
Puissance 250 · Précision 100 % · 5 PP
Inflige de sérieux dégâts, mais met le lanceur
KO.</t>
      </text>
    </comment>
    <comment ref="B3158" authorId="0" shapeId="0">
      <text>
        <t>Lien du Destin — Spectre, statut
5 PP
Si le lanceur est mis KO, l'ennemi le sera
également.</t>
      </text>
    </comment>
    <comment ref="C3158" authorId="0" shapeId="0">
      <text>
        <t>Lien du Destin — Spectre, statut
5 PP
Si le lanceur est mis KO, l'ennemi le sera
également.</t>
      </text>
    </comment>
    <comment ref="D3158" authorId="0" shapeId="0">
      <text>
        <t>Lien du Destin — Spectre, statut
5 PP
Si le lanceur est mis KO, l'ennemi le sera
également.</t>
      </text>
    </comment>
    <comment ref="E3158" authorId="0" shapeId="0">
      <text>
        <t>Lien du Destin — Spectre, statut
5 PP
Si le lanceur est mis KO, l'ennemi le sera
également.</t>
      </text>
    </comment>
    <comment ref="B3159" authorId="0" shapeId="0">
      <text>
        <t>Éructation — Poison, spéciale
Puissance 120 · Précision 90 % · 10 PP
Un gros rot. Exige d'avoir mangé une Baie.</t>
      </text>
    </comment>
    <comment ref="C3159" authorId="0" shapeId="0">
      <text>
        <t>Éructation — Poison, spéciale
Puissance 120 · Précision 90 % · 10 PP
Un gros rot. Exige d'avoir mangé une Baie.</t>
      </text>
    </comment>
    <comment ref="D3159" authorId="0" shapeId="0">
      <text>
        <t>Éructation — Poison, spéciale
Puissance 120 · Précision 90 % · 10 PP
Un gros rot. Exige d'avoir mangé une Baie.</t>
      </text>
    </comment>
    <comment ref="E3159" authorId="0" shapeId="0">
      <text>
        <t>Éructation — Poison, spéciale
Puissance 120 · Précision 90 % · 10 PP
Un gros rot. Exige d'avoir mangé une Baie.</t>
      </text>
    </comment>
    <comment ref="B3160" authorId="0" shapeId="0">
      <text>
        <t>Souvenir — Ténèbres, statut
Précision 100 % · 10 PP
Le lanceur est mis K.O. et baisse les cap.
ennemies.</t>
      </text>
    </comment>
    <comment ref="C3160" authorId="0" shapeId="0">
      <text>
        <t>Souvenir — Ténèbres, statut
Précision 100 % · 10 PP
Le lanceur est mis K.O. et baisse les cap.
ennemies.</t>
      </text>
    </comment>
    <comment ref="D3160" authorId="0" shapeId="0">
      <text>
        <t>Souvenir — Ténèbres, statut
Précision 100 % · 10 PP
Le lanceur est mis K.O. et baisse les cap.
ennemies.</t>
      </text>
    </comment>
    <comment ref="E3160" authorId="0" shapeId="0">
      <text>
        <t>Souvenir — Ténèbres, statut
Précision 100 % · 10 PP
Le lanceur est mis K.O. et baisse les cap.
ennemies.</t>
      </text>
    </comment>
    <comment ref="B3162" authorId="0" shapeId="0">
      <text>
        <t>PYROLI — Feu
PV 65 · Att 130 · Déf 60
Att.Spé 95 · Déf.Spé 110 · Vit 65
Total 525
Talents : Torche, Torche (caché : Cran)</t>
      </text>
    </comment>
    <comment ref="B3165" authorId="0" shapeId="0">
      <text>
        <t>Torche
Puissance monte si brûlé.</t>
      </text>
    </comment>
    <comment ref="B3166" authorId="0" shapeId="0">
      <text>
        <t>Purédpois — Poison, spéciale
Puissance 30 · Précision 70 % · 20 PP
Un gaz nocif pouvant empoisonner l'ennemi.</t>
      </text>
    </comment>
    <comment ref="B3167" authorId="0" shapeId="0">
      <text>
        <t>Ébullilave — Feu, spéciale
Puissance 80 · Précision 100 % · 15 PP</t>
      </text>
    </comment>
    <comment ref="B3168" authorId="0" shapeId="0">
      <text>
        <t>Dernier Recours — Normal, physique
Puissance 140 · Précision 100 % · 5 PP
Utilisable après toutes les autres capacités.</t>
      </text>
    </comment>
    <comment ref="B3169" authorId="0" shapeId="0">
      <text>
        <t>Boutefeu — Feu, physique
Puissance 120 · Précision 100 % · 15 PP
Une charge qui peut brûler. Blesse le lanceur.</t>
      </text>
    </comment>
    <comment ref="B3171" authorId="0" shapeId="0">
      <text>
        <t>NOSTENFER — Poison / Vol
PV 85 · Att 90 · Déf 80
Att.Spé 70 · Déf.Spé 80 · Vit 130
Total 535
Talents : Attention (caché : Infiltration)</t>
      </text>
    </comment>
    <comment ref="C3171" authorId="0" shapeId="0">
      <text>
        <t>GROTADMORV — Poison
PV 105 · Att 105 · Déf 75
Att.Spé 65 · Déf.Spé 100 · Vit 50
Total 500
Talents : Puanteur, Glu (caché : Toxitouche)</t>
      </text>
    </comment>
    <comment ref="B3174" authorId="0" shapeId="0">
      <text>
        <t>Attention
Empêche la peur.</t>
      </text>
    </comment>
    <comment ref="C3174" authorId="0" shapeId="0">
      <text>
        <t>Puanteur
Repousse Pokémon sauvage.</t>
      </text>
    </comment>
    <comment ref="B3175" authorId="0" shapeId="0">
      <text>
        <t>Buée Noire — Glace, statut
30 PP
Crée un nuage noir annulant tout changement
d'état.</t>
      </text>
    </comment>
    <comment ref="C3175" authorId="0" shapeId="0">
      <text>
        <t>Grincement — Normal, statut
Précision 85 % · 40 PP
Cri strident qui baisse la Défense ennemie.</t>
      </text>
    </comment>
    <comment ref="B3176" authorId="0" shapeId="0">
      <text>
        <t>Choc Venin — Poison, spéciale
Puissance 65 · Précision 100 % · 10 PP
Double les dégâts sur un ennemi empoisonné.</t>
      </text>
    </comment>
    <comment ref="C3176" authorId="0" shapeId="0">
      <text>
        <t>Détricanon — Poison, physique
Puissance 120 · Précision 80 % · 5 PP
Des ordures sur l'ennemi. Peut empoisonner.</t>
      </text>
    </comment>
    <comment ref="B3177" authorId="0" shapeId="0">
      <text>
        <t>Lame d'Air — Vol, spéciale
Puissance 75 · Précision 95 % · 15 PP
Une lame d'air. Peut apeurer l'ennemi.</t>
      </text>
    </comment>
    <comment ref="C3177" authorId="0" shapeId="0">
      <text>
        <t>Acidarmure — Poison, statut
20 PP
Liquéfie le corps du lanceur et booste sa
Défense.</t>
      </text>
    </comment>
    <comment ref="B3178" authorId="0" shapeId="0">
      <text>
        <t>Prévention — Combat, statut
15 PP · Priorité +3
Évite les attaques rapides pendant un tour.</t>
      </text>
    </comment>
    <comment ref="C3178" authorId="0" shapeId="0">
      <text>
        <t>Éructation — Poison, spéciale
Puissance 120 · Précision 90 % · 10 PP
Un gros rot. Exige d'avoir mangé une Baie.</t>
      </text>
    </comment>
    <comment ref="B3180" authorId="0" shapeId="0">
      <text>
        <t>PORYGON2 — Normal
PV 85 · Att 80 · Déf 90
Att.Spé 105 · Déf.Spé 95 · Vit 60
Total 515
Talents : Calque, Télécharge (caché :
  Analyste)</t>
      </text>
    </comment>
    <comment ref="B3183" authorId="0" shapeId="0">
      <text>
        <t>Calque
Imite la capacité spéciale.</t>
      </text>
    </comment>
    <comment ref="B3184" authorId="0" shapeId="0">
      <text>
        <t>Verrouillage — Normal, statut
5 PP
Verrouille la cible pour ne pas la rater au
tour suivant.</t>
      </text>
    </comment>
    <comment ref="B3185" authorId="0" shapeId="0">
      <text>
        <t>Triplattaque — Normal, spéciale
Puissance 80 · Précision 100 % · 10 PP
Envoie trois types de rayons en même temps.</t>
      </text>
    </comment>
    <comment ref="B3186" authorId="0" shapeId="0">
      <text>
        <t>Reflet Magik — Psy, statut
15 PP · Priorité +4
Renvoie les effets spéciaux vers le lanceur.</t>
      </text>
    </comment>
    <comment ref="B3187" authorId="0" shapeId="0">
      <text>
        <t>Élecanon — Électrik, spéciale
Puissance 120 · Précision 50 % · 5 PP
Puissant et paralysant, mais pas très précis.</t>
      </text>
    </comment>
    <comment ref="B3189" authorId="0" shapeId="0">
      <text>
        <t>MAGNETI — Électrik
PV 25 · Att 35 · Déf 70
Att.Spé 95 · Déf.Spé 55 · Vit 45
Total 325
Talents : Magnépiège, Fermeté (caché :
  Analyste)</t>
      </text>
    </comment>
    <comment ref="C3189" authorId="0" shapeId="0">
      <text>
        <t>MAGNETI — Électrik
PV 25 · Att 35 · Déf 70
Att.Spé 95 · Déf.Spé 55 · Vit 45
Total 325
Talents : Magnépiège, Fermeté (caché :
  Analyste)</t>
      </text>
    </comment>
    <comment ref="D3189" authorId="0" shapeId="0">
      <text>
        <t>STEELIX — Acier / Sol
PV 75 · Att 85 · Déf 200
Att.Spé 55 · Déf.Spé 65 · Vit 30
Total 510
Talents : Tête de Roc, Fermeté (caché : Sans
  Limite)</t>
      </text>
    </comment>
    <comment ref="B3192" authorId="0" shapeId="0">
      <text>
        <t>Magnépiège
Piège les Pokémon Acier.</t>
      </text>
    </comment>
    <comment ref="C3192" authorId="0" shapeId="0">
      <text>
        <t>Magnépiège
Piège les Pokémon Acier.</t>
      </text>
    </comment>
    <comment ref="D3192" authorId="0" shapeId="0">
      <text>
        <t>Tête de Roc
Empêche dégâts du recul.</t>
      </text>
    </comment>
    <comment ref="B3193" authorId="0" shapeId="0">
      <text>
        <t>Verrouillage — Normal, statut
5 PP
Verrouille la cible pour ne pas la rater au
tour suivant.</t>
      </text>
    </comment>
    <comment ref="C3193" authorId="0" shapeId="0">
      <text>
        <t>Verrouillage — Normal, statut
5 PP
Verrouille la cible pour ne pas la rater au
tour suivant.</t>
      </text>
    </comment>
    <comment ref="D3193" authorId="0" shapeId="0">
      <text>
        <t>Lame de Roc — Roche, physique
Puissance 100 · Précision 80 % · 5 PP
Transperce de pierres. Critiques fréquents.</t>
      </text>
    </comment>
    <comment ref="B3194" authorId="0" shapeId="0">
      <text>
        <t>Vol Magnétik — Électrik, statut
10 PP
Le lanceur lévite par magnétisme.</t>
      </text>
    </comment>
    <comment ref="C3194" authorId="0" shapeId="0">
      <text>
        <t>Vol Magnétik — Électrik, statut
10 PP
Le lanceur lévite par magnétisme.</t>
      </text>
    </comment>
    <comment ref="D3194" authorId="0" shapeId="0">
      <text>
        <t>Damoclès — Normal, physique
Puissance 120 · Précision 100 % · 15 PP
Une dangereuse charge qui blesse aussi le
lanceur.</t>
      </text>
    </comment>
    <comment ref="B3195" authorId="0" shapeId="0">
      <text>
        <t>Gyroballe — Acier, physique
Puissance 1 · Précision 100 % · 5 PP
Une toupie qui blesse plus un ennemi rapide.</t>
      </text>
    </comment>
    <comment ref="C3195" authorId="0" shapeId="0">
      <text>
        <t>Gyroballe — Acier, physique
Puissance 1 · Précision 100 % · 5 PP
Une toupie qui blesse plus un ennemi rapide.</t>
      </text>
    </comment>
    <comment ref="D3195" authorId="0" shapeId="0">
      <text>
        <t>Tempête de Sable — Roche, statut
10 PP
Une tempête de sable qui souffle pendant 5
tours.</t>
      </text>
    </comment>
    <comment ref="B3196" authorId="0" shapeId="0">
      <text>
        <t>Élecanon — Électrik, spéciale
Puissance 120 · Précision 50 % · 5 PP
Puissant et paralysant, mais pas très précis.</t>
      </text>
    </comment>
    <comment ref="C3196" authorId="0" shapeId="0">
      <text>
        <t>Élecanon — Électrik, spéciale
Puissance 120 · Précision 50 % · 5 PP
Puissant et paralysant, mais pas très précis.</t>
      </text>
    </comment>
    <comment ref="D3196" authorId="0" shapeId="0">
      <text>
        <t>Tête de Fer — Acier, physique
Puissance 80 · Précision 100 % · 15 PP
Un crâne dur. Peut apeurer l'ennemi.</t>
      </text>
    </comment>
    <comment ref="B3199" authorId="0" shapeId="0">
      <text>
        <t>MACKOGNEUR — Combat
PV 90 · Att 130 · Déf 80
Att.Spé 65 · Déf.Spé 85 · Vit 55
Total 505
Talents : Cran, Annule Garde (caché :
  Impassible)</t>
      </text>
    </comment>
    <comment ref="B3202" authorId="0" shapeId="0">
      <text>
        <t>Cran
Monte l'Attaque si statut.</t>
      </text>
    </comment>
    <comment ref="B3203" authorId="0" shapeId="0">
      <text>
        <t>Gonflette — Combat, statut
20 PP
Se gonfle pour booster l'Attaque et la
Défense.</t>
      </text>
    </comment>
    <comment ref="B3204" authorId="0" shapeId="0">
      <text>
        <t>Coup Croix — Combat, physique
Puissance 100 · Précision 80 % · 5 PP
2 attaques tranchantes. Taux de critiques
élevé.</t>
      </text>
    </comment>
    <comment ref="B3205" authorId="0" shapeId="0">
      <text>
        <t>Grimace — Normal, statut
Précision 100 % · 10 PP
Effraie avec une grimace pour baisser la
Vitesse.</t>
      </text>
    </comment>
    <comment ref="B3206" authorId="0" shapeId="0">
      <text>
        <t>Dynamo-Poing — Combat, physique
Puissance 100 · Précision 50 % · 5 PP
Puissant et rend confus, mais pas très précis.</t>
      </text>
    </comment>
    <comment ref="B3208" authorId="0" shapeId="0">
      <text>
        <t>KANGOUREX — Normal
PV 105 · Att 95 · Déf 80
Att.Spé 40 · Déf.Spé 80 · Vit 90
Total 490
Talents : Matinal, Querelleur (caché :
  Attention)</t>
      </text>
    </comment>
    <comment ref="B3211" authorId="0" shapeId="0">
      <text>
        <t>Matinal
Se réveille rapidement.</t>
      </text>
    </comment>
    <comment ref="B3212" authorId="0" shapeId="0">
      <text>
        <t>Ténacité — Normal, statut
10 PP · Priorité +4
Encaisse les attaques du tour et conserve 1
PV.</t>
      </text>
    </comment>
    <comment ref="B3213" authorId="0" shapeId="0">
      <text>
        <t>Colère — Dragon, physique
Puissance 120 · Précision 100 % · 10 PP
Une attaque furieuse sur 2 à 3 tours. Lanceur
confus.</t>
      </text>
    </comment>
    <comment ref="B3214" authorId="0" shapeId="0">
      <text>
        <t>Coup Bas — Ténèbres, physique
Puissance 70 · Précision 100 % · 5 PP ·
Priorité +1</t>
      </text>
    </comment>
    <comment ref="B3215" authorId="0" shapeId="0">
      <text>
        <t>Contre — Combat, physique
Puissance 1 · Précision 100 % · 15 PP
Inflige plus de dégâts si les PV du lanceur
sont faibles.</t>
      </text>
    </comment>
    <comment ref="B3218" authorId="0" shapeId="0">
      <text>
        <t>SCARHINO — Insecte / Combat
PV 80 · Att 125 · Déf 75
Att.Spé 40 · Déf.Spé 95 · Vit 85
Total 500
Talents : Essaim, Cran (caché : Impudence)</t>
      </text>
    </comment>
    <comment ref="C3218" authorId="0" shapeId="0">
      <text>
        <t>KANGOUREX — Normal
PV 105 · Att 95 · Déf 80
Att.Spé 40 · Déf.Spé 80 · Vit 90
Total 490
Talents : Matinal, Querelleur (caché :
  Attention)</t>
      </text>
    </comment>
    <comment ref="B3221" authorId="0" shapeId="0">
      <text>
        <t>Essaim
Augmente attaques Insect.</t>
      </text>
    </comment>
    <comment ref="C3221" authorId="0" shapeId="0">
      <text>
        <t>Matinal
Se réveille rapidement.</t>
      </text>
    </comment>
    <comment ref="B3222" authorId="0" shapeId="0">
      <text>
        <t>Bélier — Normal, physique
Puissance 90 · Précision 85 % · 20 PP
Une charge violente qui blesse aussi le
lanceur.</t>
      </text>
    </comment>
    <comment ref="C3222" authorId="0" shapeId="0">
      <text>
        <t>Ténacité — Normal, statut
10 PP · Priorité +4
Encaisse les attaques du tour et conserve 1
PV.</t>
      </text>
    </comment>
    <comment ref="B3223" authorId="0" shapeId="0">
      <text>
        <t>Mégacorne — Insecte, physique
Puissance 120 · Précision 85 % · 10 PP
Une charge violente, toutes cornes en avant.</t>
      </text>
    </comment>
    <comment ref="C3223" authorId="0" shapeId="0">
      <text>
        <t>Colère — Dragon, physique
Puissance 120 · Précision 100 % · 10 PP
Une attaque furieuse sur 2 à 3 tours. Lanceur
confus.</t>
      </text>
    </comment>
    <comment ref="B3224" authorId="0" shapeId="0">
      <text>
        <t>Close Combat — Combat, physique
Puissance 120 · Précision 100 % · 5 PP</t>
      </text>
    </comment>
    <comment ref="C3224" authorId="0" shapeId="0">
      <text>
        <t>Coup Bas — Ténèbres, physique
Puissance 70 · Précision 100 % · 5 PP ·
Priorité +1</t>
      </text>
    </comment>
    <comment ref="B3225" authorId="0" shapeId="0">
      <text>
        <t>Contre — Combat, physique
Puissance 1 · Précision 100 % · 15 PP
Inflige plus de dégâts si les PV du lanceur
sont faibles.</t>
      </text>
    </comment>
    <comment ref="C3225" authorId="0" shapeId="0">
      <text>
        <t>Contre — Combat, physique
Puissance 1 · Précision 100 % · 15 PP
Inflige plus de dégâts si les PV du lanceur
sont faibles.</t>
      </text>
    </comment>
    <comment ref="B3227" authorId="0" shapeId="0">
      <text>
        <t>COTOVOL — Plante / Vol
PV 75 · Att 55 · Déf 70
Att.Spé 55 · Déf.Spé 95 · Vit 110
Total 460
Talents : Chlorophylle, Feuille Garde (caché :
  Infiltration)</t>
      </text>
    </comment>
    <comment ref="C3227" authorId="0" shapeId="0">
      <text>
        <t>HYPOCEAN — Eau
PV 55 · Att 65 · Déf 95
Att.Spé 95 · Déf.Spé 45 · Vit 85
Total 440
Talents : Point Poison, Sniper (caché :
  Moiteur)</t>
      </text>
    </comment>
    <comment ref="B3230" authorId="0" shapeId="0">
      <text>
        <t>Chlorophylle
Augmente Vitesse au soleil.</t>
      </text>
    </comment>
    <comment ref="C3230" authorId="0" shapeId="0">
      <text>
        <t>Point Poison
Empoisonne quand touché.</t>
      </text>
    </comment>
    <comment ref="B3231" authorId="0" shapeId="0">
      <text>
        <t>Poudre Fureur — Insecte, statut
20 PP · Priorité +2
Une poudre qui attire toutes les attaques.</t>
      </text>
    </comment>
    <comment ref="C3231" authorId="0" shapeId="0">
      <text>
        <t>Saumure — Eau, spéciale
Puissance 65 · Précision 100 % · 10 PP
Double les dégâts si l'ennemi a mi-PV ou
moins.</t>
      </text>
    </comment>
    <comment ref="B3232" authorId="0" shapeId="0">
      <text>
        <t>Spore Coton — Plante, statut
Précision 100 % · 40 PP</t>
      </text>
    </comment>
    <comment ref="C3232" authorId="0" shapeId="0">
      <text>
        <t>Hâte — Psy, statut
30 PP
Relaxation du corps pour booster la Vitesse.</t>
      </text>
    </comment>
    <comment ref="B3233" authorId="0" shapeId="0">
      <text>
        <t>Demi-Tour — Insecte, physique
Puissance 70 · Précision 100 % · 20 PP</t>
      </text>
    </comment>
    <comment ref="C3233" authorId="0" shapeId="0">
      <text>
        <t>Draco-Choc — Dragon, spéciale
Puissance 85 · Précision 100 % · 10 PP
Une onde de choc qui blesse l'ennemi.</t>
      </text>
    </comment>
    <comment ref="B3234" authorId="0" shapeId="0">
      <text>
        <t>Soucigraine — Plante, statut
Précision 100 % · 10 PP
Plante une graine qui donne Insomnia.</t>
      </text>
    </comment>
    <comment ref="C3234" authorId="0" shapeId="0">
      <text>
        <t>Danse Draco — Dragon, statut
20 PP
Danse mystique augmentant l'Attaque et la
Vitesse.</t>
      </text>
    </comment>
    <comment ref="B3236" authorId="0" shapeId="0">
      <text>
        <t>NIDOQUEEN — Poison / Sol
PV 90 · Att 92 · Déf 87
Att.Spé 75 · Déf.Spé 85 · Vit 76
Total 505
Talents : Point Poison, Rivalité (caché : Sans
  Limite)</t>
      </text>
    </comment>
    <comment ref="C3236" authorId="0" shapeId="0">
      <text>
        <t>RAICHU — Électrik
PV 60 · Att 90 · Déf 55
Att.Spé 90 · Déf.Spé 80 · Vit 110
Total 485
Talents : Statik (caché : Paratonnerre)</t>
      </text>
    </comment>
    <comment ref="B3239" authorId="0" shapeId="0">
      <text>
        <t>Point Poison
Empoisonne quand touché.</t>
      </text>
    </comment>
    <comment ref="C3239" authorId="0" shapeId="0">
      <text>
        <t>Statik
Paralyse au toucher.</t>
      </text>
    </comment>
    <comment ref="B3240" authorId="0" shapeId="0">
      <text>
        <t>Plaquage — Normal, physique
Puissance 85 · Précision 100 % · 15 PP
Une attaque en charge. Peut paralyser
l'ennemi.</t>
      </text>
    </comment>
    <comment ref="C3240" authorId="0" shapeId="0">
      <text>
        <t>Souplesse — Normal, physique
Puissance 80 · Précision 75 % · 20 PP
Fouette l'ennemi avec la queue, une liane,
etc.</t>
      </text>
    </comment>
    <comment ref="B3241" authorId="0" shapeId="0">
      <text>
        <t>Poison Croix — Poison, physique
Puissance 70 · Précision 100 % · 20 PP
Une taillade qui peut empoisonner. Critiques.</t>
      </text>
    </comment>
    <comment ref="C3241" authorId="0" shapeId="0">
      <text>
        <t>Queue de Fer — Acier, physique
Puissance 100 · Précision 75 % · 15 PP
Attaque avec la queue. Peut baisser la
Défense.</t>
      </text>
    </comment>
    <comment ref="B3242" authorId="0" shapeId="0">
      <text>
        <t>Piétisol — Sol, physique
Puissance 60 · Précision 100 % · 20 PP
Piétine le sol. Touche tout et baisse la Vit.</t>
      </text>
    </comment>
    <comment ref="C3242" authorId="0" shapeId="0">
      <text>
        <t>Tonnerre — Électrik, spéciale
Puissance 90 · Précision 100 % · 15 PP
Forte attaque électrique pouvant paralyser
l'ennemi.</t>
      </text>
    </comment>
    <comment ref="B3243" authorId="0" shapeId="0">
      <text>
        <t>Telluriforce — Sol, spéciale
Puissance 90 · Précision 100 % · 10 PP
Le sol se déchaîne. Peut baisser la Déf. Spé.</t>
      </text>
    </comment>
    <comment ref="C3243" authorId="0" shapeId="0">
      <text>
        <t>Hâte — Psy, statut
30 PP
Relaxation du corps pour booster la Vitesse.</t>
      </text>
    </comment>
    <comment ref="B3245" authorId="0" shapeId="0">
      <text>
        <t>TRIOPIKEUR — Sol
PV 35 · Att 100 · Déf 50
Att.Spé 50 · Déf.Spé 70 · Vit 120
Total 425
Talents : Voile Sable, Piège Sable (caché :
  Force Sable)</t>
      </text>
    </comment>
    <comment ref="C3245" authorId="0" shapeId="0">
      <text>
        <t>COLOSSINGE — Combat
PV 65 · Att 105 · Déf 60
Att.Spé 60 · Déf.Spé 70 · Vit 95
Total 455
Talents : Esprit Vital, Colérique (caché :
  Acharné)</t>
      </text>
    </comment>
    <comment ref="D3245" authorId="0" shapeId="0">
      <text>
        <t>TARTARD — Eau / Combat
PV 90 · Att 95 · Déf 95
Att.Spé 70 · Déf.Spé 90 · Vit 70
Total 510
Talents : Absorbe-Eau, Moiteur (caché :
  Glissade)</t>
      </text>
    </comment>
    <comment ref="B3248" authorId="0" shapeId="0">
      <text>
        <t>Voile Sable
Evasion si tempête sable.</t>
      </text>
    </comment>
    <comment ref="C3248" authorId="0" shapeId="0">
      <text>
        <t>Esprit Vital
Empêche le sommeil.</t>
      </text>
    </comment>
    <comment ref="D3248" authorId="0" shapeId="0">
      <text>
        <t>Absorbe-Eau
Change l'eau en PV.</t>
      </text>
    </comment>
    <comment ref="B3249" authorId="0" shapeId="0">
      <text>
        <t>Tunnel — Sol, physique
Puissance 80 · Précision 100 % · 10 PP
Creuse sous terre au 1{SUPER_ER} tour et
frappe au 2{SUPER_E}.</t>
      </text>
    </comment>
    <comment ref="C3249" authorId="0" shapeId="0">
      <text>
        <t>Close Combat — Combat, physique
Puissance 120 · Précision 100 % · 5 PP</t>
      </text>
    </comment>
    <comment ref="D3249" authorId="0" shapeId="0">
      <text>
        <t>Lire-Esprit — Normal, statut
5 PP
Pressent l'action pour réussir l'attaque
suivante.</t>
      </text>
    </comment>
    <comment ref="B3250" authorId="0" shapeId="0">
      <text>
        <t>Tranche — Normal, physique
Puissance 70 · Précision 100 % · 20 PP
Coups de griffe, etc. Taux de critiques élevé.</t>
      </text>
    </comment>
    <comment ref="C3250" authorId="0" shapeId="0">
      <text>
        <t>Grincement — Normal, statut
Précision 85 % · 40 PP
Cri strident qui baisse la Défense ennemie.</t>
      </text>
    </comment>
    <comment ref="D3250" authorId="0" shapeId="0">
      <text>
        <t>Cognobidon — Normal, statut
10 PP
Améliore l'Attaque à fond en sacrifiant la
moitié des PV.</t>
      </text>
    </comment>
    <comment ref="B3251" authorId="0" shapeId="0">
      <text>
        <t>Séisme — Sol, physique
Puissance 100 · Précision 100 % · 10 PP
Secousse sans effet sur les adversaires
volants.</t>
      </text>
    </comment>
    <comment ref="C3251" authorId="0" shapeId="0">
      <text>
        <t>Trépignement — Sol, physique
Puissance 75 · Précision 100 % · 10 PP
Trépigne. Plus fort si la capacité d'avant a
échoué.</t>
      </text>
    </comment>
    <comment ref="D3251" authorId="0" shapeId="0">
      <text>
        <t>Projection — Combat, physique
Puissance 60 · Précision 90 % · 10 PP ·
Priorité -6</t>
      </text>
    </comment>
    <comment ref="B3252" authorId="0" shapeId="0">
      <text>
        <t>Abîme — Sol, physique
Puissance 1 · Précision 30 % · 5 PP
Fait tomber l'ennemi dans une crevasse et le
met KO.</t>
      </text>
    </comment>
    <comment ref="C3252" authorId="0" shapeId="0">
      <text>
        <t>Colère — Dragon, physique
Puissance 120 · Précision 100 % · 10 PP
Une attaque furieuse sur 2 à 3 tours. Lanceur
confus.</t>
      </text>
    </comment>
    <comment ref="D3252" authorId="0" shapeId="0">
      <text>
        <t>Réveil Forcé — Combat, physique
Puissance 70 · Précision 100 % · 10 PP
Puissant sur un dormeur. Le réveille aussi.</t>
      </text>
    </comment>
    <comment ref="B3254" authorId="0" shapeId="0">
      <text>
        <t>GROLEM — Roche / Sol
PV 80 · Att 120 · Déf 130
Att.Spé 55 · Déf.Spé 65 · Vit 45
Total 495
Talents : Tête de Roc, Fermeté (caché : Voile
  Sable)</t>
      </text>
    </comment>
    <comment ref="C3254" authorId="0" shapeId="0">
      <text>
        <t>KABUTOPS — Roche / Eau
PV 60 · Att 115 · Déf 105
Att.Spé 65 · Déf.Spé 70 · Vit 80
Total 495
Talents : Glissade, Armurbaston (caché :
  Armurouillée)</t>
      </text>
    </comment>
    <comment ref="D3254" authorId="0" shapeId="0">
      <text>
        <t>MARAISTE — Eau / Sol
PV 95 · Att 85 · Déf 85
Att.Spé 65 · Déf.Spé 65 · Vit 35
Total 430
Talents : Moiteur, Absorbe-Eau (caché :
  Inconscient)</t>
      </text>
    </comment>
    <comment ref="B3257" authorId="0" shapeId="0">
      <text>
        <t>Tête de Roc
Empêche dégâts du recul.</t>
      </text>
    </comment>
    <comment ref="C3257" authorId="0" shapeId="0">
      <text>
        <t>Glissade
Monte Vitesse s'il pleut.</t>
      </text>
    </comment>
    <comment ref="D3257" authorId="0" shapeId="0">
      <text>
        <t>Moiteur
Empêche auto-destruction.</t>
      </text>
    </comment>
    <comment ref="B3258" authorId="0" shapeId="0">
      <text>
        <t>Séisme — Sol, physique
Puissance 100 · Précision 100 % · 10 PP
Secousse sans effet sur les adversaires
volants.</t>
      </text>
    </comment>
    <comment ref="C3258" authorId="0" shapeId="0">
      <text>
        <t>Strido-Son — Acier, statut
Précision 85 % · 40 PP
Cri horrible qui baisse beaucoup la Déf. Spé.</t>
      </text>
    </comment>
    <comment ref="D3258" authorId="0" shapeId="0">
      <text>
        <t>Danse Pluie — Eau, statut
5 PP
Améliore les attaques Eau pendant 5 tours.</t>
      </text>
    </comment>
    <comment ref="B3259" authorId="0" shapeId="0">
      <text>
        <t>Explosion — Normal, physique
Puissance 250 · Précision 100 % · 5 PP
Inflige de sérieux dégâts, mais met le lanceur
KO.</t>
      </text>
    </comment>
    <comment ref="C3259" authorId="0" shapeId="0">
      <text>
        <t>Vampigraine — Plante, statut
Précision 90 % · 10 PP
Plante des graines pour voler des PV à chaque
tour.</t>
      </text>
    </comment>
    <comment ref="D3259" authorId="0" shapeId="0">
      <text>
        <t>Brume — Glace, statut
30 PP
Crée une brume stoppant la réduction des
capacités.</t>
      </text>
    </comment>
    <comment ref="B3260" authorId="0" shapeId="0">
      <text>
        <t>Damoclès — Normal, physique
Puissance 120 · Précision 100 % · 15 PP
Une dangereuse charge qui blesse aussi le
lanceur.</t>
      </text>
    </comment>
    <comment ref="C3260" authorId="0" shapeId="0">
      <text>
        <t>Aqua-Brèche — Eau, physique
Puissance 85 · Précision 100 % · 10 PP
Un choc d'eau. Peut baisser la Défense.</t>
      </text>
    </comment>
    <comment ref="D3260" authorId="0" shapeId="0">
      <text>
        <t>Buée Noire — Glace, statut
30 PP
Crée un nuage noir annulant tout changement
d'état.</t>
      </text>
    </comment>
    <comment ref="B3261" authorId="0" shapeId="0">
      <text>
        <t>Lame de Roc — Roche, physique
Puissance 100 · Précision 80 % · 5 PP
Transperce de pierres. Critiques fréquents.</t>
      </text>
    </comment>
    <comment ref="C3261" authorId="0" shapeId="0">
      <text>
        <t>Pouvoir Antique — Roche, spéciale
Puissance 60 · Précision 100 % · 5 PP
Une attaque pouvant augmenter toutes les
stats.</t>
      </text>
    </comment>
    <comment ref="D3261" authorId="0" shapeId="0">
      <text>
        <t>Ocroupi — Eau, spéciale
Puissance 90 · Précision 85 % · 10 PP
Attaque d'eau croupie. Peut baisser la
précision.</t>
      </text>
    </comment>
    <comment ref="B3263" authorId="0" shapeId="0">
      <text>
        <t>TRIOPIKEUR — Sol
PV 35 · Att 100 · Déf 50
Att.Spé 50 · Déf.Spé 70 · Vit 120
Total 425
Talents : Voile Sable, Piège Sable (caché :
  Force Sable)</t>
      </text>
    </comment>
    <comment ref="C3263" authorId="0" shapeId="0">
      <text>
        <t>STEELIX — Acier / Sol
PV 75 · Att 85 · Déf 200
Att.Spé 55 · Déf.Spé 65 · Vit 30
Total 510
Talents : Tête de Roc, Fermeté (caché : Sans
  Limite)</t>
      </text>
    </comment>
    <comment ref="B3266" authorId="0" shapeId="0">
      <text>
        <t>Voile Sable
Evasion si tempête sable.</t>
      </text>
    </comment>
    <comment ref="C3266" authorId="0" shapeId="0">
      <text>
        <t>Tête de Roc
Empêche dégâts du recul.</t>
      </text>
    </comment>
    <comment ref="B3267" authorId="0" shapeId="0">
      <text>
        <t>Tunnel — Sol, physique
Puissance 80 · Précision 100 % · 10 PP
Creuse sous terre au 1{SUPER_ER} tour et
frappe au 2{SUPER_E}.</t>
      </text>
    </comment>
    <comment ref="C3267" authorId="0" shapeId="0">
      <text>
        <t>Lame de Roc — Roche, physique
Puissance 100 · Précision 80 % · 5 PP
Transperce de pierres. Critiques fréquents.</t>
      </text>
    </comment>
    <comment ref="B3268" authorId="0" shapeId="0">
      <text>
        <t>Tranche — Normal, physique
Puissance 70 · Précision 100 % · 20 PP
Coups de griffe, etc. Taux de critiques élevé.</t>
      </text>
    </comment>
    <comment ref="C3268" authorId="0" shapeId="0">
      <text>
        <t>Damoclès — Normal, physique
Puissance 120 · Précision 100 % · 15 PP
Une dangereuse charge qui blesse aussi le
lanceur.</t>
      </text>
    </comment>
    <comment ref="B3269" authorId="0" shapeId="0">
      <text>
        <t>Séisme — Sol, physique
Puissance 100 · Précision 100 % · 10 PP
Secousse sans effet sur les adversaires
volants.</t>
      </text>
    </comment>
    <comment ref="C3269" authorId="0" shapeId="0">
      <text>
        <t>Tempête de Sable — Roche, statut
10 PP
Une tempête de sable qui souffle pendant 5
tours.</t>
      </text>
    </comment>
    <comment ref="B3270" authorId="0" shapeId="0">
      <text>
        <t>Abîme — Sol, physique
Puissance 1 · Précision 30 % · 5 PP
Fait tomber l'ennemi dans une crevasse et le
met KO.</t>
      </text>
    </comment>
    <comment ref="C3270" authorId="0" shapeId="0">
      <text>
        <t>Tête de Fer — Acier, physique
Puissance 80 · Précision 100 % · 15 PP
Un crâne dur. Peut apeurer l'ennemi.</t>
      </text>
    </comment>
    <comment ref="B3273" authorId="0" shapeId="0">
      <text>
        <t>AKWAKWAK — Eau
PV 80 · Att 82 · Déf 78
Att.Spé 95 · Déf.Spé 80 · Vit 85
Total 500
Talents : Moiteur, Ciel Gris (caché :
  Glissade)</t>
      </text>
    </comment>
    <comment ref="C3273" authorId="0" shapeId="0">
      <text>
        <t>CRUSTABRI — Eau / Glace
PV 50 · Att 95 · Déf 180
Att.Spé 85 · Déf.Spé 45 · Vit 70
Total 525
Talents : Coque Armure, Multi-Coups (caché :
  Envelocape)</t>
      </text>
    </comment>
    <comment ref="D3273" authorId="0" shapeId="0">
      <text>
        <t>CORAYON — Eau / Roche
PV 65 · Att 55 · Déf 95
Att.Spé 65 · Déf.Spé 95 · Vit 35
Total 410
Talents : Agitation, Médic Nature (caché :
  Régé-Force)</t>
      </text>
    </comment>
    <comment ref="B3276" authorId="0" shapeId="0">
      <text>
        <t>Moiteur
Empêche auto-destruction.</t>
      </text>
    </comment>
    <comment ref="C3276" authorId="0" shapeId="0">
      <text>
        <t>Coque Armure
Bloque les coups critiques.</t>
      </text>
    </comment>
    <comment ref="D3276" authorId="0" shapeId="0">
      <text>
        <t>Agitation
Substitue préc. par puiss.</t>
      </text>
    </comment>
    <comment ref="B3277" authorId="0" shapeId="0">
      <text>
        <t>Boost — Normal, statut
10 PP
Copie les effets de l'ennemi et les passe au
lanceur.</t>
      </text>
    </comment>
    <comment ref="C3277" authorId="0" shapeId="0">
      <text>
        <t>Picots — Sol, statut
20 PP
Pointes blessant lors d'un changement
d'adversaire.</t>
      </text>
    </comment>
    <comment ref="D3277" authorId="0" shapeId="0">
      <text>
        <t>Rayon Gemme — Roche, spéciale
Puissance 80 · Précision 100 % · 20 PP
Des rayons brillants comme des diamants.</t>
      </text>
    </comment>
    <comment ref="B3278" authorId="0" shapeId="0">
      <text>
        <t>Amnésie — Psy, statut
20 PP
Oublie quelque chose et booste la Déf. Spé.</t>
      </text>
    </comment>
    <comment ref="C3278" authorId="0" shapeId="0">
      <text>
        <t>Coqui-Lame — Eau, physique
Puissance 75 · Précision 95 % · 10 PP
Des coquilles tranchantes. Peut baisser la
Déf.</t>
      </text>
    </comment>
    <comment ref="D3278" authorId="0" shapeId="0">
      <text>
        <t>Voile Miroir — Psy, spéciale
Puissance 1 · Précision 100 % · 20 PP ·
Priorité -5
Renvoie l'attaque spéciale ennemie 2 fois plus
fort.</t>
      </text>
    </comment>
    <comment ref="B3279" authorId="0" shapeId="0">
      <text>
        <t>Hydrocanon — Eau, spéciale
Puissance 110 · Précision 80 % · 5 PP
Envoie un puissant jet d'eau pour frapper
l'ennemi.</t>
      </text>
    </comment>
    <comment ref="C3279" authorId="0" shapeId="0">
      <text>
        <t>Chute Glace — Glace, physique
Puissance 85 · Précision 90 % · 10 PP
De gros glaçons. Peut apeurer l'ennemi.</t>
      </text>
    </comment>
    <comment ref="D3279" authorId="0" shapeId="0">
      <text>
        <t>Telluriforce — Sol, spéciale
Puissance 90 · Précision 100 % · 10 PP
Le sol se déchaîne. Peut baisser la Déf. Spé.</t>
      </text>
    </comment>
    <comment ref="B3280" authorId="0" shapeId="0">
      <text>
        <t>Zone Étrange — Psy, statut
10 PP
Échange Déf. et Déf. Spé. pendant 5 tours.</t>
      </text>
    </comment>
    <comment ref="C3280" authorId="0" shapeId="0">
      <text>
        <t>Saumure — Eau, spéciale
Puissance 65 · Précision 100 % · 10 PP
Double les dégâts si l'ennemi a mi-PV ou
moins.</t>
      </text>
    </comment>
    <comment ref="D3280" authorId="0" shapeId="0">
      <text>
        <t>Gigotage — Normal, physique
Puissance 1 · Précision 100 % · 15 PP
Inflige plus de dégâts si les PV du lanceur
sont faibles.</t>
      </text>
    </comment>
    <comment ref="B3282" authorId="0" shapeId="0">
      <text>
        <t>POISSOROY — Eau
PV 80 · Att 92 · Déf 65
Att.Spé 65 · Déf.Spé 80 · Vit 68
Total 450
Talents : Glissade, Ignifu-Voile (caché :
  Paratonnerre)</t>
      </text>
    </comment>
    <comment ref="C3282" authorId="0" shapeId="0">
      <text>
        <t>AZUMARILL — Eau / Fée
PV 100 · Att 50 · Déf 80
Att.Spé 60 · Déf.Spé 80 · Vit 50
Total 420
Talents : Isograisse, Coloforce (caché :
  Herbivore)</t>
      </text>
    </comment>
    <comment ref="D3282" authorId="0" shapeId="0">
      <text>
        <t>POISSOROY — Eau
PV 80 · Att 92 · Déf 65
Att.Spé 65 · Déf.Spé 80 · Vit 68
Total 450
Talents : Glissade, Ignifu-Voile (caché :
  Paratonnerre)</t>
      </text>
    </comment>
    <comment ref="B3285" authorId="0" shapeId="0">
      <text>
        <t>Glissade
Monte Vitesse s'il pleut.</t>
      </text>
    </comment>
    <comment ref="C3285" authorId="0" shapeId="0">
      <text>
        <t>Isograisse
Contre chaleur et froid.</t>
      </text>
    </comment>
    <comment ref="D3285" authorId="0" shapeId="0">
      <text>
        <t>Glissade
Monte Vitesse s'il pleut.</t>
      </text>
    </comment>
    <comment ref="B3286" authorId="0" shapeId="0">
      <text>
        <t>Empal'Korne — Normal, physique
Puissance 1 · Précision 30 % · 5 PP
Empale l'ennemi d'un coup de corne. Met KO en
un coup.</t>
      </text>
    </comment>
    <comment ref="C3286" authorId="0" shapeId="0">
      <text>
        <t>Danse Pluie — Eau, statut
5 PP
Améliore les attaques Eau pendant 5 tours.</t>
      </text>
    </comment>
    <comment ref="D3286" authorId="0" shapeId="0">
      <text>
        <t>Empal'Korne — Normal, physique
Puissance 1 · Précision 30 % · 5 PP
Empale l'ennemi d'un coup de corne. Met KO en
un coup.</t>
      </text>
    </comment>
    <comment ref="B3287" authorId="0" shapeId="0">
      <text>
        <t>Eau Revoir — Eau, physique
Puissance 60 · Précision 100 % · 20 PP
Attaque puis échange sa place avec un allié.</t>
      </text>
    </comment>
    <comment ref="C3287" authorId="0" shapeId="0">
      <text>
        <t>Damoclès — Normal, physique
Puissance 120 · Précision 100 % · 15 PP
Une dangereuse charge qui blesse aussi le
lanceur.</t>
      </text>
    </comment>
    <comment ref="D3287" authorId="0" shapeId="0">
      <text>
        <t>Eau Revoir — Eau, physique
Puissance 60 · Précision 100 % · 20 PP
Attaque puis échange sa place avec un allié.</t>
      </text>
    </comment>
    <comment ref="B3288" authorId="0" shapeId="0">
      <text>
        <t>Détrempage — Eau, statut
Précision 100 % · 20 PP
Asperge l'ennemi et le change en type Eau.</t>
      </text>
    </comment>
    <comment ref="C3288" authorId="0" shapeId="0">
      <text>
        <t>Surpuissance — Combat, physique
Puissance 120 · Précision 100 % · 5 PP
Booste la force, mais baisse les capacités.</t>
      </text>
    </comment>
    <comment ref="D3288" authorId="0" shapeId="0">
      <text>
        <t>Détrempage — Eau, statut
Précision 100 % · 20 PP
Asperge l'ennemi et le change en type Eau.</t>
      </text>
    </comment>
    <comment ref="B3289" authorId="0" shapeId="0">
      <text>
        <t>Mégacorne — Insecte, physique
Puissance 120 · Précision 85 % · 10 PP
Une charge violente, toutes cornes en avant.</t>
      </text>
    </comment>
    <comment ref="C3289" authorId="0" shapeId="0">
      <text>
        <t>Hydrocanon — Eau, spéciale
Puissance 110 · Précision 80 % · 5 PP
Envoie un puissant jet d'eau pour frapper
l'ennemi.</t>
      </text>
    </comment>
    <comment ref="D3289" authorId="0" shapeId="0">
      <text>
        <t>Mégacorne — Insecte, physique
Puissance 120 · Précision 85 % · 10 PP
Une charge violente, toutes cornes en avant.</t>
      </text>
    </comment>
    <comment ref="B3291" authorId="0" shapeId="0">
      <text>
        <t>HYPOCEAN — Eau
PV 55 · Att 65 · Déf 95
Att.Spé 95 · Déf.Spé 45 · Vit 85
Total 440
Talents : Point Poison, Sniper (caché :
  Moiteur)</t>
      </text>
    </comment>
    <comment ref="C3291" authorId="0" shapeId="0">
      <text>
        <t>LEVIATOR — Eau / Vol
PV 95 · Att 125 · Déf 79
Att.Spé 60 · Déf.Spé 100 · Vit 81
Total 540
Talents : Intimidation (caché : Impudence)</t>
      </text>
    </comment>
    <comment ref="D3291" authorId="0" shapeId="0">
      <text>
        <t>HYPOCEAN — Eau
PV 55 · Att 65 · Déf 95
Att.Spé 95 · Déf.Spé 45 · Vit 85
Total 440
Talents : Point Poison, Sniper (caché :
  Moiteur)</t>
      </text>
    </comment>
    <comment ref="B3294" authorId="0" shapeId="0">
      <text>
        <t>Point Poison
Empoisonne quand touché.</t>
      </text>
    </comment>
    <comment ref="C3294" authorId="0" shapeId="0">
      <text>
        <t>Intimidation
Baisse l'Attaque ennemie.</t>
      </text>
    </comment>
    <comment ref="D3294" authorId="0" shapeId="0">
      <text>
        <t>Point Poison
Empoisonne quand touché.</t>
      </text>
    </comment>
    <comment ref="B3295" authorId="0" shapeId="0">
      <text>
        <t>Saumure — Eau, spéciale
Puissance 65 · Précision 100 % · 10 PP
Double les dégâts si l'ennemi a mi-PV ou
moins.</t>
      </text>
    </comment>
    <comment ref="C3295" authorId="0" shapeId="0">
      <text>
        <t>Danse Draco — Dragon, statut
20 PP
Danse mystique augmentant l'Attaque et la
Vitesse.</t>
      </text>
    </comment>
    <comment ref="D3295" authorId="0" shapeId="0">
      <text>
        <t>Saumure — Eau, spéciale
Puissance 65 · Précision 100 % · 10 PP
Double les dégâts si l'ennemi a mi-PV ou
moins.</t>
      </text>
    </comment>
    <comment ref="B3296" authorId="0" shapeId="0">
      <text>
        <t>Hâte — Psy, statut
30 PP
Relaxation du corps pour booster la Vitesse.</t>
      </text>
    </comment>
    <comment ref="C3296" authorId="0" shapeId="0">
      <text>
        <t>Vent Violent — Vol, spéciale
Puissance 110 · Précision 70 % · 10 PP
Un vent violent. Peut rendre confus.</t>
      </text>
    </comment>
    <comment ref="D3296" authorId="0" shapeId="0">
      <text>
        <t>Hâte — Psy, statut
30 PP
Relaxation du corps pour booster la Vitesse.</t>
      </text>
    </comment>
    <comment ref="B3297" authorId="0" shapeId="0">
      <text>
        <t>Draco-Choc — Dragon, spéciale
Puissance 85 · Précision 100 % · 10 PP
Une onde de choc qui blesse l'ennemi.</t>
      </text>
    </comment>
    <comment ref="C3297" authorId="0" shapeId="0">
      <text>
        <t>Danse Pluie — Eau, statut
5 PP
Améliore les attaques Eau pendant 5 tours.</t>
      </text>
    </comment>
    <comment ref="D3297" authorId="0" shapeId="0">
      <text>
        <t>Draco-Choc — Dragon, spéciale
Puissance 85 · Précision 100 % · 10 PP
Une onde de choc qui blesse l'ennemi.</t>
      </text>
    </comment>
    <comment ref="B3298" authorId="0" shapeId="0">
      <text>
        <t>Danse Draco — Dragon, statut
20 PP
Danse mystique augmentant l'Attaque et la
Vitesse.</t>
      </text>
    </comment>
    <comment ref="C3298" authorId="0" shapeId="0">
      <text>
        <t>Ultralaser — Normal, spéciale
Puissance 150 · Précision 90 % · 5 PP</t>
      </text>
    </comment>
    <comment ref="D3298" authorId="0" shapeId="0">
      <text>
        <t>Danse Draco — Dragon, statut
20 PP
Danse mystique augmentant l'Attaque et la
Vitesse.</t>
      </text>
    </comment>
    <comment ref="B3300" authorId="0" shapeId="0">
      <text>
        <t>AKWAKWAK — Eau
PV 80 · Att 82 · Déf 78
Att.Spé 95 · Déf.Spé 80 · Vit 85
Total 500
Talents : Moiteur, Ciel Gris (caché :
  Glissade)</t>
      </text>
    </comment>
    <comment ref="C3300" authorId="0" shapeId="0">
      <text>
        <t>MARAISTE — Eau / Sol
PV 95 · Att 85 · Déf 85
Att.Spé 65 · Déf.Spé 65 · Vit 35
Total 430
Talents : Moiteur, Absorbe-Eau (caché :
  Inconscient)</t>
      </text>
    </comment>
    <comment ref="D3300" authorId="0" shapeId="0">
      <text>
        <t>AQUALI — Eau
PV 130 · Att 65 · Déf 60
Att.Spé 110 · Déf.Spé 95 · Vit 65
Total 525
Talents : Absorbe-Eau, Absorbe-Eau (caché :
  Hydratation)</t>
      </text>
    </comment>
    <comment ref="E3300" authorId="0" shapeId="0">
      <text>
        <t>MILOBELLUS — Eau
PV 95 · Att 60 · Déf 79
Att.Spé 100 · Déf.Spé 125 · Vit 81
Total 540
Talents : Écaille Spéciale, Battant (caché :
  Joli Sourire)</t>
      </text>
    </comment>
    <comment ref="F3300" authorId="0" shapeId="0">
      <text>
        <t>LOKHLASS — Eau / Glace
PV 130 · Att 85 · Déf 80
Att.Spé 85 · Déf.Spé 95 · Vit 60
Total 535
Talents : Absorbe-Eau, Coque Armure (caché :
  Hydratation)</t>
      </text>
    </comment>
    <comment ref="G3300" authorId="0" shapeId="0">
      <text>
        <t>STAROSS — Eau / Psy
PV 60 · Att 75 · Déf 85
Att.Spé 100 · Déf.Spé 85 · Vit 115
Total 520
Talents : Lumiattirance, Médic Nature (caché :
  Analyste)</t>
      </text>
    </comment>
    <comment ref="C3302" authorId="0" shapeId="0">
      <text>
        <t>Vive Griffe
Objet tenu qui permet parfois de frapper le
premier.</t>
      </text>
    </comment>
    <comment ref="D3302" authorId="0" shapeId="0">
      <text>
        <t>Restes
Objet tenu permet- tant de restaurer les PV au
combat.</t>
      </text>
    </comment>
    <comment ref="F3302" authorId="0" shapeId="0">
      <text>
        <t>Glace Éternelle
Objet à tenir. Renforce le type Glace.</t>
      </text>
    </comment>
    <comment ref="G3302" authorId="0" shapeId="0">
      <text>
        <t>Eau Mystique
Objet à tenir. Renforce le type Eau.</t>
      </text>
    </comment>
    <comment ref="B3303" authorId="0" shapeId="0">
      <text>
        <t>Moiteur
Empêche auto-destruction.</t>
      </text>
    </comment>
    <comment ref="C3303" authorId="0" shapeId="0">
      <text>
        <t>Moiteur
Empêche auto-destruction.</t>
      </text>
    </comment>
    <comment ref="D3303" authorId="0" shapeId="0">
      <text>
        <t>Absorbe-Eau
Change l'eau en PV.</t>
      </text>
    </comment>
    <comment ref="E3303" authorId="0" shapeId="0">
      <text>
        <t>Écaille Spéciale
Monte la Défense si statut.</t>
      </text>
    </comment>
    <comment ref="F3303" authorId="0" shapeId="0">
      <text>
        <t>Absorbe-Eau
Change l'eau en PV.</t>
      </text>
    </comment>
    <comment ref="G3303" authorId="0" shapeId="0">
      <text>
        <t>Lumiattirance
Augmente les rencontres.</t>
      </text>
    </comment>
    <comment ref="B3304" authorId="0" shapeId="0">
      <text>
        <t>Hydro-Queue — Eau, physique
Puissance 90 · Précision 90 % · 10 PP
Balaie l'ennemi de sa queue comme une vague.</t>
      </text>
    </comment>
    <comment ref="C3304" authorId="0" shapeId="0">
      <text>
        <t>Ocroupi — Eau, spéciale
Puissance 90 · Précision 85 % · 10 PP
Attaque d'eau croupie. Peut baisser la
précision.</t>
      </text>
    </comment>
    <comment ref="D3304" authorId="0" shapeId="0">
      <text>
        <t>Hydrocanon — Eau, spéciale
Puissance 110 · Précision 80 % · 5 PP
Envoie un puissant jet d'eau pour frapper
l'ennemi.</t>
      </text>
    </comment>
    <comment ref="E3304" authorId="0" shapeId="0">
      <text>
        <t>Hydrocanon — Eau, spéciale
Puissance 110 · Précision 80 % · 5 PP
Envoie un puissant jet d'eau pour frapper
l'ennemi.</t>
      </text>
    </comment>
    <comment ref="F3304" authorId="0" shapeId="0">
      <text>
        <t>Hydrocanon — Eau, spéciale
Puissance 110 · Précision 80 % · 5 PP
Envoie un puissant jet d'eau pour frapper
l'ennemi.</t>
      </text>
    </comment>
    <comment ref="G3304" authorId="0" shapeId="0">
      <text>
        <t>Surf — Eau, spéciale
Puissance 90 · Précision 100 % · 15 PP</t>
      </text>
    </comment>
    <comment ref="B3305" authorId="0" shapeId="0">
      <text>
        <t>Psyko — Psy, spéciale
Puissance 90 · Précision 100 % · 10 PP
Une puissante attaque Psy pouvant baisser la
Déf. Spé.</t>
      </text>
    </comment>
    <comment ref="C3305" authorId="0" shapeId="0">
      <text>
        <t>Amnésie — Psy, statut
20 PP
Oublie quelque chose et booste la Déf. Spé.</t>
      </text>
    </comment>
    <comment ref="D3305" authorId="0" shapeId="0">
      <text>
        <t>Laser Glace — Glace, spéciale
Puissance 90 · Précision 100 % · 10 PP</t>
      </text>
    </comment>
    <comment ref="E3305" authorId="0" shapeId="0">
      <text>
        <t>Laser Glace — Glace, spéciale
Puissance 90 · Précision 100 % · 10 PP</t>
      </text>
    </comment>
    <comment ref="F3305" authorId="0" shapeId="0">
      <text>
        <t>Laser Glace — Glace, spéciale
Puissance 90 · Précision 100 % · 10 PP</t>
      </text>
    </comment>
    <comment ref="G3305" authorId="0" shapeId="0">
      <text>
        <t>Psyko — Psy, spéciale
Puissance 90 · Précision 100 % · 10 PP
Une puissante attaque Psy pouvant baisser la
Déf. Spé.</t>
      </text>
    </comment>
    <comment ref="B3306" authorId="0" shapeId="0">
      <text>
        <t>Zone Étrange — Psy, statut
10 PP
Échange Déf. et Déf. Spé. pendant 5 tours.</t>
      </text>
    </comment>
    <comment ref="C3306" authorId="0" shapeId="0">
      <text>
        <t>Séisme — Sol, physique
Puissance 100 · Précision 100 % · 10 PP
Secousse sans effet sur les adversaires
volants.</t>
      </text>
    </comment>
    <comment ref="D3306" authorId="0" shapeId="0">
      <text>
        <t>Acidarmure — Poison, statut
20 PP
Liquéfie le corps du lanceur et booste sa
Défense.</t>
      </text>
    </comment>
    <comment ref="E3306" authorId="0" shapeId="0">
      <text>
        <t>Repos — Psy, statut
5 PP
Le lanceur dort 2 tours et regagne PV et
statut.</t>
      </text>
    </comment>
    <comment ref="F3306" authorId="0" shapeId="0">
      <text>
        <t>Danse Pluie — Eau, statut
5 PP
Améliore les attaques Eau pendant 5 tours.</t>
      </text>
    </comment>
    <comment ref="G3306" authorId="0" shapeId="0">
      <text>
        <t>Soin — Normal, statut
5 PP
Restaure jusqu'à la moitié des PV max du
lanceur.</t>
      </text>
    </comment>
    <comment ref="B3307" authorId="0" shapeId="0">
      <text>
        <t>Coup Croix — Combat, physique
Puissance 100 · Précision 80 % · 5 PP
2 attaques tranchantes. Taux de critiques
élevé.</t>
      </text>
    </comment>
    <comment ref="C3307" authorId="0" shapeId="0">
      <text>
        <t>Danse Pluie — Eau, statut
5 PP
Améliore les attaques Eau pendant 5 tours.</t>
      </text>
    </comment>
    <comment ref="D3307" authorId="0" shapeId="0">
      <text>
        <t>Ball'Ombre — Spectre, spéciale
Puissance 80 · Précision 100 % · 15 PP
Projette une grande tache qui peut baisser la
Déf. Spé.</t>
      </text>
    </comment>
    <comment ref="E3307" authorId="0" shapeId="0">
      <text>
        <t>Blabla Dodo — Normal, statut
10 PP
Utilise un coup au hasard en dormant.</t>
      </text>
    </comment>
    <comment ref="F3307" authorId="0" shapeId="0">
      <text>
        <t>Protection — Psy, statut
20 PP
Crée un mur lumineux. Affaiblit att.
physiques.</t>
      </text>
    </comment>
    <comment ref="G3307" authorId="0" shapeId="0">
      <text>
        <t>Tonnerre — Électrik, spéciale
Puissance 90 · Précision 100 % · 15 PP
Forte attaque électrique pouvant paralyser
l'ennemi.</t>
      </text>
    </comment>
    <comment ref="B3310" authorId="0" shapeId="0">
      <text>
        <t>SMOGO — Poison
PV 40 · Att 65 · Déf 95
Att.Spé 60 · Déf.Spé 45 · Vit 35
Total 340
Talents : Lévitation, Gaz Inhibiteur (caché :
  Puanteur)</t>
      </text>
    </comment>
    <comment ref="B3313" authorId="0" shapeId="0">
      <text>
        <t>Lévitation
Ignore les attaques Sol.</t>
      </text>
    </comment>
    <comment ref="B3314" authorId="0" shapeId="0">
      <text>
        <t>Détritus — Poison, spéciale
Puissance 65 · Précision 100 % · 20 PP
Blesse en envoyant des détritus. Peut
empoisonner.</t>
      </text>
    </comment>
    <comment ref="B3315" authorId="0" shapeId="0">
      <text>
        <t>Destruction — Normal, physique
Puissance 200 · Précision 100 % · 5 PP
Inflige de sérieux dégâts, mais met le lanceur
KO.</t>
      </text>
    </comment>
    <comment ref="B3316" authorId="0" shapeId="0">
      <text>
        <t>Buée Noire — Glace, statut
30 PP
Crée un nuage noir annulant tout changement
d'état.</t>
      </text>
    </comment>
    <comment ref="B3317" authorId="0" shapeId="0">
      <text>
        <t>Gyroballe — Acier, physique
Puissance 1 · Précision 100 % · 5 PP
Une toupie qui blesse plus un ennemi rapide.</t>
      </text>
    </comment>
    <comment ref="B3320" authorId="0" shapeId="0">
      <text>
        <t>RAFFLESIA — Plante / Poison
PV 75 · Att 80 · Déf 85
Att.Spé 110 · Déf.Spé 90 · Vit 50
Total 490
Talents : Chlorophylle (caché : Pose Spore)</t>
      </text>
    </comment>
    <comment ref="B3323" authorId="0" shapeId="0">
      <text>
        <t>Chlorophylle
Augmente Vitesse au soleil.</t>
      </text>
    </comment>
    <comment ref="B3324" authorId="0" shapeId="0">
      <text>
        <t>Rayon Lune — Fée, statut
5 PP
Restaure les PV. La quantité varie suivant le
temps.</t>
      </text>
    </comment>
    <comment ref="B3325" authorId="0" shapeId="0">
      <text>
        <t>Giga-Sangsue — Plante, spéciale
Puissance 75 · Précision 100 % · 25 PP
Une attaque qui absorbe la moitié des dégâts
infligés.</t>
      </text>
    </comment>
    <comment ref="B3326" authorId="0" shapeId="0">
      <text>
        <t>Toxik — Poison, statut
Précision 90 % · 10 PP
Empoisonne l'ennemi avec une toxine de plus en
plus forte.</t>
      </text>
    </comment>
    <comment ref="B3327" authorId="0" shapeId="0">
      <text>
        <t>Don Naturel — Normal, physique
Puissance 1 · Précision 100 % · 15 PP
L'effet varie selon la Baie tenue.</t>
      </text>
    </comment>
    <comment ref="B3329" authorId="0" shapeId="0">
      <text>
        <t>GRODOUDOU
PV 140 · Att 70 · Déf 45
Att.Spé 50 · Déf.Spé 50 · Vit 45
Total 400
Talents : Joli Sourire, Battant (caché :
  Fouille)</t>
      </text>
    </comment>
    <comment ref="C3329" authorId="0" shapeId="0">
      <text>
        <t>GRANBULL — Fée
PV 90 · Att 120 · Déf 75
Att.Spé 60 · Déf.Spé 60 · Vit 45
Total 450
Talents : Intimidation, Pied Véloce (caché :
  Phobique)</t>
      </text>
    </comment>
    <comment ref="B3332" authorId="0" shapeId="0">
      <text>
        <t>Joli Sourire
Séduit quand touché.</t>
      </text>
    </comment>
    <comment ref="C3332" authorId="0" shapeId="0">
      <text>
        <t>Intimidation
Baisse l'Attaque ennemie.</t>
      </text>
    </comment>
    <comment ref="B3333" authorId="0" shapeId="0">
      <text>
        <t>Gyroballe — Acier, physique
Puissance 1 · Précision 100 % · 5 PP
Une toupie qui blesse plus un ennemi rapide.</t>
      </text>
    </comment>
    <comment ref="C3333" authorId="0" shapeId="0">
      <text>
        <t>Hurlement — Normal, statut
20 PP · Priorité -6
Fait fuir l'ennemi. Contre un Dresseur, le
remplace.</t>
      </text>
    </comment>
    <comment ref="B3334" authorId="0" shapeId="0">
      <text>
        <t>Copie — Normal, statut
10 PP
Imite la dernière attaque utilisée par
l'ennemi.</t>
      </text>
    </comment>
    <comment ref="C3334" authorId="0" shapeId="0">
      <text>
        <t>Frénésie — Normal, physique
Puissance 20 · Précision 100 % · 20 PP
Augmente l'Attaque du lanceur à chaque coup
reçu.</t>
      </text>
    </comment>
    <comment ref="B3335" authorId="0" shapeId="0">
      <text>
        <t>Mégaphone — Normal, spéciale
Puissance 90 · Précision 100 % · 10 PP
Attaque bruyante blessant avec des ondes
sonores.</t>
      </text>
    </comment>
    <comment ref="C3335" authorId="0" shapeId="0">
      <text>
        <t>Câlinerie — Fée, physique
Puissance 90 · Précision 90 % · 10 PP
Un câlin brutal. Peut baisser l'Attaque de
l'ennemi.</t>
      </text>
    </comment>
    <comment ref="B3336" authorId="0" shapeId="0">
      <text>
        <t>Damoclès — Normal, physique
Puissance 120 · Précision 100 % · 15 PP
Une dangereuse charge qui blesse aussi le
lanceur.</t>
      </text>
    </comment>
    <comment ref="C3336" authorId="0" shapeId="0">
      <text>
        <t>Représailles — Ténèbres, physique
Puissance 50 · Précision 100 % · 10 PP
Plus puissant si le lanceur agit en dernier.</t>
      </text>
    </comment>
    <comment ref="B3338" authorId="0" shapeId="0">
      <text>
        <t>SAQUEDENEU — Plante
PV 65 · Att 55 · Déf 115
Att.Spé 100 · Déf.Spé 40 · Vit 60
Total 435
Talents : Chlorophylle, Feuille Garde (caché :
  Régé-Force)</t>
      </text>
    </comment>
    <comment ref="C3338" authorId="0" shapeId="0">
      <text>
        <t>AQUALI — Eau
PV 130 · Att 65 · Déf 60
Att.Spé 110 · Déf.Spé 95 · Vit 65
Total 525
Talents : Absorbe-Eau, Absorbe-Eau (caché :
  Hydratation)</t>
      </text>
    </comment>
    <comment ref="B3341" authorId="0" shapeId="0">
      <text>
        <t>Chlorophylle
Augmente Vitesse au soleil.</t>
      </text>
    </comment>
    <comment ref="C3341" authorId="0" shapeId="0">
      <text>
        <t>Absorbe-Eau
Change l'eau en PV.</t>
      </text>
    </comment>
    <comment ref="B3342" authorId="0" shapeId="0">
      <text>
        <t>Chatouille — Normal, statut
Précision 100 % · 20 PP
Fait rire l'ennemi et baisse son Attaque et sa
Défense.</t>
      </text>
    </comment>
    <comment ref="C3342" authorId="0" shapeId="0">
      <text>
        <t>Buée Noire — Glace, statut
30 PP
Crée un nuage noir annulant tout changement
d'état.</t>
      </text>
    </comment>
    <comment ref="B3343" authorId="0" shapeId="0">
      <text>
        <t>Essorage — Normal, spéciale
Puissance 120 · Précision 100 % · 5 PP</t>
      </text>
    </comment>
    <comment ref="C3343" authorId="0" shapeId="0">
      <text>
        <t>Ocroupi — Eau, spéciale
Puissance 90 · Précision 85 % · 10 PP
Attaque d'eau croupie. Peut baisser la
précision.</t>
      </text>
    </comment>
    <comment ref="B3344" authorId="0" shapeId="0">
      <text>
        <t>Champ Herbu — Plante, statut
10 PP
Le sol devient herbu 5 tours. Rend des PV.</t>
      </text>
    </comment>
    <comment ref="C3344" authorId="0" shapeId="0">
      <text>
        <t>Dernier Recours — Normal, physique
Puissance 140 · Précision 100 % · 5 PP
Utilisable après toutes les autres capacités.</t>
      </text>
    </comment>
    <comment ref="B3345" authorId="0" shapeId="0">
      <text>
        <t>Mégafouet — Plante, physique
Puissance 120 · Précision 85 % · 10 PP
Fouette l'ennemi de lianes ou de tentacules.</t>
      </text>
    </comment>
    <comment ref="C3345" authorId="0" shapeId="0">
      <text>
        <t>Hydrocanon — Eau, spéciale
Puissance 110 · Précision 80 % · 5 PP
Envoie un puissant jet d'eau pour frapper
l'ennemi.</t>
      </text>
    </comment>
    <comment ref="B3347" authorId="0" shapeId="0">
      <text>
        <t>JOLIFLOR — Plante
PV 75 · Att 80 · Déf 95
Att.Spé 90 · Déf.Spé 100 · Vit 50
Total 490
Talents : Chlorophylle (caché : Cœur Soin)</t>
      </text>
    </comment>
    <comment ref="C3347" authorId="0" shapeId="0">
      <text>
        <t>ROUCARNAGE — Normal / Vol
PV 83 · Att 80 · Déf 75
Att.Spé 70 · Déf.Spé 70 · Vit 101
Total 479
Talents : Regard Vif, Pieds Confus (caché :
  Cœur de Coq)</t>
      </text>
    </comment>
    <comment ref="D3347" authorId="0" shapeId="0">
      <text>
        <t>TARPAUD — Eau
PV 90 · Att 75 · Déf 75
Att.Spé 90 · Déf.Spé 100 · Vit 70
Total 500
Talents : Absorbe-Eau, Moiteur (caché :
  Crachin)</t>
      </text>
    </comment>
    <comment ref="B3350" authorId="0" shapeId="0">
      <text>
        <t>Chlorophylle
Augmente Vitesse au soleil.</t>
      </text>
    </comment>
    <comment ref="C3350" authorId="0" shapeId="0">
      <text>
        <t>Regard Vif
Empêche perte de précision.</t>
      </text>
    </comment>
    <comment ref="D3350" authorId="0" shapeId="0">
      <text>
        <t>Absorbe-Eau
Change l'eau en PV.</t>
      </text>
    </comment>
    <comment ref="B3351" authorId="0" shapeId="0">
      <text>
        <t>Air Veinard — Normal, statut
30 PP
Empêche les coups critiques ennemis.</t>
      </text>
    </comment>
    <comment ref="C3351" authorId="0" shapeId="0">
      <text>
        <t>Aéropique — Vol, physique
Puissance 60 · Ne rate jamais · 20 PP
Attaque très rapide et imparable.</t>
      </text>
    </comment>
    <comment ref="D3351" authorId="0" shapeId="0">
      <text>
        <t>Bulles d'O — Eau, spéciale
Puissance 65 · Précision 100 % · 20 PP
Envoie des bulles pouvant baisser la Vitesse.</t>
      </text>
    </comment>
    <comment ref="B3352" authorId="0" shapeId="0">
      <text>
        <t>Rayon Lune — Fée, statut
5 PP
Restaure les PV. La quantité varie suivant le
temps.</t>
      </text>
    </comment>
    <comment ref="C3352" authorId="0" shapeId="0">
      <text>
        <t>Chute Libre — Vol, physique
Puissance 60 · Précision 100 % · 10 PP
Emporte l'ennemi dans le ciel et le lâche.</t>
      </text>
    </comment>
    <comment ref="D3352" authorId="0" shapeId="0">
      <text>
        <t>Mégaphone — Normal, spéciale
Puissance 90 · Précision 100 % · 10 PP
Attaque bruyante blessant avec des ondes
sonores.</t>
      </text>
    </comment>
    <comment ref="B3353" authorId="0" shapeId="0">
      <text>
        <t>Papillodanse — Insecte, statut
20 PP
Monte l'Atq. Spé., la Déf. Spé. et la Vit.</t>
      </text>
    </comment>
    <comment ref="C3353" authorId="0" shapeId="0">
      <text>
        <t>Atterrissage — Vol, statut
5 PP
Rend au lanceur la moitié de ses PV max.</t>
      </text>
    </comment>
    <comment ref="D3353" authorId="0" shapeId="0">
      <text>
        <t>Tir de Boue — Sol, spéciale
Puissance 55 · Précision 95 % · 15 PP
Envoie de la boue à l'ennemi pour réduire sa
Vitesse.</t>
      </text>
    </comment>
    <comment ref="B3354" authorId="0" shapeId="0">
      <text>
        <t>Giga-Sangsue — Plante, spéciale
Puissance 75 · Précision 100 % · 25 PP
Une attaque qui absorbe la moitié des dégâts
infligés.</t>
      </text>
    </comment>
    <comment ref="C3354" authorId="0" shapeId="0">
      <text>
        <t>Vent Arrière — Vol, statut
15 PP</t>
      </text>
    </comment>
    <comment ref="D3354" authorId="0" shapeId="0">
      <text>
        <t>Lire-Esprit — Normal, statut
5 PP
Pressent l'action pour réussir l'attaque
suivante.</t>
      </text>
    </comment>
    <comment ref="B3356" authorId="0" shapeId="0">
      <text>
        <t>NIDOKING — Poison / Sol
PV 81 · Att 102 · Déf 77
Att.Spé 85 · Déf.Spé 75 · Vit 85
Total 505
Talents : Point Poison, Rivalité (caché : Sans
  Limite)</t>
      </text>
    </comment>
    <comment ref="B3359" authorId="0" shapeId="0">
      <text>
        <t>Point Poison
Empoisonne quand touché.</t>
      </text>
    </comment>
    <comment ref="B3360" authorId="0" shapeId="0">
      <text>
        <t>Mania — Normal, physique
Puissance 120 · Précision 100 % · 10 PP
Une attaque furieuse de 2 à 3 tours. Lanceur
confus.</t>
      </text>
    </comment>
    <comment ref="B3361" authorId="0" shapeId="0">
      <text>
        <t>Poison Croix — Poison, physique
Puissance 70 · Précision 100 % · 20 PP
Une taillade qui peut empoisonner. Critiques.</t>
      </text>
    </comment>
    <comment ref="B3362" authorId="0" shapeId="0">
      <text>
        <t>Piétisol — Sol, physique
Puissance 60 · Précision 100 % · 20 PP
Piétine le sol. Touche tout et baisse la Vit.</t>
      </text>
    </comment>
    <comment ref="B3363" authorId="0" shapeId="0">
      <text>
        <t>Telluriforce — Sol, spéciale
Puissance 90 · Précision 100 % · 10 PP
Le sol se déchaîne. Peut baisser la Déf. Spé.</t>
      </text>
    </comment>
    <comment ref="B3365" authorId="0" shapeId="0">
      <text>
        <t>PARASECT — Insecte / Plante
PV 60 · Att 95 · Déf 80
Att.Spé 60 · Déf.Spé 80 · Vit 30
Total 405
Talents : Pose Spore, Peau Sèche (caché :
  Moiteur)</t>
      </text>
    </comment>
    <comment ref="C3365" authorId="0" shapeId="0">
      <text>
        <t>SAQUEDENEU — Plante
PV 65 · Att 55 · Déf 115
Att.Spé 100 · Déf.Spé 40 · Vit 60
Total 435
Talents : Chlorophylle, Feuille Garde (caché :
  Régé-Force)</t>
      </text>
    </comment>
    <comment ref="D3365" authorId="0" shapeId="0">
      <text>
        <t>PARASECT — Insecte / Plante
PV 60 · Att 95 · Déf 80
Att.Spé 60 · Déf.Spé 80 · Vit 30
Total 405
Talents : Pose Spore, Peau Sèche (caché :
  Moiteur)</t>
      </text>
    </comment>
    <comment ref="B3368" authorId="0" shapeId="0">
      <text>
        <t>Pose Spore
Laisse spores si touché.</t>
      </text>
    </comment>
    <comment ref="C3368" authorId="0" shapeId="0">
      <text>
        <t>Chlorophylle
Augmente Vitesse au soleil.</t>
      </text>
    </comment>
    <comment ref="D3368" authorId="0" shapeId="0">
      <text>
        <t>Pose Spore
Laisse spores si touché.</t>
      </text>
    </comment>
    <comment ref="B3369" authorId="0" shapeId="0">
      <text>
        <t>Croissance — Normal, statut
20 PP</t>
      </text>
    </comment>
    <comment ref="C3369" authorId="0" shapeId="0">
      <text>
        <t>Chatouille — Normal, statut
Précision 100 % · 20 PP
Fait rire l'ennemi et baisse son Attaque et sa
Défense.</t>
      </text>
    </comment>
    <comment ref="D3369" authorId="0" shapeId="0">
      <text>
        <t>Croissance — Normal, statut
20 PP</t>
      </text>
    </comment>
    <comment ref="B3370" authorId="0" shapeId="0">
      <text>
        <t>Giga-Sangsue — Plante, spéciale
Puissance 75 · Précision 100 % · 25 PP
Une attaque qui absorbe la moitié des dégâts
infligés.</t>
      </text>
    </comment>
    <comment ref="C3370" authorId="0" shapeId="0">
      <text>
        <t>Essorage — Normal, spéciale
Puissance 120 · Précision 100 % · 5 PP</t>
      </text>
    </comment>
    <comment ref="D3370" authorId="0" shapeId="0">
      <text>
        <t>Giga-Sangsue — Plante, spéciale
Puissance 75 · Précision 100 % · 25 PP
Une attaque qui absorbe la moitié des dégâts
infligés.</t>
      </text>
    </comment>
    <comment ref="B3371" authorId="0" shapeId="0">
      <text>
        <t>Aromathérapie — Plante, statut
5 PP
Parfum apaisant soignant les changements de
statut.</t>
      </text>
    </comment>
    <comment ref="C3371" authorId="0" shapeId="0">
      <text>
        <t>Champ Herbu — Plante, statut
10 PP
Le sol devient herbu 5 tours. Rend des PV.</t>
      </text>
    </comment>
    <comment ref="D3371" authorId="0" shapeId="0">
      <text>
        <t>Aromathérapie — Plante, statut
5 PP
Parfum apaisant soignant les changements de
statut.</t>
      </text>
    </comment>
    <comment ref="B3372" authorId="0" shapeId="0">
      <text>
        <t>Pince-Masse — Eau, physique
Puissance 100 · Précision 90 % · 10 PP
Attaque critique qui utilise une grosse pince.</t>
      </text>
    </comment>
    <comment ref="C3372" authorId="0" shapeId="0">
      <text>
        <t>Mégafouet — Plante, physique
Puissance 120 · Précision 85 % · 10 PP
Fouette l'ennemi de lianes ou de tentacules.</t>
      </text>
    </comment>
    <comment ref="D3372" authorId="0" shapeId="0">
      <text>
        <t>Pince-Masse — Eau, physique
Puissance 100 · Précision 90 % · 10 PP
Attaque critique qui utilise une grosse pince.</t>
      </text>
    </comment>
    <comment ref="B3374" authorId="0" shapeId="0">
      <text>
        <t>PORYGON — Normal
PV 65 · Att 60 · Déf 70
Att.Spé 85 · Déf.Spé 75 · Vit 40
Total 395
Talents : Calque, Télécharge (caché :
  Analyste)</t>
      </text>
    </comment>
    <comment ref="C3374" authorId="0" shapeId="0">
      <text>
        <t>MAGNETON — Électrik
PV 50 · Att 60 · Déf 95
Att.Spé 120 · Déf.Spé 70 · Vit 70
Total 465
Talents : Magnépiège, Fermeté (caché :
  Analyste)</t>
      </text>
    </comment>
    <comment ref="D3374" authorId="0" shapeId="0">
      <text>
        <t>PORYGON2 — Normal
PV 85 · Att 80 · Déf 90
Att.Spé 105 · Déf.Spé 95 · Vit 60
Total 515
Talents : Calque, Télécharge (caché :
  Analyste)</t>
      </text>
    </comment>
    <comment ref="B3377" authorId="0" shapeId="0">
      <text>
        <t>Calque
Imite la capacité spéciale.</t>
      </text>
    </comment>
    <comment ref="C3377" authorId="0" shapeId="0">
      <text>
        <t>Magnépiège
Piège les Pokémon Acier.</t>
      </text>
    </comment>
    <comment ref="D3377" authorId="0" shapeId="0">
      <text>
        <t>Calque
Imite la capacité spéciale.</t>
      </text>
    </comment>
    <comment ref="B3378" authorId="0" shapeId="0">
      <text>
        <t>Coup d'Jus — Électrik, spéciale
Puissance 80 · Précision 100 % · 15 PP
Électrocute tous les autres {PKMN}. Peut
paralyser.</t>
      </text>
    </comment>
    <comment ref="C3378" authorId="0" shapeId="0">
      <text>
        <t>Grincement — Normal, statut
Précision 85 % · 40 PP
Cri strident qui baisse la Défense ennemie.</t>
      </text>
    </comment>
    <comment ref="D3378" authorId="0" shapeId="0">
      <text>
        <t>Coup d'Jus — Électrik, spéciale
Puissance 80 · Précision 100 % · 15 PP
Électrocute tous les autres {PKMN}. Peut
paralyser.</t>
      </text>
    </comment>
    <comment ref="B3379" authorId="0" shapeId="0">
      <text>
        <t>Verrouillage — Normal, statut
5 PP
Verrouille la cible pour ne pas la rater au
tour suivant.</t>
      </text>
    </comment>
    <comment ref="C3379" authorId="0" shapeId="0">
      <text>
        <t>Coup d'Jus — Électrik, spéciale
Puissance 80 · Précision 100 % · 15 PP
Électrocute tous les autres {PKMN}. Peut
paralyser.</t>
      </text>
    </comment>
    <comment ref="D3379" authorId="0" shapeId="0">
      <text>
        <t>Verrouillage — Normal, statut
5 PP
Verrouille la cible pour ne pas la rater au
tour suivant.</t>
      </text>
    </comment>
    <comment ref="B3380" authorId="0" shapeId="0">
      <text>
        <t>Triplattaque — Normal, spéciale
Puissance 80 · Précision 100 % · 10 PP
Envoie trois types de rayons en même temps.</t>
      </text>
    </comment>
    <comment ref="C3380" authorId="0" shapeId="0">
      <text>
        <t>Verrouillage — Normal, statut
5 PP
Verrouille la cible pour ne pas la rater au
tour suivant.</t>
      </text>
    </comment>
    <comment ref="D3380" authorId="0" shapeId="0">
      <text>
        <t>Triplattaque — Normal, spéciale
Puissance 80 · Précision 100 % · 10 PP
Envoie trois types de rayons en même temps.</t>
      </text>
    </comment>
    <comment ref="B3381" authorId="0" shapeId="0">
      <text>
        <t>Reflet Magik — Psy, statut
15 PP · Priorité +4
Renvoie les effets spéciaux vers le lanceur.</t>
      </text>
    </comment>
    <comment ref="C3381" authorId="0" shapeId="0">
      <text>
        <t>Vol Magnétik — Électrik, statut
10 PP
Le lanceur lévite par magnétisme.</t>
      </text>
    </comment>
    <comment ref="D3381" authorId="0" shapeId="0">
      <text>
        <t>Reflet Magik — Psy, statut
15 PP · Priorité +4
Renvoie les effets spéciaux vers le lanceur.</t>
      </text>
    </comment>
    <comment ref="B3383" authorId="0" shapeId="0">
      <text>
        <t>RHINOCORNE — Sol / Roche
PV 80 · Att 85 · Déf 95
Att.Spé 30 · Déf.Spé 30 · Vit 25
Total 345
Talents : Paratonnerre, Tête de Roc (caché :
  Téméraire)</t>
      </text>
    </comment>
    <comment ref="C3383" authorId="0" shapeId="0">
      <text>
        <t>LANTURN — Eau / Électrik
PV 125 · Att 58 · Déf 58
Att.Spé 76 · Déf.Spé 76 · Vit 67
Total 460
Talents : Absorbe-Volt, Lumiattirance (caché :
  Absorbe-Eau)</t>
      </text>
    </comment>
    <comment ref="D3383" authorId="0" shapeId="0">
      <text>
        <t>MENTALI — Psy
PV 65 · Att 65 · Déf 60
Att.Spé 130 · Déf.Spé 95 · Vit 110
Total 525
Talents : Synchro, Synchro (caché : Miroir
  Magik)</t>
      </text>
    </comment>
    <comment ref="E3383" authorId="0" shapeId="0">
      <text>
        <t>DRACAUFEU — Feu / Vol
PV 78 · Att 84 · Déf 78
Att.Spé 109 · Déf.Spé 85 · Vit 100
Total 534
Talents : Brasier (caché : Force Soleil)</t>
      </text>
    </comment>
    <comment ref="B3386" authorId="0" shapeId="0">
      <text>
        <t>Paratonnerre
Attire attaques élec.</t>
      </text>
    </comment>
    <comment ref="C3386" authorId="0" shapeId="0">
      <text>
        <t>Absorbe-Volt
Change l'électricité en PV.</t>
      </text>
    </comment>
    <comment ref="D3386" authorId="0" shapeId="0">
      <text>
        <t>Synchro
Transfère statuts.</t>
      </text>
    </comment>
    <comment ref="E3386" authorId="0" shapeId="0">
      <text>
        <t>Brasier
Augmente attaques Feu.</t>
      </text>
    </comment>
    <comment ref="B3387" authorId="0" shapeId="0">
      <text>
        <t>Lame de Roc — Roche, physique
Puissance 100 · Précision 80 % · 5 PP
Transperce de pierres. Critiques fréquents.</t>
      </text>
    </comment>
    <comment ref="C3387" authorId="0" shapeId="0">
      <text>
        <t>Bélier — Normal, physique
Puissance 90 · Précision 85 % · 20 PP
Une charge violente qui blesse aussi le
lanceur.</t>
      </text>
    </comment>
    <comment ref="D3387" authorId="0" shapeId="0">
      <text>
        <t>Aurore — Normal, statut
5 PP
Restaure les PV. La quantité varie suivant le
temps.</t>
      </text>
    </comment>
    <comment ref="E3387" authorId="0" shapeId="0">
      <text>
        <t>Rebondifeu — Feu, spéciale
Puissance 70 · Précision 100 % · 15 PP
Une flamme qui éclabousse tous les ennemis.</t>
      </text>
    </comment>
    <comment ref="B3388" authorId="0" shapeId="0">
      <text>
        <t>Séisme — Sol, physique
Puissance 100 · Précision 100 % · 10 PP
Secousse sans effet sur les adversaires
volants.</t>
      </text>
    </comment>
    <comment ref="C3388" authorId="0" shapeId="0">
      <text>
        <t>Anneau Hydro — Eau, statut
20 PP
Un voile d'eau qui restaure des PV.</t>
      </text>
    </comment>
    <comment ref="D3388" authorId="0" shapeId="0">
      <text>
        <t>Psyko — Psy, spéciale
Puissance 90 · Précision 100 % · 10 PP
Une puissante attaque Psy pouvant baisser la
Déf. Spé.</t>
      </text>
    </comment>
    <comment ref="E3388" authorId="0" shapeId="0">
      <text>
        <t>Tranche — Normal, physique
Puissance 70 · Précision 100 % · 20 PP
Coups de griffe, etc. Taux de critiques élevé.</t>
      </text>
    </comment>
    <comment ref="B3389" authorId="0" shapeId="0">
      <text>
        <t>Mégacorne — Insecte, physique
Puissance 120 · Précision 85 % · 10 PP
Une charge violente, toutes cornes en avant.</t>
      </text>
    </comment>
    <comment ref="C3389" authorId="0" shapeId="0">
      <text>
        <t>Hydrocanon — Eau, spéciale
Puissance 110 · Précision 80 % · 5 PP
Envoie un puissant jet d'eau pour frapper
l'ennemi.</t>
      </text>
    </comment>
    <comment ref="D3389" authorId="0" shapeId="0">
      <text>
        <t>Dernier Recours — Normal, physique
Puissance 140 · Précision 100 % · 5 PP
Utilisable après toutes les autres capacités.</t>
      </text>
    </comment>
    <comment ref="E3389" authorId="0" shapeId="0">
      <text>
        <t>Lance-Flammes — Feu, spéciale
Puissance 90 · Précision 100 % · 15 PP
Une puissante attaque de feu pouvant brûler
l'ennemi.</t>
      </text>
    </comment>
    <comment ref="B3390" authorId="0" shapeId="0">
      <text>
        <t>Empal'Korne — Normal, physique
Puissance 1 · Précision 30 % · 5 PP
Empale l'ennemi d'un coup de corne. Met KO en
un coup.</t>
      </text>
    </comment>
    <comment ref="C3390" authorId="0" shapeId="0">
      <text>
        <t>Déluge Plasmique — Électrik, statut
25 PP · Priorité +1
Les capacités Normal deviennent Électrik.</t>
      </text>
    </comment>
    <comment ref="D3390" authorId="0" shapeId="0">
      <text>
        <t>Permuforce — Psy, statut
10 PP
Échange les hausses d'Attaque et d'Atq. Spé.</t>
      </text>
    </comment>
    <comment ref="E3390" authorId="0" shapeId="0">
      <text>
        <t>Danse Flammes — Feu, spéciale
Puissance 35 · Précision 85 % · 15 PP</t>
      </text>
    </comment>
    <comment ref="B3393" authorId="0" shapeId="0">
      <text>
        <t>CORNEBRE — Ténèbres / Vol
PV 60 · Att 85 · Déf 42
Att.Spé 85 · Déf.Spé 42 · Vit 91
Total 405
Talents : Insomnia, Chanceux (caché : Farceur)</t>
      </text>
    </comment>
    <comment ref="C3393" authorId="0" shapeId="0">
      <text>
        <t>ROUCARNAGE — Normal / Vol
PV 83 · Att 80 · Déf 75
Att.Spé 70 · Déf.Spé 70 · Vit 101
Total 479
Talents : Regard Vif, Pieds Confus (caché :
  Cœur de Coq)</t>
      </text>
    </comment>
    <comment ref="B3396" authorId="0" shapeId="0">
      <text>
        <t>Insomnia
Empêche de s'endormir.</t>
      </text>
    </comment>
    <comment ref="C3396" authorId="0" shapeId="0">
      <text>
        <t>Regard Vif
Empêche perte de précision.</t>
      </text>
    </comment>
    <comment ref="B3397" authorId="0" shapeId="0">
      <text>
        <t>Regard Noir — Normal, statut
5 PP
Lance un regard méchant pour empêcher la
fuite.</t>
      </text>
    </comment>
    <comment ref="C3397" authorId="0" shapeId="0">
      <text>
        <t>Chute Libre — Vol, physique
Puissance 60 · Précision 100 % · 10 PP
Emporte l'ennemi dans le ciel et le lâche.</t>
      </text>
    </comment>
    <comment ref="B3398" authorId="0" shapeId="0">
      <text>
        <t>Tricherie — Ténèbres, physique
Puissance 95 · Précision 100 % · 15 PP
Plus l'Attaque ennemie est haute, plus ça fait
mal.</t>
      </text>
    </comment>
    <comment ref="C3398" authorId="0" shapeId="0">
      <text>
        <t>Atterrissage — Vol, statut
5 PP
Rend au lanceur la moitié de ses PV max.</t>
      </text>
    </comment>
    <comment ref="B3399" authorId="0" shapeId="0">
      <text>
        <t>Vent Arrière — Vol, statut
15 PP</t>
      </text>
    </comment>
    <comment ref="C3399" authorId="0" shapeId="0">
      <text>
        <t>Vent Arrière — Vol, statut
15 PP</t>
      </text>
    </comment>
    <comment ref="B3400" authorId="0" shapeId="0">
      <text>
        <t>Coup Bas — Ténèbres, physique
Puissance 70 · Précision 100 % · 5 PP ·
Priorité +1</t>
      </text>
    </comment>
    <comment ref="C3400" authorId="0" shapeId="0">
      <text>
        <t>Mimique — Vol, statut
20 PP
Contre l'attaque de l'ennemi avec la même
attaque.</t>
      </text>
    </comment>
    <comment ref="B3402" authorId="0" shapeId="0">
      <text>
        <t>PHARAMP — Électrik
PV 90 · Att 75 · Déf 85
Att.Spé 115 · Déf.Spé 90 · Vit 55
Total 510
Talents : Statik (caché : Plus)</t>
      </text>
    </comment>
    <comment ref="B3405" authorId="0" shapeId="0">
      <text>
        <t>Statik
Paralyse au toucher.</t>
      </text>
    </comment>
    <comment ref="B3406" authorId="0" shapeId="0">
      <text>
        <t>Coup d'Jus — Électrik, spéciale
Puissance 80 · Précision 100 % · 15 PP
Électrocute tous les autres {PKMN}. Peut
paralyser.</t>
      </text>
    </comment>
    <comment ref="B3407" authorId="0" shapeId="0">
      <text>
        <t>Cotogarde — Plante, statut
10 PP
S'entoure de coton. Monte énormément la Déf.</t>
      </text>
    </comment>
    <comment ref="B3408" authorId="0" shapeId="0">
      <text>
        <t>Rayon Signal — Insecte, spéciale
Puissance 75 · Précision 100 % · 15 PP
Un étrange rayon qui peut rendre l'ennemi
confus.</t>
      </text>
    </comment>
    <comment ref="B3409" authorId="0" shapeId="0">
      <text>
        <t>Mur Lumière — Psy, statut
30 PP
Crée un mur lumineux et réduit les dégâts
d'Atq. Spé.</t>
      </text>
    </comment>
    <comment ref="B3411" authorId="0" shapeId="0">
      <text>
        <t>FOUINAR — Normal
PV 85 · Att 76 · Déf 64
Att.Spé 45 · Déf.Spé 55 · Vit 90
Total 415
Talents : Fuite, Regard Vif (caché : Fouille)</t>
      </text>
    </comment>
    <comment ref="C3411" authorId="0" shapeId="0">
      <text>
        <t>GALOPA — Feu
PV 65 · Att 100 · Déf 70
Att.Spé 80 · Déf.Spé 80 · Vit 105
Total 500
Talents : Fuite, Torche (caché : Corps Ardent)</t>
      </text>
    </comment>
    <comment ref="B3414" authorId="0" shapeId="0">
      <text>
        <t>Fuite
Améliore chances de fuite.</t>
      </text>
    </comment>
    <comment ref="C3414" authorId="0" shapeId="0">
      <text>
        <t>Fuite
Améliore chances de fuite.</t>
      </text>
    </comment>
    <comment ref="B3415" authorId="0" shapeId="0">
      <text>
        <t>Câlinerie — Fée, physique
Puissance 90 · Précision 90 % · 10 PP
Un câlin brutal. Peut baisser l'Attaque de
l'ennemi.</t>
      </text>
    </comment>
    <comment ref="C3415" authorId="0" shapeId="0">
      <text>
        <t>Hâte — Psy, statut
30 PP
Relaxation du corps pour booster la Vitesse.</t>
      </text>
    </comment>
    <comment ref="B3416" authorId="0" shapeId="0">
      <text>
        <t>Relais — Normal, statut
40 PP
Change de lanceur, mais garde les effets en
cours.</t>
      </text>
    </comment>
    <comment ref="C3416" authorId="0" shapeId="0">
      <text>
        <t>Déflagration — Feu, spéciale
Puissance 110 · Précision 85 % · 5 PP
Une explosion de flammes. Peut brûler
l'ennemi.</t>
      </text>
    </comment>
    <comment ref="B3417" authorId="0" shapeId="0">
      <text>
        <t>Moi d'Abord — Normal, statut
20 PP
Utilise l'attaque ennemie, en plus puissant.</t>
      </text>
    </comment>
    <comment ref="C3417" authorId="0" shapeId="0">
      <text>
        <t>Rebond — Vol, physique
Puissance 85 · Précision 85 % · 5 PP
Saute et tombe le tour suivant. Peut
paralyser.</t>
      </text>
    </comment>
    <comment ref="B3418" authorId="0" shapeId="0">
      <text>
        <t>Mégaphone — Normal, spéciale
Puissance 90 · Précision 100 % · 10 PP
Attaque bruyante blessant avec des ondes
sonores.</t>
      </text>
    </comment>
    <comment ref="C3418" authorId="0" shapeId="0">
      <text>
        <t>Boutefeu — Feu, physique
Puissance 120 · Précision 100 % · 15 PP
Une charge qui peut brûler. Blesse le lanceur.</t>
      </text>
    </comment>
    <comment ref="B3421" authorId="0" shapeId="0">
      <text>
        <t>URSAKING — Sol / Normal
PV 130 · Att 140 · Déf 105
Att.Spé 45 · Déf.Spé 80 · Vit 50
Total 550
Talents : Cran, Pare-Balles (caché : Tension)</t>
      </text>
    </comment>
    <comment ref="C3421" authorId="0" shapeId="0">
      <text>
        <t>NOSTENFER — Poison / Vol
PV 85 · Att 90 · Déf 80
Att.Spé 70 · Déf.Spé 80 · Vit 130
Total 535
Talents : Attention (caché : Infiltration)</t>
      </text>
    </comment>
    <comment ref="D3421" authorId="0" shapeId="0">
      <text>
        <t>OCTILLERY — Eau
PV 75 · Att 105 · Déf 75
Att.Spé 105 · Déf.Spé 75 · Vit 45
Total 480
Talents : Ventouse, Sniper (caché : Lunatique)</t>
      </text>
    </comment>
    <comment ref="E3421" authorId="0" shapeId="0">
      <text>
        <t>EMPIFLOR — Plante / Poison
PV 80 · Att 105 · Déf 65
Att.Spé 100 · Déf.Spé 100 · Vit 70
Total 520
Talents : Chlorophylle (caché : Gloutonnerie)</t>
      </text>
    </comment>
    <comment ref="F3421" authorId="0" shapeId="0">
      <text>
        <t>TYPHLOSION — Feu
PV 78 · Att 84 · Déf 78
Att.Spé 109 · Déf.Spé 85 · Vit 100
Total 534
Talents : Brasier (caché : Torche)</t>
      </text>
    </comment>
    <comment ref="G3421" authorId="0" shapeId="0">
      <text>
        <t>TYRANOCIF — Roche / Ténèbres
PV 100 · Att 134 · Déf 110
Att.Spé 95 · Déf.Spé 100 · Vit 61
Total 600
Talents : Sable Volant (caché : Tension)</t>
      </text>
    </comment>
    <comment ref="B3423" authorId="0" shapeId="0">
      <text>
        <t>Baie Maron
Objet tenu qui réveille les {PKMN} dormant au
combat.</t>
      </text>
    </comment>
    <comment ref="C3423" authorId="0" shapeId="0">
      <text>
        <t>Restes
Objet tenu permet- tant de restaurer les PV au
combat.</t>
      </text>
    </comment>
    <comment ref="D3423" authorId="0" shapeId="0">
      <text>
        <t>Glace Éternelle
Objet à tenir. Renforce le type Glace.</t>
      </text>
    </comment>
    <comment ref="E3423" authorId="0" shapeId="0">
      <text>
        <t>Lentilscope
Objet tenu pour monter le taux de critiques.</t>
      </text>
    </comment>
    <comment ref="F3423" authorId="0" shapeId="0">
      <text>
        <t>Charbon
Objet à tenir. Renforce le type Feu.</t>
      </text>
    </comment>
    <comment ref="G3423" authorId="0" shapeId="0">
      <text>
        <t>Vive Griffe
Objet tenu qui permet parfois de frapper le
premier.</t>
      </text>
    </comment>
    <comment ref="B3424" authorId="0" shapeId="0">
      <text>
        <t>Œil Révélateur
Regard Vif et Querelleur.</t>
      </text>
    </comment>
    <comment ref="C3424" authorId="0" shapeId="0">
      <text>
        <t>Attention
Empêche la peur.</t>
      </text>
    </comment>
    <comment ref="D3424" authorId="0" shapeId="0">
      <text>
        <t>Ventouse
Fixe solidement le corps.</t>
      </text>
    </comment>
    <comment ref="E3424" authorId="0" shapeId="0">
      <text>
        <t>Chlorophylle
Augmente Vitesse au soleil.</t>
      </text>
    </comment>
    <comment ref="F3424" authorId="0" shapeId="0">
      <text>
        <t>Brasier
Augmente attaques Feu.</t>
      </text>
    </comment>
    <comment ref="G3424" authorId="0" shapeId="0">
      <text>
        <t>Sable Volant
Crée une tempête de sable.</t>
      </text>
    </comment>
    <comment ref="B3425" authorId="0" shapeId="0">
      <text>
        <t>Marto-Poing — Combat, physique
Puissance 100 · Précision 90 % · 10 PP
Un poing lourd. Baisse la Vitesse du lanceur.</t>
      </text>
    </comment>
    <comment ref="C3425" authorId="0" shapeId="0">
      <text>
        <t>Lame d'Air — Vol, spéciale
Puissance 75 · Précision 95 % · 15 PP
Une lame d'air. Peut apeurer l'ennemi.</t>
      </text>
    </comment>
    <comment ref="D3425" authorId="0" shapeId="0">
      <text>
        <t>Surf — Eau, spéciale
Puissance 90 · Précision 100 % · 15 PP</t>
      </text>
    </comment>
    <comment ref="E3425" authorId="0" shapeId="0">
      <text>
        <t>Bombe Beurk — Poison, spéciale
Puissance 90 · Précision 100 % · 10 PP
Envoie des détritus pour blesser. Peut
empoisonner.</t>
      </text>
    </comment>
    <comment ref="F3425" authorId="0" shapeId="0">
      <text>
        <t>Déflagration — Feu, spéciale
Puissance 110 · Précision 85 % · 5 PP
Une explosion de flammes. Peut brûler
l'ennemi.</t>
      </text>
    </comment>
    <comment ref="G3425" authorId="0" shapeId="0">
      <text>
        <t>Mâchouille — Ténèbres, physique
Puissance 80 · Précision 100 % · 15 PP</t>
      </text>
    </comment>
    <comment ref="B3426" authorId="0" shapeId="0">
      <text>
        <t>Pouvoir Lunaire — Fée, spéciale
Puissance 95 · Précision 100 % · 15 PP
La force de la lune. Peut baisser l'Atq. Spé.</t>
      </text>
    </comment>
    <comment ref="C3426" authorId="0" shapeId="0">
      <text>
        <t>Choc Venin — Poison, spéciale
Puissance 65 · Précision 100 % · 10 PP
Double les dégâts sur un ennemi empoisonné.</t>
      </text>
    </comment>
    <comment ref="D3426" authorId="0" shapeId="0">
      <text>
        <t>Laser Glace — Glace, spéciale
Puissance 90 · Précision 100 % · 10 PP</t>
      </text>
    </comment>
    <comment ref="E3426" authorId="0" shapeId="0">
      <text>
        <t>Tranch'Herbe — Plante, physique
Puissance 55 · Précision 95 % · 25 PP
Tranche avec des feuilles. Taux de critiques
élevé.</t>
      </text>
    </comment>
    <comment ref="F3426" authorId="0" shapeId="0">
      <text>
        <t>Séisme — Sol, physique
Puissance 100 · Précision 100 % · 10 PP
Secousse sans effet sur les adversaires
volants.</t>
      </text>
    </comment>
    <comment ref="G3426" authorId="0" shapeId="0">
      <text>
        <t>Séisme — Sol, physique
Puissance 100 · Précision 100 % · 10 PP
Secousse sans effet sur les adversaires
volants.</t>
      </text>
    </comment>
    <comment ref="B3427" authorId="0" shapeId="0">
      <text>
        <t>Pouvoir Antique — Roche, spéciale
Puissance 60 · Précision 100 % · 5 PP
Une attaque pouvant augmenter toutes les
stats.</t>
      </text>
    </comment>
    <comment ref="C3427" authorId="0" shapeId="0">
      <text>
        <t>Vibrobscur — Ténèbres, spéciale
Puissance 80 · Précision 100 % · 15 PP
Une aura horrible. Peut apeurer l'ennemi.</t>
      </text>
    </comment>
    <comment ref="D3427" authorId="0" shapeId="0">
      <text>
        <t>Rafale Psy — Psy, spéciale
Puissance 65 · Précision 100 % · 20 PP
Étrange rayon pouvant rendre l'ennemi confus.</t>
      </text>
    </comment>
    <comment ref="E3427" authorId="0" shapeId="0">
      <text>
        <t>Poudre Dodo — Plante, statut
Précision 75 % · 15 PP
Répand une poudre pouvant endormir l'ennemi.</t>
      </text>
    </comment>
    <comment ref="F3427" authorId="0" shapeId="0">
      <text>
        <t>Queue de Fer — Acier, physique
Puissance 100 · Précision 75 % · 15 PP
Attaque avec la queue. Peut baisser la
Défense.</t>
      </text>
    </comment>
    <comment ref="G3427" authorId="0" shapeId="0">
      <text>
        <t>Lame de Roc — Roche, physique
Puissance 100 · Précision 80 % · 5 PP
Transperce de pierres. Critiques fréquents.</t>
      </text>
    </comment>
    <comment ref="B3428" authorId="0" shapeId="0">
      <text>
        <t>Repos — Psy, statut
5 PP
Le lanceur dort 2 tours et regagne PV et
statut.</t>
      </text>
    </comment>
    <comment ref="C3428" authorId="0" shapeId="0">
      <text>
        <t>Façade — Normal, physique
Puissance 70 · Précision 100 % · 20 PP
Améliore l'Attaque si brûlé, paralysé ou
empoisonné.</t>
      </text>
    </comment>
    <comment ref="D3428" authorId="0" shapeId="0">
      <text>
        <t>Rayon Signal — Insecte, spéciale
Puissance 75 · Précision 100 % · 15 PP
Un étrange rayon qui peut rendre l'ennemi
confus.</t>
      </text>
    </comment>
    <comment ref="E3428" authorId="0" shapeId="0">
      <text>
        <t>Croissance — Normal, statut
20 PP</t>
      </text>
    </comment>
    <comment ref="F3428" authorId="0" shapeId="0">
      <text>
        <t>Poing Éclair — Électrik, physique
Puissance 75 · Précision 100 % · 15 PP
Un poing électrique pouvant paralyser
l'ennemi.</t>
      </text>
    </comment>
    <comment ref="G3428" authorId="0" shapeId="0">
      <text>
        <t>Crocs Feu — Feu, physique
Puissance 65 · Précision 95 % · 15 PP
Peut apeurer l'ennemi ou le brûler.</t>
      </text>
    </comment>
    <comment ref="B3430" authorId="0" shapeId="0">
      <text>
        <t>URSAKING — Sol / Normal
PV 130 · Att 140 · Déf 105
Att.Spé 45 · Déf.Spé 80 · Vit 50
Total 550
Talents : Cran, Pare-Balles (caché : Tension)</t>
      </text>
    </comment>
    <comment ref="C3430" authorId="0" shapeId="0">
      <text>
        <t>NOSTENFER — Poison / Vol
PV 85 · Att 90 · Déf 80
Att.Spé 70 · Déf.Spé 80 · Vit 130
Total 535
Talents : Attention (caché : Infiltration)</t>
      </text>
    </comment>
    <comment ref="D3430" authorId="0" shapeId="0">
      <text>
        <t>EMPIFLOR — Plante / Poison
PV 80 · Att 105 · Déf 65
Att.Spé 100 · Déf.Spé 100 · Vit 70
Total 520
Talents : Chlorophylle (caché : Gloutonnerie)</t>
      </text>
    </comment>
    <comment ref="E3430" authorId="0" shapeId="0">
      <text>
        <t>DEMOLOSSE — Ténèbres / Feu
PV 75 · Att 90 · Déf 50
Att.Spé 110 · Déf.Spé 80 · Vit 95
Total 500
Talents : Matinal, Torche (caché : Tension)</t>
      </text>
    </comment>
    <comment ref="F3430" authorId="0" shapeId="0">
      <text>
        <t>ALIGATUEUR — Eau
PV 85 · Att 105 · Déf 100
Att.Spé 79 · Déf.Spé 83 · Vit 78
Total 530
Talents : Torrent (caché : Sans Limite)</t>
      </text>
    </comment>
    <comment ref="G3430" authorId="0" shapeId="0">
      <text>
        <t>TYRANOCIF — Roche / Ténèbres
PV 100 · Att 134 · Déf 110
Att.Spé 95 · Déf.Spé 100 · Vit 61
Total 600
Talents : Sable Volant (caché : Tension)</t>
      </text>
    </comment>
    <comment ref="B3432" authorId="0" shapeId="0">
      <text>
        <t>Baie Maron
Objet tenu qui réveille les {PKMN} dormant au
combat.</t>
      </text>
    </comment>
    <comment ref="C3432" authorId="0" shapeId="0">
      <text>
        <t>Restes
Objet tenu permet- tant de restaurer les PV au
combat.</t>
      </text>
    </comment>
    <comment ref="D3432" authorId="0" shapeId="0">
      <text>
        <t>Lentilscope
Objet tenu pour monter le taux de critiques.</t>
      </text>
    </comment>
    <comment ref="E3432" authorId="0" shapeId="0">
      <text>
        <t>Charbon
Objet à tenir. Renforce le type Feu.</t>
      </text>
    </comment>
    <comment ref="F3432" authorId="0" shapeId="0">
      <text>
        <t>Lentilscope
Objet tenu pour monter le taux de critiques.</t>
      </text>
    </comment>
    <comment ref="G3432" authorId="0" shapeId="0">
      <text>
        <t>Vive Griffe
Objet tenu qui permet parfois de frapper le
premier.</t>
      </text>
    </comment>
    <comment ref="B3433" authorId="0" shapeId="0">
      <text>
        <t>Œil Révélateur
Regard Vif et Querelleur.</t>
      </text>
    </comment>
    <comment ref="C3433" authorId="0" shapeId="0">
      <text>
        <t>Attention
Empêche la peur.</t>
      </text>
    </comment>
    <comment ref="D3433" authorId="0" shapeId="0">
      <text>
        <t>Chlorophylle
Augmente Vitesse au soleil.</t>
      </text>
    </comment>
    <comment ref="E3433" authorId="0" shapeId="0">
      <text>
        <t>Matinal
Se réveille rapidement.</t>
      </text>
    </comment>
    <comment ref="F3433" authorId="0" shapeId="0">
      <text>
        <t>Torrent
Augmente attaques Eau.</t>
      </text>
    </comment>
    <comment ref="G3433" authorId="0" shapeId="0">
      <text>
        <t>Sable Volant
Crée une tempête de sable.</t>
      </text>
    </comment>
    <comment ref="B3434" authorId="0" shapeId="0">
      <text>
        <t>Marto-Poing — Combat, physique
Puissance 100 · Précision 90 % · 10 PP
Un poing lourd. Baisse la Vitesse du lanceur.</t>
      </text>
    </comment>
    <comment ref="C3434" authorId="0" shapeId="0">
      <text>
        <t>Lame d'Air — Vol, spéciale
Puissance 75 · Précision 95 % · 15 PP
Une lame d'air. Peut apeurer l'ennemi.</t>
      </text>
    </comment>
    <comment ref="D3434" authorId="0" shapeId="0">
      <text>
        <t>Bombe Beurk — Poison, spéciale
Puissance 90 · Précision 100 % · 10 PP
Envoie des détritus pour blesser. Peut
empoisonner.</t>
      </text>
    </comment>
    <comment ref="E3434" authorId="0" shapeId="0">
      <text>
        <t>Déflagration — Feu, spéciale
Puissance 110 · Précision 85 % · 5 PP
Une explosion de flammes. Peut brûler
l'ennemi.</t>
      </text>
    </comment>
    <comment ref="F3434" authorId="0" shapeId="0">
      <text>
        <t>Laser Glace — Glace, spéciale
Puissance 90 · Précision 100 % · 10 PP</t>
      </text>
    </comment>
    <comment ref="G3434" authorId="0" shapeId="0">
      <text>
        <t>Mâchouille — Ténèbres, physique
Puissance 80 · Précision 100 % · 15 PP</t>
      </text>
    </comment>
    <comment ref="B3435" authorId="0" shapeId="0">
      <text>
        <t>Pouvoir Lunaire — Fée, spéciale
Puissance 95 · Précision 100 % · 15 PP
La force de la lune. Peut baisser l'Atq. Spé.</t>
      </text>
    </comment>
    <comment ref="C3435" authorId="0" shapeId="0">
      <text>
        <t>Choc Venin — Poison, spéciale
Puissance 65 · Précision 100 % · 10 PP
Double les dégâts sur un ennemi empoisonné.</t>
      </text>
    </comment>
    <comment ref="D3435" authorId="0" shapeId="0">
      <text>
        <t>Tranch'Herbe — Plante, physique
Puissance 55 · Précision 95 % · 25 PP
Tranche avec des feuilles. Taux de critiques
élevé.</t>
      </text>
    </comment>
    <comment ref="E3435" authorId="0" shapeId="0">
      <text>
        <t>Queue de Fer — Acier, physique
Puissance 100 · Précision 75 % · 15 PP
Attaque avec la queue. Peut baisser la
Défense.</t>
      </text>
    </comment>
    <comment ref="F3435" authorId="0" shapeId="0">
      <text>
        <t>Surf — Eau, spéciale
Puissance 90 · Précision 100 % · 15 PP</t>
      </text>
    </comment>
    <comment ref="G3435" authorId="0" shapeId="0">
      <text>
        <t>Séisme — Sol, physique
Puissance 100 · Précision 100 % · 10 PP
Secousse sans effet sur les adversaires
volants.</t>
      </text>
    </comment>
    <comment ref="B3436" authorId="0" shapeId="0">
      <text>
        <t>Pouvoir Antique — Roche, spéciale
Puissance 60 · Précision 100 % · 5 PP
Une attaque pouvant augmenter toutes les
stats.</t>
      </text>
    </comment>
    <comment ref="C3436" authorId="0" shapeId="0">
      <text>
        <t>Vibrobscur — Ténèbres, spéciale
Puissance 80 · Précision 100 % · 15 PP
Une aura horrible. Peut apeurer l'ennemi.</t>
      </text>
    </comment>
    <comment ref="D3436" authorId="0" shapeId="0">
      <text>
        <t>Poudre Dodo — Plante, statut
Précision 75 % · 15 PP
Répand une poudre pouvant endormir l'ennemi.</t>
      </text>
    </comment>
    <comment ref="E3436" authorId="0" shapeId="0">
      <text>
        <t>Mâchouille — Ténèbres, physique
Puissance 80 · Précision 100 % · 15 PP</t>
      </text>
    </comment>
    <comment ref="F3436" authorId="0" shapeId="0">
      <text>
        <t>Tranche — Normal, physique
Puissance 70 · Précision 100 % · 20 PP
Coups de griffe, etc. Taux de critiques élevé.</t>
      </text>
    </comment>
    <comment ref="G3436" authorId="0" shapeId="0">
      <text>
        <t>Lame de Roc — Roche, physique
Puissance 100 · Précision 80 % · 5 PP
Transperce de pierres. Critiques fréquents.</t>
      </text>
    </comment>
    <comment ref="B3437" authorId="0" shapeId="0">
      <text>
        <t>Repos — Psy, statut
5 PP
Le lanceur dort 2 tours et regagne PV et
statut.</t>
      </text>
    </comment>
    <comment ref="C3437" authorId="0" shapeId="0">
      <text>
        <t>Façade — Normal, physique
Puissance 70 · Précision 100 % · 20 PP
Améliore l'Attaque si brûlé, paralysé ou
empoisonné.</t>
      </text>
    </comment>
    <comment ref="D3437" authorId="0" shapeId="0">
      <text>
        <t>Croissance — Normal, statut
20 PP</t>
      </text>
    </comment>
    <comment ref="E3437" authorId="0" shapeId="0">
      <text>
        <t>Reflet — Normal, statut
15 PP
Crée des images-miroirs pour augmenter
l'esquive.</t>
      </text>
    </comment>
    <comment ref="F3437" authorId="0" shapeId="0">
      <text>
        <t>Séisme — Sol, physique
Puissance 100 · Précision 100 % · 10 PP
Secousse sans effet sur les adversaires
volants.</t>
      </text>
    </comment>
    <comment ref="G3437" authorId="0" shapeId="0">
      <text>
        <t>Crocs Feu — Feu, physique
Puissance 65 · Précision 95 % · 15 PP
Peut apeurer l'ennemi ou le brûler.</t>
      </text>
    </comment>
    <comment ref="B3439" authorId="0" shapeId="0">
      <text>
        <t>URSAKING — Sol / Normal
PV 130 · Att 140 · Déf 105
Att.Spé 45 · Déf.Spé 80 · Vit 50
Total 550
Talents : Cran, Pare-Balles (caché : Tension)</t>
      </text>
    </comment>
    <comment ref="C3439" authorId="0" shapeId="0">
      <text>
        <t>NOSTENFER — Poison / Vol
PV 85 · Att 90 · Déf 80
Att.Spé 70 · Déf.Spé 80 · Vit 130
Total 535
Talents : Attention (caché : Infiltration)</t>
      </text>
    </comment>
    <comment ref="D3439" authorId="0" shapeId="0">
      <text>
        <t>OCTILLERY — Eau
PV 75 · Att 105 · Déf 75
Att.Spé 105 · Déf.Spé 75 · Vit 45
Total 480
Talents : Ventouse, Sniper (caché : Lunatique)</t>
      </text>
    </comment>
    <comment ref="E3439" authorId="0" shapeId="0">
      <text>
        <t>DEMOLOSSE — Ténèbres / Feu
PV 75 · Att 90 · Déf 50
Att.Spé 110 · Déf.Spé 80 · Vit 95
Total 500
Talents : Matinal, Torche (caché : Tension)</t>
      </text>
    </comment>
    <comment ref="F3439" authorId="0" shapeId="0">
      <text>
        <t>MEGANIUM — Plante
PV 80 · Att 82 · Déf 100
Att.Spé 83 · Déf.Spé 100 · Vit 80
Total 525
Talents : Engrais (caché : Feuille Garde)</t>
      </text>
    </comment>
    <comment ref="G3439" authorId="0" shapeId="0">
      <text>
        <t>TYRANOCIF — Roche / Ténèbres
PV 100 · Att 134 · Déf 110
Att.Spé 95 · Déf.Spé 100 · Vit 61
Total 600
Talents : Sable Volant (caché : Tension)</t>
      </text>
    </comment>
    <comment ref="B3441" authorId="0" shapeId="0">
      <text>
        <t>Baie Maron
Objet tenu qui réveille les {PKMN} dormant au
combat.</t>
      </text>
    </comment>
    <comment ref="C3441" authorId="0" shapeId="0">
      <text>
        <t>Restes
Objet tenu permet- tant de restaurer les PV au
combat.</t>
      </text>
    </comment>
    <comment ref="D3441" authorId="0" shapeId="0">
      <text>
        <t>Glace Éternelle
Objet à tenir. Renforce le type Glace.</t>
      </text>
    </comment>
    <comment ref="E3441" authorId="0" shapeId="0">
      <text>
        <t>Charbon
Objet à tenir. Renforce le type Feu.</t>
      </text>
    </comment>
    <comment ref="F3441" authorId="0" shapeId="0">
      <text>
        <t>Graine Miracle</t>
      </text>
    </comment>
    <comment ref="G3441" authorId="0" shapeId="0">
      <text>
        <t>Vive Griffe
Objet tenu qui permet parfois de frapper le
premier.</t>
      </text>
    </comment>
    <comment ref="B3442" authorId="0" shapeId="0">
      <text>
        <t>Œil Révélateur
Regard Vif et Querelleur.</t>
      </text>
    </comment>
    <comment ref="C3442" authorId="0" shapeId="0">
      <text>
        <t>Attention
Empêche la peur.</t>
      </text>
    </comment>
    <comment ref="D3442" authorId="0" shapeId="0">
      <text>
        <t>Ventouse
Fixe solidement le corps.</t>
      </text>
    </comment>
    <comment ref="E3442" authorId="0" shapeId="0">
      <text>
        <t>Matinal
Se réveille rapidement.</t>
      </text>
    </comment>
    <comment ref="F3442" authorId="0" shapeId="0">
      <text>
        <t>Engrais
Augmente attaques Plante.</t>
      </text>
    </comment>
    <comment ref="G3442" authorId="0" shapeId="0">
      <text>
        <t>Sable Volant
Crée une tempête de sable.</t>
      </text>
    </comment>
    <comment ref="B3443" authorId="0" shapeId="0">
      <text>
        <t>Marto-Poing — Combat, physique
Puissance 100 · Précision 90 % · 10 PP
Un poing lourd. Baisse la Vitesse du lanceur.</t>
      </text>
    </comment>
    <comment ref="C3443" authorId="0" shapeId="0">
      <text>
        <t>Lame d'Air — Vol, spéciale
Puissance 75 · Précision 95 % · 15 PP
Une lame d'air. Peut apeurer l'ennemi.</t>
      </text>
    </comment>
    <comment ref="D3443" authorId="0" shapeId="0">
      <text>
        <t>Surf — Eau, spéciale
Puissance 90 · Précision 100 % · 15 PP</t>
      </text>
    </comment>
    <comment ref="E3443" authorId="0" shapeId="0">
      <text>
        <t>Déflagration — Feu, spéciale
Puissance 110 · Précision 85 % · 5 PP
Une explosion de flammes. Peut brûler
l'ennemi.</t>
      </text>
    </comment>
    <comment ref="F3443" authorId="0" shapeId="0">
      <text>
        <t>Synthèse — Plante, statut
5 PP
Restaure les PV. La quantité varie suivant le
temps.</t>
      </text>
    </comment>
    <comment ref="G3443" authorId="0" shapeId="0">
      <text>
        <t>Mâchouille — Ténèbres, physique
Puissance 80 · Précision 100 % · 15 PP</t>
      </text>
    </comment>
    <comment ref="B3444" authorId="0" shapeId="0">
      <text>
        <t>Pouvoir Lunaire — Fée, spéciale
Puissance 95 · Précision 100 % · 15 PP
La force de la lune. Peut baisser l'Atq. Spé.</t>
      </text>
    </comment>
    <comment ref="C3444" authorId="0" shapeId="0">
      <text>
        <t>Choc Venin — Poison, spéciale
Puissance 65 · Précision 100 % · 10 PP
Double les dégâts sur un ennemi empoisonné.</t>
      </text>
    </comment>
    <comment ref="D3444" authorId="0" shapeId="0">
      <text>
        <t>Laser Glace — Glace, spéciale
Puissance 90 · Précision 100 % · 10 PP</t>
      </text>
    </comment>
    <comment ref="E3444" authorId="0" shapeId="0">
      <text>
        <t>Queue de Fer — Acier, physique
Puissance 100 · Précision 75 % · 15 PP
Attaque avec la queue. Peut baisser la
Défense.</t>
      </text>
    </comment>
    <comment ref="F3444" authorId="0" shapeId="0">
      <text>
        <t>Pouvoir Lunaire — Fée, spéciale
Puissance 95 · Précision 100 % · 15 PP
La force de la lune. Peut baisser l'Atq. Spé.</t>
      </text>
    </comment>
    <comment ref="G3444" authorId="0" shapeId="0">
      <text>
        <t>Séisme — Sol, physique
Puissance 100 · Précision 100 % · 10 PP
Secousse sans effet sur les adversaires
volants.</t>
      </text>
    </comment>
    <comment ref="B3445" authorId="0" shapeId="0">
      <text>
        <t>Pouvoir Antique — Roche, spéciale
Puissance 60 · Précision 100 % · 5 PP
Une attaque pouvant augmenter toutes les
stats.</t>
      </text>
    </comment>
    <comment ref="C3445" authorId="0" shapeId="0">
      <text>
        <t>Vibrobscur — Ténèbres, spéciale
Puissance 80 · Précision 100 % · 15 PP
Une aura horrible. Peut apeurer l'ennemi.</t>
      </text>
    </comment>
    <comment ref="D3445" authorId="0" shapeId="0">
      <text>
        <t>Rafale Psy — Psy, spéciale
Puissance 65 · Précision 100 % · 20 PP
Étrange rayon pouvant rendre l'ennemi confus.</t>
      </text>
    </comment>
    <comment ref="E3445" authorId="0" shapeId="0">
      <text>
        <t>Mâchouille — Ténèbres, physique
Puissance 80 · Précision 100 % · 15 PP</t>
      </text>
    </comment>
    <comment ref="F3445" authorId="0" shapeId="0">
      <text>
        <t>Tempête Florale — Plante, physique
Puissance 90 · Précision 100 % · 15 PP
Une tempête de pétales sur tout le monde.</t>
      </text>
    </comment>
    <comment ref="G3445" authorId="0" shapeId="0">
      <text>
        <t>Lame de Roc — Roche, physique
Puissance 100 · Précision 80 % · 5 PP
Transperce de pierres. Critiques fréquents.</t>
      </text>
    </comment>
    <comment ref="B3446" authorId="0" shapeId="0">
      <text>
        <t>Repos — Psy, statut
5 PP
Le lanceur dort 2 tours et regagne PV et
statut.</t>
      </text>
    </comment>
    <comment ref="C3446" authorId="0" shapeId="0">
      <text>
        <t>Façade — Normal, physique
Puissance 70 · Précision 100 % · 20 PP
Améliore l'Attaque si brûlé, paralysé ou
empoisonné.</t>
      </text>
    </comment>
    <comment ref="D3446" authorId="0" shapeId="0">
      <text>
        <t>Rayon Signal — Insecte, spéciale
Puissance 75 · Précision 100 % · 15 PP
Un étrange rayon qui peut rendre l'ennemi
confus.</t>
      </text>
    </comment>
    <comment ref="E3446" authorId="0" shapeId="0">
      <text>
        <t>Zénith — Feu, statut
5 PP
Améliore les attaques Feu pendant 5 tours.</t>
      </text>
    </comment>
    <comment ref="F3446" authorId="0" shapeId="0">
      <text>
        <t>Plaquage — Normal, physique
Puissance 85 · Précision 100 % · 15 PP
Une attaque en charge. Peut paralyser
l'ennemi.</t>
      </text>
    </comment>
    <comment ref="G3446" authorId="0" shapeId="0">
      <text>
        <t>Crocs Feu — Feu, physique
Puissance 65 · Précision 95 % · 15 PP
Peut apeurer l'ennemi ou le brûler.</t>
      </text>
    </comment>
    <comment ref="B3449" authorId="0" shapeId="0">
      <text>
        <t>MAGMAR — Feu
PV 65 · Att 95 · Déf 57
Att.Spé 100 · Déf.Spé 85 · Vit 93
Total 495
Talents : Corps Ardent (caché : Esprit Vital)</t>
      </text>
    </comment>
    <comment ref="C3449" authorId="0" shapeId="0">
      <text>
        <t>SMOGOGO — Poison
PV 65 · Att 90 · Déf 120
Att.Spé 85 · Déf.Spé 70 · Vit 60
Total 490
Talents : Lévitation, Gaz Inhibiteur (caché :
  Puanteur)</t>
      </text>
    </comment>
    <comment ref="D3449" authorId="0" shapeId="0">
      <text>
        <t>MAGMAR — Feu
PV 65 · Att 95 · Déf 57
Att.Spé 100 · Déf.Spé 85 · Vit 93
Total 495
Talents : Corps Ardent (caché : Esprit Vital)</t>
      </text>
    </comment>
    <comment ref="B3452" authorId="0" shapeId="0">
      <text>
        <t>Corps Ardent
Brûle l'ennemi au contact.</t>
      </text>
    </comment>
    <comment ref="C3452" authorId="0" shapeId="0">
      <text>
        <t>Lévitation
Ignore les attaques Sol.</t>
      </text>
    </comment>
    <comment ref="D3452" authorId="0" shapeId="0">
      <text>
        <t>Corps Ardent
Brûle l'ennemi au contact.</t>
      </text>
    </comment>
    <comment ref="B3453" authorId="0" shapeId="0">
      <text>
        <t>Ébullilave — Feu, spéciale
Puissance 80 · Précision 100 % · 15 PP</t>
      </text>
    </comment>
    <comment ref="C3453" authorId="0" shapeId="0">
      <text>
        <t>Explosion — Normal, physique
Puissance 250 · Précision 100 % · 5 PP
Inflige de sérieux dégâts, mais met le lanceur
KO.</t>
      </text>
    </comment>
    <comment ref="D3453" authorId="0" shapeId="0">
      <text>
        <t>Ébullilave — Feu, spéciale
Puissance 80 · Précision 100 % · 15 PP</t>
      </text>
    </comment>
    <comment ref="B3454" authorId="0" shapeId="0">
      <text>
        <t>Zénith — Feu, statut
5 PP
Améliore les attaques Feu pendant 5 tours.</t>
      </text>
    </comment>
    <comment ref="C3454" authorId="0" shapeId="0">
      <text>
        <t>Lien du Destin — Spectre, statut
5 PP
Si le lanceur est mis KO, l'ennemi le sera
également.</t>
      </text>
    </comment>
    <comment ref="D3454" authorId="0" shapeId="0">
      <text>
        <t>Zénith — Feu, statut
5 PP
Améliore les attaques Feu pendant 5 tours.</t>
      </text>
    </comment>
    <comment ref="B3455" authorId="0" shapeId="0">
      <text>
        <t>Lance-Flammes — Feu, spéciale
Puissance 90 · Précision 100 % · 15 PP
Une puissante attaque de feu pouvant brûler
l'ennemi.</t>
      </text>
    </comment>
    <comment ref="C3455" authorId="0" shapeId="0">
      <text>
        <t>Éructation — Poison, spéciale
Puissance 120 · Précision 90 % · 10 PP
Un gros rot. Exige d'avoir mangé une Baie.</t>
      </text>
    </comment>
    <comment ref="D3455" authorId="0" shapeId="0">
      <text>
        <t>Lance-Flammes — Feu, spéciale
Puissance 90 · Précision 100 % · 15 PP
Une puissante attaque de feu pouvant brûler
l'ennemi.</t>
      </text>
    </comment>
    <comment ref="B3456" authorId="0" shapeId="0">
      <text>
        <t>Déflagration — Feu, spéciale
Puissance 110 · Précision 85 % · 5 PP
Une explosion de flammes. Peut brûler
l'ennemi.</t>
      </text>
    </comment>
    <comment ref="C3456" authorId="0" shapeId="0">
      <text>
        <t>Souvenir — Ténèbres, statut
Précision 100 % · 10 PP
Le lanceur est mis K.O. et baisse les cap.
ennemies.</t>
      </text>
    </comment>
    <comment ref="D3456" authorId="0" shapeId="0">
      <text>
        <t>Déflagration — Feu, spéciale
Puissance 110 · Précision 85 % · 5 PP
Une explosion de flammes. Peut brûler
l'ennemi.</t>
      </text>
    </comment>
    <comment ref="B3458" authorId="0" shapeId="0">
      <text>
        <t>RAPASDEPIC — Normal / Vol
PV 65 · Att 90 · Déf 65
Att.Spé 61 · Déf.Spé 61 · Vit 100
Total 442
Talents : Regard Vif (caché : Sniper)</t>
      </text>
    </comment>
    <comment ref="B3461" authorId="0" shapeId="0">
      <text>
        <t>Regard Vif
Empêche perte de précision.</t>
      </text>
    </comment>
    <comment ref="B3462" authorId="0" shapeId="0">
      <text>
        <t>Puissance — Normal, statut
30 PP
Concentration pour booster le taux de
critiques.</t>
      </text>
    </comment>
    <comment ref="B3463" authorId="0" shapeId="0">
      <text>
        <t>Atterrissage — Vol, statut
5 PP
Rend au lanceur la moitié de ses PV max.</t>
      </text>
    </comment>
    <comment ref="B3464" authorId="0" shapeId="0">
      <text>
        <t>Bec Vrille — Vol, physique
Puissance 80 · Précision 100 % · 20 PP
Une attaque utilisant le bec comme une
perceuse.</t>
      </text>
    </comment>
    <comment ref="B3465" authorId="0" shapeId="0">
      <text>
        <t>Tunnelier — Sol, physique
Puissance 80 · Précision 95 % · 10 PP
Tourne comme une perceuse. Critiques
fréquents.</t>
      </text>
    </comment>
    <comment ref="B3467" authorId="0" shapeId="0">
      <text>
        <t>RATTATAC — Normal
PV 55 · Att 81 · Déf 60
Att.Spé 50 · Déf.Spé 70 · Vit 97
Total 413
Talents : Fuite, Cran (caché : Agitation)</t>
      </text>
    </comment>
    <comment ref="C3467" authorId="0" shapeId="0">
      <text>
        <t>ARBOK — Poison
PV 60 · Att 95 · Déf 69
Att.Spé 65 · Déf.Spé 79 · Vit 80
Total 448
Talents : Intimidation, Mue (caché : Tension)</t>
      </text>
    </comment>
    <comment ref="B3470" authorId="0" shapeId="0">
      <text>
        <t>Fuite
Améliore chances de fuite.</t>
      </text>
    </comment>
    <comment ref="C3470" authorId="0" shapeId="0">
      <text>
        <t>Intimidation
Baisse l'Attaque ennemie.</t>
      </text>
    </comment>
    <comment ref="B3471" authorId="0" shapeId="0">
      <text>
        <t>Coup Bas — Ténèbres, physique
Puissance 70 · Précision 100 % · 5 PP ·
Priorité +1</t>
      </text>
    </comment>
    <comment ref="C3471" authorId="0" shapeId="0">
      <text>
        <t>Suc Digestif — Poison, statut
Précision 100 % · 10 PP
Un acide qui annule le talent ennemi.</t>
      </text>
    </comment>
    <comment ref="B3472" authorId="0" shapeId="0">
      <text>
        <t>Croc Fatal — Normal, physique
Puissance 1 · Précision 90 % · 10 PP
Coup de croc qui fait baisser les PV de
moitié.</t>
      </text>
    </comment>
    <comment ref="C3472" authorId="0" shapeId="0">
      <text>
        <t>Éructation — Poison, spéciale
Puissance 120 · Précision 90 % · 10 PP
Un gros rot. Exige d'avoir mangé une Baie.</t>
      </text>
    </comment>
    <comment ref="B3473" authorId="0" shapeId="0">
      <text>
        <t>Damoclès — Normal, physique
Puissance 120 · Précision 100 % · 15 PP
Une dangereuse charge qui blesse aussi le
lanceur.</t>
      </text>
    </comment>
    <comment ref="C3473" authorId="0" shapeId="0">
      <text>
        <t>Buée Noire — Glace, statut
30 PP
Crée un nuage noir annulant tout changement
d'état.</t>
      </text>
    </comment>
    <comment ref="B3474" authorId="0" shapeId="0">
      <text>
        <t>Effort — Normal, physique
Puissance 1 · Précision 100 % · 5 PP
Gagne en puissance si PV inférieurs aux PV
ennemis.</t>
      </text>
    </comment>
    <comment ref="C3474" authorId="0" shapeId="0">
      <text>
        <t>Enroulement — Poison, statut
20 PP
S'enroule. Monte Atq., Déf. et Précision.</t>
      </text>
    </comment>
    <comment ref="B3476" authorId="0" shapeId="0">
      <text>
        <t>SMOGOGO — Poison
PV 65 · Att 90 · Déf 120
Att.Spé 85 · Déf.Spé 70 · Vit 60
Total 490
Talents : Lévitation, Gaz Inhibiteur (caché :
  Puanteur)</t>
      </text>
    </comment>
    <comment ref="C3476" authorId="0" shapeId="0">
      <text>
        <t>VOLCAROPOD — Feu / Roche
PV 60 · Att 50 · Déf 120
Att.Spé 90 · Déf.Spé 80 · Vit 30
Total 430
Talents : Armumagma, Corps Ardent (caché :
  Armurouillée)</t>
      </text>
    </comment>
    <comment ref="B3479" authorId="0" shapeId="0">
      <text>
        <t>Lévitation
Ignore les attaques Sol.</t>
      </text>
    </comment>
    <comment ref="C3479" authorId="0" shapeId="0">
      <text>
        <t>Armumagma
Empêche le gel.</t>
      </text>
    </comment>
    <comment ref="B3480" authorId="0" shapeId="0">
      <text>
        <t>Explosion — Normal, physique
Puissance 250 · Précision 100 % · 5 PP
Inflige de sérieux dégâts, mais met le lanceur
KO.</t>
      </text>
    </comment>
    <comment ref="C3480" authorId="0" shapeId="0">
      <text>
        <t>Plaquage — Normal, physique
Puissance 85 · Précision 100 % · 15 PP
Une attaque en charge. Peut paralyser
l'ennemi.</t>
      </text>
    </comment>
    <comment ref="B3481" authorId="0" shapeId="0">
      <text>
        <t>Lien du Destin — Spectre, statut
5 PP
Si le lanceur est mis KO, l'ennemi le sera
également.</t>
      </text>
    </comment>
    <comment ref="C3481" authorId="0" shapeId="0">
      <text>
        <t>Soin — Normal, statut
5 PP
Restaure jusqu'à la moitié des PV max du
lanceur.</t>
      </text>
    </comment>
    <comment ref="B3482" authorId="0" shapeId="0">
      <text>
        <t>Éructation — Poison, spéciale
Puissance 120 · Précision 90 % · 10 PP
Un gros rot. Exige d'avoir mangé une Baie.</t>
      </text>
    </comment>
    <comment ref="C3482" authorId="0" shapeId="0">
      <text>
        <t>Lance-Flammes — Feu, spéciale
Puissance 90 · Précision 100 % · 15 PP
Une puissante attaque de feu pouvant brûler
l'ennemi.</t>
      </text>
    </comment>
    <comment ref="B3483" authorId="0" shapeId="0">
      <text>
        <t>Souvenir — Ténèbres, statut
Précision 100 % · 10 PP
Le lanceur est mis K.O. et baisse les cap.
ennemies.</t>
      </text>
    </comment>
    <comment ref="C3483" authorId="0" shapeId="0">
      <text>
        <t>Telluriforce — Sol, spéciale
Puissance 90 · Précision 100 % · 10 PP
Le sol se déchaîne. Peut baisser la Déf. Spé.</t>
      </text>
    </comment>
    <comment ref="B3486" authorId="0" shapeId="0">
      <text>
        <t>TRIOPIKEUR — Sol
PV 35 · Att 100 · Déf 50
Att.Spé 50 · Déf.Spé 70 · Vit 120
Total 425
Talents : Voile Sable, Piège Sable (caché :
  Force Sable)</t>
      </text>
    </comment>
    <comment ref="C3486" authorId="0" shapeId="0">
      <text>
        <t>SABLAIREAU — Sol
PV 75 · Att 100 · Déf 110
Att.Spé 45 · Déf.Spé 55 · Vit 65
Total 450
Talents : Voile Sable (caché : Baigne Sable)</t>
      </text>
    </comment>
    <comment ref="D3486" authorId="0" shapeId="0">
      <text>
        <t>DONPHAN — Sol
PV 90 · Att 120 · Déf 120
Att.Spé 60 · Déf.Spé 60 · Vit 50
Total 500
Talents : Fermeté (caché : Voile Sable)</t>
      </text>
    </comment>
    <comment ref="B3489" authorId="0" shapeId="0">
      <text>
        <t>Voile Sable
Evasion si tempête sable.</t>
      </text>
    </comment>
    <comment ref="C3489" authorId="0" shapeId="0">
      <text>
        <t>Voile Sable
Evasion si tempête sable.</t>
      </text>
    </comment>
    <comment ref="D3489" authorId="0" shapeId="0">
      <text>
        <t>Fermeté
Ignore les K.O. en un coup.</t>
      </text>
    </comment>
    <comment ref="B3490" authorId="0" shapeId="0">
      <text>
        <t>Tunnel — Sol, physique
Puissance 80 · Précision 100 % · 10 PP
Creuse sous terre au 1{SUPER_ER} tour et
frappe au 2{SUPER_E}.</t>
      </text>
    </comment>
    <comment ref="C3490" authorId="0" shapeId="0">
      <text>
        <t>Gyroballe — Acier, physique
Puissance 1 · Précision 100 % · 5 PP
Une toupie qui blesse plus un ennemi rapide.</t>
      </text>
    </comment>
    <comment ref="D3490" authorId="0" shapeId="0">
      <text>
        <t>Tour Rapide — Normal, physique
Puissance 50 · Précision 100 % · 40 PP</t>
      </text>
    </comment>
    <comment ref="B3491" authorId="0" shapeId="0">
      <text>
        <t>Tranche — Normal, physique
Puissance 70 · Précision 100 % · 20 PP
Coups de griffe, etc. Taux de critiques élevé.</t>
      </text>
    </comment>
    <comment ref="C3491" authorId="0" shapeId="0">
      <text>
        <t>Danse Lames — Normal, statut
20 PP
Une danse de combat pour booster l'Attaque.</t>
      </text>
    </comment>
    <comment ref="D3491" authorId="0" shapeId="0">
      <text>
        <t>Séisme — Sol, physique
Puissance 100 · Précision 100 % · 10 PP
Secousse sans effet sur les adversaires
volants.</t>
      </text>
    </comment>
    <comment ref="B3492" authorId="0" shapeId="0">
      <text>
        <t>Séisme — Sol, physique
Puissance 100 · Précision 100 % · 10 PP
Secousse sans effet sur les adversaires
volants.</t>
      </text>
    </comment>
    <comment ref="C3492" authorId="0" shapeId="0">
      <text>
        <t>Tempête de Sable — Roche, statut
10 PP
Une tempête de sable qui souffle pendant 5
tours.</t>
      </text>
    </comment>
    <comment ref="D3492" authorId="0" shapeId="0">
      <text>
        <t>Giga Impact — Normal, physique
Puissance 150 · Précision 90 % · 5 PP</t>
      </text>
    </comment>
    <comment ref="B3493" authorId="0" shapeId="0">
      <text>
        <t>Abîme — Sol, physique
Puissance 1 · Précision 30 % · 5 PP
Fait tomber l'ennemi dans une crevasse et le
met KO.</t>
      </text>
    </comment>
    <comment ref="C3493" authorId="0" shapeId="0">
      <text>
        <t>Séisme — Sol, physique
Puissance 100 · Précision 100 % · 10 PP
Secousse sans effet sur les adversaires
volants.</t>
      </text>
    </comment>
    <comment ref="D3493" authorId="0" shapeId="0">
      <text>
        <t>Câlinerie — Fée, physique
Puissance 90 · Précision 90 % · 10 PP
Un câlin brutal. Peut baisser l'Attaque de
l'ennemi.</t>
      </text>
    </comment>
    <comment ref="B3495" authorId="0" shapeId="0">
      <text>
        <t>GROLEM — Roche / Sol
PV 80 · Att 120 · Déf 130
Att.Spé 55 · Déf.Spé 65 · Vit 45
Total 495
Talents : Tête de Roc, Fermeté (caché : Voile
  Sable)</t>
      </text>
    </comment>
    <comment ref="C3495" authorId="0" shapeId="0">
      <text>
        <t>PTERA — Roche / Vol
PV 80 · Att 105 · Déf 65
Att.Spé 60 · Déf.Spé 75 · Vit 130
Total 515
Talents : Tête de Roc, Pression (caché :
  Tension)</t>
      </text>
    </comment>
    <comment ref="D3495" authorId="0" shapeId="0">
      <text>
        <t>KABUTOPS — Roche / Eau
PV 60 · Att 115 · Déf 105
Att.Spé 65 · Déf.Spé 70 · Vit 80
Total 495
Talents : Glissade, Armurbaston (caché :
  Armurouillée)</t>
      </text>
    </comment>
    <comment ref="E3495" authorId="0" shapeId="0">
      <text>
        <t>AMONISTAR — Roche / Eau
PV 70 · Att 60 · Déf 125
Att.Spé 115 · Déf.Spé 70 · Vit 55
Total 495
Talents : Glissade, Coque Armure (caché :
  Armurouillée)</t>
      </text>
    </comment>
    <comment ref="F3495" authorId="0" shapeId="0">
      <text>
        <t>RELICANTH — Eau / Roche
PV 100 · Att 90 · Déf 130
Att.Spé 45 · Déf.Spé 65 · Vit 55
Total 485
Talents : Glissade, Tête de Roc (caché :
  Fermeté)</t>
      </text>
    </comment>
    <comment ref="G3495" authorId="0" shapeId="0">
      <text>
        <t>HACHECATEUR — Insecte / Roche
PV 70 · Att 135 · Déf 95
Att.Spé 45 · Déf.Spé 70 · Vit 85
Total 500
Talents : Essaim, Sans Limite (caché :
  Incisif)</t>
      </text>
    </comment>
    <comment ref="B3497" authorId="0" shapeId="0">
      <text>
        <t>Vive Griffe
Objet tenu qui permet parfois de frapper le
premier.</t>
      </text>
    </comment>
    <comment ref="C3497" authorId="0" shapeId="0">
      <text>
        <t>Pierre Dure</t>
      </text>
    </comment>
    <comment ref="D3497" authorId="0" shapeId="0">
      <text>
        <t>Lentilscope
Objet tenu pour monter le taux de critiques.</t>
      </text>
    </comment>
    <comment ref="E3497" authorId="0" shapeId="0">
      <text>
        <t>Bandeau
Objet tenu pouvant parfois empêcher d'être mis
KO.</t>
      </text>
    </comment>
    <comment ref="F3497" authorId="0" shapeId="0">
      <text>
        <t>Pierre Dure</t>
      </text>
    </comment>
    <comment ref="G3497" authorId="0" shapeId="0">
      <text>
        <t>Vive Griffe
Objet tenu qui permet parfois de frapper le
premier.</t>
      </text>
    </comment>
    <comment ref="B3498" authorId="0" shapeId="0">
      <text>
        <t>Tête de Roc
Empêche dégâts du recul.</t>
      </text>
    </comment>
    <comment ref="C3498" authorId="0" shapeId="0">
      <text>
        <t>Tête de Roc
Empêche dégâts du recul.</t>
      </text>
    </comment>
    <comment ref="D3498" authorId="0" shapeId="0">
      <text>
        <t>Glissade
Monte Vitesse s'il pleut.</t>
      </text>
    </comment>
    <comment ref="E3498" authorId="0" shapeId="0">
      <text>
        <t>Glissade
Monte Vitesse s'il pleut.</t>
      </text>
    </comment>
    <comment ref="F3498" authorId="0" shapeId="0">
      <text>
        <t>Glissade
Monte Vitesse s'il pleut.</t>
      </text>
    </comment>
    <comment ref="G3498" authorId="0" shapeId="0">
      <text>
        <t>Essaim
Augmente attaques Insect.</t>
      </text>
    </comment>
    <comment ref="B3499" authorId="0" shapeId="0">
      <text>
        <t>Malédiction — Spectre, statut
10 PP
Coup qui fonctionne autre- ment pour les
Spectres.</t>
      </text>
    </comment>
    <comment ref="C3499" authorId="0" shapeId="0">
      <text>
        <t>Pouvoir Antique — Roche, spéciale
Puissance 60 · Précision 100 % · 5 PP
Une attaque pouvant augmenter toutes les
stats.</t>
      </text>
    </comment>
    <comment ref="D3499" authorId="0" shapeId="0">
      <text>
        <t>Surf — Eau, spéciale
Puissance 90 · Précision 100 % · 15 PP</t>
      </text>
    </comment>
    <comment ref="E3499" authorId="0" shapeId="0">
      <text>
        <t>Pouvoir Antique — Roche, spéciale
Puissance 60 · Précision 100 % · 5 PP
Une attaque pouvant augmenter toutes les
stats.</t>
      </text>
    </comment>
    <comment ref="F3499" authorId="0" shapeId="0">
      <text>
        <t>Hydrocanon — Eau, spéciale
Puissance 110 · Précision 80 % · 5 PP
Envoie un puissant jet d'eau pour frapper
l'ennemi.</t>
      </text>
    </comment>
    <comment ref="G3499" authorId="0" shapeId="0">
      <text>
        <t>Danse Lames — Normal, statut
20 PP
Une danse de combat pour booster l'Attaque.</t>
      </text>
    </comment>
    <comment ref="B3500" authorId="0" shapeId="0">
      <text>
        <t>Lame de Roc — Roche, physique
Puissance 100 · Précision 80 % · 5 PP
Transperce de pierres. Critiques fréquents.</t>
      </text>
    </comment>
    <comment ref="C3500" authorId="0" shapeId="0">
      <text>
        <t>Piqué — Vol, physique
Puissance 140 · Précision 90 % · 5 PP
Cherche les points faibles et frappe au tour
suivant.</t>
      </text>
    </comment>
    <comment ref="D3500" authorId="0" shapeId="0">
      <text>
        <t>Pouvoir Antique — Roche, spéciale
Puissance 60 · Précision 100 % · 5 PP
Une attaque pouvant augmenter toutes les
stats.</t>
      </text>
    </comment>
    <comment ref="E3500" authorId="0" shapeId="0">
      <text>
        <t>Laser Glace — Glace, spéciale
Puissance 90 · Précision 100 % · 10 PP</t>
      </text>
    </comment>
    <comment ref="F3500" authorId="0" shapeId="0">
      <text>
        <t>Éboulement — Roche, physique
Puissance 75 · Précision 90 % · 10 PP
Envoie de gros rochers. Peut apeurer l'ennemi.</t>
      </text>
    </comment>
    <comment ref="G3500" authorId="0" shapeId="0">
      <text>
        <t>Hache de Pierre — Roche, physique
Puissance 65 · Précision 90 % · 15 PP
Disperse des pierres qui blessent l'ennemi.</t>
      </text>
    </comment>
    <comment ref="B3501" authorId="0" shapeId="0">
      <text>
        <t>Plaquage — Normal, physique
Puissance 85 · Précision 100 % · 15 PP
Une attaque en charge. Peut paralyser
l'ennemi.</t>
      </text>
    </comment>
    <comment ref="C3501" authorId="0" shapeId="0">
      <text>
        <t>Séisme — Sol, physique
Puissance 100 · Précision 100 % · 10 PP
Secousse sans effet sur les adversaires
volants.</t>
      </text>
    </comment>
    <comment ref="D3501" authorId="0" shapeId="0">
      <text>
        <t>Tranche-Nuit — Ténèbres, physique
Puissance 70 · Précision 100 % · 15 PP
Frappe au plus vite. Critiques fréquents.</t>
      </text>
    </comment>
    <comment ref="E3501" authorId="0" shapeId="0">
      <text>
        <t>Surf — Eau, spéciale
Puissance 90 · Précision 100 % · 15 PP</t>
      </text>
    </comment>
    <comment ref="F3501" authorId="0" shapeId="0">
      <text>
        <t>Malédiction — Spectre, statut
10 PP
Coup qui fonctionne autre- ment pour les
Spectres.</t>
      </text>
    </comment>
    <comment ref="G3501" authorId="0" shapeId="0">
      <text>
        <t>Plaie Croix — Insecte, physique
Puissance 80 · Précision 100 % · 15 PP
Taillade l'ennemi de ses faux croisées.</t>
      </text>
    </comment>
    <comment ref="B3502" authorId="0" shapeId="0">
      <text>
        <t>Séisme — Sol, physique
Puissance 100 · Précision 100 % · 10 PP
Secousse sans effet sur les adversaires
volants.</t>
      </text>
    </comment>
    <comment ref="C3502" authorId="0" shapeId="0">
      <text>
        <t>Crocs Feu — Feu, physique
Puissance 65 · Précision 95 % · 15 PP
Peut apeurer l'ennemi ou le brûler.</t>
      </text>
    </comment>
    <comment ref="D3502" authorId="0" shapeId="0">
      <text>
        <t>Danse Lames — Normal, statut
20 PP
Une danse de combat pour booster l'Attaque.</t>
      </text>
    </comment>
    <comment ref="E3502" authorId="0" shapeId="0">
      <text>
        <t>Toxik — Poison, statut
Précision 90 % · 10 PP
Empoisonne l'ennemi avec une toxine de plus en
plus forte.</t>
      </text>
    </comment>
    <comment ref="F3502" authorId="0" shapeId="0">
      <text>
        <t>Tonnerre — Électrik, spéciale
Puissance 90 · Précision 100 % · 15 PP
Forte attaque électrique pouvant paralyser
l'ennemi.</t>
      </text>
    </comment>
    <comment ref="G3502" authorId="0" shapeId="0">
      <text>
        <t>Hâte — Psy, statut
30 PP
Relaxation du corps pour booster la Vitesse.</t>
      </text>
    </comment>
    <comment ref="B3505" authorId="0" shapeId="0">
      <text>
        <t>DARDARGNAN — Insecte / Poison
PV 65 · Att 90 · Déf 40
Att.Spé 45 · Déf.Spé 80 · Vit 75
Total 395
Talents : Essaim (caché : Sniper)</t>
      </text>
    </comment>
    <comment ref="C3505" authorId="0" shapeId="0">
      <text>
        <t>PAPILUSION — Insecte / Vol
PV 60 · Att 45 · Déf 50
Att.Spé 90 · Déf.Spé 80 · Vit 70
Total 395
Talents : Œil Composé (caché : Lentiteintée)</t>
      </text>
    </comment>
    <comment ref="B3508" authorId="0" shapeId="0">
      <text>
        <t>Essaim
Augmente attaques Insect.</t>
      </text>
    </comment>
    <comment ref="C3508" authorId="0" shapeId="0">
      <text>
        <t>Œil Composé
Augmente la précision.</t>
      </text>
    </comment>
    <comment ref="B3509" authorId="0" shapeId="0">
      <text>
        <t>Direct Toxik — Poison, physique
Puissance 80 · Précision 100 % · 20 PP
Un coup perforant qui peut empoisonner.</t>
      </text>
    </comment>
    <comment ref="C3509" authorId="0" shapeId="0">
      <text>
        <t>Séduction — Normal, statut
Précision 100 % · 20 PP
Baisse beaucoup l'Atq. Spé. du sexe opposé.</t>
      </text>
    </comment>
    <comment ref="B3510" authorId="0" shapeId="0">
      <text>
        <t>Hâte — Psy, statut
30 PP
Relaxation du corps pour booster la Vitesse.</t>
      </text>
    </comment>
    <comment ref="C3510" authorId="0" shapeId="0">
      <text>
        <t>Vent Arrière — Vol, statut
15 PP</t>
      </text>
    </comment>
    <comment ref="B3511" authorId="0" shapeId="0">
      <text>
        <t>Effort — Normal, physique
Puissance 1 · Précision 100 % · 5 PP
Gagne en puissance si PV inférieurs aux PV
ennemis.</t>
      </text>
    </comment>
    <comment ref="C3511" authorId="0" shapeId="0">
      <text>
        <t>Lame d'Air — Vol, spéciale
Puissance 75 · Précision 95 % · 15 PP
Une lame d'air. Peut apeurer l'ennemi.</t>
      </text>
    </comment>
    <comment ref="B3512" authorId="0" shapeId="0">
      <text>
        <t>Dard Mortel — Insecte, physique
Puissance 50 · Précision 100 % · 25 PP
Monte énormément l'Attaque du lanceur s'il met
K.O.</t>
      </text>
    </comment>
    <comment ref="C3512" authorId="0" shapeId="0">
      <text>
        <t>Papillodanse — Insecte, statut
20 PP
Monte l'Atq. Spé., la Déf. Spé. et la Vit.</t>
      </text>
    </comment>
    <comment ref="B3514" authorId="0" shapeId="0">
      <text>
        <t>DARDARGNAN — Insecte / Poison
PV 65 · Att 90 · Déf 40
Att.Spé 45 · Déf.Spé 80 · Vit 75
Total 395
Talents : Essaim (caché : Sniper)</t>
      </text>
    </comment>
    <comment ref="C3514" authorId="0" shapeId="0">
      <text>
        <t>DARDARGNAN — Insecte / Poison
PV 65 · Att 90 · Déf 40
Att.Spé 45 · Déf.Spé 80 · Vit 75
Total 395
Talents : Essaim (caché : Sniper)</t>
      </text>
    </comment>
    <comment ref="D3514" authorId="0" shapeId="0">
      <text>
        <t>DARDARGNAN — Insecte / Poison
PV 65 · Att 90 · Déf 40
Att.Spé 45 · Déf.Spé 80 · Vit 75
Total 395
Talents : Essaim (caché : Sniper)</t>
      </text>
    </comment>
    <comment ref="B3517" authorId="0" shapeId="0">
      <text>
        <t>Essaim
Augmente attaques Insect.</t>
      </text>
    </comment>
    <comment ref="C3517" authorId="0" shapeId="0">
      <text>
        <t>Essaim
Augmente attaques Insect.</t>
      </text>
    </comment>
    <comment ref="D3517" authorId="0" shapeId="0">
      <text>
        <t>Essaim
Augmente attaques Insect.</t>
      </text>
    </comment>
    <comment ref="B3518" authorId="0" shapeId="0">
      <text>
        <t>Direct Toxik — Poison, physique
Puissance 80 · Précision 100 % · 20 PP
Un coup perforant qui peut empoisonner.</t>
      </text>
    </comment>
    <comment ref="C3518" authorId="0" shapeId="0">
      <text>
        <t>Direct Toxik — Poison, physique
Puissance 80 · Précision 100 % · 20 PP
Un coup perforant qui peut empoisonner.</t>
      </text>
    </comment>
    <comment ref="D3518" authorId="0" shapeId="0">
      <text>
        <t>Direct Toxik — Poison, physique
Puissance 80 · Précision 100 % · 20 PP
Un coup perforant qui peut empoisonner.</t>
      </text>
    </comment>
    <comment ref="B3519" authorId="0" shapeId="0">
      <text>
        <t>Hâte — Psy, statut
30 PP
Relaxation du corps pour booster la Vitesse.</t>
      </text>
    </comment>
    <comment ref="C3519" authorId="0" shapeId="0">
      <text>
        <t>Hâte — Psy, statut
30 PP
Relaxation du corps pour booster la Vitesse.</t>
      </text>
    </comment>
    <comment ref="D3519" authorId="0" shapeId="0">
      <text>
        <t>Hâte — Psy, statut
30 PP
Relaxation du corps pour booster la Vitesse.</t>
      </text>
    </comment>
    <comment ref="B3520" authorId="0" shapeId="0">
      <text>
        <t>Effort — Normal, physique
Puissance 1 · Précision 100 % · 5 PP
Gagne en puissance si PV inférieurs aux PV
ennemis.</t>
      </text>
    </comment>
    <comment ref="C3520" authorId="0" shapeId="0">
      <text>
        <t>Effort — Normal, physique
Puissance 1 · Précision 100 % · 5 PP
Gagne en puissance si PV inférieurs aux PV
ennemis.</t>
      </text>
    </comment>
    <comment ref="D3520" authorId="0" shapeId="0">
      <text>
        <t>Effort — Normal, physique
Puissance 1 · Précision 100 % · 5 PP
Gagne en puissance si PV inférieurs aux PV
ennemis.</t>
      </text>
    </comment>
    <comment ref="B3521" authorId="0" shapeId="0">
      <text>
        <t>Dard Mortel — Insecte, physique
Puissance 50 · Précision 100 % · 25 PP
Monte énormément l'Attaque du lanceur s'il met
K.O.</t>
      </text>
    </comment>
    <comment ref="C3521" authorId="0" shapeId="0">
      <text>
        <t>Dard Mortel — Insecte, physique
Puissance 50 · Précision 100 % · 25 PP
Monte énormément l'Attaque du lanceur s'il met
K.O.</t>
      </text>
    </comment>
    <comment ref="D3521" authorId="0" shapeId="0">
      <text>
        <t>Dard Mortel — Insecte, physique
Puissance 50 · Précision 100 % · 25 PP
Monte énormément l'Attaque du lanceur s'il met
K.O.</t>
      </text>
    </comment>
    <comment ref="B3523" authorId="0" shapeId="0">
      <text>
        <t>MIGALOS — Insecte / Poison
PV 70 · Att 90 · Déf 70
Att.Spé 60 · Déf.Spé 70 · Vit 40
Total 400
Talents : Essaim, Insomnia (caché : Sniper)</t>
      </text>
    </comment>
    <comment ref="B3526" authorId="0" shapeId="0">
      <text>
        <t>Essaim
Augmente attaques Insect.</t>
      </text>
    </comment>
    <comment ref="B3527" authorId="0" shapeId="0">
      <text>
        <t>Psyko — Psy, spéciale
Puissance 90 · Précision 100 % · 10 PP
Une puissante attaque Psy pouvant baisser la
Déf. Spé.</t>
      </text>
    </comment>
    <comment ref="B3528" authorId="0" shapeId="0">
      <text>
        <t>Direct Toxik — Poison, physique
Puissance 80 · Précision 100 % · 20 PP
Un coup perforant qui peut empoisonner.</t>
      </text>
    </comment>
    <comment ref="B3529" authorId="0" shapeId="0">
      <text>
        <t>Poison Croix — Poison, physique
Puissance 70 · Précision 100 % · 20 PP
Une taillade qui peut empoisonner. Critiques.</t>
      </text>
    </comment>
    <comment ref="B3530" authorId="0" shapeId="0">
      <text>
        <t>Toile Gluante — Insecte, statut
20 PP
Une toile qui ralentit l'ennemi à l'arrivée.</t>
      </text>
    </comment>
    <comment ref="B3533" authorId="0" shapeId="0">
      <text>
        <t>LIPPOUTOU — Glace / Psy
PV 65 · Att 50 · Déf 35
Att.Spé 115 · Déf.Spé 95 · Vit 95
Total 455
Talents : Benêt, Prédiction (caché : Peau
  Sèche)</t>
      </text>
    </comment>
    <comment ref="C3533" authorId="0" shapeId="0">
      <text>
        <t>ELEKTEK — Électrik
PV 65 · Att 83 · Déf 57
Att.Spé 95 · Déf.Spé 85 · Vit 105
Total 490
Talents : Statik (caché : Esprit Vital)</t>
      </text>
    </comment>
    <comment ref="D3533" authorId="0" shapeId="0">
      <text>
        <t>MAGMAR — Feu
PV 65 · Att 95 · Déf 57
Att.Spé 100 · Déf.Spé 85 · Vit 93
Total 495
Talents : Corps Ardent (caché : Esprit Vital)</t>
      </text>
    </comment>
    <comment ref="B3536" authorId="0" shapeId="0">
      <text>
        <t>Benêt
Empêche l'attirance.</t>
      </text>
    </comment>
    <comment ref="C3536" authorId="0" shapeId="0">
      <text>
        <t>Statik
Paralyse au toucher.</t>
      </text>
    </comment>
    <comment ref="D3536" authorId="0" shapeId="0">
      <text>
        <t>Corps Ardent
Brûle l'ennemi au contact.</t>
      </text>
    </comment>
    <comment ref="B3537" authorId="0" shapeId="0">
      <text>
        <t>Avalanche — Glace, physique
Puissance 60 · Précision 100 % · 10 PP ·
Priorité -4</t>
      </text>
    </comment>
    <comment ref="C3537" authorId="0" shapeId="0">
      <text>
        <t>Coup d'Jus — Électrik, spéciale
Puissance 80 · Précision 100 % · 15 PP
Électrocute tous les autres {PKMN}. Peut
paralyser.</t>
      </text>
    </comment>
    <comment ref="D3537" authorId="0" shapeId="0">
      <text>
        <t>Ébullilave — Feu, spéciale
Puissance 80 · Précision 100 % · 15 PP</t>
      </text>
    </comment>
    <comment ref="B3538" authorId="0" shapeId="0">
      <text>
        <t>Plaquage — Normal, physique
Puissance 85 · Précision 100 % · 15 PP
Une attaque en charge. Peut paralyser
l'ennemi.</t>
      </text>
    </comment>
    <comment ref="C3538" authorId="0" shapeId="0">
      <text>
        <t>Grincement — Normal, statut
Précision 85 % · 40 PP
Cri strident qui baisse la Défense ennemie.</t>
      </text>
    </comment>
    <comment ref="D3538" authorId="0" shapeId="0">
      <text>
        <t>Zénith — Feu, statut
5 PP
Améliore les attaques Feu pendant 5 tours.</t>
      </text>
    </comment>
    <comment ref="B3539" authorId="0" shapeId="0">
      <text>
        <t>Essorage — Normal, spéciale
Puissance 120 · Précision 100 % · 5 PP</t>
      </text>
    </comment>
    <comment ref="C3539" authorId="0" shapeId="0">
      <text>
        <t>Tonnerre — Électrik, spéciale
Puissance 90 · Précision 100 % · 15 PP
Forte attaque électrique pouvant paralyser
l'ennemi.</t>
      </text>
    </comment>
    <comment ref="D3539" authorId="0" shapeId="0">
      <text>
        <t>Lance-Flammes — Feu, spéciale
Puissance 90 · Précision 100 % · 15 PP
Une puissante attaque de feu pouvant brûler
l'ennemi.</t>
      </text>
    </comment>
    <comment ref="B3540" authorId="0" shapeId="0">
      <text>
        <t>Requiem — Normal, statut
5 PP
Un Pokémon qui entend ce requiem est KO en 3
tours.</t>
      </text>
    </comment>
    <comment ref="C3540" authorId="0" shapeId="0">
      <text>
        <t>Fatal-Foudre — Électrik, spéciale
Puissance 110 · Précision 70 % · 10 PP
Une attaque foudroyante pouvant paralyser
l'ennemi.</t>
      </text>
    </comment>
    <comment ref="D3540" authorId="0" shapeId="0">
      <text>
        <t>Déflagration — Feu, spéciale
Puissance 110 · Précision 85 % · 5 PP
Une explosion de flammes. Peut brûler
l'ennemi.</t>
      </text>
    </comment>
    <comment ref="B3542" authorId="0" shapeId="0">
      <text>
        <t>HERBIZARRE — Plante / Poison
PV 60 · Att 62 · Déf 63
Att.Spé 80 · Déf.Spé 80 · Vit 60
Total 405
Talents : Engrais (caché : Chlorophylle)</t>
      </text>
    </comment>
    <comment ref="C3542" authorId="0" shapeId="0">
      <text>
        <t>STAROSS — Eau / Psy
PV 60 · Att 75 · Déf 85
Att.Spé 100 · Déf.Spé 85 · Vit 115
Total 520
Talents : Lumiattirance, Médic Nature (caché :
  Analyste)</t>
      </text>
    </comment>
    <comment ref="B3545" authorId="0" shapeId="0">
      <text>
        <t>Engrais
Augmente attaques Plante.</t>
      </text>
    </comment>
    <comment ref="C3545" authorId="0" shapeId="0">
      <text>
        <t>Lumiattirance
Augmente les rencontres.</t>
      </text>
    </comment>
    <comment ref="B3546" authorId="0" shapeId="0">
      <text>
        <t>Damoclès — Normal, physique
Puissance 120 · Précision 100 % · 15 PP
Une dangereuse charge qui blesse aussi le
lanceur.</t>
      </text>
    </comment>
    <comment ref="C3546" authorId="0" shapeId="0">
      <text>
        <t>Copie-Type — Normal, statut
15 PP
Le lanceur copie le type de l'ennemi.</t>
      </text>
    </comment>
    <comment ref="B3547" authorId="0" shapeId="0">
      <text>
        <t>Soucigraine — Plante, statut
Précision 100 % · 10 PP
Plante une graine qui donne Insomnia.</t>
      </text>
    </comment>
    <comment ref="C3547" authorId="0" shapeId="0">
      <text>
        <t>Rayon Gemme — Roche, spéciale
Puissance 80 · Précision 100 % · 20 PP
Des rayons brillants comme des diamants.</t>
      </text>
    </comment>
    <comment ref="B3548" authorId="0" shapeId="0">
      <text>
        <t>Synthèse — Plante, statut
5 PP
Restaure les PV. La quantité varie suivant le
temps.</t>
      </text>
    </comment>
    <comment ref="C3548" authorId="0" shapeId="0">
      <text>
        <t>Psyko — Psy, spéciale
Puissance 90 · Précision 100 % · 10 PP
Une puissante attaque Psy pouvant baisser la
Déf. Spé.</t>
      </text>
    </comment>
    <comment ref="B3549" authorId="0" shapeId="0">
      <text>
        <t>Lance-Soleil — Plante, spéciale
Puissance 120 · Précision 100 % · 10 PP
Absorbe la lumière et attaque le tour suivant.</t>
      </text>
    </comment>
    <comment ref="C3549" authorId="0" shapeId="0">
      <text>
        <t>Mur Lumière — Psy, statut
30 PP
Crée un mur lumineux et réduit les dégâts
d'Atq. Spé.</t>
      </text>
    </comment>
    <comment ref="B3552" authorId="0" shapeId="0">
      <text>
        <t>MARAISTE — Eau / Sol
PV 95 · Att 85 · Déf 85
Att.Spé 65 · Déf.Spé 65 · Vit 35
Total 430
Talents : Moiteur, Absorbe-Eau (caché :
  Inconscient)</t>
      </text>
    </comment>
    <comment ref="C3552" authorId="0" shapeId="0">
      <text>
        <t>OCTILLERY — Eau
PV 75 · Att 105 · Déf 75
Att.Spé 105 · Déf.Spé 75 · Vit 45
Total 480
Talents : Ventouse, Sniper (caché : Lunatique)</t>
      </text>
    </comment>
    <comment ref="D3552" authorId="0" shapeId="0">
      <text>
        <t>LEVIATOR — Eau / Vol
PV 95 · Att 125 · Déf 79
Att.Spé 60 · Déf.Spé 100 · Vit 81
Total 540
Talents : Intimidation (caché : Impudence)</t>
      </text>
    </comment>
    <comment ref="B3555" authorId="0" shapeId="0">
      <text>
        <t>Moiteur
Empêche auto-destruction.</t>
      </text>
    </comment>
    <comment ref="C3555" authorId="0" shapeId="0">
      <text>
        <t>Ventouse
Fixe solidement le corps.</t>
      </text>
    </comment>
    <comment ref="D3555" authorId="0" shapeId="0">
      <text>
        <t>Intimidation
Baisse l'Attaque ennemie.</t>
      </text>
    </comment>
    <comment ref="B3556" authorId="0" shapeId="0">
      <text>
        <t>Danse Pluie — Eau, statut
5 PP
Améliore les attaques Eau pendant 5 tours.</t>
      </text>
    </comment>
    <comment ref="C3556" authorId="0" shapeId="0">
      <text>
        <t>Laser Glace — Glace, spéciale
Puissance 90 · Précision 100 % · 10 PP</t>
      </text>
    </comment>
    <comment ref="D3556" authorId="0" shapeId="0">
      <text>
        <t>Danse Draco — Dragon, statut
20 PP
Danse mystique augmentant l'Attaque et la
Vitesse.</t>
      </text>
    </comment>
    <comment ref="B3557" authorId="0" shapeId="0">
      <text>
        <t>Brume — Glace, statut
30 PP
Crée une brume stoppant la réduction des
capacités.</t>
      </text>
    </comment>
    <comment ref="C3557" authorId="0" shapeId="0">
      <text>
        <t>Balle Graine — Plante, physique
Puissance 25 · Précision 100 % · 30 PP
Mitraille l'ennemi avec 2 à 5 graines à la
suite.</t>
      </text>
    </comment>
    <comment ref="D3557" authorId="0" shapeId="0">
      <text>
        <t>Vent Violent — Vol, spéciale
Puissance 110 · Précision 70 % · 10 PP
Un vent violent. Peut rendre confus.</t>
      </text>
    </comment>
    <comment ref="B3558" authorId="0" shapeId="0">
      <text>
        <t>Buée Noire — Glace, statut
30 PP
Crée un nuage noir annulant tout changement
d'état.</t>
      </text>
    </comment>
    <comment ref="C3558" authorId="0" shapeId="0">
      <text>
        <t>Hydrocanon — Eau, spéciale
Puissance 110 · Précision 80 % · 5 PP
Envoie un puissant jet d'eau pour frapper
l'ennemi.</t>
      </text>
    </comment>
    <comment ref="D3558" authorId="0" shapeId="0">
      <text>
        <t>Danse Pluie — Eau, statut
5 PP
Améliore les attaques Eau pendant 5 tours.</t>
      </text>
    </comment>
    <comment ref="B3559" authorId="0" shapeId="0">
      <text>
        <t>Ocroupi — Eau, spéciale
Puissance 90 · Précision 85 % · 10 PP
Attaque d'eau croupie. Peut baisser la
précision.</t>
      </text>
    </comment>
    <comment ref="C3559" authorId="0" shapeId="0">
      <text>
        <t>Ultralaser — Normal, spéciale
Puissance 150 · Précision 90 % · 5 PP</t>
      </text>
    </comment>
    <comment ref="D3559" authorId="0" shapeId="0">
      <text>
        <t>Ultralaser — Normal, spéciale
Puissance 150 · Précision 90 % · 5 PP</t>
      </text>
    </comment>
    <comment ref="B3561" authorId="0" shapeId="0">
      <text>
        <t>LAMANTINE — Eau / Glace
PV 90 · Att 70 · Déf 80
Att.Spé 70 · Déf.Spé 95 · Vit 70
Total 475
Talents : Isograisse, Hydratation (caché :
  Corps Gel)</t>
      </text>
    </comment>
    <comment ref="C3561" authorId="0" shapeId="0">
      <text>
        <t>CRUSTABRI — Eau / Glace
PV 50 · Att 95 · Déf 180
Att.Spé 85 · Déf.Spé 45 · Vit 70
Total 525
Talents : Coque Armure, Multi-Coups (caché :
  Envelocape)</t>
      </text>
    </comment>
    <comment ref="D3561" authorId="0" shapeId="0">
      <text>
        <t>LAMANTINE — Eau / Glace
PV 90 · Att 70 · Déf 80
Att.Spé 70 · Déf.Spé 95 · Vit 70
Total 475
Talents : Isograisse, Hydratation (caché :
  Corps Gel)</t>
      </text>
    </comment>
    <comment ref="B3564" authorId="0" shapeId="0">
      <text>
        <t>Isograisse
Contre chaleur et froid.</t>
      </text>
    </comment>
    <comment ref="C3564" authorId="0" shapeId="0">
      <text>
        <t>Coque Armure
Bloque les coups critiques.</t>
      </text>
    </comment>
    <comment ref="D3564" authorId="0" shapeId="0">
      <text>
        <t>Isograisse
Contre chaleur et froid.</t>
      </text>
    </comment>
    <comment ref="B3565" authorId="0" shapeId="0">
      <text>
        <t>Bélier — Normal, physique
Puissance 90 · Précision 85 % · 20 PP
Une charge violente qui blesse aussi le
lanceur.</t>
      </text>
    </comment>
    <comment ref="C3565" authorId="0" shapeId="0">
      <text>
        <t>Picots — Sol, statut
20 PP
Pointes blessant lors d'un changement
d'adversaire.</t>
      </text>
    </comment>
    <comment ref="D3565" authorId="0" shapeId="0">
      <text>
        <t>Bélier — Normal, physique
Puissance 90 · Précision 85 % · 20 PP
Une charge violente qui blesse aussi le
lanceur.</t>
      </text>
    </comment>
    <comment ref="B3566" authorId="0" shapeId="0">
      <text>
        <t>Plongée — Eau, physique
Puissance 80 · Précision 100 % · 10 PP
Plonge en apnée au premier tour et frappe au
second.</t>
      </text>
    </comment>
    <comment ref="C3566" authorId="0" shapeId="0">
      <text>
        <t>Coqui-Lame — Eau, physique
Puissance 75 · Précision 95 % · 10 PP
Des coquilles tranchantes. Peut baisser la
Déf.</t>
      </text>
    </comment>
    <comment ref="D3566" authorId="0" shapeId="0">
      <text>
        <t>Plongée — Eau, physique
Puissance 80 · Précision 100 % · 10 PP
Plonge en apnée au premier tour et frappe au
second.</t>
      </text>
    </comment>
    <comment ref="B3567" authorId="0" shapeId="0">
      <text>
        <t>Hydro-Queue — Eau, physique
Puissance 90 · Précision 90 % · 10 PP
Balaie l'ennemi de sa queue comme une vague.</t>
      </text>
    </comment>
    <comment ref="C3567" authorId="0" shapeId="0">
      <text>
        <t>Chute Glace — Glace, physique
Puissance 85 · Précision 90 % · 10 PP
De gros glaçons. Peut apeurer l'ennemi.</t>
      </text>
    </comment>
    <comment ref="D3567" authorId="0" shapeId="0">
      <text>
        <t>Hydro-Queue — Eau, physique
Puissance 90 · Précision 90 % · 10 PP
Balaie l'ennemi de sa queue comme une vague.</t>
      </text>
    </comment>
    <comment ref="B3568" authorId="0" shapeId="0">
      <text>
        <t>Laser Glace — Glace, spéciale
Puissance 90 · Précision 100 % · 10 PP</t>
      </text>
    </comment>
    <comment ref="C3568" authorId="0" shapeId="0">
      <text>
        <t>Saumure — Eau, spéciale
Puissance 65 · Précision 100 % · 10 PP
Double les dégâts si l'ennemi a mi-PV ou
moins.</t>
      </text>
    </comment>
    <comment ref="D3568" authorId="0" shapeId="0">
      <text>
        <t>Laser Glace — Glace, spéciale
Puissance 90 · Précision 100 % · 10 PP</t>
      </text>
    </comment>
    <comment ref="B3570" authorId="0" shapeId="0">
      <text>
        <t>LANTURN — Eau / Électrik
PV 125 · Att 58 · Déf 58
Att.Spé 76 · Déf.Spé 76 · Vit 67
Total 460
Talents : Absorbe-Volt, Lumiattirance (caché :
  Absorbe-Eau)</t>
      </text>
    </comment>
    <comment ref="C3570" authorId="0" shapeId="0">
      <text>
        <t>MARAISTE — Eau / Sol
PV 95 · Att 85 · Déf 85
Att.Spé 65 · Déf.Spé 65 · Vit 35
Total 430
Talents : Moiteur, Absorbe-Eau (caché :
  Inconscient)</t>
      </text>
    </comment>
    <comment ref="B3573" authorId="0" shapeId="0">
      <text>
        <t>Absorbe-Volt
Change l'électricité en PV.</t>
      </text>
    </comment>
    <comment ref="C3573" authorId="0" shapeId="0">
      <text>
        <t>Moiteur
Empêche auto-destruction.</t>
      </text>
    </comment>
    <comment ref="B3574" authorId="0" shapeId="0">
      <text>
        <t>Anneau Hydro — Eau, statut
20 PP
Un voile d'eau qui restaure des PV.</t>
      </text>
    </comment>
    <comment ref="C3574" authorId="0" shapeId="0">
      <text>
        <t>Danse Pluie — Eau, statut
5 PP
Améliore les attaques Eau pendant 5 tours.</t>
      </text>
    </comment>
    <comment ref="B3575" authorId="0" shapeId="0">
      <text>
        <t>Hydrocanon — Eau, spéciale
Puissance 110 · Précision 80 % · 5 PP
Envoie un puissant jet d'eau pour frapper
l'ennemi.</t>
      </text>
    </comment>
    <comment ref="C3575" authorId="0" shapeId="0">
      <text>
        <t>Brume — Glace, statut
30 PP
Crée une brume stoppant la réduction des
capacités.</t>
      </text>
    </comment>
    <comment ref="B3576" authorId="0" shapeId="0">
      <text>
        <t>Déluge Plasmique — Électrik, statut
25 PP · Priorité +1
Les capacités Normal deviennent Électrik.</t>
      </text>
    </comment>
    <comment ref="C3576" authorId="0" shapeId="0">
      <text>
        <t>Buée Noire — Glace, statut
30 PP
Crée un nuage noir annulant tout changement
d'état.</t>
      </text>
    </comment>
    <comment ref="B3577" authorId="0" shapeId="0">
      <text>
        <t>Chargeur — Électrik, statut
20 PP
Accumule de l'énergie pour la prochaine
capacité Électrik.</t>
      </text>
    </comment>
    <comment ref="C3577" authorId="0" shapeId="0">
      <text>
        <t>Ocroupi — Eau, spéciale
Puissance 90 · Précision 85 % · 10 PP
Attaque d'eau croupie. Peut baisser la
précision.</t>
      </text>
    </comment>
    <comment ref="B3580" authorId="0" shapeId="0">
      <text>
        <t>DEMANTA — Eau / Vol
PV 85 · Att 40 · Déf 70
Att.Spé 80 · Déf.Spé 140 · Vit 70
Total 485
Talents : Glissade, Absorbe-Eau (caché :
  Ignifu-Voile)</t>
      </text>
    </comment>
    <comment ref="C3580" authorId="0" shapeId="0">
      <text>
        <t>LOKHLASS — Eau / Glace
PV 130 · Att 85 · Déf 80
Att.Spé 85 · Déf.Spé 95 · Vit 60
Total 535
Talents : Absorbe-Eau, Coque Armure (caché :
  Hydratation)</t>
      </text>
    </comment>
    <comment ref="B3583" authorId="0" shapeId="0">
      <text>
        <t>Glissade
Monte Vitesse s'il pleut.</t>
      </text>
    </comment>
    <comment ref="C3583" authorId="0" shapeId="0">
      <text>
        <t>Absorbe-Eau
Change l'eau en PV.</t>
      </text>
    </comment>
    <comment ref="B3584" authorId="0" shapeId="0">
      <text>
        <t>Lame d'Air — Vol, spéciale
Puissance 75 · Précision 95 % · 15 PP
Une lame d'air. Peut apeurer l'ennemi.</t>
      </text>
    </comment>
    <comment ref="C3584" authorId="0" shapeId="0">
      <text>
        <t>Saumure — Eau, spéciale
Puissance 65 · Précision 100 % · 10 PP
Double les dégâts si l'ennemi a mi-PV ou
moins.</t>
      </text>
    </comment>
    <comment ref="B3585" authorId="0" shapeId="0">
      <text>
        <t>Anneau Hydro — Eau, statut
20 PP
Un voile d'eau qui restaure des PV.</t>
      </text>
    </comment>
    <comment ref="C3585" authorId="0" shapeId="0">
      <text>
        <t>Rune Protect — Normal, statut
25 PP
Force mystique empêchant tout changement de
statut.</t>
      </text>
    </comment>
    <comment ref="B3586" authorId="0" shapeId="0">
      <text>
        <t>Rebond — Vol, physique
Puissance 85 · Précision 85 % · 5 PP
Saute et tombe le tour suivant. Peut
paralyser.</t>
      </text>
    </comment>
    <comment ref="C3586" authorId="0" shapeId="0">
      <text>
        <t>Hydrocanon — Eau, spéciale
Puissance 110 · Précision 80 % · 5 PP
Envoie un puissant jet d'eau pour frapper
l'ennemi.</t>
      </text>
    </comment>
    <comment ref="B3587" authorId="0" shapeId="0">
      <text>
        <t>Hydrocanon — Eau, spéciale
Puissance 110 · Précision 80 % · 5 PP
Envoie un puissant jet d'eau pour frapper
l'ennemi.</t>
      </text>
    </comment>
    <comment ref="C3587" authorId="0" shapeId="0">
      <text>
        <t>Glaciation — Glace, spéciale
Puissance 1 · Précision 30 % · 5 PP
Attaque glacée qui met KO quand elle est
réussie.</t>
      </text>
    </comment>
    <comment ref="B3589" authorId="0" shapeId="0">
      <text>
        <t>STAROSS — Eau / Psy
PV 60 · Att 75 · Déf 85
Att.Spé 100 · Déf.Spé 85 · Vit 115
Total 520
Talents : Lumiattirance, Médic Nature (caché :
  Analyste)</t>
      </text>
    </comment>
    <comment ref="C3589" authorId="0" shapeId="0">
      <text>
        <t>STAROSS — Eau / Psy
PV 60 · Att 75 · Déf 85
Att.Spé 100 · Déf.Spé 85 · Vit 115
Total 520
Talents : Lumiattirance, Médic Nature (caché :
  Analyste)</t>
      </text>
    </comment>
    <comment ref="B3592" authorId="0" shapeId="0">
      <text>
        <t>Lumiattirance
Augmente les rencontres.</t>
      </text>
    </comment>
    <comment ref="C3592" authorId="0" shapeId="0">
      <text>
        <t>Lumiattirance
Augmente les rencontres.</t>
      </text>
    </comment>
    <comment ref="B3593" authorId="0" shapeId="0">
      <text>
        <t>Rayon Gemme — Roche, spéciale
Puissance 80 · Précision 100 % · 20 PP
Des rayons brillants comme des diamants.</t>
      </text>
    </comment>
    <comment ref="C3593" authorId="0" shapeId="0">
      <text>
        <t>Rayon Gemme — Roche, spéciale
Puissance 80 · Précision 100 % · 20 PP
Des rayons brillants comme des diamants.</t>
      </text>
    </comment>
    <comment ref="B3594" authorId="0" shapeId="0">
      <text>
        <t>Psyko — Psy, spéciale
Puissance 90 · Précision 100 % · 10 PP
Une puissante attaque Psy pouvant baisser la
Déf. Spé.</t>
      </text>
    </comment>
    <comment ref="C3594" authorId="0" shapeId="0">
      <text>
        <t>Psyko — Psy, spéciale
Puissance 90 · Précision 100 % · 10 PP
Une puissante attaque Psy pouvant baisser la
Déf. Spé.</t>
      </text>
    </comment>
    <comment ref="B3595" authorId="0" shapeId="0">
      <text>
        <t>Mur Lumière — Psy, statut
30 PP
Crée un mur lumineux et réduit les dégâts
d'Atq. Spé.</t>
      </text>
    </comment>
    <comment ref="C3595" authorId="0" shapeId="0">
      <text>
        <t>Mur Lumière — Psy, statut
30 PP
Crée un mur lumineux et réduit les dégâts
d'Atq. Spé.</t>
      </text>
    </comment>
    <comment ref="B3596" authorId="0" shapeId="0">
      <text>
        <t>Force Cosmique — Psy, statut
20 PP
Pouvoir mystique qui monte la Défense et la
Déf. Spé.</t>
      </text>
    </comment>
    <comment ref="C3596" authorId="0" shapeId="0">
      <text>
        <t>Force Cosmique — Psy, statut
20 PP
Pouvoir mystique qui monte la Défense et la
Déf. Spé.</t>
      </text>
    </comment>
    <comment ref="B3598" authorId="0" shapeId="0">
      <text>
        <t>AZUMARILL — Eau / Fée
PV 100 · Att 50 · Déf 80
Att.Spé 60 · Déf.Spé 80 · Vit 50
Total 420
Talents : Isograisse, Coloforce (caché :
  Herbivore)</t>
      </text>
    </comment>
    <comment ref="B3601" authorId="0" shapeId="0">
      <text>
        <t>Isograisse
Contre chaleur et froid.</t>
      </text>
    </comment>
    <comment ref="B3602" authorId="0" shapeId="0">
      <text>
        <t>Danse Pluie — Eau, statut
5 PP
Améliore les attaques Eau pendant 5 tours.</t>
      </text>
    </comment>
    <comment ref="B3603" authorId="0" shapeId="0">
      <text>
        <t>Damoclès — Normal, physique
Puissance 120 · Précision 100 % · 15 PP
Une dangereuse charge qui blesse aussi le
lanceur.</t>
      </text>
    </comment>
    <comment ref="B3604" authorId="0" shapeId="0">
      <text>
        <t>Surpuissance — Combat, physique
Puissance 120 · Précision 100 % · 5 PP
Booste la force, mais baisse les capacités.</t>
      </text>
    </comment>
    <comment ref="B3605" authorId="0" shapeId="0">
      <text>
        <t>Hydrocanon — Eau, spéciale
Puissance 110 · Précision 80 % · 5 PP
Envoie un puissant jet d'eau pour frapper
l'ennemi.</t>
      </text>
    </comment>
    <comment ref="B3608" authorId="0" shapeId="0">
      <text>
        <t>OCTILLERY — Eau
PV 75 · Att 105 · Déf 75
Att.Spé 105 · Déf.Spé 75 · Vit 45
Total 480
Talents : Ventouse, Sniper (caché : Lunatique)</t>
      </text>
    </comment>
    <comment ref="C3608" authorId="0" shapeId="0">
      <text>
        <t>HYPOCEAN — Eau
PV 55 · Att 65 · Déf 95
Att.Spé 95 · Déf.Spé 45 · Vit 85
Total 440
Talents : Point Poison, Sniper (caché :
  Moiteur)</t>
      </text>
    </comment>
    <comment ref="B3611" authorId="0" shapeId="0">
      <text>
        <t>Ventouse
Fixe solidement le corps.</t>
      </text>
    </comment>
    <comment ref="C3611" authorId="0" shapeId="0">
      <text>
        <t>Point Poison
Empoisonne quand touché.</t>
      </text>
    </comment>
    <comment ref="B3612" authorId="0" shapeId="0">
      <text>
        <t>Laser Glace — Glace, spéciale
Puissance 90 · Précision 100 % · 10 PP</t>
      </text>
    </comment>
    <comment ref="C3612" authorId="0" shapeId="0">
      <text>
        <t>Hâte — Psy, statut
30 PP
Relaxation du corps pour booster la Vitesse.</t>
      </text>
    </comment>
    <comment ref="B3613" authorId="0" shapeId="0">
      <text>
        <t>Balle Graine — Plante, physique
Puissance 25 · Précision 100 % · 30 PP
Mitraille l'ennemi avec 2 à 5 graines à la
suite.</t>
      </text>
    </comment>
    <comment ref="C3613" authorId="0" shapeId="0">
      <text>
        <t>Draco-Choc — Dragon, spéciale
Puissance 85 · Précision 100 % · 10 PP
Une onde de choc qui blesse l'ennemi.</t>
      </text>
    </comment>
    <comment ref="B3614" authorId="0" shapeId="0">
      <text>
        <t>Hydrocanon — Eau, spéciale
Puissance 110 · Précision 80 % · 5 PP
Envoie un puissant jet d'eau pour frapper
l'ennemi.</t>
      </text>
    </comment>
    <comment ref="C3614" authorId="0" shapeId="0">
      <text>
        <t>Danse Draco — Dragon, statut
20 PP
Danse mystique augmentant l'Attaque et la
Vitesse.</t>
      </text>
    </comment>
    <comment ref="B3615" authorId="0" shapeId="0">
      <text>
        <t>Ultralaser — Normal, spéciale
Puissance 150 · Précision 90 % · 5 PP</t>
      </text>
    </comment>
    <comment ref="C3615" authorId="0" shapeId="0">
      <text>
        <t>Hydrocanon — Eau, spéciale
Puissance 110 · Précision 80 % · 5 PP
Envoie un puissant jet d'eau pour frapper
l'ennemi.</t>
      </text>
    </comment>
    <comment ref="B3617" authorId="0" shapeId="0">
      <text>
        <t>QWILFISH — Eau / Poison
PV 65 · Att 95 · Déf 85
Att.Spé 55 · Déf.Spé 55 · Vit 85
Total 440
Talents : Point Poison, Glissade (caché :
  Intimidation)</t>
      </text>
    </comment>
    <comment ref="C3617" authorId="0" shapeId="0">
      <text>
        <t>CRUSTABRI — Eau / Glace
PV 50 · Att 95 · Déf 180
Att.Spé 85 · Déf.Spé 45 · Vit 70
Total 525
Talents : Coque Armure, Multi-Coups (caché :
  Envelocape)</t>
      </text>
    </comment>
    <comment ref="B3620" authorId="0" shapeId="0">
      <text>
        <t>Point Poison
Empoisonne quand touché.</t>
      </text>
    </comment>
    <comment ref="C3620" authorId="0" shapeId="0">
      <text>
        <t>Coque Armure
Bloque les coups critiques.</t>
      </text>
    </comment>
    <comment ref="B3621" authorId="0" shapeId="0">
      <text>
        <t>Direct Toxik — Poison, physique
Puissance 80 · Précision 100 % · 20 PP
Un coup perforant qui peut empoisonner.</t>
      </text>
    </comment>
    <comment ref="C3621" authorId="0" shapeId="0">
      <text>
        <t>Coqui-Lame — Eau, physique
Puissance 75 · Précision 95 % · 10 PP
Des coquilles tranchantes. Peut baisser la
Déf.</t>
      </text>
    </comment>
    <comment ref="B3622" authorId="0" shapeId="0">
      <text>
        <t>Lien du Destin — Spectre, statut
5 PP
Si le lanceur est mis KO, l'ennemi le sera
également.</t>
      </text>
    </comment>
    <comment ref="C3622" authorId="0" shapeId="0">
      <text>
        <t>Chute Glace — Glace, physique
Puissance 85 · Précision 90 % · 10 PP
De gros glaçons. Peut apeurer l'ennemi.</t>
      </text>
    </comment>
    <comment ref="B3623" authorId="0" shapeId="0">
      <text>
        <t>Hydrocanon — Eau, spéciale
Puissance 110 · Précision 80 % · 5 PP
Envoie un puissant jet d'eau pour frapper
l'ennemi.</t>
      </text>
    </comment>
    <comment ref="C3623" authorId="0" shapeId="0">
      <text>
        <t>Saumure — Eau, spéciale
Puissance 65 · Précision 100 % · 10 PP
Double les dégâts si l'ennemi a mi-PV ou
moins.</t>
      </text>
    </comment>
    <comment ref="B3624" authorId="0" shapeId="0">
      <text>
        <t>Dard Mortel — Insecte, physique
Puissance 50 · Précision 100 % · 25 PP
Monte énormément l'Attaque du lanceur s'il met
K.O.</t>
      </text>
    </comment>
    <comment ref="C3624" authorId="0" shapeId="0">
      <text>
        <t>Mur de Fer — Acier, statut
15 PP
Endurcit le corps pour booster la Défense.</t>
      </text>
    </comment>
    <comment ref="B3626" authorId="0" shapeId="0">
      <text>
        <t>POISSOROY — Eau
PV 80 · Att 92 · Déf 65
Att.Spé 65 · Déf.Spé 80 · Vit 68
Total 450
Talents : Glissade, Ignifu-Voile (caché :
  Paratonnerre)</t>
      </text>
    </comment>
    <comment ref="B3629" authorId="0" shapeId="0">
      <text>
        <t>Glissade
Monte Vitesse s'il pleut.</t>
      </text>
    </comment>
    <comment ref="B3630" authorId="0" shapeId="0">
      <text>
        <t>Empal'Korne — Normal, physique
Puissance 1 · Précision 30 % · 5 PP
Empale l'ennemi d'un coup de corne. Met KO en
un coup.</t>
      </text>
    </comment>
    <comment ref="B3631" authorId="0" shapeId="0">
      <text>
        <t>Eau Revoir — Eau, physique
Puissance 60 · Précision 100 % · 20 PP
Attaque puis échange sa place avec un allié.</t>
      </text>
    </comment>
    <comment ref="B3632" authorId="0" shapeId="0">
      <text>
        <t>Détrempage — Eau, statut
Précision 100 % · 20 PP
Asperge l'ennemi et le change en type Eau.</t>
      </text>
    </comment>
    <comment ref="B3633" authorId="0" shapeId="0">
      <text>
        <t>Mégacorne — Insecte, physique
Puissance 120 · Précision 85 % · 10 PP
Une charge violente, toutes cornes en avant.</t>
      </text>
    </comment>
    <comment ref="B3635" authorId="0" shapeId="0">
      <text>
        <t>AQUALI — Eau
PV 130 · Att 65 · Déf 60
Att.Spé 110 · Déf.Spé 95 · Vit 65
Total 525
Talents : Absorbe-Eau, Absorbe-Eau (caché :
  Hydratation)</t>
      </text>
    </comment>
    <comment ref="C3635" authorId="0" shapeId="0">
      <text>
        <t>TENTACRUEL — Eau / Poison
PV 80 · Att 70 · Déf 65
Att.Spé 80 · Déf.Spé 120 · Vit 100
Total 515
Talents : Corps Sain, Suintement (caché :
  Cuvette)</t>
      </text>
    </comment>
    <comment ref="D3635" authorId="0" shapeId="0">
      <text>
        <t>POISSOROY — Eau
PV 80 · Att 92 · Déf 65
Att.Spé 65 · Déf.Spé 80 · Vit 68
Total 450
Talents : Glissade, Ignifu-Voile (caché :
  Paratonnerre)</t>
      </text>
    </comment>
    <comment ref="B3638" authorId="0" shapeId="0">
      <text>
        <t>Absorbe-Eau
Change l'eau en PV.</t>
      </text>
    </comment>
    <comment ref="C3638" authorId="0" shapeId="0">
      <text>
        <t>Corps Sain
Empêche réduction de cap.</t>
      </text>
    </comment>
    <comment ref="D3638" authorId="0" shapeId="0">
      <text>
        <t>Glissade
Monte Vitesse s'il pleut.</t>
      </text>
    </comment>
    <comment ref="B3639" authorId="0" shapeId="0">
      <text>
        <t>Buée Noire — Glace, statut
30 PP
Crée un nuage noir annulant tout changement
d'état.</t>
      </text>
    </comment>
    <comment ref="C3639" authorId="0" shapeId="0">
      <text>
        <t>Châtiment — Spectre, spéciale
Puissance 65 · Précision 100 % · 10 PP
Double les dégâts si l'ennemi a un statut.</t>
      </text>
    </comment>
    <comment ref="D3639" authorId="0" shapeId="0">
      <text>
        <t>Empal'Korne — Normal, physique
Puissance 1 · Précision 30 % · 5 PP
Empale l'ennemi d'un coup de corne. Met KO en
un coup.</t>
      </text>
    </comment>
    <comment ref="B3640" authorId="0" shapeId="0">
      <text>
        <t>Ocroupi — Eau, spéciale
Puissance 90 · Précision 85 % · 10 PP
Attaque d'eau croupie. Peut baisser la
précision.</t>
      </text>
    </comment>
    <comment ref="C3640" authorId="0" shapeId="0">
      <text>
        <t>Cradovague — Poison, spéciale
Puissance 95 · Précision 100 % · 10 PP
Une vague de boue. Peut empoisonner.</t>
      </text>
    </comment>
    <comment ref="D3640" authorId="0" shapeId="0">
      <text>
        <t>Eau Revoir — Eau, physique
Puissance 60 · Précision 100 % · 20 PP
Attaque puis échange sa place avec un allié.</t>
      </text>
    </comment>
    <comment ref="B3641" authorId="0" shapeId="0">
      <text>
        <t>Dernier Recours — Normal, physique
Puissance 140 · Précision 100 % · 5 PP
Utilisable après toutes les autres capacités.</t>
      </text>
    </comment>
    <comment ref="C3641" authorId="0" shapeId="0">
      <text>
        <t>Hydrocanon — Eau, spéciale
Puissance 110 · Précision 80 % · 5 PP
Envoie un puissant jet d'eau pour frapper
l'ennemi.</t>
      </text>
    </comment>
    <comment ref="D3641" authorId="0" shapeId="0">
      <text>
        <t>Détrempage — Eau, statut
Précision 100 % · 20 PP
Asperge l'ennemi et le change en type Eau.</t>
      </text>
    </comment>
    <comment ref="B3642" authorId="0" shapeId="0">
      <text>
        <t>Hydrocanon — Eau, spéciale
Puissance 110 · Précision 80 % · 5 PP
Envoie un puissant jet d'eau pour frapper
l'ennemi.</t>
      </text>
    </comment>
    <comment ref="C3642" authorId="0" shapeId="0">
      <text>
        <t>Essorage — Normal, spéciale
Puissance 120 · Précision 100 % · 5 PP</t>
      </text>
    </comment>
    <comment ref="D3642" authorId="0" shapeId="0">
      <text>
        <t>Mégacorne — Insecte, physique
Puissance 120 · Précision 85 % · 10 PP
Une charge violente, toutes cornes en avant.</t>
      </text>
    </comment>
    <comment ref="B3645" authorId="0" shapeId="0">
      <text>
        <t>GALOPA — Feu
PV 65 · Att 100 · Déf 70
Att.Spé 80 · Déf.Spé 80 · Vit 105
Total 500
Talents : Fuite, Torche (caché : Corps Ardent)</t>
      </text>
    </comment>
    <comment ref="C3645" authorId="0" shapeId="0">
      <text>
        <t>MAGANON — Feu
PV 75 · Att 95 · Déf 67
Att.Spé 125 · Déf.Spé 95 · Vit 83
Total 540
Talents : Corps Ardent (caché : Esprit Vital)</t>
      </text>
    </comment>
    <comment ref="D3645" authorId="0" shapeId="0">
      <text>
        <t>DEMOLOSSE — Ténèbres / Feu
PV 75 · Att 90 · Déf 50
Att.Spé 110 · Déf.Spé 80 · Vit 95
Total 500
Talents : Matinal, Torche (caché : Tension)</t>
      </text>
    </comment>
    <comment ref="E3645" authorId="0" shapeId="0">
      <text>
        <t>VOLCAROPOD — Feu / Roche
PV 60 · Att 50 · Déf 120
Att.Spé 90 · Déf.Spé 80 · Vit 30
Total 430
Talents : Armumagma, Corps Ardent (caché :
  Armurouillée)</t>
      </text>
    </comment>
    <comment ref="F3645" authorId="0" shapeId="0">
      <text>
        <t>CHARTOR — Feu
PV 70 · Att 85 · Déf 140
Att.Spé 85 · Déf.Spé 70 · Vit 20
Total 470
Talents : Écran Fumée, Sécheresse (caché :
  Coque Armure)</t>
      </text>
    </comment>
    <comment ref="G3645" authorId="0" shapeId="0">
      <text>
        <t>CAMERUPT — Feu / Sol
PV 70 · Att 100 · Déf 70
Att.Spé 105 · Déf.Spé 75 · Vit 40
Total 460
Talents : Armumagma, Solide Roc (caché :
  Colérique)</t>
      </text>
    </comment>
    <comment ref="B3647" authorId="0" shapeId="0">
      <text>
        <t>Vive Griffe
Objet tenu qui permet parfois de frapper le
premier.</t>
      </text>
    </comment>
    <comment ref="C3647" authorId="0" shapeId="0">
      <text>
        <t>Baie Sitrus
Objet tenu qui restaure 30 PV pendant un
combat.</t>
      </text>
    </comment>
    <comment ref="D3647" authorId="0" shapeId="0">
      <text>
        <t>Graine Miracle</t>
      </text>
    </comment>
    <comment ref="E3647" authorId="0" shapeId="0">
      <text>
        <t>Restes
Objet tenu permet- tant de restaurer les PV au
combat.</t>
      </text>
    </comment>
    <comment ref="F3647" authorId="0" shapeId="0">
      <text>
        <t>Herbe Blanche
Objet tenu qui restaure les stats baissées.</t>
      </text>
    </comment>
    <comment ref="G3647" authorId="0" shapeId="0">
      <text>
        <t>Charbon
Objet à tenir. Renforce le type Feu.</t>
      </text>
    </comment>
    <comment ref="B3648" authorId="0" shapeId="0">
      <text>
        <t>Fuite
Améliore chances de fuite.</t>
      </text>
    </comment>
    <comment ref="C3648" authorId="0" shapeId="0">
      <text>
        <t>Corps Ardent
Brûle l'ennemi au contact.</t>
      </text>
    </comment>
    <comment ref="D3648" authorId="0" shapeId="0">
      <text>
        <t>Matinal
Se réveille rapidement.</t>
      </text>
    </comment>
    <comment ref="E3648" authorId="0" shapeId="0">
      <text>
        <t>Armumagma
Empêche le gel.</t>
      </text>
    </comment>
    <comment ref="F3648" authorId="0" shapeId="0">
      <text>
        <t>Écran Fumée
Empêche réduction des cap.</t>
      </text>
    </comment>
    <comment ref="G3648" authorId="0" shapeId="0">
      <text>
        <t>Armumagma
Empêche le gel.</t>
      </text>
    </comment>
    <comment ref="B3649" authorId="0" shapeId="0">
      <text>
        <t>Rebond — Vol, physique
Puissance 85 · Précision 85 % · 5 PP
Saute et tombe le tour suivant. Peut
paralyser.</t>
      </text>
    </comment>
    <comment ref="C3649" authorId="0" shapeId="0">
      <text>
        <t>Poing Éclair — Électrik, physique
Puissance 75 · Précision 100 % · 15 PP
Un poing électrique pouvant paralyser
l'ennemi.</t>
      </text>
    </comment>
    <comment ref="D3649" authorId="0" shapeId="0">
      <text>
        <t>Déflagration — Feu, spéciale
Puissance 110 · Précision 85 % · 5 PP
Une explosion de flammes. Peut brûler
l'ennemi.</t>
      </text>
    </comment>
    <comment ref="E3649" authorId="0" shapeId="0">
      <text>
        <t>Lance-Flammes — Feu, spéciale
Puissance 90 · Précision 100 % · 15 PP
Une puissante attaque de feu pouvant brûler
l'ennemi.</t>
      </text>
    </comment>
    <comment ref="F3649" authorId="0" shapeId="0">
      <text>
        <t>Malédiction — Spectre, statut
10 PP
Coup qui fonctionne autre- ment pour les
Spectres.</t>
      </text>
    </comment>
    <comment ref="G3649" authorId="0" shapeId="0">
      <text>
        <t>Telluriforce — Sol, spéciale
Puissance 90 · Précision 100 % · 10 PP
Le sol se déchaîne. Peut baisser la Déf. Spé.</t>
      </text>
    </comment>
    <comment ref="B3650" authorId="0" shapeId="0">
      <text>
        <t>Zénith — Feu, statut
5 PP
Améliore les attaques Feu pendant 5 tours.</t>
      </text>
    </comment>
    <comment ref="C3650" authorId="0" shapeId="0">
      <text>
        <t>Déflagration — Feu, spéciale
Puissance 110 · Précision 85 % · 5 PP
Une explosion de flammes. Peut brûler
l'ennemi.</t>
      </text>
    </comment>
    <comment ref="D3650" authorId="0" shapeId="0">
      <text>
        <t>Zénith — Feu, statut
5 PP
Améliore les attaques Feu pendant 5 tours.</t>
      </text>
    </comment>
    <comment ref="E3650" authorId="0" shapeId="0">
      <text>
        <t>Soin — Normal, statut
5 PP
Restaure jusqu'à la moitié des PV max du
lanceur.</t>
      </text>
    </comment>
    <comment ref="F3650" authorId="0" shapeId="0">
      <text>
        <t>Mur de Fer — Acier, statut
15 PP
Endurcit le corps pour booster la Défense.</t>
      </text>
    </comment>
    <comment ref="G3650" authorId="0" shapeId="0">
      <text>
        <t>Éruption — Feu, spéciale
Puissance 150 · Précision 100 % · 5 PP
Inflige plus de dégâts si les PV du lanceur
sont élevés.</t>
      </text>
    </comment>
    <comment ref="B3651" authorId="0" shapeId="0">
      <text>
        <t>Boutefeu — Feu, physique
Puissance 120 · Précision 100 % · 15 PP
Une charge qui peut brûler. Blesse le lanceur.</t>
      </text>
    </comment>
    <comment ref="C3651" authorId="0" shapeId="0">
      <text>
        <t>Psyko — Psy, spéciale
Puissance 90 · Précision 100 % · 10 PP
Une puissante attaque Psy pouvant baisser la
Déf. Spé.</t>
      </text>
    </comment>
    <comment ref="D3651" authorId="0" shapeId="0">
      <text>
        <t>Crocs Éclair — Électrik, physique
Puissance 65 · Précision 95 % · 15 PP
Peut apeurer l'ennemi ou le paralyser.</t>
      </text>
    </comment>
    <comment ref="E3651" authorId="0" shapeId="0">
      <text>
        <t>Amnésie — Psy, statut
20 PP
Oublie quelque chose et booste la Déf. Spé.</t>
      </text>
    </comment>
    <comment ref="F3651" authorId="0" shapeId="0">
      <text>
        <t>Repli — Eau, statut
40 PP
Se recroqueville dans sa carapace. Monte la
Défense.</t>
      </text>
    </comment>
    <comment ref="G3651" authorId="0" shapeId="0">
      <text>
        <t>Bâillement — Normal, statut
10 PP
Fait bâiller l'ennemi qui s'endort au tour
suivant.</t>
      </text>
    </comment>
    <comment ref="B3652" authorId="0" shapeId="0">
      <text>
        <t>Lance-Soleil — Plante, spéciale
Puissance 120 · Précision 100 % · 10 PP
Absorbe la lumière et attaque le tour suivant.</t>
      </text>
    </comment>
    <comment ref="C3652" authorId="0" shapeId="0">
      <text>
        <t>Onde Folie — Spectre, statut
Précision 100 % · 10 PP
Un horrible rayon qui rend l'ennemi confus.</t>
      </text>
    </comment>
    <comment ref="D3652" authorId="0" shapeId="0">
      <text>
        <t>Mâchouille — Ténèbres, physique
Puissance 80 · Précision 100 % · 15 PP</t>
      </text>
    </comment>
    <comment ref="E3652" authorId="0" shapeId="0">
      <text>
        <t>Hypnose — Psy, statut
Précision 60 % · 20 PP
Une attaque hypnotique pouvant endormir
l'ennemi.</t>
      </text>
    </comment>
    <comment ref="F3652" authorId="0" shapeId="0">
      <text>
        <t>Canicule — Feu, spéciale
Puissance 95 · Précision 90 % · 10 PP
Un souffle ardent pouvant brûler l'ennemi.</t>
      </text>
    </comment>
    <comment ref="G3652" authorId="0" shapeId="0">
      <text>
        <t>Amnésie — Psy, statut
20 PP
Oublie quelque chose et booste la Déf. Spé.</t>
      </text>
    </comment>
    <comment ref="B3655" authorId="0" shapeId="0">
      <text>
        <t>RHINASTOC — Sol / Roche
PV 115 · Att 140 · Déf 130
Att.Spé 55 · Déf.Spé 55 · Vit 40
Total 535
Talents : Paratonnerre, Solide Roc (caché :
  Téméraire)</t>
      </text>
    </comment>
    <comment ref="C3655" authorId="0" shapeId="0">
      <text>
        <t>ROUCARNAGE — Normal / Vol
PV 83 · Att 80 · Déf 75
Att.Spé 70 · Déf.Spé 70 · Vit 101
Total 479
Talents : Regard Vif, Pieds Confus (caché :
  Cœur de Coq)</t>
      </text>
    </comment>
    <comment ref="D3655" authorId="0" shapeId="0">
      <text>
        <t>MACKOGNEUR — Combat
PV 90 · Att 130 · Déf 80
Att.Spé 65 · Déf.Spé 85 · Vit 55
Total 505
Talents : Cran, Annule Garde (caché :
  Impassible)</t>
      </text>
    </comment>
    <comment ref="E3655" authorId="0" shapeId="0">
      <text>
        <t>NOADKOKO — Plante / Psy
PV 95 · Att 95 · Déf 85
Att.Spé 125 · Déf.Spé 75 · Vit 55
Total 530
Talents : Chlorophylle (caché : Récolte)</t>
      </text>
    </comment>
    <comment ref="F3655" authorId="0" shapeId="0">
      <text>
        <t>TYRANOCIF — Roche / Ténèbres
PV 100 · Att 134 · Déf 110
Att.Spé 95 · Déf.Spé 100 · Vit 61
Total 600
Talents : Sable Volant (caché : Tension)</t>
      </text>
    </comment>
    <comment ref="G3655" authorId="0" shapeId="0">
      <text>
        <t>ARCANIN — Feu
PV 90 · Att 110 · Déf 80
Att.Spé 100 · Déf.Spé 80 · Vit 95
Total 555
Talents : Intimidation, Torche (caché : Cœur
  Noble)</t>
      </text>
    </comment>
    <comment ref="B3657" authorId="0" shapeId="0">
      <text>
        <t>Baie Sitrus
Objet tenu qui restaure 30 PV pendant un
combat.</t>
      </text>
    </comment>
    <comment ref="C3657" authorId="0" shapeId="0">
      <text>
        <t>Bec Pointu
Objet à tenir. Renforce le type Vol.</t>
      </text>
    </comment>
    <comment ref="D3657" authorId="0" shapeId="0">
      <text>
        <t>Lentilscope
Objet tenu pour monter le taux de critiques.</t>
      </text>
    </comment>
    <comment ref="E3657" authorId="0" shapeId="0">
      <text>
        <t>Restes
Objet tenu permet- tant de restaurer les PV au
combat.</t>
      </text>
    </comment>
    <comment ref="F3657" authorId="0" shapeId="0">
      <text>
        <t>Bandeau
Objet tenu pouvant parfois empêcher d'être mis
KO.</t>
      </text>
    </comment>
    <comment ref="G3657" authorId="0" shapeId="0">
      <text>
        <t>Mouchoir Soie
Objet à tenir. Renforce le type Normal.</t>
      </text>
    </comment>
    <comment ref="B3658" authorId="0" shapeId="0">
      <text>
        <t>Paratonnerre
Attire attaques élec.</t>
      </text>
    </comment>
    <comment ref="C3658" authorId="0" shapeId="0">
      <text>
        <t>Regard Vif
Empêche perte de précision.</t>
      </text>
    </comment>
    <comment ref="D3658" authorId="0" shapeId="0">
      <text>
        <t>Cran
Monte l'Attaque si statut.</t>
      </text>
    </comment>
    <comment ref="E3658" authorId="0" shapeId="0">
      <text>
        <t>Chlorophylle
Augmente Vitesse au soleil.</t>
      </text>
    </comment>
    <comment ref="F3658" authorId="0" shapeId="0">
      <text>
        <t>Sable Volant
Crée une tempête de sable.</t>
      </text>
    </comment>
    <comment ref="G3658" authorId="0" shapeId="0">
      <text>
        <t>Intimidation
Baisse l'Attaque ennemie.</t>
      </text>
    </comment>
    <comment ref="B3659" authorId="0" shapeId="0">
      <text>
        <t>Tunnelier — Sol, physique
Puissance 80 · Précision 95 % · 10 PP
Tourne comme une perceuse. Critiques
fréquents.</t>
      </text>
    </comment>
    <comment ref="C3659" authorId="0" shapeId="0">
      <text>
        <t>Vent Violent — Vol, spéciale
Puissance 110 · Précision 70 % · 10 PP
Un vent violent. Peut rendre confus.</t>
      </text>
    </comment>
    <comment ref="D3659" authorId="0" shapeId="0">
      <text>
        <t>Coup Croix — Combat, physique
Puissance 100 · Précision 80 % · 5 PP
2 attaques tranchantes. Taux de critiques
élevé.</t>
      </text>
    </comment>
    <comment ref="E3659" authorId="0" shapeId="0">
      <text>
        <t>Vampigraine — Plante, statut
Précision 90 % · 10 PP
Plante des graines pour voler des PV à chaque
tour.</t>
      </text>
    </comment>
    <comment ref="F3659" authorId="0" shapeId="0">
      <text>
        <t>Lame de Roc — Roche, physique
Puissance 100 · Précision 80 % · 5 PP
Transperce de pierres. Critiques fréquents.</t>
      </text>
    </comment>
    <comment ref="G3659" authorId="0" shapeId="0">
      <text>
        <t>Lance-Flammes — Feu, spéciale
Puissance 90 · Précision 100 % · 15 PP
Une puissante attaque de feu pouvant brûler
l'ennemi.</t>
      </text>
    </comment>
    <comment ref="B3660" authorId="0" shapeId="0">
      <text>
        <t>Lame de Roc — Roche, physique
Puissance 100 · Précision 80 % · 5 PP
Transperce de pierres. Critiques fréquents.</t>
      </text>
    </comment>
    <comment ref="C3660" authorId="0" shapeId="0">
      <text>
        <t>Giga Impact — Normal, physique
Puissance 150 · Précision 90 % · 5 PP</t>
      </text>
    </comment>
    <comment ref="D3660" authorId="0" shapeId="0">
      <text>
        <t>Éboulement — Roche, physique
Puissance 75 · Précision 90 % · 10 PP
Envoie de gros rochers. Peut apeurer l'ennemi.</t>
      </text>
    </comment>
    <comment ref="E3660" authorId="0" shapeId="0">
      <text>
        <t>Distorsion — Psy, statut
5 PP · Priorité -7
Les Pokémon lents agissent d'abord. 5 tours.</t>
      </text>
    </comment>
    <comment ref="F3660" authorId="0" shapeId="0">
      <text>
        <t>Représailles — Ténèbres, physique
Puissance 50 · Précision 100 % · 10 PP
Plus puissant si le lanceur agit en dernier.</t>
      </text>
    </comment>
    <comment ref="G3660" authorId="0" shapeId="0">
      <text>
        <t>Malédiction — Spectre, statut
10 PP
Coup qui fonctionne autre- ment pour les
Spectres.</t>
      </text>
    </comment>
    <comment ref="B3661" authorId="0" shapeId="0">
      <text>
        <t>Repos — Psy, statut
5 PP
Le lanceur dort 2 tours et regagne PV et
statut.</t>
      </text>
    </comment>
    <comment ref="C3661" authorId="0" shapeId="0">
      <text>
        <t>Lame d'Air — Vol, spéciale
Puissance 75 · Précision 95 % · 15 PP
Une lame d'air. Peut apeurer l'ennemi.</t>
      </text>
    </comment>
    <comment ref="D3661" authorId="0" shapeId="0">
      <text>
        <t>Séisme — Sol, physique
Puissance 100 · Précision 100 % · 10 PP
Secousse sans effet sur les adversaires
volants.</t>
      </text>
    </comment>
    <comment ref="E3661" authorId="0" shapeId="0">
      <text>
        <t>Psyko — Psy, spéciale
Puissance 90 · Précision 100 % · 10 PP
Une puissante attaque Psy pouvant baisser la
Déf. Spé.</t>
      </text>
    </comment>
    <comment ref="F3661" authorId="0" shapeId="0">
      <text>
        <t>Mâchouille — Ténèbres, physique
Puissance 80 · Précision 100 % · 15 PP</t>
      </text>
    </comment>
    <comment ref="G3661" authorId="0" shapeId="0">
      <text>
        <t>Mâchouille — Ténèbres, physique
Puissance 80 · Précision 100 % · 15 PP</t>
      </text>
    </comment>
    <comment ref="B3662" authorId="0" shapeId="0">
      <text>
        <t>Toxik — Poison, statut
Précision 90 % · 10 PP
Empoisonne l'ennemi avec une toxine de plus en
plus forte.</t>
      </text>
    </comment>
    <comment ref="C3662" authorId="0" shapeId="0">
      <text>
        <t>Danse Plumes — Vol, statut
Précision 100 % · 15 PP
Enveloppe l'ennemi de duvet et baisse
l'Attaque.</t>
      </text>
    </comment>
    <comment ref="D3662" authorId="0" shapeId="0">
      <text>
        <t>Double Baffe — Dragon, physique
Puissance 40 · Précision 90 % · 15 PP
Des coups brutaux qui frappent deux fois.</t>
      </text>
    </comment>
    <comment ref="E3662" authorId="0" shapeId="0">
      <text>
        <t>Canon Graine — Plante, physique
Puissance 80 · Précision 100 % · 15 PP
Une salve de graines dures sur l'ennemi.</t>
      </text>
    </comment>
    <comment ref="F3662" authorId="0" shapeId="0">
      <text>
        <t>Crocs Éclair — Électrik, physique
Puissance 65 · Précision 95 % · 15 PP
Peut apeurer l'ennemi ou le paralyser.</t>
      </text>
    </comment>
    <comment ref="G3662" authorId="0" shapeId="0">
      <text>
        <t>Vitesse Extrême — Normal, physique
Puissance 80 · Précision 100 % · 5 PP ·
Priorité +2
Une attaque extrêmement rapide et puissante.</t>
      </text>
    </comment>
    <comment ref="B3665" authorId="0" shapeId="0">
      <text>
        <t>URSAKING — Sol / Normal
PV 130 · Att 140 · Déf 105
Att.Spé 45 · Déf.Spé 80 · Vit 50
Total 550
Talents : Cran, Pare-Balles (caché : Tension)</t>
      </text>
    </comment>
    <comment ref="C3665" authorId="0" shapeId="0">
      <text>
        <t>NOSTENFER — Poison / Vol
PV 85 · Att 90 · Déf 80
Att.Spé 70 · Déf.Spé 80 · Vit 130
Total 535
Talents : Attention (caché : Infiltration)</t>
      </text>
    </comment>
    <comment ref="D3665" authorId="0" shapeId="0">
      <text>
        <t>OCTILLERY — Eau
PV 75 · Att 105 · Déf 75
Att.Spé 105 · Déf.Spé 75 · Vit 45
Total 480
Talents : Ventouse, Sniper (caché : Lunatique)</t>
      </text>
    </comment>
    <comment ref="E3665" authorId="0" shapeId="0">
      <text>
        <t>EMPIFLOR — Plante / Poison
PV 80 · Att 105 · Déf 65
Att.Spé 100 · Déf.Spé 100 · Vit 70
Total 520
Talents : Chlorophylle (caché : Gloutonnerie)</t>
      </text>
    </comment>
    <comment ref="F3665" authorId="0" shapeId="0">
      <text>
        <t>TYPHLOSION — Feu
PV 78 · Att 84 · Déf 78
Att.Spé 109 · Déf.Spé 85 · Vit 100
Total 534
Talents : Brasier (caché : Torche)</t>
      </text>
    </comment>
    <comment ref="G3665" authorId="0" shapeId="0">
      <text>
        <t>TYRANOCIF — Roche / Ténèbres
PV 100 · Att 134 · Déf 110
Att.Spé 95 · Déf.Spé 100 · Vit 61
Total 600
Talents : Sable Volant (caché : Tension)</t>
      </text>
    </comment>
    <comment ref="B3667" authorId="0" shapeId="0">
      <text>
        <t>Baie Maron
Objet tenu qui réveille les {PKMN} dormant au
combat.</t>
      </text>
    </comment>
    <comment ref="C3667" authorId="0" shapeId="0">
      <text>
        <t>Restes
Objet tenu permet- tant de restaurer les PV au
combat.</t>
      </text>
    </comment>
    <comment ref="D3667" authorId="0" shapeId="0">
      <text>
        <t>Glace Éternelle
Objet à tenir. Renforce le type Glace.</t>
      </text>
    </comment>
    <comment ref="E3667" authorId="0" shapeId="0">
      <text>
        <t>Lentilscope
Objet tenu pour monter le taux de critiques.</t>
      </text>
    </comment>
    <comment ref="F3667" authorId="0" shapeId="0">
      <text>
        <t>Charbon
Objet à tenir. Renforce le type Feu.</t>
      </text>
    </comment>
    <comment ref="G3667" authorId="0" shapeId="0">
      <text>
        <t>Vive Griffe
Objet tenu qui permet parfois de frapper le
premier.</t>
      </text>
    </comment>
    <comment ref="B3668" authorId="0" shapeId="0">
      <text>
        <t>Œil Révélateur
Regard Vif et Querelleur.</t>
      </text>
    </comment>
    <comment ref="C3668" authorId="0" shapeId="0">
      <text>
        <t>Attention
Empêche la peur.</t>
      </text>
    </comment>
    <comment ref="D3668" authorId="0" shapeId="0">
      <text>
        <t>Ventouse
Fixe solidement le corps.</t>
      </text>
    </comment>
    <comment ref="E3668" authorId="0" shapeId="0">
      <text>
        <t>Chlorophylle
Augmente Vitesse au soleil.</t>
      </text>
    </comment>
    <comment ref="F3668" authorId="0" shapeId="0">
      <text>
        <t>Brasier
Augmente attaques Feu.</t>
      </text>
    </comment>
    <comment ref="G3668" authorId="0" shapeId="0">
      <text>
        <t>Sable Volant
Crée une tempête de sable.</t>
      </text>
    </comment>
    <comment ref="B3669" authorId="0" shapeId="0">
      <text>
        <t>Marto-Poing — Combat, physique
Puissance 100 · Précision 90 % · 10 PP
Un poing lourd. Baisse la Vitesse du lanceur.</t>
      </text>
    </comment>
    <comment ref="C3669" authorId="0" shapeId="0">
      <text>
        <t>Lame d'Air — Vol, spéciale
Puissance 75 · Précision 95 % · 15 PP
Une lame d'air. Peut apeurer l'ennemi.</t>
      </text>
    </comment>
    <comment ref="D3669" authorId="0" shapeId="0">
      <text>
        <t>Surf — Eau, spéciale
Puissance 90 · Précision 100 % · 15 PP</t>
      </text>
    </comment>
    <comment ref="E3669" authorId="0" shapeId="0">
      <text>
        <t>Lame Feuille — Plante, physique
Puissance 90 · Précision 100 % · 15 PP
Tranche avec une feuille. Taux de critiques
élevé.</t>
      </text>
    </comment>
    <comment ref="F3669" authorId="0" shapeId="0">
      <text>
        <t>Déflagration — Feu, spéciale
Puissance 110 · Précision 85 % · 5 PP
Une explosion de flammes. Peut brûler
l'ennemi.</t>
      </text>
    </comment>
    <comment ref="G3669" authorId="0" shapeId="0">
      <text>
        <t>Mâchouille — Ténèbres, physique
Puissance 80 · Précision 100 % · 15 PP</t>
      </text>
    </comment>
    <comment ref="B3670" authorId="0" shapeId="0">
      <text>
        <t>Pouvoir Lunaire — Fée, spéciale
Puissance 95 · Précision 100 % · 15 PP
La force de la lune. Peut baisser l'Atq. Spé.</t>
      </text>
    </comment>
    <comment ref="C3670" authorId="0" shapeId="0">
      <text>
        <t>Choc Venin — Poison, spéciale
Puissance 65 · Précision 100 % · 10 PP
Double les dégâts sur un ennemi empoisonné.</t>
      </text>
    </comment>
    <comment ref="D3670" authorId="0" shapeId="0">
      <text>
        <t>Laser Glace — Glace, spéciale
Puissance 90 · Précision 100 % · 10 PP</t>
      </text>
    </comment>
    <comment ref="E3670" authorId="0" shapeId="0">
      <text>
        <t>Bombe Beurk — Poison, spéciale
Puissance 90 · Précision 100 % · 10 PP
Envoie des détritus pour blesser. Peut
empoisonner.</t>
      </text>
    </comment>
    <comment ref="F3670" authorId="0" shapeId="0">
      <text>
        <t>Séisme — Sol, physique
Puissance 100 · Précision 100 % · 10 PP
Secousse sans effet sur les adversaires
volants.</t>
      </text>
    </comment>
    <comment ref="G3670" authorId="0" shapeId="0">
      <text>
        <t>Séisme — Sol, physique
Puissance 100 · Précision 100 % · 10 PP
Secousse sans effet sur les adversaires
volants.</t>
      </text>
    </comment>
    <comment ref="B3671" authorId="0" shapeId="0">
      <text>
        <t>Pouvoir Antique — Roche, spéciale
Puissance 60 · Précision 100 % · 5 PP
Une attaque pouvant augmenter toutes les
stats.</t>
      </text>
    </comment>
    <comment ref="C3671" authorId="0" shapeId="0">
      <text>
        <t>Vibrobscur — Ténèbres, spéciale
Puissance 80 · Précision 100 % · 15 PP
Une aura horrible. Peut apeurer l'ennemi.</t>
      </text>
    </comment>
    <comment ref="D3671" authorId="0" shapeId="0">
      <text>
        <t>Rafale Psy — Psy, spéciale
Puissance 65 · Précision 100 % · 20 PP
Étrange rayon pouvant rendre l'ennemi confus.</t>
      </text>
    </comment>
    <comment ref="E3671" authorId="0" shapeId="0">
      <text>
        <t>Poudre Dodo — Plante, statut
Précision 75 % · 15 PP
Répand une poudre pouvant endormir l'ennemi.</t>
      </text>
    </comment>
    <comment ref="F3671" authorId="0" shapeId="0">
      <text>
        <t>Queue de Fer — Acier, physique
Puissance 100 · Précision 75 % · 15 PP
Attaque avec la queue. Peut baisser la
Défense.</t>
      </text>
    </comment>
    <comment ref="G3671" authorId="0" shapeId="0">
      <text>
        <t>Lame de Roc — Roche, physique
Puissance 100 · Précision 80 % · 5 PP
Transperce de pierres. Critiques fréquents.</t>
      </text>
    </comment>
    <comment ref="B3672" authorId="0" shapeId="0">
      <text>
        <t>Repos — Psy, statut
5 PP
Le lanceur dort 2 tours et regagne PV et
statut.</t>
      </text>
    </comment>
    <comment ref="C3672" authorId="0" shapeId="0">
      <text>
        <t>Façade — Normal, physique
Puissance 70 · Précision 100 % · 20 PP
Améliore l'Attaque si brûlé, paralysé ou
empoisonné.</t>
      </text>
    </comment>
    <comment ref="D3672" authorId="0" shapeId="0">
      <text>
        <t>Rayon Signal — Insecte, spéciale
Puissance 75 · Précision 100 % · 15 PP
Un étrange rayon qui peut rendre l'ennemi
confus.</t>
      </text>
    </comment>
    <comment ref="E3672" authorId="0" shapeId="0">
      <text>
        <t>Croissance — Normal, statut
20 PP</t>
      </text>
    </comment>
    <comment ref="F3672" authorId="0" shapeId="0">
      <text>
        <t>Poing Éclair — Électrik, physique
Puissance 75 · Précision 100 % · 15 PP
Un poing électrique pouvant paralyser
l'ennemi.</t>
      </text>
    </comment>
    <comment ref="G3672" authorId="0" shapeId="0">
      <text>
        <t>Crocs Feu — Feu, physique
Puissance 65 · Précision 95 % · 15 PP
Peut apeurer l'ennemi ou le brûler.</t>
      </text>
    </comment>
    <comment ref="B3674" authorId="0" shapeId="0">
      <text>
        <t>URSAKING — Sol / Normal
PV 130 · Att 140 · Déf 105
Att.Spé 45 · Déf.Spé 80 · Vit 50
Total 550
Talents : Cran, Pare-Balles (caché : Tension)</t>
      </text>
    </comment>
    <comment ref="C3674" authorId="0" shapeId="0">
      <text>
        <t>NOSTENFER — Poison / Vol
PV 85 · Att 90 · Déf 80
Att.Spé 70 · Déf.Spé 80 · Vit 130
Total 535
Talents : Attention (caché : Infiltration)</t>
      </text>
    </comment>
    <comment ref="D3674" authorId="0" shapeId="0">
      <text>
        <t>EMPIFLOR — Plante / Poison
PV 80 · Att 105 · Déf 65
Att.Spé 100 · Déf.Spé 100 · Vit 70
Total 520
Talents : Chlorophylle (caché : Gloutonnerie)</t>
      </text>
    </comment>
    <comment ref="E3674" authorId="0" shapeId="0">
      <text>
        <t>DEMOLOSSE — Ténèbres / Feu
PV 75 · Att 90 · Déf 50
Att.Spé 110 · Déf.Spé 80 · Vit 95
Total 500
Talents : Matinal, Torche (caché : Tension)</t>
      </text>
    </comment>
    <comment ref="F3674" authorId="0" shapeId="0">
      <text>
        <t>ALIGATUEUR — Eau
PV 85 · Att 105 · Déf 100
Att.Spé 79 · Déf.Spé 83 · Vit 78
Total 530
Talents : Torrent (caché : Sans Limite)</t>
      </text>
    </comment>
    <comment ref="G3674" authorId="0" shapeId="0">
      <text>
        <t>TYRANOCIF — Roche / Ténèbres
PV 100 · Att 134 · Déf 110
Att.Spé 95 · Déf.Spé 100 · Vit 61
Total 600
Talents : Sable Volant (caché : Tension)</t>
      </text>
    </comment>
    <comment ref="B3676" authorId="0" shapeId="0">
      <text>
        <t>Baie Maron
Objet tenu qui réveille les {PKMN} dormant au
combat.</t>
      </text>
    </comment>
    <comment ref="C3676" authorId="0" shapeId="0">
      <text>
        <t>Restes
Objet tenu permet- tant de restaurer les PV au
combat.</t>
      </text>
    </comment>
    <comment ref="D3676" authorId="0" shapeId="0">
      <text>
        <t>Lentilscope
Objet tenu pour monter le taux de critiques.</t>
      </text>
    </comment>
    <comment ref="E3676" authorId="0" shapeId="0">
      <text>
        <t>Charbon
Objet à tenir. Renforce le type Feu.</t>
      </text>
    </comment>
    <comment ref="F3676" authorId="0" shapeId="0">
      <text>
        <t>Lentilscope
Objet tenu pour monter le taux de critiques.</t>
      </text>
    </comment>
    <comment ref="G3676" authorId="0" shapeId="0">
      <text>
        <t>Vive Griffe
Objet tenu qui permet parfois de frapper le
premier.</t>
      </text>
    </comment>
    <comment ref="B3677" authorId="0" shapeId="0">
      <text>
        <t>Œil Révélateur
Regard Vif et Querelleur.</t>
      </text>
    </comment>
    <comment ref="C3677" authorId="0" shapeId="0">
      <text>
        <t>Attention
Empêche la peur.</t>
      </text>
    </comment>
    <comment ref="D3677" authorId="0" shapeId="0">
      <text>
        <t>Chlorophylle
Augmente Vitesse au soleil.</t>
      </text>
    </comment>
    <comment ref="E3677" authorId="0" shapeId="0">
      <text>
        <t>Matinal
Se réveille rapidement.</t>
      </text>
    </comment>
    <comment ref="F3677" authorId="0" shapeId="0">
      <text>
        <t>Torrent
Augmente attaques Eau.</t>
      </text>
    </comment>
    <comment ref="G3677" authorId="0" shapeId="0">
      <text>
        <t>Sable Volant
Crée une tempête de sable.</t>
      </text>
    </comment>
    <comment ref="B3678" authorId="0" shapeId="0">
      <text>
        <t>Marto-Poing — Combat, physique
Puissance 100 · Précision 90 % · 10 PP
Un poing lourd. Baisse la Vitesse du lanceur.</t>
      </text>
    </comment>
    <comment ref="C3678" authorId="0" shapeId="0">
      <text>
        <t>Lame d'Air — Vol, spéciale
Puissance 75 · Précision 95 % · 15 PP
Une lame d'air. Peut apeurer l'ennemi.</t>
      </text>
    </comment>
    <comment ref="D3678" authorId="0" shapeId="0">
      <text>
        <t>Lame Feuille — Plante, physique
Puissance 90 · Précision 100 % · 15 PP
Tranche avec une feuille. Taux de critiques
élevé.</t>
      </text>
    </comment>
    <comment ref="E3678" authorId="0" shapeId="0">
      <text>
        <t>Déflagration — Feu, spéciale
Puissance 110 · Précision 85 % · 5 PP
Une explosion de flammes. Peut brûler
l'ennemi.</t>
      </text>
    </comment>
    <comment ref="F3678" authorId="0" shapeId="0">
      <text>
        <t>Laser Glace — Glace, spéciale
Puissance 90 · Précision 100 % · 10 PP</t>
      </text>
    </comment>
    <comment ref="G3678" authorId="0" shapeId="0">
      <text>
        <t>Mâchouille — Ténèbres, physique
Puissance 80 · Précision 100 % · 15 PP</t>
      </text>
    </comment>
    <comment ref="B3679" authorId="0" shapeId="0">
      <text>
        <t>Pouvoir Lunaire — Fée, spéciale
Puissance 95 · Précision 100 % · 15 PP
La force de la lune. Peut baisser l'Atq. Spé.</t>
      </text>
    </comment>
    <comment ref="C3679" authorId="0" shapeId="0">
      <text>
        <t>Choc Venin — Poison, spéciale
Puissance 65 · Précision 100 % · 10 PP
Double les dégâts sur un ennemi empoisonné.</t>
      </text>
    </comment>
    <comment ref="D3679" authorId="0" shapeId="0">
      <text>
        <t>Bombe Beurk — Poison, spéciale
Puissance 90 · Précision 100 % · 10 PP
Envoie des détritus pour blesser. Peut
empoisonner.</t>
      </text>
    </comment>
    <comment ref="E3679" authorId="0" shapeId="0">
      <text>
        <t>Queue de Fer — Acier, physique
Puissance 100 · Précision 75 % · 15 PP
Attaque avec la queue. Peut baisser la
Défense.</t>
      </text>
    </comment>
    <comment ref="F3679" authorId="0" shapeId="0">
      <text>
        <t>Surf — Eau, spéciale
Puissance 90 · Précision 100 % · 15 PP</t>
      </text>
    </comment>
    <comment ref="G3679" authorId="0" shapeId="0">
      <text>
        <t>Séisme — Sol, physique
Puissance 100 · Précision 100 % · 10 PP
Secousse sans effet sur les adversaires
volants.</t>
      </text>
    </comment>
    <comment ref="B3680" authorId="0" shapeId="0">
      <text>
        <t>Pouvoir Antique — Roche, spéciale
Puissance 60 · Précision 100 % · 5 PP
Une attaque pouvant augmenter toutes les
stats.</t>
      </text>
    </comment>
    <comment ref="C3680" authorId="0" shapeId="0">
      <text>
        <t>Vibrobscur — Ténèbres, spéciale
Puissance 80 · Précision 100 % · 15 PP
Une aura horrible. Peut apeurer l'ennemi.</t>
      </text>
    </comment>
    <comment ref="D3680" authorId="0" shapeId="0">
      <text>
        <t>Poudre Dodo — Plante, statut
Précision 75 % · 15 PP
Répand une poudre pouvant endormir l'ennemi.</t>
      </text>
    </comment>
    <comment ref="E3680" authorId="0" shapeId="0">
      <text>
        <t>Mâchouille — Ténèbres, physique
Puissance 80 · Précision 100 % · 15 PP</t>
      </text>
    </comment>
    <comment ref="F3680" authorId="0" shapeId="0">
      <text>
        <t>Tranche — Normal, physique
Puissance 70 · Précision 100 % · 20 PP
Coups de griffe, etc. Taux de critiques élevé.</t>
      </text>
    </comment>
    <comment ref="G3680" authorId="0" shapeId="0">
      <text>
        <t>Lame de Roc — Roche, physique
Puissance 100 · Précision 80 % · 5 PP
Transperce de pierres. Critiques fréquents.</t>
      </text>
    </comment>
    <comment ref="B3681" authorId="0" shapeId="0">
      <text>
        <t>Repos — Psy, statut
5 PP
Le lanceur dort 2 tours et regagne PV et
statut.</t>
      </text>
    </comment>
    <comment ref="C3681" authorId="0" shapeId="0">
      <text>
        <t>Façade — Normal, physique
Puissance 70 · Précision 100 % · 20 PP
Améliore l'Attaque si brûlé, paralysé ou
empoisonné.</t>
      </text>
    </comment>
    <comment ref="D3681" authorId="0" shapeId="0">
      <text>
        <t>Croissance — Normal, statut
20 PP</t>
      </text>
    </comment>
    <comment ref="E3681" authorId="0" shapeId="0">
      <text>
        <t>Reflet — Normal, statut
15 PP
Crée des images-miroirs pour augmenter
l'esquive.</t>
      </text>
    </comment>
    <comment ref="F3681" authorId="0" shapeId="0">
      <text>
        <t>Séisme — Sol, physique
Puissance 100 · Précision 100 % · 10 PP
Secousse sans effet sur les adversaires
volants.</t>
      </text>
    </comment>
    <comment ref="G3681" authorId="0" shapeId="0">
      <text>
        <t>Crocs Feu — Feu, physique
Puissance 65 · Précision 95 % · 15 PP
Peut apeurer l'ennemi ou le brûler.</t>
      </text>
    </comment>
    <comment ref="B3683" authorId="0" shapeId="0">
      <text>
        <t>URSAKING — Sol / Normal
PV 130 · Att 140 · Déf 105
Att.Spé 45 · Déf.Spé 80 · Vit 50
Total 550
Talents : Cran, Pare-Balles (caché : Tension)</t>
      </text>
    </comment>
    <comment ref="C3683" authorId="0" shapeId="0">
      <text>
        <t>NOSTENFER — Poison / Vol
PV 85 · Att 90 · Déf 80
Att.Spé 70 · Déf.Spé 80 · Vit 130
Total 535
Talents : Attention (caché : Infiltration)</t>
      </text>
    </comment>
    <comment ref="D3683" authorId="0" shapeId="0">
      <text>
        <t>OCTILLERY — Eau
PV 75 · Att 105 · Déf 75
Att.Spé 105 · Déf.Spé 75 · Vit 45
Total 480
Talents : Ventouse, Sniper (caché : Lunatique)</t>
      </text>
    </comment>
    <comment ref="E3683" authorId="0" shapeId="0">
      <text>
        <t>DEMOLOSSE — Ténèbres / Feu
PV 75 · Att 90 · Déf 50
Att.Spé 110 · Déf.Spé 80 · Vit 95
Total 500
Talents : Matinal, Torche (caché : Tension)</t>
      </text>
    </comment>
    <comment ref="F3683" authorId="0" shapeId="0">
      <text>
        <t>MEGANIUM — Plante
PV 80 · Att 82 · Déf 100
Att.Spé 83 · Déf.Spé 100 · Vit 80
Total 525
Talents : Engrais (caché : Feuille Garde)</t>
      </text>
    </comment>
    <comment ref="G3683" authorId="0" shapeId="0">
      <text>
        <t>TYRANOCIF — Roche / Ténèbres
PV 100 · Att 134 · Déf 110
Att.Spé 95 · Déf.Spé 100 · Vit 61
Total 600
Talents : Sable Volant (caché : Tension)</t>
      </text>
    </comment>
    <comment ref="B3685" authorId="0" shapeId="0">
      <text>
        <t>Baie Maron
Objet tenu qui réveille les {PKMN} dormant au
combat.</t>
      </text>
    </comment>
    <comment ref="C3685" authorId="0" shapeId="0">
      <text>
        <t>Restes
Objet tenu permet- tant de restaurer les PV au
combat.</t>
      </text>
    </comment>
    <comment ref="D3685" authorId="0" shapeId="0">
      <text>
        <t>Glace Éternelle
Objet à tenir. Renforce le type Glace.</t>
      </text>
    </comment>
    <comment ref="E3685" authorId="0" shapeId="0">
      <text>
        <t>Charbon
Objet à tenir. Renforce le type Feu.</t>
      </text>
    </comment>
    <comment ref="F3685" authorId="0" shapeId="0">
      <text>
        <t>Graine Miracle</t>
      </text>
    </comment>
    <comment ref="G3685" authorId="0" shapeId="0">
      <text>
        <t>Vive Griffe
Objet tenu qui permet parfois de frapper le
premier.</t>
      </text>
    </comment>
    <comment ref="B3686" authorId="0" shapeId="0">
      <text>
        <t>Œil Révélateur
Regard Vif et Querelleur.</t>
      </text>
    </comment>
    <comment ref="C3686" authorId="0" shapeId="0">
      <text>
        <t>Attention
Empêche la peur.</t>
      </text>
    </comment>
    <comment ref="D3686" authorId="0" shapeId="0">
      <text>
        <t>Ventouse
Fixe solidement le corps.</t>
      </text>
    </comment>
    <comment ref="E3686" authorId="0" shapeId="0">
      <text>
        <t>Matinal
Se réveille rapidement.</t>
      </text>
    </comment>
    <comment ref="F3686" authorId="0" shapeId="0">
      <text>
        <t>Engrais
Augmente attaques Plante.</t>
      </text>
    </comment>
    <comment ref="G3686" authorId="0" shapeId="0">
      <text>
        <t>Sable Volant
Crée une tempête de sable.</t>
      </text>
    </comment>
    <comment ref="B3687" authorId="0" shapeId="0">
      <text>
        <t>Marto-Poing — Combat, physique
Puissance 100 · Précision 90 % · 10 PP
Un poing lourd. Baisse la Vitesse du lanceur.</t>
      </text>
    </comment>
    <comment ref="C3687" authorId="0" shapeId="0">
      <text>
        <t>Lame d'Air — Vol, spéciale
Puissance 75 · Précision 95 % · 15 PP
Une lame d'air. Peut apeurer l'ennemi.</t>
      </text>
    </comment>
    <comment ref="D3687" authorId="0" shapeId="0">
      <text>
        <t>Surf — Eau, spéciale
Puissance 90 · Précision 100 % · 15 PP</t>
      </text>
    </comment>
    <comment ref="E3687" authorId="0" shapeId="0">
      <text>
        <t>Déflagration — Feu, spéciale
Puissance 110 · Précision 85 % · 5 PP
Une explosion de flammes. Peut brûler
l'ennemi.</t>
      </text>
    </comment>
    <comment ref="F3687" authorId="0" shapeId="0">
      <text>
        <t>Protection — Psy, statut
20 PP
Crée un mur lumineux. Affaiblit att.
physiques.</t>
      </text>
    </comment>
    <comment ref="G3687" authorId="0" shapeId="0">
      <text>
        <t>Mâchouille — Ténèbres, physique
Puissance 80 · Précision 100 % · 15 PP</t>
      </text>
    </comment>
    <comment ref="B3688" authorId="0" shapeId="0">
      <text>
        <t>Pouvoir Lunaire — Fée, spéciale
Puissance 95 · Précision 100 % · 15 PP
La force de la lune. Peut baisser l'Atq. Spé.</t>
      </text>
    </comment>
    <comment ref="C3688" authorId="0" shapeId="0">
      <text>
        <t>Choc Venin — Poison, spéciale
Puissance 65 · Précision 100 % · 10 PP
Double les dégâts sur un ennemi empoisonné.</t>
      </text>
    </comment>
    <comment ref="D3688" authorId="0" shapeId="0">
      <text>
        <t>Laser Glace — Glace, spéciale
Puissance 90 · Précision 100 % · 10 PP</t>
      </text>
    </comment>
    <comment ref="E3688" authorId="0" shapeId="0">
      <text>
        <t>Queue de Fer — Acier, physique
Puissance 100 · Précision 75 % · 15 PP
Attaque avec la queue. Peut baisser la
Défense.</t>
      </text>
    </comment>
    <comment ref="F3688" authorId="0" shapeId="0">
      <text>
        <t>Giga-Sangsue — Plante, spéciale
Puissance 75 · Précision 100 % · 25 PP
Une attaque qui absorbe la moitié des dégâts
infligés.</t>
      </text>
    </comment>
    <comment ref="G3688" authorId="0" shapeId="0">
      <text>
        <t>Séisme — Sol, physique
Puissance 100 · Précision 100 % · 10 PP
Secousse sans effet sur les adversaires
volants.</t>
      </text>
    </comment>
    <comment ref="B3689" authorId="0" shapeId="0">
      <text>
        <t>Pouvoir Antique — Roche, spéciale
Puissance 60 · Précision 100 % · 5 PP
Une attaque pouvant augmenter toutes les
stats.</t>
      </text>
    </comment>
    <comment ref="C3689" authorId="0" shapeId="0">
      <text>
        <t>Vibrobscur — Ténèbres, spéciale
Puissance 80 · Précision 100 % · 15 PP
Une aura horrible. Peut apeurer l'ennemi.</t>
      </text>
    </comment>
    <comment ref="D3689" authorId="0" shapeId="0">
      <text>
        <t>Rafale Psy — Psy, spéciale
Puissance 65 · Précision 100 % · 20 PP
Étrange rayon pouvant rendre l'ennemi confus.</t>
      </text>
    </comment>
    <comment ref="E3689" authorId="0" shapeId="0">
      <text>
        <t>Mâchouille — Ténèbres, physique
Puissance 80 · Précision 100 % · 15 PP</t>
      </text>
    </comment>
    <comment ref="F3689" authorId="0" shapeId="0">
      <text>
        <t>Lance-Soleil — Plante, spéciale
Puissance 120 · Précision 100 % · 10 PP
Absorbe la lumière et attaque le tour suivant.</t>
      </text>
    </comment>
    <comment ref="G3689" authorId="0" shapeId="0">
      <text>
        <t>Lame de Roc — Roche, physique
Puissance 100 · Précision 80 % · 5 PP
Transperce de pierres. Critiques fréquents.</t>
      </text>
    </comment>
    <comment ref="B3690" authorId="0" shapeId="0">
      <text>
        <t>Repos — Psy, statut
5 PP
Le lanceur dort 2 tours et regagne PV et
statut.</t>
      </text>
    </comment>
    <comment ref="C3690" authorId="0" shapeId="0">
      <text>
        <t>Façade — Normal, physique
Puissance 70 · Précision 100 % · 20 PP
Améliore l'Attaque si brûlé, paralysé ou
empoisonné.</t>
      </text>
    </comment>
    <comment ref="D3690" authorId="0" shapeId="0">
      <text>
        <t>Rayon Signal — Insecte, spéciale
Puissance 75 · Précision 100 % · 15 PP
Un étrange rayon qui peut rendre l'ennemi
confus.</t>
      </text>
    </comment>
    <comment ref="E3690" authorId="0" shapeId="0">
      <text>
        <t>Zénith — Feu, statut
5 PP
Améliore les attaques Feu pendant 5 tours.</t>
      </text>
    </comment>
    <comment ref="F3690" authorId="0" shapeId="0">
      <text>
        <t>Plaquage — Normal, physique
Puissance 85 · Précision 100 % · 15 PP
Une attaque en charge. Peut paralyser
l'ennemi.</t>
      </text>
    </comment>
    <comment ref="G3690" authorId="0" shapeId="0">
      <text>
        <t>Crocs Feu — Feu, physique
Puissance 65 · Précision 95 % · 15 PP
Peut apeurer l'ennemi ou le brûler.</t>
      </text>
    </comment>
    <comment ref="B3693" authorId="0" shapeId="0">
      <text>
        <t>TARPAUD — Eau
PV 90 · Att 75 · Déf 75
Att.Spé 90 · Déf.Spé 100 · Vit 70
Total 500
Talents : Absorbe-Eau, Moiteur (caché :
  Crachin)</t>
      </text>
    </comment>
    <comment ref="C3693" authorId="0" shapeId="0">
      <text>
        <t>DEMANTA — Eau / Vol
PV 85 · Att 40 · Déf 70
Att.Spé 80 · Déf.Spé 140 · Vit 70
Total 485
Talents : Glissade, Absorbe-Eau (caché :
  Ignifu-Voile)</t>
      </text>
    </comment>
    <comment ref="D3693" authorId="0" shapeId="0">
      <text>
        <t>LOVDISC — Eau
PV 43 · Att 30 · Déf 55
Att.Spé 40 · Déf.Spé 65 · Vit 97
Total 330
Talents : Glissade (caché : Hydratation)</t>
      </text>
    </comment>
    <comment ref="B3695" authorId="0" shapeId="0">
      <text>
        <t>Roche Humide
Prolonge Danse Pluie quand le porteur
l'utilise.</t>
      </text>
    </comment>
    <comment ref="C3695" authorId="0" shapeId="0">
      <text>
        <t>Restes
Objet tenu permet- tant de restaurer les PV au
combat.</t>
      </text>
    </comment>
    <comment ref="D3695" authorId="0" shapeId="0">
      <text>
        <t>Grosse Racine
Augmente de 30 % les PV récupérés par
drainage.</t>
      </text>
    </comment>
    <comment ref="B3696" authorId="0" shapeId="0">
      <text>
        <t>Crachin
Invoque la pluie en combat.</t>
      </text>
    </comment>
    <comment ref="C3696" authorId="0" shapeId="0">
      <text>
        <t>Glissade
Monte Vitesse s'il pleut.</t>
      </text>
    </comment>
    <comment ref="D3696" authorId="0" shapeId="0">
      <text>
        <t>Glissade
Monte Vitesse s'il pleut.</t>
      </text>
    </comment>
    <comment ref="B3697" authorId="0" shapeId="0">
      <text>
        <t>Ball'Météo — Normal, spéciale
Puissance 50 · Précision 100 % · 10 PP
Type et puissance de l'attaque selon le
climat.</t>
      </text>
    </comment>
    <comment ref="C3697" authorId="0" shapeId="0">
      <text>
        <t>Vent Violent — Vol, spéciale
Puissance 110 · Précision 70 % · 10 PP
Un vent violent. Peut rendre confus.</t>
      </text>
    </comment>
    <comment ref="D3697" authorId="0" shapeId="0">
      <text>
        <t>Attraction — Normal, statut
Précision 100 % · 15 PP
Le genre opposé a moins de chances d'attaquer.</t>
      </text>
    </comment>
    <comment ref="B3698" authorId="0" shapeId="0">
      <text>
        <t>Vent Glace — Glace, spéciale
Puissance 55 · Précision 95 % · 15 PP
Attaque glaciale. Baisse la Vitesse de
l'ennemi.</t>
      </text>
    </comment>
    <comment ref="C3698" authorId="0" shapeId="0">
      <text>
        <t>Vibraqua — Eau, spéciale
Puissance 60 · Précision 100 % · 20 PP
Envoi des ondes aquatiques. Peut rendre
confus.</t>
      </text>
    </comment>
    <comment ref="D3698" authorId="0" shapeId="0">
      <text>
        <t>Vampibaiser — Fée, spéciale
Puissance 50 · Précision 100 % · 10 PP</t>
      </text>
    </comment>
    <comment ref="B3699" authorId="0" shapeId="0">
      <text>
        <t>Siphon — Eau, spéciale
Puissance 35 · Précision 85 % · 15 PP</t>
      </text>
    </comment>
    <comment ref="C3699" authorId="0" shapeId="0">
      <text>
        <t>Rayon Signal — Insecte, spéciale
Puissance 75 · Précision 100 % · 15 PP
Un étrange rayon qui peut rendre l'ennemi
confus.</t>
      </text>
    </comment>
    <comment ref="D3699" authorId="0" shapeId="0">
      <text>
        <t>Ébullition — Eau, spéciale
Puissance 80 · Précision 100 % · 15 PP
De l'eau bouillante. Peut brûler l'ennemi.</t>
      </text>
    </comment>
    <comment ref="B3700" authorId="0" shapeId="0">
      <text>
        <t>Requiem — Normal, statut
5 PP
Un Pokémon qui entend ce requiem est KO en 3
tours.</t>
      </text>
    </comment>
    <comment ref="C3700" authorId="0" shapeId="0">
      <text>
        <t>Anneau Hydro — Eau, statut
20 PP
Un voile d'eau qui restaure des PV.</t>
      </text>
    </comment>
    <comment ref="D3700" authorId="0" shapeId="0">
      <text>
        <t>Doux Baiser — Fée, statut
Précision 75 % · 10 PP
Demande un bisou tout mignon. Peut rendre
confus.</t>
      </text>
    </comment>
    <comment ref="B3703" authorId="0" shapeId="0">
      <text>
        <t>RAICHU-A — Électrik / Psy
PV 60 · Att 85 · Déf 50
Att.Spé 95 · Déf.Spé 85 · Vit 110
Total 485
Talents : Surf Caudal</t>
      </text>
    </comment>
    <comment ref="C3703" authorId="0" shapeId="0">
      <text>
        <t>NOADKOKO-A — Plante / Dragon
PV 95 · Att 105 · Déf 85
Att.Spé 125 · Déf.Spé 75 · Vit 45
Total 530
Talents : Fouille (caché : Récolte)</t>
      </text>
    </comment>
    <comment ref="D3703" authorId="0" shapeId="0">
      <text>
        <t>FEUNARD-A — Glace / Fée
PV 73 · Att 67 · Déf 75
Att.Spé 81 · Déf.Spé 100 · Vit 109
Total 505
Talents : Rideau Neige (caché : Alerte Neige)</t>
      </text>
    </comment>
    <comment ref="E3703" authorId="0" shapeId="0">
      <text>
        <t>GROLEM-A — Roche / Électrik
PV 80 · Att 120 · Déf 130
Att.Spé 55 · Déf.Spé 65 · Vit 45
Total 495
Talents : Magnépiège, Fermeté (caché : Peau
  Électrique)</t>
      </text>
    </comment>
    <comment ref="F3703" authorId="0" shapeId="0">
      <text>
        <t>GROTADMORV-A — Poison / Ténèbres
PV 105 · Att 105 · Déf 75
Att.Spé 65 · Déf.Spé 100 · Vit 50
Total 500
Talents : Toxitouche, Gloutonnerie (caché :
  Osmose)</t>
      </text>
    </comment>
    <comment ref="G3703" authorId="0" shapeId="0">
      <text>
        <t>TROPIUS — Plante / Vol
PV 99 · Att 68 · Déf 83
Att.Spé 72 · Déf.Spé 87 · Vit 51
Total 460
Talents : Chlorophylle, Force Soleil (caché :
  Récolte)</t>
      </text>
    </comment>
    <comment ref="C3705" authorId="0" shapeId="0">
      <text>
        <t>Lunettes Choix
Monte l'Atq. Spé., mais fixe une seule
capacité.</t>
      </text>
    </comment>
    <comment ref="D3705" authorId="0" shapeId="0">
      <text>
        <t>Lumargile
Prolonge ses barrières, comme Mur Lumière.</t>
      </text>
    </comment>
    <comment ref="E3705" authorId="0" shapeId="0">
      <text>
        <t>Bandeau Choix
Monte la puissance d'une attaque. Dés- active
les autres.</t>
      </text>
    </comment>
    <comment ref="F3705" authorId="0" shapeId="0">
      <text>
        <t>Veste de Combat
Monte la Déf. Spé. mais empêche toute capacité
de statut.</t>
      </text>
    </comment>
    <comment ref="G3705" authorId="0" shapeId="0">
      <text>
        <t>Baie Sitrus
Objet tenu qui restaure 30 PV pendant un
combat.</t>
      </text>
    </comment>
    <comment ref="B3706" authorId="0" shapeId="0">
      <text>
        <t>Surf Caudal
Vit. accrue sur Champ Élec.</t>
      </text>
    </comment>
    <comment ref="C3706" authorId="0" shapeId="0">
      <text>
        <t>Fouille
Voit l'objet de l'ennemi.</t>
      </text>
    </comment>
    <comment ref="D3706" authorId="0" shapeId="0">
      <text>
        <t>Alerte Neige
Invoque la neige en combat.</t>
      </text>
    </comment>
    <comment ref="E3706" authorId="0" shapeId="0">
      <text>
        <t>Magnépiège
Piège les Pokémon Acier.</t>
      </text>
    </comment>
    <comment ref="F3706" authorId="0" shapeId="0">
      <text>
        <t>Toxitouche
Empoisonne au contact.</t>
      </text>
    </comment>
    <comment ref="G3706" authorId="0" shapeId="0">
      <text>
        <t>Récolte
Peut recycler une Baie.</t>
      </text>
    </comment>
    <comment ref="B3707" authorId="0" shapeId="0">
      <text>
        <t>Machination — Ténèbres, statut
20 PP
De mauvaises pensées montent beaucoup l'Atq.
Spé.</t>
      </text>
    </comment>
    <comment ref="C3707" authorId="0" shapeId="0">
      <text>
        <t>Draco-Météore — Dragon, spéciale
Puissance 130 · Précision 90 % · 5 PP
Des comètes. Le lanceur perd beaucoup d'Atq.
Spé.</t>
      </text>
    </comment>
    <comment ref="D3707" authorId="0" shapeId="0">
      <text>
        <t>Lyophilisation — Glace, spéciale
Puissance 70 · Précision 100 % · 20 PP</t>
      </text>
    </comment>
    <comment ref="E3707" authorId="0" shapeId="0">
      <text>
        <t>Lame de Roc — Roche, physique
Puissance 100 · Précision 80 % · 5 PP
Transperce de pierres. Critiques fréquents.</t>
      </text>
    </comment>
    <comment ref="F3707" authorId="0" shapeId="0">
      <text>
        <t>Poursuite — Ténèbres, physique
Puissance 40 · Précision 100 % · 20 PP
Inflige de sérieux dégâts lorsque l'ennemi
change.</t>
      </text>
    </comment>
    <comment ref="G3707" authorId="0" shapeId="0">
      <text>
        <t>Vampigraine — Plante, statut
Précision 90 % · 10 PP
Plante des graines pour voler des PV à chaque
tour.</t>
      </text>
    </comment>
    <comment ref="B3708" authorId="0" shapeId="0">
      <text>
        <t>Tonnerre — Électrik, spéciale
Puissance 90 · Précision 100 % · 15 PP
Forte attaque électrique pouvant paralyser
l'ennemi.</t>
      </text>
    </comment>
    <comment ref="C3708" authorId="0" shapeId="0">
      <text>
        <t>Tempête Verte — Plante, spéciale
Puissance 130 · Précision 90 % · 5 PP
Des feuilles. Le lanceur perd beaucoup d'Atq.
Spé.</t>
      </text>
    </comment>
    <comment ref="D3708" authorId="0" shapeId="0">
      <text>
        <t>Hypnose — Psy, statut
Précision 60 % · 20 PP
Une attaque hypnotique pouvant endormir
l'ennemi.</t>
      </text>
    </comment>
    <comment ref="E3708" authorId="0" shapeId="0">
      <text>
        <t>Poing Feu — Feu, physique
Puissance 75 · Précision 100 % · 15 PP
Un poing de feu pouvant brûler l'ennemi.</t>
      </text>
    </comment>
    <comment ref="F3708" authorId="0" shapeId="0">
      <text>
        <t>Détricanon — Poison, physique
Puissance 120 · Précision 80 % · 5 PP
Des ordures sur l'ennemi. Peut empoisonner.</t>
      </text>
    </comment>
    <comment ref="G3708" authorId="0" shapeId="0">
      <text>
        <t>Clonage — Normal, statut
10 PP
Crée un leurre avec 1/4 des PV max du lanceur.</t>
      </text>
    </comment>
    <comment ref="B3709" authorId="0" shapeId="0">
      <text>
        <t>Psyko — Psy, spéciale
Puissance 90 · Précision 100 % · 10 PP
Une puissante attaque Psy pouvant baisser la
Déf. Spé.</t>
      </text>
    </comment>
    <comment ref="C3709" authorId="0" shapeId="0">
      <text>
        <t>Lance-Flammes — Feu, spéciale
Puissance 90 · Précision 100 % · 15 PP
Une puissante attaque de feu pouvant brûler
l'ennemi.</t>
      </text>
    </comment>
    <comment ref="D3709" authorId="0" shapeId="0">
      <text>
        <t>Grêle — Glace, statut
10 PP
Tempête de grêle qui dure pendant 5 tours.</t>
      </text>
    </comment>
    <comment ref="E3709" authorId="0" shapeId="0">
      <text>
        <t>Séisme — Sol, physique
Puissance 100 · Précision 100 % · 10 PP
Secousse sans effet sur les adversaires
volants.</t>
      </text>
    </comment>
    <comment ref="F3709" authorId="0" shapeId="0">
      <text>
        <t>Sabotage — Ténèbres, physique
Puissance 65 · Précision 100 % · 20 PP
Frappe l'objet tenu pour le rendre
inutilisable.</t>
      </text>
    </comment>
    <comment ref="G3709" authorId="0" shapeId="0">
      <text>
        <t>Lame d'Air — Vol, spéciale
Puissance 75 · Précision 95 % · 15 PP
Une lame d'air. Peut apeurer l'ennemi.</t>
      </text>
    </comment>
    <comment ref="B3710" authorId="0" shapeId="0">
      <text>
        <t>Clonage — Normal, statut
10 PP
Crée un leurre avec 1/4 des PV max du lanceur.</t>
      </text>
    </comment>
    <comment ref="C3710" authorId="0" shapeId="0">
      <text>
        <t>Giga-Sangsue — Plante, spéciale
Puissance 75 · Précision 100 % · 25 PP
Une attaque qui absorbe la moitié des dégâts
infligés.</t>
      </text>
    </comment>
    <comment ref="D3710" authorId="0" shapeId="0">
      <text>
        <t>Voile Aurore — Glace, statut
20 PP
Affaiblit les attaques. Utilisable sous la
neige.</t>
      </text>
    </comment>
    <comment ref="E3710" authorId="0" shapeId="0">
      <text>
        <t>Change Éclair — Électrik, spéciale
Puissance 70 · Précision 100 % · 20 PP</t>
      </text>
    </comment>
    <comment ref="F3710" authorId="0" shapeId="0">
      <text>
        <t>Poing Feu — Feu, physique
Puissance 75 · Précision 100 % · 15 PP
Un poing de feu pouvant brûler l'ennemi.</t>
      </text>
    </comment>
    <comment ref="G3710" authorId="0" shapeId="0">
      <text>
        <t>Toxik — Poison, statut
Précision 90 % · 10 PP
Empoisonne l'ennemi avec une toxine de plus en
plus forte.</t>
      </text>
    </comment>
    <comment ref="B3713" authorId="0" shapeId="0">
      <text>
        <t>BEKIPAN — Eau / Vol
PV 60 · Att 50 · Déf 100
Att.Spé 95 · Déf.Spé 70 · Vit 65
Total 440
Talents : Regard Vif, Crachin (caché :
  Cuvette)</t>
      </text>
    </comment>
    <comment ref="C3713" authorId="0" shapeId="0">
      <text>
        <t>TARTARD — Eau / Combat
PV 90 · Att 95 · Déf 95
Att.Spé 70 · Déf.Spé 90 · Vit 70
Total 510
Talents : Absorbe-Eau, Moiteur (caché :
  Glissade)</t>
      </text>
    </comment>
    <comment ref="D3713" authorId="0" shapeId="0">
      <text>
        <t>SERPANG — Eau
PV 55 · Att 104 · Déf 105
Att.Spé 94 · Déf.Spé 75 · Vit 52
Total 485
Talents : Glissade (caché : Ignifu-Voile)</t>
      </text>
    </comment>
    <comment ref="C3715" authorId="0" shapeId="0">
      <text>
        <t>Orbe Vie
Renforce les coups, mais coûte des PV à chaque
coup.</t>
      </text>
    </comment>
    <comment ref="D3715" authorId="0" shapeId="0">
      <text>
        <t>Herbe Blanche
Objet tenu qui restaure les stats baissées.</t>
      </text>
    </comment>
    <comment ref="B3716" authorId="0" shapeId="0">
      <text>
        <t>Regard Vif
Empêche perte de précision.</t>
      </text>
    </comment>
    <comment ref="C3716" authorId="0" shapeId="0">
      <text>
        <t>Absorbe-Eau
Change l'eau en PV.</t>
      </text>
    </comment>
    <comment ref="D3716" authorId="0" shapeId="0">
      <text>
        <t>Ignifu-Voile
Empêche les brûlures.</t>
      </text>
    </comment>
    <comment ref="B3717" authorId="0" shapeId="0">
      <text>
        <t>Surf — Eau, spéciale
Puissance 90 · Précision 100 % · 15 PP</t>
      </text>
    </comment>
    <comment ref="C3717" authorId="0" shapeId="0">
      <text>
        <t>Dark Lariat — Ténèbres, physique
Puissance 85 · Précision 100 % · 10 PP
Un moulinet des bras. Ignore les changements.</t>
      </text>
    </comment>
    <comment ref="D3717" authorId="0" shapeId="0">
      <text>
        <t>Exuviation — Normal, statut
15 PP
Monte beaucoup attaques et Vit., baisse les
défenses.</t>
      </text>
    </comment>
    <comment ref="B3718" authorId="0" shapeId="0">
      <text>
        <t>Laser Glace — Glace, spéciale
Puissance 90 · Précision 100 % · 10 PP</t>
      </text>
    </comment>
    <comment ref="C3718" authorId="0" shapeId="0">
      <text>
        <t>Vampi-Poing — Combat, physique
Puissance 75 · Précision 100 % · 10 PP</t>
      </text>
    </comment>
    <comment ref="D3718" authorId="0" shapeId="0">
      <text>
        <t>Croc Fatal — Normal, physique
Puissance 1 · Précision 90 % · 10 PP
Coup de croc qui fait baisser les PV de
moitié.</t>
      </text>
    </comment>
    <comment ref="B3719" authorId="0" shapeId="0">
      <text>
        <t>Danse Plumes — Vol, statut
Précision 100 % · 15 PP
Enveloppe l'ennemi de duvet et baisse
l'Attaque.</t>
      </text>
    </comment>
    <comment ref="C3719" authorId="0" shapeId="0">
      <text>
        <t>Aqua-Brèche — Eau, physique
Puissance 85 · Précision 100 % · 10 PP
Un choc d'eau. Peut baisser la Défense.</t>
      </text>
    </comment>
    <comment ref="D3719" authorId="0" shapeId="0">
      <text>
        <t>Cascade — Eau, physique
Puissance 80 · Précision 100 % · 15 PP
Charge rapide permettant de franchir des
cascades.</t>
      </text>
    </comment>
    <comment ref="B3720" authorId="0" shapeId="0">
      <text>
        <t>Onde de Choc — Électrik, spéciale
Puissance 60 · Ne rate jamais · 20 PP
Attaque électrique rapide et impossible à
esquiver.</t>
      </text>
    </comment>
    <comment ref="C3720" authorId="0" shapeId="0">
      <text>
        <t>Poing Boost — Combat, physique
Puissance 40 · Précision 100 % · 20 PP
Un poing dur qui monte l'Attaque du lanceur.</t>
      </text>
    </comment>
    <comment ref="D3720" authorId="0" shapeId="0">
      <text>
        <t>Grimace — Normal, statut
Précision 100 % · 10 PP
Effraie avec une grimace pour baisser la
Vitesse.</t>
      </text>
    </comment>
    <comment ref="B3723" authorId="0" shapeId="0">
      <text>
        <t>SELEROC — Roche / Psy
PV 90 · Att 55 · Déf 65
Att.Spé 95 · Déf.Spé 85 · Vit 70
Total 460
Talents : Lévitation</t>
      </text>
    </comment>
    <comment ref="C3723" authorId="0" shapeId="0">
      <text>
        <t>SOLAROC — Roche / Psy
PV 90 · Att 95 · Déf 85
Att.Spé 55 · Déf.Spé 65 · Vit 70
Total 460
Talents : Lévitation</t>
      </text>
    </comment>
    <comment ref="D3723" authorId="0" shapeId="0">
      <text>
        <t>MAGMAR — Feu
PV 65 · Att 95 · Déf 57
Att.Spé 100 · Déf.Spé 85 · Vit 93
Total 495
Talents : Corps Ardent (caché : Esprit Vital)</t>
      </text>
    </comment>
    <comment ref="B3725" authorId="0" shapeId="0">
      <text>
        <t>Talisman Sain
Empêche les stats du porteur d'être baissées.</t>
      </text>
    </comment>
    <comment ref="C3725" authorId="0" shapeId="0">
      <text>
        <t>Roche Chaude
Prolonge Zénith quand le porteur l'utilise.</t>
      </text>
    </comment>
    <comment ref="D3725" authorId="0" shapeId="0">
      <text>
        <t>Évoluroc
Monte Déf. et Déf. Spé. d'un Pokémon qui peut
évoluer.</t>
      </text>
    </comment>
    <comment ref="B3726" authorId="0" shapeId="0">
      <text>
        <t>Lévitation
Ignore les attaques Sol.</t>
      </text>
    </comment>
    <comment ref="C3726" authorId="0" shapeId="0">
      <text>
        <t>Lévitation
Ignore les attaques Sol.</t>
      </text>
    </comment>
    <comment ref="D3726" authorId="0" shapeId="0">
      <text>
        <t>Corps Ardent
Brûle l'ennemi au contact.</t>
      </text>
    </comment>
    <comment ref="B3727" authorId="0" shapeId="0">
      <text>
        <t>Force Cosmique — Psy, statut
20 PP
Pouvoir mystique qui monte la Défense et la
Déf. Spé.</t>
      </text>
    </comment>
    <comment ref="C3727" authorId="0" shapeId="0">
      <text>
        <t>Zénith — Feu, statut
5 PP
Améliore les attaques Feu pendant 5 tours.</t>
      </text>
    </comment>
    <comment ref="D3727" authorId="0" shapeId="0">
      <text>
        <t>Nitrocharge — Feu, physique
Puissance 50 · Précision 100 % · 20 PP
Une charge enflammée. Monte la Vitesse.</t>
      </text>
    </comment>
    <comment ref="B3728" authorId="0" shapeId="0">
      <text>
        <t>Force Ajoutée — Psy, spéciale
Puissance 20 · Précision 100 % · 10 PP
Plus le lanceur a de hausses de stats, plus
c'est fort.</t>
      </text>
    </comment>
    <comment ref="C3728" authorId="0" shapeId="0">
      <text>
        <t>Ball'Météo — Normal, spéciale
Puissance 50 · Précision 100 % · 10 PP
Type et puissance de l'attaque selon le
climat.</t>
      </text>
    </comment>
    <comment ref="D3728" authorId="0" shapeId="0">
      <text>
        <t>Clonage — Normal, statut
10 PP
Crée un leurre avec 1/4 des PV max du lanceur.</t>
      </text>
    </comment>
    <comment ref="B3729" authorId="0" shapeId="0">
      <text>
        <t>Plénitude — Psy, statut
20 PP
Méditation pour augmenter l'Atq. Spé. et la
Déf. Spé.</t>
      </text>
    </comment>
    <comment ref="C3729" authorId="0" shapeId="0">
      <text>
        <t>Aurore — Normal, statut
5 PP
Restaure les PV. La quantité varie suivant le
temps.</t>
      </text>
    </comment>
    <comment ref="D3729" authorId="0" shapeId="0">
      <text>
        <t>Mitra-Poing — Combat, physique
Puissance 150 · Précision 100 % · 20 PP ·
Priorité -3
Attaque en dernier. Lanceur apeuré si touché
avant.</t>
      </text>
    </comment>
    <comment ref="B3730" authorId="0" shapeId="0">
      <text>
        <t>Rayon Gemme — Roche, spéciale
Puissance 80 · Précision 100 % · 20 PP
Des rayons brillants comme des diamants.</t>
      </text>
    </comment>
    <comment ref="C3730" authorId="0" shapeId="0">
      <text>
        <t>Lance-Soleil — Plante, spéciale
Puissance 120 · Précision 100 % · 10 PP
Absorbe la lumière et attaque le tour suivant.</t>
      </text>
    </comment>
    <comment ref="D3730" authorId="0" shapeId="0">
      <text>
        <t>Reflet — Normal, statut
15 PP
Crée des images-miroirs pour augmenter
l'esquive.</t>
      </text>
    </comment>
    <comment ref="B3732" authorId="0" shapeId="0">
      <text>
        <t>PAPINOX — Insecte / Poison
PV 60 · Att 50 · Déf 70
Att.Spé 50 · Déf.Spé 90 · Vit 65
Total 385
Talents : Écran Poudre (caché : Œil Composé)</t>
      </text>
    </comment>
    <comment ref="C3732" authorId="0" shapeId="0">
      <text>
        <t>SCARABRUTE — Insecte
PV 65 · Att 125 · Déf 100
Att.Spé 55 · Déf.Spé 70 · Vit 85
Total 500
Talents : Hyper Cutter, Brise Moule (caché :
  Impudence)</t>
      </text>
    </comment>
    <comment ref="D3732" authorId="0" shapeId="0">
      <text>
        <t>LUDICOLO — Eau / Plante
PV 80 · Att 70 · Déf 70
Att.Spé 90 · Déf.Spé 100 · Vit 70
Total 480
Talents : Glissade, Cuvette (caché : Tempo
  Perso)</t>
      </text>
    </comment>
    <comment ref="B3734" authorId="0" shapeId="0">
      <text>
        <t>Ceinture Force
À PV pleins, le porteur survit à un K.O. avec
1 PV.</t>
      </text>
    </comment>
    <comment ref="C3734" authorId="0" shapeId="0">
      <text>
        <t>Orbe Vie
Renforce les coups, mais coûte des PV à chaque
coup.</t>
      </text>
    </comment>
    <comment ref="B3735" authorId="0" shapeId="0">
      <text>
        <t>Œil Composé
Augmente la précision.</t>
      </text>
    </comment>
    <comment ref="C3735" authorId="0" shapeId="0">
      <text>
        <t>Impudence
Un K.O. monte l'Attaque.</t>
      </text>
    </comment>
    <comment ref="D3735" authorId="0" shapeId="0">
      <text>
        <t>Cuvette
Gagne quelques PV si pluie.</t>
      </text>
    </comment>
    <comment ref="B3736" authorId="0" shapeId="0">
      <text>
        <t>Choc Venin — Poison, spéciale
Puissance 65 · Précision 100 % · 10 PP
Double les dégâts sur un ennemi empoisonné.</t>
      </text>
    </comment>
    <comment ref="C3736" authorId="0" shapeId="0">
      <text>
        <t>Yama Arashi — Combat, physique
Puissance 60 · Précision 100 % · 10 PP</t>
      </text>
    </comment>
    <comment ref="D3736" authorId="0" shapeId="0">
      <text>
        <t>Danse Folle — Normal, statut
Précision 100 % · 20 PP
Danse qui rend confus tous les combattants.</t>
      </text>
    </comment>
    <comment ref="B3737" authorId="0" shapeId="0">
      <text>
        <t>Toxik — Poison, statut
Précision 90 % · 10 PP
Empoisonne l'ennemi avec une toxine de plus en
plus forte.</t>
      </text>
    </comment>
    <comment ref="C3737" authorId="0" shapeId="0">
      <text>
        <t>Plaie Croix — Insecte, physique
Puissance 80 · Précision 100 % · 15 PP
Taillade l'ennemi de ses faux croisées.</t>
      </text>
    </comment>
    <comment ref="D3737" authorId="0" shapeId="0">
      <text>
        <t>Ébullition — Eau, spéciale
Puissance 80 · Précision 100 % · 15 PP
De l'eau bouillante. Peut brûler l'ennemi.</t>
      </text>
    </comment>
    <comment ref="B3738" authorId="0" shapeId="0">
      <text>
        <t>Mur de Fer — Acier, statut
15 PP
Endurcit le corps pour booster la Défense.</t>
      </text>
    </comment>
    <comment ref="C3738" authorId="0" shapeId="0">
      <text>
        <t>Guillotine — Normal, physique
Puissance 1 · Précision 30 % · 5 PP
Un puissant coup de pince qui peut mettre KO.</t>
      </text>
    </comment>
    <comment ref="D3738" authorId="0" shapeId="0">
      <text>
        <t>Désherbaffe — Plante, physique
Puissance 50 · Précision 100 % · 20 PP
Une attaque soudaine. Monte la Vitesse.</t>
      </text>
    </comment>
    <comment ref="B3739" authorId="0" shapeId="0">
      <text>
        <t>Papillodanse — Insecte, statut
20 PP
Monte l'Atq. Spé., la Déf. Spé. et la Vit.</t>
      </text>
    </comment>
    <comment ref="C3739" authorId="0" shapeId="0">
      <text>
        <t>Malédiction — Spectre, statut
10 PP
Coup qui fonctionne autre- ment pour les
Spectres.</t>
      </text>
    </comment>
    <comment ref="D3739" authorId="0" shapeId="0">
      <text>
        <t>Encore — Normal, statut
Précision 100 % · 5 PP
Oblige l'ennemi à répéter sa dernière capacité
3 tours.</t>
      </text>
    </comment>
    <comment ref="B3741" authorId="0" shapeId="0">
      <text>
        <t>HELEDELLE — Normal / Vol
PV 60 · Att 85 · Déf 60
Att.Spé 75 · Déf.Spé 50 · Vit 125
Total 455
Talents : Cran (caché : Querelleur)</t>
      </text>
    </comment>
    <comment ref="C3741" authorId="0" shapeId="0">
      <text>
        <t>DARDARGNAN — Insecte / Poison
PV 65 · Att 90 · Déf 40
Att.Spé 45 · Déf.Spé 80 · Vit 75
Total 395
Talents : Essaim (caché : Sniper)</t>
      </text>
    </comment>
    <comment ref="D3741" authorId="0" shapeId="0">
      <text>
        <t>PAPINOX — Insecte / Poison
PV 60 · Att 50 · Déf 70
Att.Spé 50 · Déf.Spé 90 · Vit 65
Total 385
Talents : Écran Poudre (caché : Œil Composé)</t>
      </text>
    </comment>
    <comment ref="C3743" authorId="0" shapeId="0">
      <text>
        <t>Lentilscope
Objet tenu pour monter le taux de critiques.</t>
      </text>
    </comment>
    <comment ref="B3744" authorId="0" shapeId="0">
      <text>
        <t>Querelleur
Peut toucher les Spectres.</t>
      </text>
    </comment>
    <comment ref="C3744" authorId="0" shapeId="0">
      <text>
        <t>Sniper
Renforce les critiques.</t>
      </text>
    </comment>
    <comment ref="D3744" authorId="0" shapeId="0">
      <text>
        <t>Écran Poudre
Empêche le cumul d'effets.</t>
      </text>
    </comment>
    <comment ref="B3745" authorId="0" shapeId="0">
      <text>
        <t>Bang Sonique — Normal, spéciale
Puissance 140 · Précision 100 % · 10 PP
Une onde destructrice sur tout le monde.</t>
      </text>
    </comment>
    <comment ref="C3745" authorId="0" shapeId="0">
      <text>
        <t>Direct Toxik — Poison, physique
Puissance 80 · Précision 100 % · 20 PP
Un coup perforant qui peut empoisonner.</t>
      </text>
    </comment>
    <comment ref="D3745" authorId="0" shapeId="0">
      <text>
        <t>Bourdon — Insecte, spéciale
Puissance 90 · Précision 100 % · 10 PP
Une onde sonore. Peut baisser la Déf. Spé.</t>
      </text>
    </comment>
    <comment ref="B3746" authorId="0" shapeId="0">
      <text>
        <t>Rapace — Vol, physique
Puissance 120 · Précision 100 % · 15 PP
Une charge en rase-mottes. Blesse le lanceur.</t>
      </text>
    </comment>
    <comment ref="C3746" authorId="0" shapeId="0">
      <text>
        <t>Tunnelier — Sol, physique
Puissance 80 · Précision 95 % · 10 PP
Tourne comme une perceuse. Critiques
fréquents.</t>
      </text>
    </comment>
    <comment ref="D3746" authorId="0" shapeId="0">
      <text>
        <t>Sécrétion — Insecte, statut
Précision 95 % · 40 PP
Ligote l'ennemi afin de réduire sa Vitesse.</t>
      </text>
    </comment>
    <comment ref="B3747" authorId="0" shapeId="0">
      <text>
        <t>Atterrissage — Vol, statut
5 PP
Rend au lanceur la moitié de ses PV max.</t>
      </text>
    </comment>
    <comment ref="C3747" authorId="0" shapeId="0">
      <text>
        <t>Colère — Dragon, physique
Puissance 120 · Précision 100 % · 10 PP
Une attaque furieuse sur 2 à 3 tours. Lanceur
confus.</t>
      </text>
    </comment>
    <comment ref="D3747" authorId="0" shapeId="0">
      <text>
        <t>Ball'Ombre — Spectre, spéciale
Puissance 80 · Précision 100 % · 15 PP
Projette une grande tache qui peut baisser la
Déf. Spé.</t>
      </text>
    </comment>
    <comment ref="B3748" authorId="0" shapeId="0">
      <text>
        <t>Vent Arrière — Vol, statut
15 PP</t>
      </text>
    </comment>
    <comment ref="C3748" authorId="0" shapeId="0">
      <text>
        <t>Dard Mortel — Insecte, physique
Puissance 50 · Précision 100 % · 25 PP
Monte énormément l'Attaque du lanceur s'il met
K.O.</t>
      </text>
    </comment>
    <comment ref="D3748" authorId="0" shapeId="0">
      <text>
        <t>Éco-Sphère — Plante, spéciale
Puissance 90 · Précision 100 % · 10 PP
Puise dans la nature. Peut baisser la Déf.
Spé.</t>
      </text>
    </comment>
    <comment ref="B3750" authorId="0" shapeId="0">
      <text>
        <t>CORAYON — Eau / Roche
PV 65 · Att 55 · Déf 95
Att.Spé 65 · Déf.Spé 95 · Vit 35
Total 410
Talents : Agitation, Médic Nature (caché :
  Régé-Force)</t>
      </text>
    </comment>
    <comment ref="C3750" authorId="0" shapeId="0">
      <text>
        <t>OCTILLERY — Eau
PV 75 · Att 105 · Déf 75
Att.Spé 105 · Déf.Spé 75 · Vit 45
Total 480
Talents : Ventouse, Sniper (caché : Lunatique)</t>
      </text>
    </comment>
    <comment ref="D3750" authorId="0" shapeId="0">
      <text>
        <t>DEMANTA — Eau / Vol
PV 85 · Att 40 · Déf 70
Att.Spé 80 · Déf.Spé 140 · Vit 70
Total 485
Talents : Glissade, Absorbe-Eau (caché :
  Ignifu-Voile)</t>
      </text>
    </comment>
    <comment ref="B3752" authorId="0" shapeId="0">
      <text>
        <t>Lentille Zoom
Monte la Précision si le porteur agit après
l'ennemi.</t>
      </text>
    </comment>
    <comment ref="C3752" authorId="0" shapeId="0">
      <text>
        <t>Restes
Objet tenu permet- tant de restaurer les PV au
combat.</t>
      </text>
    </comment>
    <comment ref="D3752" authorId="0" shapeId="0">
      <text>
        <t>Veste de Combat
Monte la Déf. Spé. mais empêche toute capacité
de statut.</t>
      </text>
    </comment>
    <comment ref="B3753" authorId="0" shapeId="0">
      <text>
        <t>Agitation
Substitue préc. par puiss.</t>
      </text>
    </comment>
    <comment ref="C3753" authorId="0" shapeId="0">
      <text>
        <t>Lunatique
Stats changeantes.</t>
      </text>
    </comment>
    <comment ref="D3753" authorId="0" shapeId="0">
      <text>
        <t>Absorbe-Eau
Change l'eau en PV.</t>
      </text>
    </comment>
    <comment ref="B3754" authorId="0" shapeId="0">
      <text>
        <t>Aqua-Brèche — Eau, physique
Puissance 85 · Précision 100 % · 10 PP
Un choc d'eau. Peut baisser la Défense.</t>
      </text>
    </comment>
    <comment ref="C3754" authorId="0" shapeId="0">
      <text>
        <t>Abri — Normal, statut
10 PP · Priorité +4</t>
      </text>
    </comment>
    <comment ref="D3754" authorId="0" shapeId="0">
      <text>
        <t>Voile Miroir — Psy, spéciale
Puissance 1 · Précision 100 % · 20 PP ·
Priorité -5
Renvoie l'attaque spéciale ennemie 2 fois plus
fort.</t>
      </text>
    </comment>
    <comment ref="B3755" authorId="0" shapeId="0">
      <text>
        <t>Fracass'Tête — Roche, physique
Puissance 150 · Précision 80 % · 5 PP
Un coup de tête suicidaire. Blesse beaucoup.</t>
      </text>
    </comment>
    <comment ref="C3755" authorId="0" shapeId="0">
      <text>
        <t>Octazooka — Eau, spéciale
Puissance 65 · Précision 85 % · 10 PP
Jet d'encre qui blesse et baisse la précision.</t>
      </text>
    </comment>
    <comment ref="D3755" authorId="0" shapeId="0">
      <text>
        <t>Canon Graine — Plante, physique
Puissance 80 · Précision 100 % · 15 PP
Une salve de graines dures sur l'ennemi.</t>
      </text>
    </comment>
    <comment ref="B3756" authorId="0" shapeId="0">
      <text>
        <t>Soin — Normal, statut
5 PP
Restaure jusqu'à la moitié des PV max du
lanceur.</t>
      </text>
    </comment>
    <comment ref="C3756" authorId="0" shapeId="0">
      <text>
        <t>Détricanon — Poison, physique
Puissance 120 · Précision 80 % · 5 PP
Des ordures sur l'ennemi. Peut empoisonner.</t>
      </text>
    </comment>
    <comment ref="D3756" authorId="0" shapeId="0">
      <text>
        <t>Hydro-Queue — Eau, physique
Puissance 90 · Précision 90 % · 10 PP
Balaie l'ennemi de sa queue comme une vague.</t>
      </text>
    </comment>
    <comment ref="B3757" authorId="0" shapeId="0">
      <text>
        <t>Coup Bas — Ténèbres, physique
Puissance 70 · Précision 100 % · 5 PP ·
Priorité +1</t>
      </text>
    </comment>
    <comment ref="C3757" authorId="0" shapeId="0">
      <text>
        <t>Boule Roc — Roche, physique
Puissance 25 · Précision 90 % · 10 PP
Projette des rochers sur l'ennemi 2 à 5 fois
de suite.</t>
      </text>
    </comment>
    <comment ref="D3757" authorId="0" shapeId="0">
      <text>
        <t>Boule Roc — Roche, physique
Puissance 25 · Précision 90 % · 10 PP
Projette des rochers sur l'ennemi 2 à 5 fois
de suite.</t>
      </text>
    </comment>
    <comment ref="B3759" authorId="0" shapeId="0">
      <text>
        <t>STAROSS — Eau / Psy
PV 60 · Att 75 · Déf 85
Att.Spé 100 · Déf.Spé 85 · Vit 115
Total 520
Talents : Lumiattirance, Médic Nature (caché :
  Analyste)</t>
      </text>
    </comment>
    <comment ref="C3759" authorId="0" shapeId="0">
      <text>
        <t>POISSOROY — Eau
PV 80 · Att 92 · Déf 65
Att.Spé 65 · Déf.Spé 80 · Vit 68
Total 450
Talents : Glissade, Ignifu-Voile (caché :
  Paratonnerre)</t>
      </text>
    </comment>
    <comment ref="D3759" authorId="0" shapeId="0">
      <text>
        <t>AKWAKWAK — Eau
PV 80 · Att 82 · Déf 78
Att.Spé 95 · Déf.Spé 80 · Vit 85
Total 500
Talents : Moiteur, Ciel Gris (caché :
  Glissade)</t>
      </text>
    </comment>
    <comment ref="B3761" authorId="0" shapeId="0">
      <text>
        <t>Ralentiqueue</t>
      </text>
    </comment>
    <comment ref="C3761" authorId="0" shapeId="0">
      <text>
        <t>Roche Royale</t>
      </text>
    </comment>
    <comment ref="D3761" authorId="0" shapeId="0">
      <text>
        <t>Lentilscope
Objet tenu pour monter le taux de critiques.</t>
      </text>
    </comment>
    <comment ref="B3762" authorId="0" shapeId="0">
      <text>
        <t>Analyste
Renforce si agit en dernier.</t>
      </text>
    </comment>
    <comment ref="C3762" authorId="0" shapeId="0">
      <text>
        <t>Paratonnerre
Attire attaques élec.</t>
      </text>
    </comment>
    <comment ref="D3762" authorId="0" shapeId="0">
      <text>
        <t>Ciel Gris
Ignore l'effet du climat.</t>
      </text>
    </comment>
    <comment ref="B3763" authorId="0" shapeId="0">
      <text>
        <t>Plongée — Eau, physique
Puissance 80 · Précision 100 % · 10 PP
Plonge en apnée au premier tour et frappe au
second.</t>
      </text>
    </comment>
    <comment ref="C3763" authorId="0" shapeId="0">
      <text>
        <t>Tunnelier — Sol, physique
Puissance 80 · Précision 95 % · 10 PP
Tourne comme une perceuse. Critiques
fréquents.</t>
      </text>
    </comment>
    <comment ref="D3763" authorId="0" shapeId="0">
      <text>
        <t>Coup Croix — Combat, physique
Puissance 100 · Précision 80 % · 5 PP
2 attaques tranchantes. Taux de critiques
élevé.</t>
      </text>
    </comment>
    <comment ref="B3764" authorId="0" shapeId="0">
      <text>
        <t>Avalanche — Glace, physique
Puissance 60 · Précision 100 % · 10 PP ·
Priorité -4</t>
      </text>
    </comment>
    <comment ref="C3764" authorId="0" shapeId="0">
      <text>
        <t>Acupression — Normal, statut
30 PP
Monte beaucoup une stat au hasard.</t>
      </text>
    </comment>
    <comment ref="D3764" authorId="0" shapeId="0">
      <text>
        <t>Aqua-Jet — Eau, physique
Puissance 40 · Précision 100 % · 20 PP ·
Priorité +1
Fonce sur l'ennemi et frappe en premier.</t>
      </text>
    </comment>
    <comment ref="B3765" authorId="0" shapeId="0">
      <text>
        <t>Malédiction — Spectre, statut
10 PP
Coup qui fonctionne autre- ment pour les
Spectres.</t>
      </text>
    </comment>
    <comment ref="C3765" authorId="0" shapeId="0">
      <text>
        <t>Rafale Écailles — Dragon, physique
Puissance 25 · Précision 90 % · 20 PP
2 à 5 écailles. Monte la Vit., baisse la Déf.</t>
      </text>
    </comment>
    <comment ref="D3765" authorId="0" shapeId="0">
      <text>
        <t>Griffe Ombre — Spectre, physique
Puissance 70 · Précision 100 % · 15 PP
Une griffe d'ombre. Critiques fréquents.</t>
      </text>
    </comment>
    <comment ref="B3766" authorId="0" shapeId="0">
      <text>
        <t>Soin — Normal, statut
5 PP
Restaure jusqu'à la moitié des PV max du
lanceur.</t>
      </text>
    </comment>
    <comment ref="C3766" authorId="0" shapeId="0">
      <text>
        <t>Mimi-Queue — Normal, statut
Précision 100 % · 30 PP
Remue la queue pour baisser la Défense de
l'ennemi.</t>
      </text>
    </comment>
    <comment ref="D3766" authorId="0" shapeId="0">
      <text>
        <t>Bâillement — Normal, statut
10 PP
Fait bâiller l'ennemi qui s'endort au tour
suivant.</t>
      </text>
    </comment>
    <comment ref="B3768" authorId="0" shapeId="0">
      <text>
        <t>TENTACRUEL — Eau / Poison
PV 80 · Att 70 · Déf 65
Att.Spé 80 · Déf.Spé 120 · Vit 100
Total 515
Talents : Corps Sain, Suintement (caché :
  Cuvette)</t>
      </text>
    </comment>
    <comment ref="C3768" authorId="0" shapeId="0">
      <text>
        <t>LEVIATOR — Eau / Vol
PV 95 · Att 125 · Déf 79
Att.Spé 60 · Déf.Spé 100 · Vit 81
Total 540
Talents : Intimidation (caché : Impudence)</t>
      </text>
    </comment>
    <comment ref="D3768" authorId="0" shapeId="0">
      <text>
        <t>HYPOROI — Eau / Dragon
PV 75 · Att 95 · Déf 95
Att.Spé 95 · Déf.Spé 95 · Vit 85
Total 540
Talents : Glissade, Sniper (caché : Moiteur)</t>
      </text>
    </comment>
    <comment ref="D3770" authorId="0" shapeId="0">
      <text>
        <t>Lentilscope
Objet tenu pour monter le taux de critiques.</t>
      </text>
    </comment>
    <comment ref="B3771" authorId="0" shapeId="0">
      <text>
        <t>Suintement
Blesse quand drainé.</t>
      </text>
    </comment>
    <comment ref="C3771" authorId="0" shapeId="0">
      <text>
        <t>Impudence
Un K.O. monte l'Attaque.</t>
      </text>
    </comment>
    <comment ref="D3771" authorId="0" shapeId="0">
      <text>
        <t>Sniper
Renforce les critiques.</t>
      </text>
    </comment>
    <comment ref="B3772" authorId="0" shapeId="0">
      <text>
        <t>Détricanon — Poison, physique
Puissance 120 · Précision 80 % · 5 PP
Des ordures sur l'ennemi. Peut empoisonner.</t>
      </text>
    </comment>
    <comment ref="C3772" authorId="0" shapeId="0">
      <text>
        <t>Mâchouille — Ténèbres, physique
Puissance 80 · Précision 100 % · 15 PP</t>
      </text>
    </comment>
    <comment ref="D3772" authorId="0" shapeId="0">
      <text>
        <t>Draco-Choc — Dragon, spéciale
Puissance 85 · Précision 100 % · 10 PP
Une onde de choc qui blesse l'ennemi.</t>
      </text>
    </comment>
    <comment ref="B3773" authorId="0" shapeId="0">
      <text>
        <t>Eau Revoir — Eau, physique
Puissance 60 · Précision 100 % · 20 PP
Attaque puis échange sa place avec un allié.</t>
      </text>
    </comment>
    <comment ref="C3773" authorId="0" shapeId="0">
      <text>
        <t>Séisme — Sol, physique
Puissance 100 · Précision 100 % · 10 PP
Secousse sans effet sur les adversaires
volants.</t>
      </text>
    </comment>
    <comment ref="D3773" authorId="0" shapeId="0">
      <text>
        <t>Brouillard — Normal, statut
Précision 100 % · 20 PP
Baisse la précision ennemie utilisant fumée,
encre, etc.</t>
      </text>
    </comment>
    <comment ref="B3774" authorId="0" shapeId="0">
      <text>
        <t>Pics Toxik — Poison, statut
20 PP
Des pics qui empoisonnent l'arrivant.</t>
      </text>
    </comment>
    <comment ref="C3774" authorId="0" shapeId="0">
      <text>
        <t>Frénésie — Normal, physique
Puissance 20 · Précision 100 % · 20 PP
Augmente l'Attaque du lanceur à chaque coup
reçu.</t>
      </text>
    </comment>
    <comment ref="D3774" authorId="0" shapeId="0">
      <text>
        <t>Saumure — Eau, spéciale
Puissance 65 · Précision 100 % · 10 PP
Double les dégâts si l'ennemi a mi-PV ou
moins.</t>
      </text>
    </comment>
    <comment ref="B3775" authorId="0" shapeId="0">
      <text>
        <t>Tour Rapide — Normal, physique
Puissance 50 · Précision 100 % · 40 PP</t>
      </text>
    </comment>
    <comment ref="C3775" authorId="0" shapeId="0">
      <text>
        <t>Grimace — Normal, statut
Précision 100 % · 10 PP
Effraie avec une grimace pour baisser la
Vitesse.</t>
      </text>
    </comment>
    <comment ref="D3775" authorId="0" shapeId="0">
      <text>
        <t>Puissance — Normal, statut
30 PP
Concentration pour booster le taux de
critiques.</t>
      </text>
    </comment>
    <comment ref="B3778" authorId="0" shapeId="0">
      <text>
        <t>KANGOUREX — Normal
PV 105 · Att 95 · Déf 80
Att.Spé 40 · Déf.Spé 80 · Vit 90
Total 490
Talents : Matinal, Querelleur (caché :
  Attention)</t>
      </text>
    </comment>
    <comment ref="C3778" authorId="0" shapeId="0">
      <text>
        <t>SOLAROC — Roche / Psy
PV 90 · Att 95 · Déf 85
Att.Spé 55 · Déf.Spé 65 · Vit 70
Total 460
Talents : Lévitation</t>
      </text>
    </comment>
    <comment ref="D3778" authorId="0" shapeId="0">
      <text>
        <t>SELEROC — Roche / Psy
PV 90 · Att 55 · Déf 65
Att.Spé 95 · Déf.Spé 85 · Vit 70
Total 460
Talents : Lévitation</t>
      </text>
    </comment>
    <comment ref="D3780" authorId="0" shapeId="0">
      <text>
        <t>Joyau Normal
Renforce une fois une capacité de type Normal.</t>
      </text>
    </comment>
    <comment ref="B3781" authorId="0" shapeId="0">
      <text>
        <t>Querelleur
Peut toucher les Spectres.</t>
      </text>
    </comment>
    <comment ref="C3781" authorId="0" shapeId="0">
      <text>
        <t>Lévitation
Ignore les attaques Sol.</t>
      </text>
    </comment>
    <comment ref="D3781" authorId="0" shapeId="0">
      <text>
        <t>Lévitation
Ignore les attaques Sol.</t>
      </text>
    </comment>
    <comment ref="B3782" authorId="0" shapeId="0">
      <text>
        <t>Retour — Normal, physique
Puissance 1 · Précision 100 % · 20 PP
Attaque dont la puissance dépend de l'amitié.</t>
      </text>
    </comment>
    <comment ref="C3782" authorId="0" shapeId="0">
      <text>
        <t>Pouvoir Antique — Roche, spéciale
Puissance 60 · Précision 100 % · 5 PP
Une attaque pouvant augmenter toutes les
stats.</t>
      </text>
    </comment>
    <comment ref="D3782" authorId="0" shapeId="0">
      <text>
        <t>Explosion — Normal, physique
Puissance 250 · Précision 100 % · 5 PP
Inflige de sérieux dégâts, mais met le lanceur
KO.</t>
      </text>
    </comment>
    <comment ref="B3783" authorId="0" shapeId="0">
      <text>
        <t>Poing Boost — Combat, physique
Puissance 40 · Précision 100 % · 20 PP
Un poing dur qui monte l'Attaque du lanceur.</t>
      </text>
    </comment>
    <comment ref="C3783" authorId="0" shapeId="0">
      <text>
        <t>Acrobatie — Vol, physique
Puissance 55 · Précision 100 % · 15 PP
Double les dégâts si le lanceur n'a pas
d'objet.</t>
      </text>
    </comment>
    <comment ref="B3784" authorId="0" shapeId="0">
      <text>
        <t>Baston — Ténèbres, physique
Puissance 1 · Précision 100 % · 10 PP
Appelle un Pokémon qui se joint à l'attaque.</t>
      </text>
    </comment>
    <comment ref="C3784" authorId="0" shapeId="0">
      <text>
        <t>Lance-Flammes — Feu, spéciale
Puissance 90 · Précision 100 % · 15 PP
Une puissante attaque de feu pouvant brûler
l'ennemi.</t>
      </text>
    </comment>
    <comment ref="B3785" authorId="0" shapeId="0">
      <text>
        <t>Entrave — Normal, statut
Précision 100 % · 20 PP</t>
      </text>
    </comment>
    <comment ref="C3785" authorId="0" shapeId="0">
      <text>
        <t>Protection — Psy, statut
20 PP
Crée un mur lumineux. Affaiblit att.
physiques.</t>
      </text>
    </comment>
    <comment ref="B3787" authorId="0" shapeId="0">
      <text>
        <t>FEROSINGE — Combat
PV 40 · Att 80 · Déf 35
Att.Spé 35 · Déf.Spé 45 · Vit 70
Total 305
Talents : Esprit Vital, Colérique (caché :
  Acharné)</t>
      </text>
    </comment>
    <comment ref="C3787" authorId="0" shapeId="0">
      <text>
        <t>BOULDENEU — Plante
PV 100 · Att 100 · Déf 125
Att.Spé 110 · Déf.Spé 50 · Vit 50
Total 535
Talents : Chlorophylle, Feuille Garde (caché :
  Régé-Force)</t>
      </text>
    </comment>
    <comment ref="D3787" authorId="0" shapeId="0">
      <text>
        <t>TROPIUS — Plante / Vol
PV 99 · Att 68 · Déf 83
Att.Spé 72 · Déf.Spé 87 · Vit 51
Total 460
Talents : Chlorophylle, Force Soleil (caché :
  Récolte)</t>
      </text>
    </comment>
    <comment ref="B3789" authorId="0" shapeId="0">
      <text>
        <t>Joyau Vol
Renforce une fois une capacité de type Vol.</t>
      </text>
    </comment>
    <comment ref="C3789" authorId="0" shapeId="0">
      <text>
        <t>Restes
Objet tenu permet- tant de restaurer les PV au
combat.</t>
      </text>
    </comment>
    <comment ref="B3790" authorId="0" shapeId="0">
      <text>
        <t>Esprit Vital
Empêche le sommeil.</t>
      </text>
    </comment>
    <comment ref="C3790" authorId="0" shapeId="0">
      <text>
        <t>Feuille Garde
Pas de statut au soleil.</t>
      </text>
    </comment>
    <comment ref="D3790" authorId="0" shapeId="0">
      <text>
        <t>Récolte
Peut recycler une Baie.</t>
      </text>
    </comment>
    <comment ref="B3791" authorId="0" shapeId="0">
      <text>
        <t>Acrobatie — Vol, physique
Puissance 55 · Précision 100 % · 15 PP
Double les dégâts si le lanceur n'a pas
d'objet.</t>
      </text>
    </comment>
    <comment ref="C3791" authorId="0" shapeId="0">
      <text>
        <t>Racines — Plante, statut
20 PP
Plante des racines, regagne PV, ne peut plus
changer.</t>
      </text>
    </comment>
    <comment ref="D3791" authorId="0" shapeId="0">
      <text>
        <t>Danse Draco — Dragon, statut
20 PP
Danse mystique augmentant l'Attaque et la
Vitesse.</t>
      </text>
    </comment>
    <comment ref="B3792" authorId="0" shapeId="0">
      <text>
        <t>Close Combat — Combat, physique
Puissance 120 · Précision 100 % · 5 PP</t>
      </text>
    </comment>
    <comment ref="C3792" authorId="0" shapeId="0">
      <text>
        <t>Mégafouet — Plante, physique
Puissance 120 · Précision 85 % · 10 PP
Fouette l'ennemi de lianes ou de tentacules.</t>
      </text>
    </comment>
    <comment ref="D3792" authorId="0" shapeId="0">
      <text>
        <t>Draco-Marteau — Dragon, physique
Puissance 90 · Précision 100 % · 15 PP
Balance tout son corps comme un marteau.</t>
      </text>
    </comment>
    <comment ref="B3793" authorId="0" shapeId="0">
      <text>
        <t>Provoc — Ténèbres, statut
Précision 100 % · 20 PP
Provoque l'ennemi. L'oblige à utiliser ses
attaques.</t>
      </text>
    </comment>
    <comment ref="C3793" authorId="0" shapeId="0">
      <text>
        <t>Vampigraine — Plante, statut
Précision 90 % · 10 PP
Plante des graines pour voler des PV à chaque
tour.</t>
      </text>
    </comment>
    <comment ref="D3793" authorId="0" shapeId="0">
      <text>
        <t>Tempête Florale — Plante, physique
Puissance 90 · Précision 100 % · 15 PP
Une tempête de pétales sur tout le monde.</t>
      </text>
    </comment>
    <comment ref="B3794" authorId="0" shapeId="0">
      <text>
        <t>Demi-Tour — Insecte, physique
Puissance 70 · Précision 100 % · 20 PP</t>
      </text>
    </comment>
    <comment ref="C3794" authorId="0" shapeId="0">
      <text>
        <t>Abri — Normal, statut
10 PP · Priorité +4</t>
      </text>
    </comment>
    <comment ref="D3794" authorId="0" shapeId="0">
      <text>
        <t>Rune Protect — Normal, statut
25 PP
Force mystique empêchant tout changement de
statut.</t>
      </text>
    </comment>
    <comment ref="B3796" authorId="0" shapeId="0">
      <text>
        <t>COLOSSINGE — Combat
PV 65 · Att 105 · Déf 60
Att.Spé 60 · Déf.Spé 70 · Vit 95
Total 455
Talents : Esprit Vital, Colérique (caché :
  Acharné)</t>
      </text>
    </comment>
    <comment ref="C3796" authorId="0" shapeId="0">
      <text>
        <t>HARIYAMA — Combat
PV 144 · Att 120 · Déf 60
Att.Spé 40 · Déf.Spé 60 · Vit 50
Total 474
Talents : Isograisse, Cran (caché : Sans
  Limite)</t>
      </text>
    </comment>
    <comment ref="D3796" authorId="0" shapeId="0">
      <text>
        <t>MACHOPEUR — Combat
PV 80 · Att 100 · Déf 70
Att.Spé 50 · Déf.Spé 60 · Vit 45
Total 405
Talents : Cran, Annule Garde (caché :
  Impassible)</t>
      </text>
    </comment>
    <comment ref="C3798" authorId="0" shapeId="0">
      <text>
        <t>Dé Pipé
Fait de gros scores. Les coups multiples
frappent plus.</t>
      </text>
    </comment>
    <comment ref="B3799" authorId="0" shapeId="0">
      <text>
        <t>Colérique
Attaque au max si critique.</t>
      </text>
    </comment>
    <comment ref="C3799" authorId="0" shapeId="0">
      <text>
        <t>Isograisse
Contre chaleur et froid.</t>
      </text>
    </comment>
    <comment ref="D3799" authorId="0" shapeId="0">
      <text>
        <t>Annule Garde
Aucune capacité ne rate.</t>
      </text>
    </comment>
    <comment ref="B3800" authorId="0" shapeId="0">
      <text>
        <t>Coup Croix — Combat, physique
Puissance 100 · Précision 80 % · 5 PP
2 attaques tranchantes. Taux de critiques
élevé.</t>
      </text>
    </comment>
    <comment ref="C3800" authorId="0" shapeId="0">
      <text>
        <t>Séisme — Sol, physique
Puissance 100 · Précision 100 % · 10 PP
Secousse sans effet sur les adversaires
volants.</t>
      </text>
    </comment>
    <comment ref="D3800" authorId="0" shapeId="0">
      <text>
        <t>Dynamo-Poing — Combat, physique
Puissance 100 · Précision 50 % · 5 PP
Puissant et rend confus, mais pas très précis.</t>
      </text>
    </comment>
    <comment ref="B3801" authorId="0" shapeId="0">
      <text>
        <t>Malédiction — Spectre, statut
10 PP
Coup qui fonctionne autre- ment pour les
Spectres.</t>
      </text>
    </comment>
    <comment ref="C3801" authorId="0" shapeId="0">
      <text>
        <t>Cogne — Combat, physique
Puissance 15 · Précision 100 % · 20 PP
Coups de poing arrêtés qui frappent 2 à 5
fois.</t>
      </text>
    </comment>
    <comment ref="D3801" authorId="0" shapeId="0">
      <text>
        <t>Pisto-Poing — Acier, physique
Puissance 40 · Précision 100 % · 30 PP ·
Priorité +1
Un poing comme une balle. Frappe d'abord.</t>
      </text>
    </comment>
    <comment ref="B3802" authorId="0" shapeId="0">
      <text>
        <t>Poing de Colère — Spectre, physique
Puissance 50 · Précision 100 % · 10 PP
Plus le lanceur a été touché, plus c'est fort.</t>
      </text>
    </comment>
    <comment ref="C3802" authorId="0" shapeId="0">
      <text>
        <t>Gonflette — Combat, statut
20 PP
Se gonfle pour booster l'Attaque et la
Défense.</t>
      </text>
    </comment>
    <comment ref="D3802" authorId="0" shapeId="0">
      <text>
        <t>Gonflette — Combat, statut
20 PP
Se gonfle pour booster l'Attaque et la
Défense.</t>
      </text>
    </comment>
    <comment ref="B3803" authorId="0" shapeId="0">
      <text>
        <t>Poing Glace — Glace, physique
Puissance 75 · Précision 100 % · 15 PP</t>
      </text>
    </comment>
    <comment ref="C3803" authorId="0" shapeId="0">
      <text>
        <t>Sabotage — Ténèbres, physique
Puissance 65 · Précision 100 % · 20 PP
Frappe l'objet tenu pour le rendre
inutilisable.</t>
      </text>
    </comment>
    <comment ref="D3803" authorId="0" shapeId="0">
      <text>
        <t>Double Baffe — Dragon, physique
Puissance 40 · Précision 90 % · 15 PP
Des coups brutaux qui frappent deux fois.</t>
      </text>
    </comment>
    <comment ref="B3806" authorId="0" shapeId="0">
      <text>
        <t>SCARABRUTE — Insecte
PV 65 · Att 125 · Déf 100
Att.Spé 55 · Déf.Spé 70 · Vit 85
Total 500
Talents : Hyper Cutter, Brise Moule (caché :
  Impudence)</t>
      </text>
    </comment>
    <comment ref="C3806" authorId="0" shapeId="0">
      <text>
        <t>INSECATEUR — Insecte / Vol
PV 70 · Att 110 · Déf 80
Att.Spé 55 · Déf.Spé 80 · Vit 105
Total 500
Talents : Essaim, Technicien (caché :
  Impassible)</t>
      </text>
    </comment>
    <comment ref="B3808" authorId="0" shapeId="0">
      <text>
        <t>Orbe Vie
Renforce les coups, mais coûte des PV à chaque
coup.</t>
      </text>
    </comment>
    <comment ref="C3808" authorId="0" shapeId="0">
      <text>
        <t>Évoluroc
Monte Déf. et Déf. Spé. d'un Pokémon qui peut
évoluer.</t>
      </text>
    </comment>
    <comment ref="B3809" authorId="0" shapeId="0">
      <text>
        <t>Hyper Cutter
Empêche réduction Attaque.</t>
      </text>
    </comment>
    <comment ref="C3809" authorId="0" shapeId="0">
      <text>
        <t>Technicien
Renforce les coups faibles.</t>
      </text>
    </comment>
    <comment ref="B3810" authorId="0" shapeId="0">
      <text>
        <t>Close Combat — Combat, physique
Puissance 120 · Précision 100 % · 5 PP</t>
      </text>
    </comment>
    <comment ref="C3810" authorId="0" shapeId="0">
      <text>
        <t>Coupe Psycho — Psy, physique
Puissance 70 · Précision 100 % · 20 PP
Des lames psychiques. Critiques fréquents.</t>
      </text>
    </comment>
    <comment ref="B3811" authorId="0" shapeId="0">
      <text>
        <t>Damoclès — Normal, physique
Puissance 120 · Précision 100 % · 15 PP
Une dangereuse charge qui blesse aussi le
lanceur.</t>
      </text>
    </comment>
    <comment ref="C3811" authorId="0" shapeId="0">
      <text>
        <t>Ailes d'Acier — Acier, physique
Puissance 70 · Précision 90 % · 25 PP
Frappe l'ennemi en déployant des ailes
d'acier.</t>
      </text>
    </comment>
    <comment ref="B3812" authorId="0" shapeId="0">
      <text>
        <t>Colère — Dragon, physique
Puissance 120 · Précision 100 % · 10 PP
Une attaque furieuse sur 2 à 3 tours. Lanceur
confus.</t>
      </text>
    </comment>
    <comment ref="C3812" authorId="0" shapeId="0">
      <text>
        <t>Atterrissage — Vol, statut
5 PP
Rend au lanceur la moitié de ses PV max.</t>
      </text>
    </comment>
    <comment ref="B3813" authorId="0" shapeId="0">
      <text>
        <t>Éboulement — Roche, physique
Puissance 75 · Précision 90 % · 10 PP
Envoie de gros rochers. Peut apeurer l'ennemi.</t>
      </text>
    </comment>
    <comment ref="C3813" authorId="0" shapeId="0">
      <text>
        <t>Piqûre — Insecte, physique
Puissance 60 · Précision 100 % · 20 PP</t>
      </text>
    </comment>
    <comment ref="B3815" authorId="0" shapeId="0">
      <text>
        <t>PAPILUSION — Insecte / Vol
PV 60 · Att 45 · Déf 50
Att.Spé 90 · Déf.Spé 80 · Vit 70
Total 395
Talents : Œil Composé (caché : Lentiteintée)</t>
      </text>
    </comment>
    <comment ref="C3815" authorId="0" shapeId="0">
      <text>
        <t>SCARHINO — Insecte / Combat
PV 80 · Att 125 · Déf 75
Att.Spé 40 · Déf.Spé 95 · Vit 85
Total 500
Talents : Essaim, Cran (caché : Impudence)</t>
      </text>
    </comment>
    <comment ref="B3817" authorId="0" shapeId="0">
      <text>
        <t>Poudre Claire
Objet tenu qui éblouit et baisse la précision.</t>
      </text>
    </comment>
    <comment ref="C3817" authorId="0" shapeId="0">
      <text>
        <t>Orbe Flamme
Orbe étrange qui brûle son porteur en combat.</t>
      </text>
    </comment>
    <comment ref="B3818" authorId="0" shapeId="0">
      <text>
        <t>Œil Composé
Augmente la précision.</t>
      </text>
    </comment>
    <comment ref="C3818" authorId="0" shapeId="0">
      <text>
        <t>Cran
Monte l'Attaque si statut.</t>
      </text>
    </comment>
    <comment ref="B3819" authorId="0" shapeId="0">
      <text>
        <t>Vent Violent — Vol, spéciale
Puissance 110 · Précision 70 % · 10 PP
Un vent violent. Peut rendre confus.</t>
      </text>
    </comment>
    <comment ref="C3819" authorId="0" shapeId="0">
      <text>
        <t>Façade — Normal, physique
Puissance 70 · Précision 100 % · 20 PP
Améliore l'Attaque si brûlé, paralysé ou
empoisonné.</t>
      </text>
    </comment>
    <comment ref="B3820" authorId="0" shapeId="0">
      <text>
        <t>Papillodanse — Insecte, statut
20 PP
Monte l'Atq. Spé., la Déf. Spé. et la Vit.</t>
      </text>
    </comment>
    <comment ref="C3820" authorId="0" shapeId="0">
      <text>
        <t>Close Combat — Combat, physique
Puissance 120 · Précision 100 % · 5 PP</t>
      </text>
    </comment>
    <comment ref="B3821" authorId="0" shapeId="0">
      <text>
        <t>Rayon Signal — Insecte, spéciale
Puissance 75 · Précision 100 % · 15 PP
Un étrange rayon qui peut rendre l'ennemi
confus.</t>
      </text>
    </comment>
    <comment ref="C3821" authorId="0" shapeId="0">
      <text>
        <t>Exécu-Son — Ténèbres, physique
Puissance 80 · Précision 100 % · 15 PP
Bloque les capacités sonores pendant 2 tours.</t>
      </text>
    </comment>
    <comment ref="B3822" authorId="0" shapeId="0">
      <text>
        <t>Poudre Dodo — Plante, statut
Précision 75 % · 15 PP
Répand une poudre pouvant endormir l'ennemi.</t>
      </text>
    </comment>
    <comment ref="C3822" authorId="0" shapeId="0">
      <text>
        <t>Mégacorne — Insecte, physique
Puissance 120 · Précision 85 % · 10 PP
Une charge violente, toutes cornes en avant.</t>
      </text>
    </comment>
    <comment ref="B3825" authorId="0" shapeId="0">
      <text>
        <t>HELEDELLE — Normal / Vol
PV 60 · Att 85 · Déf 60
Att.Spé 75 · Déf.Spé 50 · Vit 125
Total 455
Talents : Cran (caché : Querelleur)</t>
      </text>
    </comment>
    <comment ref="C3825" authorId="0" shapeId="0">
      <text>
        <t>SAQUEDENEU — Plante
PV 65 · Att 55 · Déf 115
Att.Spé 100 · Déf.Spé 40 · Vit 60
Total 435
Talents : Chlorophylle, Feuille Garde (caché :
  Régé-Force)</t>
      </text>
    </comment>
    <comment ref="D3825" authorId="0" shapeId="0">
      <text>
        <t>ECREMEUH — Normal
PV 95 · Att 80 · Déf 105
Att.Spé 40 · Déf.Spé 70 · Vit 100
Total 490
Talents : Isograisse, Querelleur (caché :
  Herbivore)</t>
      </text>
    </comment>
    <comment ref="C3827" authorId="0" shapeId="0">
      <text>
        <t>Évoluroc
Monte Déf. et Déf. Spé. d'un Pokémon qui peut
évoluer.</t>
      </text>
    </comment>
    <comment ref="B3828" authorId="0" shapeId="0">
      <text>
        <t>Querelleur
Peut toucher les Spectres.</t>
      </text>
    </comment>
    <comment ref="C3828" authorId="0" shapeId="0">
      <text>
        <t>Chlorophylle
Augmente Vitesse au soleil.</t>
      </text>
    </comment>
    <comment ref="D3828" authorId="0" shapeId="0">
      <text>
        <t>Isograisse
Contre chaleur et froid.</t>
      </text>
    </comment>
    <comment ref="B3829" authorId="0" shapeId="0">
      <text>
        <t>Canicule — Feu, spéciale
Puissance 95 · Précision 90 % · 10 PP
Un souffle ardent pouvant brûler l'ennemi.</t>
      </text>
    </comment>
    <comment ref="C3829" authorId="0" shapeId="0">
      <text>
        <t>Giga-Sangsue — Plante, spéciale
Puissance 75 · Précision 100 % · 25 PP
Une attaque qui absorbe la moitié des dégâts
infligés.</t>
      </text>
    </comment>
    <comment ref="D3829" authorId="0" shapeId="0">
      <text>
        <t>Vengeance — Normal, physique
Puissance 70 · Précision 100 % · 5 PP
Plus puissant si un allié est tombé K.O.</t>
      </text>
    </comment>
    <comment ref="B3830" authorId="0" shapeId="0">
      <text>
        <t>Tranch'Air — Vol, spéciale
Puissance 60 · Précision 95 % · 25 PP
Un vent tranchant. Taux de critiques élevé.</t>
      </text>
    </comment>
    <comment ref="C3830" authorId="0" shapeId="0">
      <text>
        <t>Toxik — Poison, statut
Précision 90 % · 10 PP
Empoisonne l'ennemi avec une toxine de plus en
plus forte.</t>
      </text>
    </comment>
    <comment ref="D3830" authorId="0" shapeId="0">
      <text>
        <t>Séisme — Sol, physique
Puissance 100 · Précision 100 % · 10 PP
Secousse sans effet sur les adversaires
volants.</t>
      </text>
    </comment>
    <comment ref="B3831" authorId="0" shapeId="0">
      <text>
        <t>Danse Plumes — Vol, statut
Précision 100 % · 15 PP
Enveloppe l'ennemi de duvet et baisse
l'Attaque.</t>
      </text>
    </comment>
    <comment ref="C3831" authorId="0" shapeId="0">
      <text>
        <t>Clonage — Normal, statut
10 PP
Crée un leurre avec 1/4 des PV max du lanceur.</t>
      </text>
    </comment>
    <comment ref="D3831" authorId="0" shapeId="0">
      <text>
        <t>Glas de Soin — Normal, statut
5 PP
Carillon apaisant qui soigne tout changement
de statut.</t>
      </text>
    </comment>
    <comment ref="B3832" authorId="0" shapeId="0">
      <text>
        <t>Ultrason — Normal, statut
Précision 55 % · 20 PP
Étranges ondes sonores pouvant rendre confus.</t>
      </text>
    </comment>
    <comment ref="C3832" authorId="0" shapeId="0">
      <text>
        <t>Bombe Beurk — Poison, spéciale
Puissance 90 · Précision 100 % · 10 PP
Envoie des détritus pour blesser. Peut
empoisonner.</t>
      </text>
    </comment>
    <comment ref="D3832" authorId="0" shapeId="0">
      <text>
        <t>Lait à Boire — Normal, statut
5 PP
Regagne jusqu'à la moitié des PV max du
lanceur.</t>
      </text>
    </comment>
    <comment ref="B3834" authorId="0" shapeId="0">
      <text>
        <t>RATTATAC-A — Ténèbres / Normal
PV 75 · Att 71 · Déf 70
Att.Spé 40 · Déf.Spé 80 · Vit 77
Total 413
Talents : Gloutonnerie, Agitation (caché :
  Isograisse)</t>
      </text>
    </comment>
    <comment ref="C3834" authorId="0" shapeId="0">
      <text>
        <t>CIZAYOX — Insecte / Acier
PV 70 · Att 130 · Déf 100
Att.Spé 55 · Déf.Spé 80 · Vit 65
Total 500
Talents : Essaim, Technicien (caché : Light
  Metal)</t>
      </text>
    </comment>
    <comment ref="D3834" authorId="0" shapeId="0">
      <text>
        <t>PHYLLALI — Plante
PV 65 · Att 110 · Déf 130
Att.Spé 60 · Déf.Spé 65 · Vit 95
Total 525
Talents : Feuille Garde, Feuille Garde (caché
  : Chlorophylle)</t>
      </text>
    </comment>
    <comment ref="D3836" authorId="0" shapeId="0">
      <text>
        <t>Baie Sitrus
Objet tenu qui restaure 30 PV pendant un
combat.</t>
      </text>
    </comment>
    <comment ref="B3837" authorId="0" shapeId="0">
      <text>
        <t>Agitation
Substitue préc. par puiss.</t>
      </text>
    </comment>
    <comment ref="C3837" authorId="0" shapeId="0">
      <text>
        <t>Technicien
Renforce les coups faibles.</t>
      </text>
    </comment>
    <comment ref="D3837" authorId="0" shapeId="0">
      <text>
        <t>Feuille Garde
Pas de statut au soleil.</t>
      </text>
    </comment>
    <comment ref="B3838" authorId="0" shapeId="0">
      <text>
        <t>Mâchouille — Ténèbres, physique
Puissance 80 · Précision 100 % · 15 PP</t>
      </text>
    </comment>
    <comment ref="C3838" authorId="0" shapeId="0">
      <text>
        <t>Centrifugifle — Ténèbres, physique
Puissance 60 · Précision 100 % · 20 PP
Se démène et blesse tout le monde autour.</t>
      </text>
    </comment>
    <comment ref="D3838" authorId="0" shapeId="0">
      <text>
        <t>Lame Feuille — Plante, physique
Puissance 90 · Précision 100 % · 15 PP
Tranche avec une feuille. Taux de critiques
élevé.</t>
      </text>
    </comment>
    <comment ref="B3839" authorId="0" shapeId="0">
      <text>
        <t>Gonflette — Combat, statut
20 PP
Se gonfle pour booster l'Attaque et la
Défense.</t>
      </text>
    </comment>
    <comment ref="C3839" authorId="0" shapeId="0">
      <text>
        <t>Pisto-Poing — Acier, physique
Puissance 40 · Précision 100 % · 30 PP ·
Priorité +1
Un poing comme une balle. Frappe d'abord.</t>
      </text>
    </comment>
    <comment ref="D3839" authorId="0" shapeId="0">
      <text>
        <t>Queue de Fer — Acier, physique
Puissance 100 · Précision 75 % · 15 PP
Attaque avec la queue. Peut baisser la
Défense.</t>
      </text>
    </comment>
    <comment ref="B3840" authorId="0" shapeId="0">
      <text>
        <t>Dernier Recours — Normal, physique
Puissance 140 · Précision 100 % · 5 PP
Utilisable après toutes les autres capacités.</t>
      </text>
    </comment>
    <comment ref="C3840" authorId="0" shapeId="0">
      <text>
        <t>Danse Lames — Normal, statut
20 PP
Une danse de combat pour booster l'Attaque.</t>
      </text>
    </comment>
    <comment ref="D3840" authorId="0" shapeId="0">
      <text>
        <t>Vœu — Normal, statut
10 PP
Un vœu qui restaure les PV. Demande un certain
temps.</t>
      </text>
    </comment>
    <comment ref="B3841" authorId="0" shapeId="0">
      <text>
        <t>Vive-Attaque — Normal, physique
Puissance 40 · Précision 100 % · 30 PP ·
Priorité +1
Attaque fulgurante qui permet de frapper
d'abord.</t>
      </text>
    </comment>
    <comment ref="C3841" authorId="0" shapeId="0">
      <text>
        <t>Tourbi-Sable — Sol, physique
Puissance 35 · Précision 85 % · 15 PP</t>
      </text>
    </comment>
    <comment ref="D3841" authorId="0" shapeId="0">
      <text>
        <t>Détection — Combat, statut
5 PP · Priorité +4</t>
      </text>
    </comment>
    <comment ref="B3843" authorId="0" shapeId="0">
      <text>
        <t>MYSDIBULE — Acier / Fée
PV 50 · Att 85 · Déf 85
Att.Spé 55 · Déf.Spé 55 · Vit 50
Total 380
Talents : Hyper Cutter, Intimidation (caché :
  Sans Limite)</t>
      </text>
    </comment>
    <comment ref="C3843" authorId="0" shapeId="0">
      <text>
        <t>MAGMAR — Feu
PV 65 · Att 95 · Déf 57
Att.Spé 100 · Déf.Spé 85 · Vit 93
Total 495
Talents : Corps Ardent (caché : Esprit Vital)</t>
      </text>
    </comment>
    <comment ref="D3843" authorId="0" shapeId="0">
      <text>
        <t>ELEKABLE — Électrik
PV 75 · Att 123 · Déf 67
Att.Spé 95 · Déf.Spé 85 · Vit 95
Total 540
Talents : Motorisé (caché : Esprit Vital)</t>
      </text>
    </comment>
    <comment ref="C3845" authorId="0" shapeId="0">
      <text>
        <t>Baie Sitrus
Objet tenu qui restaure 30 PV pendant un
combat.</t>
      </text>
    </comment>
    <comment ref="D3845" authorId="0" shapeId="0">
      <text>
        <t>Lentille Zoom
Monte la Précision si le porteur agit après
l'ennemi.</t>
      </text>
    </comment>
    <comment ref="B3846" authorId="0" shapeId="0">
      <text>
        <t>Intimidation
Baisse l'Attaque ennemie.</t>
      </text>
    </comment>
    <comment ref="C3846" authorId="0" shapeId="0">
      <text>
        <t>Corps Ardent
Brûle l'ennemi au contact.</t>
      </text>
    </comment>
    <comment ref="D3846" authorId="0" shapeId="0">
      <text>
        <t>Motorisé
Électrik monte la Vitesse.</t>
      </text>
    </comment>
    <comment ref="B3847" authorId="0" shapeId="0">
      <text>
        <t>Crocs Givre — Glace, physique
Puissance 65 · Précision 95 % · 15 PP</t>
      </text>
    </comment>
    <comment ref="C3847" authorId="0" shapeId="0">
      <text>
        <t>Poing Feu — Feu, physique
Puissance 75 · Précision 100 % · 15 PP
Un poing de feu pouvant brûler l'ennemi.</t>
      </text>
    </comment>
    <comment ref="D3847" authorId="0" shapeId="0">
      <text>
        <t>Poing Éclair — Électrik, physique
Puissance 75 · Précision 100 % · 15 PP
Un poing électrique pouvant paralyser
l'ennemi.</t>
      </text>
    </comment>
    <comment ref="B3848" authorId="0" shapeId="0">
      <text>
        <t>Câlinerie — Fée, physique
Puissance 90 · Précision 90 % · 10 PP
Un câlin brutal. Peut baisser l'Attaque de
l'ennemi.</t>
      </text>
    </comment>
    <comment ref="C3848" authorId="0" shapeId="0">
      <text>
        <t>Cognobidon — Normal, statut
10 PP
Améliore l'Attaque à fond en sacrifiant la
moitié des PV.</t>
      </text>
    </comment>
    <comment ref="D3848" authorId="0" shapeId="0">
      <text>
        <t>Dynamo-Poing — Combat, physique
Puissance 100 · Précision 50 % · 5 PP
Puissant et rend confus, mais pas très précis.</t>
      </text>
    </comment>
    <comment ref="B3849" authorId="0" shapeId="0">
      <text>
        <t>Piège de Roc — Roche, statut
20 PP
Des pierres qui blessent l'ennemi à l'arrivée.</t>
      </text>
    </comment>
    <comment ref="C3849" authorId="0" shapeId="0">
      <text>
        <t>Mach Punch — Combat, physique
Puissance 40 · Précision 100 % · 30 PP ·
Priorité +1
Coup de poing fulgurant. Permet de frapper en
1{SUPER_ER}.</t>
      </text>
    </comment>
    <comment ref="D3849" authorId="0" shapeId="0">
      <text>
        <t>Chargeur — Électrik, statut
20 PP
Accumule de l'énergie pour la prochaine
capacité Électrik.</t>
      </text>
    </comment>
    <comment ref="B3850" authorId="0" shapeId="0">
      <text>
        <t>Psycho-Croc — Psy, physique
Puissance 85 · Précision 100 % · 15 PP
Des crocs psychiques. Détruit les barrières.</t>
      </text>
    </comment>
    <comment ref="C3850" authorId="0" shapeId="0">
      <text>
        <t>Double Baffe — Dragon, physique
Puissance 40 · Précision 90 % · 15 PP
Des coups brutaux qui frappent deux fois.</t>
      </text>
    </comment>
    <comment ref="D3850" authorId="0" shapeId="0">
      <text>
        <t>Bouclier — Psy, statut
20 PP
Crée une barrière pour booster la Défense.</t>
      </text>
    </comment>
    <comment ref="B3852" authorId="0" shapeId="0">
      <text>
        <t>AIRMURE — Acier / Vol
PV 65 · Att 80 · Déf 140
Att.Spé 40 · Déf.Spé 70 · Vit 70
Total 465
Talents : Regard Vif, Fermeté (caché :
  Armurouillée)</t>
      </text>
    </comment>
    <comment ref="C3852" authorId="0" shapeId="0">
      <text>
        <t>COLOSSINGE — Combat
PV 65 · Att 105 · Déf 60
Att.Spé 60 · Déf.Spé 70 · Vit 95
Total 455
Talents : Esprit Vital, Colérique (caché :
  Acharné)</t>
      </text>
    </comment>
    <comment ref="D3852" authorId="0" shapeId="0">
      <text>
        <t>TAUROS — Normal
PV 75 · Att 100 · Déf 95
Att.Spé 40 · Déf.Spé 70 · Vit 110
Total 490
Talents : Intimidation, Colérique (caché :
  Sans Limite)</t>
      </text>
    </comment>
    <comment ref="D3854" authorId="0" shapeId="0">
      <text>
        <t>Orbe Vie
Renforce les coups, mais coûte des PV à chaque
coup.</t>
      </text>
    </comment>
    <comment ref="B3855" authorId="0" shapeId="0">
      <text>
        <t>Regard Vif
Empêche perte de précision.</t>
      </text>
    </comment>
    <comment ref="C3855" authorId="0" shapeId="0">
      <text>
        <t>Colérique
Attaque au max si critique.</t>
      </text>
    </comment>
    <comment ref="D3855" authorId="0" shapeId="0">
      <text>
        <t>Sans Limite
Plus de force. Pas d'effet.</t>
      </text>
    </comment>
    <comment ref="B3856" authorId="0" shapeId="0">
      <text>
        <t>Mur de Fer — Acier, statut
15 PP
Endurcit le corps pour booster la Défense.</t>
      </text>
    </comment>
    <comment ref="C3856" authorId="0" shapeId="0">
      <text>
        <t>Frustration — Normal, physique
Puissance 1 · Précision 100 % · 20 PP
Attaque plus puissante si le Dresseur est mal
aimé.</t>
      </text>
    </comment>
    <comment ref="D3856" authorId="0" shapeId="0">
      <text>
        <t>Éclair Fou — Électrik, physique
Puissance 90 · Précision 100 % · 15 PP
Une charge électrique. Blesse le lanceur.</t>
      </text>
    </comment>
    <comment ref="B3857" authorId="0" shapeId="0">
      <text>
        <t>Allègement — Acier, statut
15 PP
S'allège pour monter beaucoup la Vitesse.</t>
      </text>
    </comment>
    <comment ref="C3857" authorId="0" shapeId="0">
      <text>
        <t>Close Combat — Combat, physique
Puissance 120 · Précision 100 % · 5 PP</t>
      </text>
    </comment>
    <comment ref="D3857" authorId="0" shapeId="0">
      <text>
        <t>Piétisol — Sol, physique
Puissance 60 · Précision 100 % · 20 PP
Piétine le sol. Touche tout et baisse la Vit.</t>
      </text>
    </comment>
    <comment ref="B3858" authorId="0" shapeId="0">
      <text>
        <t>Bec Vrille — Vol, physique
Puissance 80 · Précision 100 % · 20 PP
Une attaque utilisant le bec comme une
perceuse.</t>
      </text>
    </comment>
    <comment ref="C3858" authorId="0" shapeId="0">
      <text>
        <t>Cent Rancunes — Ténèbres, physique
Puissance 75 · Précision 100 % · 5 PP
Double si les stats du lanceur ont baissé.</t>
      </text>
    </comment>
    <comment ref="D3858" authorId="0" shapeId="0">
      <text>
        <t>Taurogne — Normal, physique
Puissance 90 · Précision 100 % · 10 PP
Une charge qui brise les barrières.</t>
      </text>
    </comment>
    <comment ref="B3859" authorId="0" shapeId="0">
      <text>
        <t>Éboulement — Roche, physique
Puissance 75 · Précision 90 % · 10 PP
Envoie de gros rochers. Peut apeurer l'ennemi.</t>
      </text>
    </comment>
    <comment ref="C3859" authorId="0" shapeId="0">
      <text>
        <t>Provoc — Ténèbres, statut
Précision 100 % · 20 PP
Provoque l'ennemi. L'oblige à utiliser ses
attaques.</t>
      </text>
    </comment>
    <comment ref="D3859" authorId="0" shapeId="0">
      <text>
        <t>Puissance — Normal, statut
30 PP
Concentration pour booster le taux de
critiques.</t>
      </text>
    </comment>
    <comment ref="B3862" authorId="0" shapeId="0">
      <text>
        <t>ROSABYSS — Eau
PV 55 · Att 84 · Déf 105
Att.Spé 114 · Déf.Spé 75 · Vit 52
Total 485
Talents : Glissade (caché : Hydratation)</t>
      </text>
    </comment>
    <comment ref="C3862" authorId="0" shapeId="0">
      <text>
        <t>LOVDISC — Eau
PV 43 · Att 30 · Déf 55
Att.Spé 40 · Déf.Spé 65 · Vit 97
Total 330
Talents : Glissade (caché : Hydratation)</t>
      </text>
    </comment>
    <comment ref="D3862" authorId="0" shapeId="0">
      <text>
        <t>MILOBELLUS — Eau
PV 95 · Att 60 · Déf 79
Att.Spé 100 · Déf.Spé 125 · Vit 81
Total 540
Talents : Écaille Spéciale, Battant (caché :
  Joli Sourire)</t>
      </text>
    </comment>
    <comment ref="B3865" authorId="0" shapeId="0">
      <text>
        <t>Hydratation
Soigne le statut s'il pleut.</t>
      </text>
    </comment>
    <comment ref="C3865" authorId="0" shapeId="0">
      <text>
        <t>Glissade
Monte Vitesse s'il pleut.</t>
      </text>
    </comment>
    <comment ref="D3865" authorId="0" shapeId="0">
      <text>
        <t>Joli Sourire
Séduit quand touché.</t>
      </text>
    </comment>
    <comment ref="B3866" authorId="0" shapeId="0">
      <text>
        <t>Ébullition — Eau, spéciale
Puissance 80 · Précision 100 % · 15 PP
De l'eau bouillante. Peut brûler l'ennemi.</t>
      </text>
    </comment>
    <comment ref="C3866" authorId="0" shapeId="0">
      <text>
        <t>Charme — Fée, statut
Précision 100 % · 20 PP
Charme l'ennemi et baisse beaucoup son
Attaque.</t>
      </text>
    </comment>
    <comment ref="D3866" authorId="0" shapeId="0">
      <text>
        <t>Chatouille — Normal, statut
Précision 100 % · 20 PP
Fait rire l'ennemi et baisse son Attaque et sa
Défense.</t>
      </text>
    </comment>
    <comment ref="B3867" authorId="0" shapeId="0">
      <text>
        <t>Vampibaiser — Fée, spéciale
Puissance 50 · Précision 100 % · 10 PP</t>
      </text>
    </comment>
    <comment ref="C3867" authorId="0" shapeId="0">
      <text>
        <t>Séduction — Normal, statut
Précision 100 % · 20 PP
Baisse beaucoup l'Atq. Spé. du sexe opposé.</t>
      </text>
    </comment>
    <comment ref="D3867" authorId="0" shapeId="0">
      <text>
        <t>Avalanche — Glace, physique
Puissance 60 · Précision 100 % · 10 PP ·
Priorité -4</t>
      </text>
    </comment>
    <comment ref="B3868" authorId="0" shapeId="0">
      <text>
        <t>Étreinte — Normal, physique
Puissance 15 · Précision 85 % · 20 PP</t>
      </text>
    </comment>
    <comment ref="C3868" authorId="0" shapeId="0">
      <text>
        <t>Eau Revoir — Eau, physique
Puissance 60 · Précision 100 % · 20 PP
Attaque puis échange sa place avec un allié.</t>
      </text>
    </comment>
    <comment ref="D3868" authorId="0" shapeId="0">
      <text>
        <t>Hydro-Queue — Eau, physique
Puissance 90 · Précision 90 % · 10 PP
Balaie l'ennemi de sa queue comme une vague.</t>
      </text>
    </comment>
    <comment ref="B3869" authorId="0" shapeId="0">
      <text>
        <t>Onde Folie — Spectre, statut
Précision 100 % · 10 PP
Un horrible rayon qui rend l'ennemi confus.</t>
      </text>
    </comment>
    <comment ref="C3869" authorId="0" shapeId="0">
      <text>
        <t>Vœu — Normal, statut
10 PP
Un vœu qui restaure les PV. Demande un certain
temps.</t>
      </text>
    </comment>
    <comment ref="D3869" authorId="0" shapeId="0">
      <text>
        <t>Enroulement — Poison, statut
20 PP
S'enroule. Monte Atq., Déf. et Précision.</t>
      </text>
    </comment>
    <comment ref="B3871" authorId="0" shapeId="0">
      <text>
        <t>LANTURN — Eau / Électrik
PV 125 · Att 58 · Déf 58
Att.Spé 76 · Déf.Spé 76 · Vit 67
Total 460
Talents : Absorbe-Volt, Lumiattirance (caché :
  Absorbe-Eau)</t>
      </text>
    </comment>
    <comment ref="C3871" authorId="0" shapeId="0">
      <text>
        <t>WAILORD — Eau
PV 170 · Att 90 · Déf 45
Att.Spé 90 · Déf.Spé 45 · Vit 60
Total 500
Talents : Ignifu-Voile, Benêt (caché :
  Pression)</t>
      </text>
    </comment>
    <comment ref="D3871" authorId="0" shapeId="0">
      <text>
        <t>KRABBOSS — Eau
PV 55 · Att 130 · Déf 115
Att.Spé 50 · Déf.Spé 50 · Vit 75
Total 475
Talents : Hyper Cutter, Coque Armure (caché :
  Sans Limite)</t>
      </text>
    </comment>
    <comment ref="C3873" authorId="0" shapeId="0">
      <text>
        <t>Baie Sitrus
Objet tenu qui restaure 30 PV pendant un
combat.</t>
      </text>
    </comment>
    <comment ref="D3873" authorId="0" shapeId="0">
      <text>
        <t>Orbe Vie
Renforce les coups, mais coûte des PV à chaque
coup.</t>
      </text>
    </comment>
    <comment ref="B3874" authorId="0" shapeId="0">
      <text>
        <t>Absorbe-Volt
Change l'électricité en PV.</t>
      </text>
    </comment>
    <comment ref="C3874" authorId="0" shapeId="0">
      <text>
        <t>Pression
Ennemi dépense plus de PP.</t>
      </text>
    </comment>
    <comment ref="D3874" authorId="0" shapeId="0">
      <text>
        <t>Sans Limite
Plus de force. Pas d'effet.</t>
      </text>
    </comment>
    <comment ref="B3875" authorId="0" shapeId="0">
      <text>
        <t>Coup d'Jus — Électrik, spéciale
Puissance 80 · Précision 100 % · 15 PP
Électrocute tous les autres {PKMN}. Peut
paralyser.</t>
      </text>
    </comment>
    <comment ref="C3875" authorId="0" shapeId="0">
      <text>
        <t>Giclédo — Eau, spéciale
Puissance 150 · Précision 100 % · 5 PP
Inflige plus de dégâts si le lanceur a
beaucoup de PV.</t>
      </text>
    </comment>
    <comment ref="D3875" authorId="0" shapeId="0">
      <text>
        <t>Pince-Masse — Eau, physique
Puissance 100 · Précision 90 % · 10 PP
Attaque critique qui utilise une grosse pince.</t>
      </text>
    </comment>
    <comment ref="B3876" authorId="0" shapeId="0">
      <text>
        <t>Laser Glace — Glace, spéciale
Puissance 90 · Précision 100 % · 10 PP</t>
      </text>
    </comment>
    <comment ref="C3876" authorId="0" shapeId="0">
      <text>
        <t>Anneau Hydro — Eau, statut
20 PP
Un voile d'eau qui restaure des PV.</t>
      </text>
    </comment>
    <comment ref="D3876" authorId="0" shapeId="0">
      <text>
        <t>Aiguisage — Ténèbres, statut
15 PP
Aiguise ses griffes. Monte Atq. et Précision.</t>
      </text>
    </comment>
    <comment ref="B3877" authorId="0" shapeId="0">
      <text>
        <t>Chargeur — Électrik, statut
20 PP
Accumule de l'énergie pour la prochaine
capacité Électrik.</t>
      </text>
    </comment>
    <comment ref="C3877" authorId="0" shapeId="0">
      <text>
        <t>Râle Mâle — Normal, statut
Précision 100 % · 30 PP
Intimide et baisse Atq. et Atq. Spé.</t>
      </text>
    </comment>
    <comment ref="D3877" authorId="0" shapeId="0">
      <text>
        <t>Tunnel — Sol, physique
Puissance 80 · Précision 100 % · 10 PP
Creuse sous terre au 1{SUPER_ER} tour et
frappe au 2{SUPER_E}.</t>
      </text>
    </comment>
    <comment ref="B3878" authorId="0" shapeId="0">
      <text>
        <t>Flash — Normal, statut
Précision 100 % · 20 PP
Explosion lumineuse qui fait baisser la
précision.</t>
      </text>
    </comment>
    <comment ref="C3878" authorId="0" shapeId="0">
      <text>
        <t>Laser Glace — Glace, spéciale
Puissance 90 · Précision 100 % · 10 PP</t>
      </text>
    </comment>
    <comment ref="D3878" authorId="0" shapeId="0">
      <text>
        <t>Guillotine — Normal, physique
Puissance 1 · Précision 30 % · 5 PP
Un puissant coup de pince qui peut mettre KO.</t>
      </text>
    </comment>
    <comment ref="B3881" authorId="0" shapeId="0">
      <text>
        <t>INSECATEUR — Insecte / Vol
PV 70 · Att 110 · Déf 80
Att.Spé 55 · Déf.Spé 80 · Vit 105
Total 500
Talents : Essaim, Technicien (caché :
  Impassible)</t>
      </text>
    </comment>
    <comment ref="C3881" authorId="0" shapeId="0">
      <text>
        <t>SCORVOL — Sol / Vol
PV 75 · Att 95 · Déf 125
Att.Spé 45 · Déf.Spé 75 · Vit 95
Total 510
Talents : Hyper Cutter, Voile Sable (caché :
  Soin Poison)</t>
      </text>
    </comment>
    <comment ref="D3881" authorId="0" shapeId="0">
      <text>
        <t>NOSTENFER — Poison / Vol
PV 85 · Att 90 · Déf 80
Att.Spé 70 · Déf.Spé 80 · Vit 130
Total 535
Talents : Attention (caché : Infiltration)</t>
      </text>
    </comment>
    <comment ref="E3881" authorId="0" shapeId="0">
      <text>
        <t>HELEDELLE — Normal / Vol
PV 60 · Att 85 · Déf 60
Att.Spé 75 · Déf.Spé 50 · Vit 125
Total 455
Talents : Cran (caché : Querelleur)</t>
      </text>
    </comment>
    <comment ref="F3881" authorId="0" shapeId="0">
      <text>
        <t>RAPASDEPIC — Normal / Vol
PV 65 · Att 90 · Déf 65
Att.Spé 61 · Déf.Spé 61 · Vit 100
Total 442
Talents : Regard Vif (caché : Sniper)</t>
      </text>
    </comment>
    <comment ref="B3883" authorId="0" shapeId="0">
      <text>
        <t>Roche Royale</t>
      </text>
    </comment>
    <comment ref="C3883" authorId="0" shapeId="0">
      <text>
        <t>Orbe Toxique
Une orbe étrange qui empoisonne mal son
porteur.</t>
      </text>
    </comment>
    <comment ref="D3883" authorId="0" shapeId="0">
      <text>
        <t>Grosse Racine
Augmente de 30 % les PV récupérés par
drainage.</t>
      </text>
    </comment>
    <comment ref="E3883" authorId="0" shapeId="0">
      <text>
        <t>Orbe Flamme
Orbe étrange qui brûle son porteur en combat.</t>
      </text>
    </comment>
    <comment ref="F3883" authorId="0" shapeId="0">
      <text>
        <t>Lentilscope
Objet tenu pour monter le taux de critiques.</t>
      </text>
    </comment>
    <comment ref="B3884" authorId="0" shapeId="0">
      <text>
        <t>Technicien
Renforce les coups faibles.</t>
      </text>
    </comment>
    <comment ref="C3884" authorId="0" shapeId="0">
      <text>
        <t>Soin Poison
Le poison soigne.</t>
      </text>
    </comment>
    <comment ref="D3884" authorId="0" shapeId="0">
      <text>
        <t>Attention
Empêche la peur.</t>
      </text>
    </comment>
    <comment ref="E3884" authorId="0" shapeId="0">
      <text>
        <t>Cran
Monte l'Attaque si statut.</t>
      </text>
    </comment>
    <comment ref="F3884" authorId="0" shapeId="0">
      <text>
        <t>Sniper
Renforce les critiques.</t>
      </text>
    </comment>
    <comment ref="B3885" authorId="0" shapeId="0">
      <text>
        <t>Double Volée — Vol, physique
Puissance 40 · Précision 90 % · 10 PP
Frappe la cible deux fois de ses ailes.</t>
      </text>
    </comment>
    <comment ref="C3885" authorId="0" shapeId="0">
      <text>
        <t>Vent Arrière — Vol, statut
15 PP</t>
      </text>
    </comment>
    <comment ref="D3885" authorId="0" shapeId="0">
      <text>
        <t>Poison Croix — Poison, physique
Puissance 70 · Précision 100 % · 20 PP
Une taillade qui peut empoisonner. Critiques.</t>
      </text>
    </comment>
    <comment ref="E3885" authorId="0" shapeId="0">
      <text>
        <t>Façade — Normal, physique
Puissance 70 · Précision 100 % · 20 PP
Améliore l'Attaque si brûlé, paralysé ou
empoisonné.</t>
      </text>
    </comment>
    <comment ref="F3885" authorId="0" shapeId="0">
      <text>
        <t>Tunnelier — Sol, physique
Puissance 80 · Précision 95 % · 10 PP
Tourne comme une perceuse. Critiques
fréquents.</t>
      </text>
    </comment>
    <comment ref="B3886" authorId="0" shapeId="0">
      <text>
        <t>Close Combat — Combat, physique
Puissance 120 · Précision 100 % · 5 PP</t>
      </text>
    </comment>
    <comment ref="C3886" authorId="0" shapeId="0">
      <text>
        <t>Dégommage — Ténèbres, physique
Puissance 1 · Précision 100 % · 10 PP
L'effet varie selon l'objet tenu.</t>
      </text>
    </comment>
    <comment ref="D3886" authorId="0" shapeId="0">
      <text>
        <t>Rapace — Vol, physique
Puissance 120 · Précision 100 % · 15 PP
Une charge en rase-mottes. Blesse le lanceur.</t>
      </text>
    </comment>
    <comment ref="E3886" authorId="0" shapeId="0">
      <text>
        <t>Atterrissage — Vol, statut
5 PP
Rend au lanceur la moitié de ses PV max.</t>
      </text>
    </comment>
    <comment ref="F3886" authorId="0" shapeId="0">
      <text>
        <t>Puissance — Normal, statut
30 PP
Concentration pour booster le taux de
critiques.</t>
      </text>
    </comment>
    <comment ref="B3887" authorId="0" shapeId="0">
      <text>
        <t>Furie-Bond — Insecte, physique
Puissance 80 · Précision 100 % · 15 PP
Se jette sur l'ennemi et baisse son Attaque.</t>
      </text>
    </comment>
    <comment ref="C3887" authorId="0" shapeId="0">
      <text>
        <t>Acrobatie — Vol, physique
Puissance 55 · Précision 100 % · 15 PP
Double les dégâts si le lanceur n'a pas
d'objet.</t>
      </text>
    </comment>
    <comment ref="D3887" authorId="0" shapeId="0">
      <text>
        <t>Atterrissage — Vol, statut
5 PP
Rend au lanceur la moitié de ses PV max.</t>
      </text>
    </comment>
    <comment ref="E3887" authorId="0" shapeId="0">
      <text>
        <t>Ailes d'Acier — Acier, physique
Puissance 70 · Précision 90 % · 25 PP
Frappe l'ennemi en déployant des ailes
d'acier.</t>
      </text>
    </comment>
    <comment ref="F3887" authorId="0" shapeId="0">
      <text>
        <t>Bec Vrille — Vol, physique
Puissance 80 · Précision 100 % · 20 PP
Une attaque utilisant le bec comme une
perceuse.</t>
      </text>
    </comment>
    <comment ref="B3888" authorId="0" shapeId="0">
      <text>
        <t>Coupe Psycho — Psy, physique
Puissance 70 · Précision 100 % · 20 PP
Des lames psychiques. Critiques fréquents.</t>
      </text>
    </comment>
    <comment ref="C3888" authorId="0" shapeId="0">
      <text>
        <t>Séisme — Sol, physique
Puissance 100 · Précision 100 % · 10 PP
Secousse sans effet sur les adversaires
volants.</t>
      </text>
    </comment>
    <comment ref="D3888" authorId="0" shapeId="0">
      <text>
        <t>Vampirisme — Insecte, physique
Puissance 60 · Précision 100 % · 10 PP
Une attaque qui aspire la moitié des dégâts
infligés.</t>
      </text>
    </comment>
    <comment ref="E3888" authorId="0" shapeId="0">
      <text>
        <t>Vent Arrière — Vol, statut
15 PP</t>
      </text>
    </comment>
    <comment ref="F3888" authorId="0" shapeId="0">
      <text>
        <t>Damoclès — Normal, physique
Puissance 120 · Précision 100 % · 15 PP
Une dangereuse charge qui blesse aussi le
lanceur.</t>
      </text>
    </comment>
    <comment ref="B3891" authorId="0" shapeId="0">
      <text>
        <t>TRIOPIKEUR-A — Sol / Acier
PV 35 · Att 100 · Déf 60
Att.Spé 50 · Déf.Spé 70 · Vit 110
Total 425
Talents : Voile Sable, Mèche Rebelle (caché :
  Force Sable)</t>
      </text>
    </comment>
    <comment ref="C3891" authorId="0" shapeId="0">
      <text>
        <t>STEELIX — Acier / Sol
PV 75 · Att 85 · Déf 200
Att.Spé 55 · Déf.Spé 65 · Vit 30
Total 510
Talents : Tête de Roc, Fermeté (caché : Sans
  Limite)</t>
      </text>
    </comment>
    <comment ref="D3891" authorId="0" shapeId="0">
      <text>
        <t>CIZAYOX — Insecte / Acier
PV 70 · Att 130 · Déf 100
Att.Spé 55 · Déf.Spé 80 · Vit 65
Total 500
Talents : Essaim, Technicien (caché : Light
  Metal)</t>
      </text>
    </comment>
    <comment ref="E3891" authorId="0" shapeId="0">
      <text>
        <t>GALEKING — Acier / Roche
PV 70 · Att 110 · Déf 180
Att.Spé 60 · Déf.Spé 60 · Vit 50
Total 530
Talents : Fermeté, Tête de Roc (caché : Heavy
  Metal)</t>
      </text>
    </comment>
    <comment ref="F3891" authorId="0" shapeId="0">
      <text>
        <t>BERSERKATT — Acier
PV 70 · Att 110 · Déf 100
Att.Spé 50 · Déf.Spé 60 · Vit 50
Total 440
Talents : Armurbaston, Griffe Dure (caché :
  Boost Acier)</t>
      </text>
    </comment>
    <comment ref="B3893" authorId="0" shapeId="0">
      <text>
        <t>Ceinture Force
À PV pleins, le porteur survit à un K.O. avec
1 PV.</t>
      </text>
    </comment>
    <comment ref="C3893" authorId="0" shapeId="0">
      <text>
        <t>Veste de Combat
Monte la Déf. Spé. mais empêche toute capacité
de statut.</t>
      </text>
    </comment>
    <comment ref="D3893" authorId="0" shapeId="0">
      <text>
        <t>Cape Obscure
Protège le porteur des effets secondaires.</t>
      </text>
    </comment>
    <comment ref="E3893" authorId="0" shapeId="0">
      <text>
        <t>Dé Pipé
Fait de gros scores. Les coups multiples
frappent plus.</t>
      </text>
    </comment>
    <comment ref="F3893" authorId="0" shapeId="0">
      <text>
        <t>Plaque Fer
Une plaque qui renforce le type Acier.</t>
      </text>
    </comment>
    <comment ref="B3894" authorId="0" shapeId="0">
      <text>
        <t>Force Sable
Renforce en tempête.</t>
      </text>
    </comment>
    <comment ref="C3894" authorId="0" shapeId="0">
      <text>
        <t>Tête de Roc
Empêche dégâts du recul.</t>
      </text>
    </comment>
    <comment ref="D3894" authorId="0" shapeId="0">
      <text>
        <t>Technicien
Renforce les coups faibles.</t>
      </text>
    </comment>
    <comment ref="E3894" authorId="0" shapeId="0">
      <text>
        <t>Heavy Metal
Double le poids du Pokémon.</t>
      </text>
    </comment>
    <comment ref="F3894" authorId="0" shapeId="0">
      <text>
        <t>Boost Acier
Renforce l'Acier allié.</t>
      </text>
    </comment>
    <comment ref="B3895" authorId="0" shapeId="0">
      <text>
        <t>Séisme — Sol, physique
Puissance 100 · Précision 100 % · 10 PP
Secousse sans effet sur les adversaires
volants.</t>
      </text>
    </comment>
    <comment ref="C3895" authorId="0" shapeId="0">
      <text>
        <t>Fracass'Tête — Roche, physique
Puissance 150 · Précision 80 % · 5 PP
Un coup de tête suicidaire. Blesse beaucoup.</t>
      </text>
    </comment>
    <comment ref="D3895" authorId="0" shapeId="0">
      <text>
        <t>Bond — Insecte, physique
Puissance 50 · Précision 100 % · 20 PP
Bondit sur l'ennemi et baisse sa Vitesse.</t>
      </text>
    </comment>
    <comment ref="E3895" authorId="0" shapeId="0">
      <text>
        <t>Tacle Lourd — Acier, physique
Puissance 1 · Précision 100 % · 10 PP</t>
      </text>
    </comment>
    <comment ref="F3895" authorId="0" shapeId="0">
      <text>
        <t>Queue de Fer — Acier, physique
Puissance 100 · Précision 75 % · 15 PP
Attaque avec la queue. Peut baisser la
Défense.</t>
      </text>
    </comment>
    <comment ref="B3896" authorId="0" shapeId="0">
      <text>
        <t>Tête de Fer — Acier, physique
Puissance 80 · Précision 100 % · 15 PP
Un crâne dur. Peut apeurer l'ennemi.</t>
      </text>
    </comment>
    <comment ref="C3896" authorId="0" shapeId="0">
      <text>
        <t>Gyroballe — Acier, physique
Puissance 1 · Précision 100 % · 5 PP
Une toupie qui blesse plus un ennemi rapide.</t>
      </text>
    </comment>
    <comment ref="D3896" authorId="0" shapeId="0">
      <text>
        <t>Double Volée — Vol, physique
Puissance 40 · Précision 90 % · 10 PP
Frappe la cible deux fois de ses ailes.</t>
      </text>
    </comment>
    <comment ref="E3896" authorId="0" shapeId="0">
      <text>
        <t>Big Splash — Combat, physique
Puissance 80 · Précision 100 % · 10 PP
Plus la Défense du lanceur est haute, plus ça
blesse.</t>
      </text>
    </comment>
    <comment ref="F3896" authorId="0" shapeId="0">
      <text>
        <t>Aiguisage — Ténèbres, statut
15 PP
Aiguise ses griffes. Monte Atq. et Précision.</t>
      </text>
    </comment>
    <comment ref="B3897" authorId="0" shapeId="0">
      <text>
        <t>Piège de Roc — Roche, statut
20 PP
Des pierres qui blessent l'ennemi à l'arrivée.</t>
      </text>
    </comment>
    <comment ref="C3897" authorId="0" shapeId="0">
      <text>
        <t>Psycho-Croc — Psy, physique
Puissance 85 · Précision 100 % · 15 PP
Des crocs psychiques. Détruit les barrières.</t>
      </text>
    </comment>
    <comment ref="D3897" authorId="0" shapeId="0">
      <text>
        <t>Tête de Fer — Acier, physique
Puissance 80 · Précision 100 % · 15 PP
Un crâne dur. Peut apeurer l'ennemi.</t>
      </text>
    </comment>
    <comment ref="E3897" authorId="0" shapeId="0">
      <text>
        <t>Mur de Fer — Acier, statut
15 PP
Endurcit le corps pour booster la Défense.</t>
      </text>
    </comment>
    <comment ref="F3897" authorId="0" shapeId="0">
      <text>
        <t>Câlinerie — Fée, physique
Puissance 90 · Précision 90 % · 10 PP
Un câlin brutal. Peut baisser l'Attaque de
l'ennemi.</t>
      </text>
    </comment>
    <comment ref="B3898" authorId="0" shapeId="0">
      <text>
        <t>Danse Lames — Normal, statut
20 PP
Une danse de combat pour booster l'Attaque.</t>
      </text>
    </comment>
    <comment ref="C3898" authorId="0" shapeId="0">
      <text>
        <t>Crocs Feu — Feu, physique
Puissance 65 · Précision 95 % · 15 PP
Peut apeurer l'ennemi ou le brûler.</t>
      </text>
    </comment>
    <comment ref="D3898" authorId="0" shapeId="0">
      <text>
        <t>Malédiction — Spectre, statut
10 PP
Coup qui fonctionne autre- ment pour les
Spectres.</t>
      </text>
    </comment>
    <comment ref="E3898" authorId="0" shapeId="0">
      <text>
        <t>Boule Roc — Roche, physique
Puissance 25 · Précision 90 % · 10 PP
Projette des rochers sur l'ennemi 2 à 5 fois
de suite.</t>
      </text>
    </comment>
    <comment ref="F3898" authorId="0" shapeId="0">
      <text>
        <t>Désherbaffe — Plante, physique
Puissance 50 · Précision 100 % · 20 PP
Une attaque soudaine. Monte la Vitesse.</t>
      </text>
    </comment>
    <comment ref="B3900" authorId="0" shapeId="0">
      <text>
        <t>LIBEGON — Sol / Dragon
PV 80 · Att 100 · Déf 80
Att.Spé 80 · Déf.Spé 80 · Vit 100
Total 520
Talents : Lévitation, Lévitation (caché :
  Lévitation)</t>
      </text>
    </comment>
    <comment ref="C3900" authorId="0" shapeId="0">
      <text>
        <t>DRATTAK — Dragon / Vol
PV 95 · Att 135 · Déf 80
Att.Spé 110 · Déf.Spé 80 · Vit 100
Total 600
Talents : Intimidation (caché : Impudence)</t>
      </text>
    </comment>
    <comment ref="D3900" authorId="0" shapeId="0">
      <text>
        <t>HYPOROI — Eau / Dragon
PV 75 · Att 95 · Déf 95
Att.Spé 95 · Déf.Spé 95 · Vit 85
Total 540
Talents : Glissade, Sniper (caché : Moiteur)</t>
      </text>
    </comment>
    <comment ref="E3900" authorId="0" shapeId="0">
      <text>
        <t>NOADKOKO-A — Plante / Dragon
PV 95 · Att 105 · Déf 85
Att.Spé 125 · Déf.Spé 75 · Vit 45
Total 530
Talents : Fouille (caché : Récolte)</t>
      </text>
    </comment>
    <comment ref="B3902" authorId="0" shapeId="0">
      <text>
        <t>Ceinture Force
À PV pleins, le porteur survit à un K.O. avec
1 PV.</t>
      </text>
    </comment>
    <comment ref="C3902" authorId="0" shapeId="0">
      <text>
        <t>Plaque Draco
Une plaque qui renforce le type Dragon.</t>
      </text>
    </comment>
    <comment ref="D3902" authorId="0" shapeId="0">
      <text>
        <t>Lentilscope
Objet tenu pour monter le taux de critiques.</t>
      </text>
    </comment>
    <comment ref="E3902" authorId="0" shapeId="0">
      <text>
        <t>Herbe Blanche
Objet tenu qui restaure les stats baissées.</t>
      </text>
    </comment>
    <comment ref="B3903" authorId="0" shapeId="0">
      <text>
        <t>Lévitation
Ignore les attaques Sol.</t>
      </text>
    </comment>
    <comment ref="C3903" authorId="0" shapeId="0">
      <text>
        <t>Intimidation
Baisse l'Attaque ennemie.</t>
      </text>
    </comment>
    <comment ref="D3903" authorId="0" shapeId="0">
      <text>
        <t>Sniper
Renforce les critiques.</t>
      </text>
    </comment>
    <comment ref="E3903" authorId="0" shapeId="0">
      <text>
        <t>Fouille
Voit l'objet de l'ennemi.</t>
      </text>
    </comment>
    <comment ref="B3904" authorId="0" shapeId="0">
      <text>
        <t>Cri Draconique — Dragon, statut
15 PP
Monte le taux de critiques des alliés, surtout
Dragon.</t>
      </text>
    </comment>
    <comment ref="C3904" authorId="0" shapeId="0">
      <text>
        <t>Danse Draco — Dragon, statut
20 PP
Danse mystique augmentant l'Attaque et la
Vitesse.</t>
      </text>
    </comment>
    <comment ref="D3904" authorId="0" shapeId="0">
      <text>
        <t>Luminocanon — Acier, spéciale
Puissance 80 · Précision 100 % · 10 PP
Un jet de lumière. Peut baisser la Déf. Spé.</t>
      </text>
    </comment>
    <comment ref="E3904" authorId="0" shapeId="0">
      <text>
        <t>Mur Lumière — Psy, statut
30 PP
Crée un mur lumineux et réduit les dégâts
d'Atq. Spé.</t>
      </text>
    </comment>
    <comment ref="B3905" authorId="0" shapeId="0">
      <text>
        <t>Voix Envoûtante — Fée, spéciale
Puissance 80 · Précision 100 % · 10 PP
Rend confus l'ennemi si ses stats ont monté ce
tour.</t>
      </text>
    </comment>
    <comment ref="C3905" authorId="0" shapeId="0">
      <text>
        <t>Draco-Charge — Dragon, physique
Puissance 100 · Précision 75 % · 10 PP
Une charge menaçante. Peut apeurer.</t>
      </text>
    </comment>
    <comment ref="D3905" authorId="0" shapeId="0">
      <text>
        <t>Ocroupi — Eau, spéciale
Puissance 90 · Précision 85 % · 10 PP
Attaque d'eau croupie. Peut baisser la
précision.</t>
      </text>
    </comment>
    <comment ref="E3905" authorId="0" shapeId="0">
      <text>
        <t>Draco-Météore — Dragon, spéciale
Puissance 130 · Précision 90 % · 5 PP
Des comètes. Le lanceur perd beaucoup d'Atq.
Spé.</t>
      </text>
    </comment>
    <comment ref="B3906" authorId="0" shapeId="0">
      <text>
        <t>Canicule — Feu, spéciale
Puissance 95 · Précision 90 % · 10 PP
Un souffle ardent pouvant brûler l'ennemi.</t>
      </text>
    </comment>
    <comment ref="C3906" authorId="0" shapeId="0">
      <text>
        <t>Mâchouille — Ténèbres, physique
Puissance 80 · Précision 100 % · 15 PP</t>
      </text>
    </comment>
    <comment ref="D3906" authorId="0" shapeId="0">
      <text>
        <t>Siphon — Eau, spéciale
Puissance 35 · Précision 85 % · 15 PP</t>
      </text>
    </comment>
    <comment ref="E3906" authorId="0" shapeId="0">
      <text>
        <t>Colère — Dragon, physique
Puissance 120 · Précision 100 % · 10 PP
Une attaque furieuse sur 2 à 3 tours. Lanceur
confus.</t>
      </text>
    </comment>
    <comment ref="B3907" authorId="0" shapeId="0">
      <text>
        <t>Sable Ardent — Sol, spéciale
Puissance 70 · Précision 100 % · 10 PP
Du sable brûlant. Peut brûler l'ennemi.</t>
      </text>
    </comment>
    <comment ref="C3907" authorId="0" shapeId="0">
      <text>
        <t>Indignition — Feu, physique
Puissance 75 · Précision 100 % · 10 PP
Attaque de dépit. Double si la capacité
d'avant a raté.</t>
      </text>
    </comment>
    <comment ref="D3907" authorId="0" shapeId="0">
      <text>
        <t>Hâte — Psy, statut
30 PP
Relaxation du corps pour booster la Vitesse.</t>
      </text>
    </comment>
    <comment ref="E3907" authorId="0" shapeId="0">
      <text>
        <t>Canon Graine — Plante, physique
Puissance 80 · Précision 100 % · 15 PP
Une salve de graines dures sur l'ennemi.</t>
      </text>
    </comment>
    <comment ref="B3910" authorId="0" shapeId="0">
      <text>
        <t>TARPAUD — Eau
PV 90 · Att 75 · Déf 75
Att.Spé 90 · Déf.Spé 100 · Vit 70
Total 500
Talents : Absorbe-Eau, Moiteur (caché :
  Crachin)</t>
      </text>
    </comment>
    <comment ref="C3910" authorId="0" shapeId="0">
      <text>
        <t>BARBICHA — Eau / Sol
PV 110 · Att 78 · Déf 73
Att.Spé 76 · Déf.Spé 71 · Vit 60
Total 468
Talents : Benêt, Anticipation (caché :
  Hydratation)</t>
      </text>
    </comment>
    <comment ref="D3910" authorId="0" shapeId="0">
      <text>
        <t>LANTURN — Eau / Électrik
PV 125 · Att 58 · Déf 58
Att.Spé 76 · Déf.Spé 76 · Vit 67
Total 460
Talents : Absorbe-Volt, Lumiattirance (caché :
  Absorbe-Eau)</t>
      </text>
    </comment>
    <comment ref="E3910" authorId="0" shapeId="0">
      <text>
        <t>TORTANK — Eau
PV 79 · Att 83 · Déf 100
Att.Spé 85 · Déf.Spé 105 · Vit 78
Total 530
Talents : Torrent (caché : Cuvette)</t>
      </text>
    </comment>
    <comment ref="F3910" authorId="0" shapeId="0">
      <text>
        <t>SERPANG — Eau
PV 55 · Att 104 · Déf 105
Att.Spé 94 · Déf.Spé 75 · Vit 52
Total 485
Talents : Glissade (caché : Ignifu-Voile)</t>
      </text>
    </comment>
    <comment ref="G3910" authorId="0" shapeId="0">
      <text>
        <t>BEKIPAN — Eau / Vol
PV 60 · Att 50 · Déf 100
Att.Spé 95 · Déf.Spé 70 · Vit 65
Total 440
Talents : Regard Vif, Crachin (caché :
  Cuvette)</t>
      </text>
    </comment>
    <comment ref="B3912" authorId="0" shapeId="0">
      <text>
        <t>Roche Humide
Prolonge Danse Pluie quand le porteur
l'utilise.</t>
      </text>
    </comment>
    <comment ref="C3912" authorId="0" shapeId="0">
      <text>
        <t>Boue Noire
Soigne les Pokémon Poison. Blesse tous les
autres.</t>
      </text>
    </comment>
    <comment ref="D3912" authorId="0" shapeId="0">
      <text>
        <t>Veste de Combat
Monte la Déf. Spé. mais empêche toute capacité
de statut.</t>
      </text>
    </comment>
    <comment ref="E3912" authorId="0" shapeId="0">
      <text>
        <t>Restes
Objet tenu permet- tant de restaurer les PV au
combat.</t>
      </text>
    </comment>
    <comment ref="F3912" authorId="0" shapeId="0">
      <text>
        <t>Grelot Coque
Objet tenu qui restaure les PV en frappant
l'ennemi.</t>
      </text>
    </comment>
    <comment ref="G3912" authorId="0" shapeId="0">
      <text>
        <t>Plaque Hydro
Une plaque qui renforce le type Eau.</t>
      </text>
    </comment>
    <comment ref="B3913" authorId="0" shapeId="0">
      <text>
        <t>Crachin
Invoque la pluie en combat.</t>
      </text>
    </comment>
    <comment ref="C3913" authorId="0" shapeId="0">
      <text>
        <t>Benêt
Empêche l'attirance.</t>
      </text>
    </comment>
    <comment ref="D3913" authorId="0" shapeId="0">
      <text>
        <t>Absorbe-Volt
Change l'électricité en PV.</t>
      </text>
    </comment>
    <comment ref="E3913" authorId="0" shapeId="0">
      <text>
        <t>Cuvette
Gagne quelques PV si pluie.</t>
      </text>
    </comment>
    <comment ref="F3913" authorId="0" shapeId="0">
      <text>
        <t>Glissade
Monte Vitesse s'il pleut.</t>
      </text>
    </comment>
    <comment ref="G3913" authorId="0" shapeId="0">
      <text>
        <t>Crachin
Invoque la pluie en combat.</t>
      </text>
    </comment>
    <comment ref="B3914" authorId="0" shapeId="0">
      <text>
        <t>Ball'Météo — Normal, spéciale
Puissance 50 · Précision 100 % · 10 PP
Type et puissance de l'attaque selon le
climat.</t>
      </text>
    </comment>
    <comment ref="C3914" authorId="0" shapeId="0">
      <text>
        <t>Bain de Smog — Poison, spéciale
Puissance 50 · Ne rate jamais · 15 PP
Une brume qui annule tous les changements.</t>
      </text>
    </comment>
    <comment ref="D3914" authorId="0" shapeId="0">
      <text>
        <t>Coup d'Jus — Électrik, spéciale
Puissance 80 · Précision 100 % · 15 PP
Électrocute tous les autres {PKMN}. Peut
paralyser.</t>
      </text>
    </comment>
    <comment ref="E3914" authorId="0" shapeId="0">
      <text>
        <t>Anneau Hydro — Eau, statut
20 PP
Un voile d'eau qui restaure des PV.</t>
      </text>
    </comment>
    <comment ref="F3914" authorId="0" shapeId="0">
      <text>
        <t>Hydro-Queue — Eau, physique
Puissance 90 · Précision 90 % · 10 PP
Balaie l'ennemi de sa queue comme une vague.</t>
      </text>
    </comment>
    <comment ref="G3914" authorId="0" shapeId="0">
      <text>
        <t>Vent Violent — Vol, spéciale
Puissance 110 · Précision 70 % · 10 PP
Un vent violent. Peut rendre confus.</t>
      </text>
    </comment>
    <comment ref="B3915" authorId="0" shapeId="0">
      <text>
        <t>Telluriforce — Sol, spéciale
Puissance 90 · Précision 100 % · 10 PP
Le sol se déchaîne. Peut baisser la Déf. Spé.</t>
      </text>
    </comment>
    <comment ref="C3915" authorId="0" shapeId="0">
      <text>
        <t>Ébullition — Eau, spéciale
Puissance 80 · Précision 100 % · 15 PP
De l'eau bouillante. Peut brûler l'ennemi.</t>
      </text>
    </comment>
    <comment ref="D3915" authorId="0" shapeId="0">
      <text>
        <t>Rayon Signal — Insecte, spéciale
Puissance 75 · Précision 100 % · 15 PP
Un étrange rayon qui peut rendre l'ennemi
confus.</t>
      </text>
    </comment>
    <comment ref="E3915" authorId="0" shapeId="0">
      <text>
        <t>Danse Pluie — Eau, statut
5 PP
Améliore les attaques Eau pendant 5 tours.</t>
      </text>
    </comment>
    <comment ref="F3915" authorId="0" shapeId="0">
      <text>
        <t>Exuviation — Normal, statut
15 PP
Monte beaucoup attaques et Vit., baisse les
défenses.</t>
      </text>
    </comment>
    <comment ref="G3915" authorId="0" shapeId="0">
      <text>
        <t>Hydrocanon — Eau, spéciale
Puissance 110 · Précision 80 % · 5 PP
Envoie un puissant jet d'eau pour frapper
l'ennemi.</t>
      </text>
    </comment>
    <comment ref="B3916" authorId="0" shapeId="0">
      <text>
        <t>Frappe Atlas — Combat, physique
Puissance 1 · Précision 100 % · 20 PP
Inflige des dégâts selon le niveau du lanceur.</t>
      </text>
    </comment>
    <comment ref="C3916" authorId="0" shapeId="0">
      <text>
        <t>Telluriforce — Sol, spéciale
Puissance 90 · Précision 100 % · 10 PP
Le sol se déchaîne. Peut baisser la Déf. Spé.</t>
      </text>
    </comment>
    <comment ref="D3916" authorId="0" shapeId="0">
      <text>
        <t>Change Éclair — Électrik, spéciale
Puissance 70 · Précision 100 % · 20 PP</t>
      </text>
    </comment>
    <comment ref="E3916" authorId="0" shapeId="0">
      <text>
        <t>Laser Glace — Glace, spéciale
Puissance 90 · Précision 100 % · 10 PP</t>
      </text>
    </comment>
    <comment ref="F3916" authorId="0" shapeId="0">
      <text>
        <t>Mâchouille — Ténèbres, physique
Puissance 80 · Précision 100 % · 15 PP</t>
      </text>
    </comment>
    <comment ref="G3916" authorId="0" shapeId="0">
      <text>
        <t>Vent Arrière — Vol, statut
15 PP</t>
      </text>
    </comment>
    <comment ref="B3917" authorId="0" shapeId="0">
      <text>
        <t>Laser Glace — Glace, spéciale
Puissance 90 · Précision 100 % · 10 PP</t>
      </text>
    </comment>
    <comment ref="C3917" authorId="0" shapeId="0">
      <text>
        <t>Soin — Normal, statut
5 PP
Restaure jusqu'à la moitié des PV max du
lanceur.</t>
      </text>
    </comment>
    <comment ref="D3917" authorId="0" shapeId="0">
      <text>
        <t>Éclat Magique — Fée, spéciale
Puissance 80 · Précision 100 % · 10 PP
Un éclat lumineux qui blesse les ennemis.</t>
      </text>
    </comment>
    <comment ref="E3917" authorId="0" shapeId="0">
      <text>
        <t>Hydroblast — Eau, spéciale
Puissance 150 · Précision 90 % · 5 PP
Puissant, mais immobilise le lanceur le tour
suivant.</t>
      </text>
    </comment>
    <comment ref="F3917" authorId="0" shapeId="0">
      <text>
        <t>Crocs Givre — Glace, physique
Puissance 65 · Précision 95 % · 15 PP</t>
      </text>
    </comment>
    <comment ref="G3917" authorId="0" shapeId="0">
      <text>
        <t>Danse Plumes — Vol, statut
Précision 100 % · 15 PP
Enveloppe l'ennemi de duvet et baisse
l'Attaque.</t>
      </text>
    </comment>
    <comment ref="B3920" authorId="0" shapeId="0">
      <text>
        <t>PHYLLALI — Plante
PV 65 · Att 110 · Déf 130
Att.Spé 60 · Déf.Spé 65 · Vit 95
Total 525
Talents : Feuille Garde, Feuille Garde (caché
  : Chlorophylle)</t>
      </text>
    </comment>
    <comment ref="B3922" authorId="0" shapeId="0">
      <text>
        <t>Plaque Herbe
Une plaque qui renforce le type Plante.</t>
      </text>
    </comment>
    <comment ref="B3923" authorId="0" shapeId="0">
      <text>
        <t>Chlorophylle
Augmente Vitesse au soleil.</t>
      </text>
    </comment>
    <comment ref="B3924" authorId="0" shapeId="0">
      <text>
        <t>Lame Feuille — Plante, physique
Puissance 90 · Précision 100 % · 15 PP
Tranche avec une feuille. Taux de critiques
élevé.</t>
      </text>
    </comment>
    <comment ref="B3925" authorId="0" shapeId="0">
      <text>
        <t>Synthèse — Plante, statut
5 PP
Restaure les PV. La quantité varie suivant le
temps.</t>
      </text>
    </comment>
    <comment ref="B3926" authorId="0" shapeId="0">
      <text>
        <t>Queue de Fer — Acier, physique
Puissance 100 · Précision 75 % · 15 PP
Attaque avec la queue. Peut baisser la
Défense.</t>
      </text>
    </comment>
    <comment ref="B3927" authorId="0" shapeId="0">
      <text>
        <t>Bâillement — Normal, statut
10 PP
Fait bâiller l'ennemi qui s'endort au tour
suivant.</t>
      </text>
    </comment>
    <comment ref="B3929" authorId="0" shapeId="0">
      <text>
        <t>GIVRALI — Glace
PV 65 · Att 60 · Déf 110
Att.Spé 130 · Déf.Spé 95 · Vit 65
Total 525
Talents : Rideau Neige, Rideau Neige (caché :
  Corps Gel)</t>
      </text>
    </comment>
    <comment ref="B3931" authorId="0" shapeId="0">
      <text>
        <t>Plaque Glace
Une plaque qui renforce le type Glace.</t>
      </text>
    </comment>
    <comment ref="B3932" authorId="0" shapeId="0">
      <text>
        <t>Corps Gel
Rend des PV s'il neige.</t>
      </text>
    </comment>
    <comment ref="B3933" authorId="0" shapeId="0">
      <text>
        <t>Synchropeine — Psy, spéciale
Puissance 120 · Précision 100 % · 10 PP
Onde étrange. Ne blesse que les {PKMN} du même
type.</t>
      </text>
    </comment>
    <comment ref="B3934" authorId="0" shapeId="0">
      <text>
        <t>Blizzard — Glace, spéciale
Puissance 110 · Précision 70 % · 5 PP</t>
      </text>
    </comment>
    <comment ref="B3935" authorId="0" shapeId="0">
      <text>
        <t>Douche Froide — Eau, spéciale
Puissance 50 · Précision 100 % · 20 PP
Une douche glacée qui baisse l'Attaque.</t>
      </text>
    </comment>
    <comment ref="B3936" authorId="0" shapeId="0">
      <text>
        <t>Ball'Ombre — Spectre, spéciale
Puissance 80 · Précision 100 % · 15 PP
Projette une grande tache qui peut baisser la
Déf. Spé.</t>
      </text>
    </comment>
    <comment ref="B3938" authorId="0" shapeId="0">
      <text>
        <t>NYMPHALI — Fée
PV 95 · Att 65 · Déf 65
Att.Spé 110 · Déf.Spé 130 · Vit 60
Total 525
Talents : Joli Sourire, Joli Sourire (caché :
  Peau Féérique)</t>
      </text>
    </comment>
    <comment ref="B3940" authorId="0" shapeId="0">
      <text>
        <t>Plaque Pixie
Une plaque qui renforce le type Fée.</t>
      </text>
    </comment>
    <comment ref="B3941" authorId="0" shapeId="0">
      <text>
        <t>Peau Féérique
Normal devient Fée.</t>
      </text>
    </comment>
    <comment ref="B3942" authorId="0" shapeId="0">
      <text>
        <t>Coud'Krâne — Normal, physique
Puissance 130 · Précision 100 % · 10 PP
Monte la Défense au 1{SUPER_ER} tour et frappe
au 2{SUPER_E}.</t>
      </text>
    </comment>
    <comment ref="B3943" authorId="0" shapeId="0">
      <text>
        <t>Queue de Fer — Acier, physique
Puissance 100 · Précision 75 % · 15 PP
Attaque avec la queue. Peut baisser la
Défense.</t>
      </text>
    </comment>
    <comment ref="B3944" authorId="0" shapeId="0">
      <text>
        <t>Malédiction — Spectre, statut
10 PP
Coup qui fonctionne autre- ment pour les
Spectres.</t>
      </text>
    </comment>
    <comment ref="B3945" authorId="0" shapeId="0">
      <text>
        <t>Berceuse — Normal, statut
Précision 55 % · 15 PP
Berceuse plongeant l'ennemi dans un profond
sommeil.</t>
      </text>
    </comment>
    <comment ref="B3948" authorId="0" shapeId="0">
      <text>
        <t>ECREMEUH — Normal
PV 95 · Att 80 · Déf 105
Att.Spé 40 · Déf.Spé 70 · Vit 100
Total 490
Talents : Isograisse, Querelleur (caché :
  Herbivore)</t>
      </text>
    </comment>
    <comment ref="C3948" authorId="0" shapeId="0">
      <text>
        <t>ECREMEUH — Normal
PV 95 · Att 80 · Déf 105
Att.Spé 40 · Déf.Spé 70 · Vit 100
Total 490
Talents : Isograisse, Querelleur (caché :
  Herbivore)</t>
      </text>
    </comment>
    <comment ref="D3948" authorId="0" shapeId="0">
      <text>
        <t>ECREMEUH — Normal
PV 95 · Att 80 · Déf 105
Att.Spé 40 · Déf.Spé 70 · Vit 100
Total 490
Talents : Isograisse, Querelleur (caché :
  Herbivore)</t>
      </text>
    </comment>
    <comment ref="E3948" authorId="0" shapeId="0">
      <text>
        <t>ECREMEUH — Normal
PV 95 · Att 80 · Déf 105
Att.Spé 40 · Déf.Spé 70 · Vit 100
Total 490
Talents : Isograisse, Querelleur (caché :
  Herbivore)</t>
      </text>
    </comment>
    <comment ref="F3948" authorId="0" shapeId="0">
      <text>
        <t>ECREMEUH — Normal
PV 95 · Att 80 · Déf 105
Att.Spé 40 · Déf.Spé 70 · Vit 100
Total 490
Talents : Isograisse, Querelleur (caché :
  Herbivore)</t>
      </text>
    </comment>
    <comment ref="G3948" authorId="0" shapeId="0">
      <text>
        <t>ECREMEUH — Normal
PV 95 · Att 80 · Déf 105
Att.Spé 40 · Déf.Spé 70 · Vit 100
Total 490
Talents : Isograisse, Querelleur (caché :
  Herbivore)</t>
      </text>
    </comment>
    <comment ref="B3950" authorId="0" shapeId="0">
      <text>
        <t>Restes
Objet tenu permet- tant de restaurer les PV au
combat.</t>
      </text>
    </comment>
    <comment ref="C3950" authorId="0" shapeId="0">
      <text>
        <t>Charbon
Objet à tenir. Renforce le type Feu.</t>
      </text>
    </comment>
    <comment ref="D3950" authorId="0" shapeId="0">
      <text>
        <t>Restes
Objet tenu permet- tant de restaurer les PV au
combat.</t>
      </text>
    </comment>
    <comment ref="E3950" authorId="0" shapeId="0">
      <text>
        <t>Pierre Dure</t>
      </text>
    </comment>
    <comment ref="F3950" authorId="0" shapeId="0">
      <text>
        <t>Ralentiqueue</t>
      </text>
    </comment>
    <comment ref="G3950" authorId="0" shapeId="0">
      <text>
        <t>Mouchoir Soie
Objet à tenir. Renforce le type Normal.</t>
      </text>
    </comment>
    <comment ref="B3951" authorId="0" shapeId="0">
      <text>
        <t>Isograisse
Contre chaleur et froid.</t>
      </text>
    </comment>
    <comment ref="C3951" authorId="0" shapeId="0">
      <text>
        <t>Herbivore
Plante monte l'Attaque.</t>
      </text>
    </comment>
    <comment ref="D3951" authorId="0" shapeId="0">
      <text>
        <t>Isograisse
Contre chaleur et froid.</t>
      </text>
    </comment>
    <comment ref="E3951" authorId="0" shapeId="0">
      <text>
        <t>Herbivore
Plante monte l'Attaque.</t>
      </text>
    </comment>
    <comment ref="F3951" authorId="0" shapeId="0">
      <text>
        <t>Querelleur
Peut toucher les Spectres.</t>
      </text>
    </comment>
    <comment ref="G3951" authorId="0" shapeId="0">
      <text>
        <t>Querelleur
Peut toucher les Spectres.</t>
      </text>
    </comment>
    <comment ref="B3952" authorId="0" shapeId="0">
      <text>
        <t>Lait à Boire — Normal, statut
5 PP
Regagne jusqu'à la moitié des PV max du
lanceur.</t>
      </text>
    </comment>
    <comment ref="C3952" authorId="0" shapeId="0">
      <text>
        <t>Lait à Boire — Normal, statut
5 PP
Regagne jusqu'à la moitié des PV max du
lanceur.</t>
      </text>
    </comment>
    <comment ref="D3952" authorId="0" shapeId="0">
      <text>
        <t>Lait à Boire — Normal, statut
5 PP
Regagne jusqu'à la moitié des PV max du
lanceur.</t>
      </text>
    </comment>
    <comment ref="E3952" authorId="0" shapeId="0">
      <text>
        <t>Lait à Boire — Normal, statut
5 PP
Regagne jusqu'à la moitié des PV max du
lanceur.</t>
      </text>
    </comment>
    <comment ref="F3952" authorId="0" shapeId="0">
      <text>
        <t>Lait à Boire — Normal, statut
5 PP
Regagne jusqu'à la moitié des PV max du
lanceur.</t>
      </text>
    </comment>
    <comment ref="G3952" authorId="0" shapeId="0">
      <text>
        <t>Lait à Boire — Normal, statut
5 PP
Regagne jusqu'à la moitié des PV max du
lanceur.</t>
      </text>
    </comment>
    <comment ref="B3953" authorId="0" shapeId="0">
      <text>
        <t>Malédiction — Spectre, statut
10 PP
Coup qui fonctionne autre- ment pour les
Spectres.</t>
      </text>
    </comment>
    <comment ref="C3953" authorId="0" shapeId="0">
      <text>
        <t>Poing Feu — Feu, physique
Puissance 75 · Précision 100 % · 15 PP
Un poing de feu pouvant brûler l'ennemi.</t>
      </text>
    </comment>
    <comment ref="D3953" authorId="0" shapeId="0">
      <text>
        <t>Attraction — Normal, statut
Précision 100 % · 15 PP
Le genre opposé a moins de chances d'attaquer.</t>
      </text>
    </comment>
    <comment ref="E3953" authorId="0" shapeId="0">
      <text>
        <t>Boul'Armure — Normal, statut
40 PP
S'enroule, cache ses points faibles. Monte la
Défense.</t>
      </text>
    </comment>
    <comment ref="F3953" authorId="0" shapeId="0">
      <text>
        <t>Toxik — Poison, statut
Précision 90 % · 10 PP
Empoisonne l'ennemi avec une toxine de plus en
plus forte.</t>
      </text>
    </comment>
    <comment ref="G3953" authorId="0" shapeId="0">
      <text>
        <t>Damoclès — Normal, physique
Puissance 120 · Précision 100 % · 15 PP
Une dangereuse charge qui blesse aussi le
lanceur.</t>
      </text>
    </comment>
    <comment ref="B3954" authorId="0" shapeId="0">
      <text>
        <t>Big Splash — Combat, physique
Puissance 80 · Précision 100 % · 10 PP
Plus la Défense du lanceur est haute, plus ça
blesse.</t>
      </text>
    </comment>
    <comment ref="C3954" authorId="0" shapeId="0">
      <text>
        <t>Tête de Fer — Acier, physique
Puissance 80 · Précision 100 % · 15 PP
Un crâne dur. Peut apeurer l'ennemi.</t>
      </text>
    </comment>
    <comment ref="D3954" authorId="0" shapeId="0">
      <text>
        <t>Cage Éclair — Électrik, statut
Précision 90 % · 20 PP
Un faible choc électrique qui paralyse
l'ennemi.</t>
      </text>
    </comment>
    <comment ref="E3954" authorId="0" shapeId="0">
      <text>
        <t>Big Splash — Combat, physique
Puissance 80 · Précision 100 % · 10 PP
Plus la Défense du lanceur est haute, plus ça
blesse.</t>
      </text>
    </comment>
    <comment ref="F3954" authorId="0" shapeId="0">
      <text>
        <t>Riposte — Combat, physique
Puissance 1 · Précision 100 % · 20 PP ·
Priorité -5
Renvoie toute attaque physique, 2 fois plus
fort.</t>
      </text>
    </comment>
    <comment ref="G3954" authorId="0" shapeId="0">
      <text>
        <t>Câlinerie — Fée, physique
Puissance 90 · Précision 90 % · 10 PP
Un câlin brutal. Peut baisser l'Attaque de
l'ennemi.</t>
      </text>
    </comment>
    <comment ref="B3955" authorId="0" shapeId="0">
      <text>
        <t>Abri — Normal, statut
10 PP · Priorité +4</t>
      </text>
    </comment>
    <comment ref="C3955" authorId="0" shapeId="0">
      <text>
        <t>Piège de Roc — Roche, statut
20 PP
Des pierres qui blessent l'ennemi à l'arrivée.</t>
      </text>
    </comment>
    <comment ref="D3955" authorId="0" shapeId="0">
      <text>
        <t>Damoclès — Normal, physique
Puissance 120 · Précision 100 % · 15 PP
Une dangereuse charge qui blesse aussi le
lanceur.</t>
      </text>
    </comment>
    <comment ref="E3955" authorId="0" shapeId="0">
      <text>
        <t>Roulade — Roche, physique
Puissance 30 · Précision 90 % · 20 PP
Une attaque sur 5 tours, de plus en plus
puissante.</t>
      </text>
    </comment>
    <comment ref="F3955" authorId="0" shapeId="0">
      <text>
        <t>Façade — Normal, physique
Puissance 70 · Précision 100 % · 20 PP
Améliore l'Attaque si brûlé, paralysé ou
empoisonné.</t>
      </text>
    </comment>
    <comment ref="G3955" authorId="0" shapeId="0">
      <text>
        <t>Poing Boost — Combat, physique
Puissance 40 · Précision 100 % · 20 PP
Un poing dur qui monte l'Attaque du lanceur.</t>
      </text>
    </comment>
    <comment ref="B3958" authorId="0" shapeId="0">
      <text>
        <t>AIRMURE — Acier / Vol
PV 65 · Att 80 · Déf 140
Att.Spé 40 · Déf.Spé 70 · Vit 70
Total 465
Talents : Regard Vif, Fermeté (caché :
  Armurouillée)</t>
      </text>
    </comment>
    <comment ref="C3958" authorId="0" shapeId="0">
      <text>
        <t>AMONISTAR — Roche / Eau
PV 70 · Att 60 · Déf 125
Att.Spé 115 · Déf.Spé 70 · Vit 55
Total 495
Talents : Glissade, Coque Armure (caché :
  Armurouillée)</t>
      </text>
    </comment>
    <comment ref="D3958" authorId="0" shapeId="0">
      <text>
        <t>KAORINE — Sol / Psy
PV 60 · Att 70 · Déf 105
Att.Spé 70 · Déf.Spé 120 · Vit 75
Total 500
Talents : Lévitation</t>
      </text>
    </comment>
    <comment ref="E3958" authorId="0" shapeId="0">
      <text>
        <t>GALEKING — Acier / Roche
PV 70 · Att 110 · Déf 180
Att.Spé 60 · Déf.Spé 60 · Vit 50
Total 530
Talents : Fermeté, Tête de Roc (caché : Heavy
  Metal)</t>
      </text>
    </comment>
    <comment ref="F3958" authorId="0" shapeId="0">
      <text>
        <t>HACHECATEUR — Insecte / Roche
PV 70 · Att 135 · Déf 95
Att.Spé 45 · Déf.Spé 70 · Vit 85
Total 500
Talents : Essaim, Sans Limite (caché :
  Incisif)</t>
      </text>
    </comment>
    <comment ref="G3958" authorId="0" shapeId="0">
      <text>
        <t>METALOSSE — Acier / Psy
PV 80 · Att 135 · Déf 130
Att.Spé 95 · Déf.Spé 90 · Vit 70
Total 600
Talents : Corps Sain (caché : Light Metal)</t>
      </text>
    </comment>
    <comment ref="B3960" authorId="0" shapeId="0">
      <text>
        <t>Cape Obscure
Protège le porteur des effets secondaires.</t>
      </text>
    </comment>
    <comment ref="C3960" authorId="0" shapeId="0">
      <text>
        <t>Baie Sitrus
Objet tenu qui restaure 30 PV pendant un
combat.</t>
      </text>
    </comment>
    <comment ref="D3960" authorId="0" shapeId="0">
      <text>
        <t>Lumargile
Prolonge ses barrières, comme Mur Lumière.</t>
      </text>
    </comment>
    <comment ref="E3960" authorId="0" shapeId="0">
      <text>
        <t>Casque Brut
Blesse l'ennemi qui entre en contact avec le
porteur.</t>
      </text>
    </comment>
    <comment ref="F3960" authorId="0" shapeId="0">
      <text>
        <t>Lentilscope
Objet tenu pour monter le taux de critiques.</t>
      </text>
    </comment>
    <comment ref="G3960" authorId="0" shapeId="0">
      <text>
        <t>Peau Métal
Objet à tenir. Renforce le type Acier.</t>
      </text>
    </comment>
    <comment ref="B3961" authorId="0" shapeId="0">
      <text>
        <t>Fermeté
Ignore les K.O. en un coup.</t>
      </text>
    </comment>
    <comment ref="C3961" authorId="0" shapeId="0">
      <text>
        <t>Coque Armure
Bloque les coups critiques.</t>
      </text>
    </comment>
    <comment ref="D3961" authorId="0" shapeId="0">
      <text>
        <t>Lévitation
Ignore les attaques Sol.</t>
      </text>
    </comment>
    <comment ref="E3961" authorId="0" shapeId="0">
      <text>
        <t>Heavy Metal
Double le poids du Pokémon.</t>
      </text>
    </comment>
    <comment ref="F3961" authorId="0" shapeId="0">
      <text>
        <t>Incisif
Renforce les lames.</t>
      </text>
    </comment>
    <comment ref="G3961" authorId="0" shapeId="0">
      <text>
        <t>Corps Sain
Empêche réduction de cap.</t>
      </text>
    </comment>
    <comment ref="B3962" authorId="0" shapeId="0">
      <text>
        <t>Allègement — Acier, statut
15 PP
S'allège pour monter beaucoup la Vitesse.</t>
      </text>
    </comment>
    <comment ref="C3962" authorId="0" shapeId="0">
      <text>
        <t>Hydrocanon — Eau, spéciale
Puissance 110 · Précision 80 % · 5 PP
Envoie un puissant jet d'eau pour frapper
l'ennemi.</t>
      </text>
    </comment>
    <comment ref="D3962" authorId="0" shapeId="0">
      <text>
        <t>Mur Lumière — Psy, statut
30 PP
Crée un mur lumineux et réduit les dégâts
d'Atq. Spé.</t>
      </text>
    </comment>
    <comment ref="E3962" authorId="0" shapeId="0">
      <text>
        <t>Tacle Lourd — Acier, physique
Puissance 1 · Précision 100 % · 10 PP</t>
      </text>
    </comment>
    <comment ref="F3962" authorId="0" shapeId="0">
      <text>
        <t>Hache de Pierre — Roche, physique
Puissance 65 · Précision 90 % · 15 PP
Disperse des pierres qui blessent l'ennemi.</t>
      </text>
    </comment>
    <comment ref="G3962" authorId="0" shapeId="0">
      <text>
        <t>Pisto-Poing — Acier, physique
Puissance 40 · Précision 100 % · 30 PP ·
Priorité +1
Un poing comme une balle. Frappe d'abord.</t>
      </text>
    </comment>
    <comment ref="B3963" authorId="0" shapeId="0">
      <text>
        <t>Rapace — Vol, physique
Puissance 120 · Précision 100 % · 15 PP
Une charge en rase-mottes. Blesse le lanceur.</t>
      </text>
    </comment>
    <comment ref="C3963" authorId="0" shapeId="0">
      <text>
        <t>Laser Météore — Roche, spéciale
Puissance 120 · Précision 90 % · 10 PP
Monte l'Atq. Spé. puis attaque au 2e tour.</t>
      </text>
    </comment>
    <comment ref="D3963" authorId="0" shapeId="0">
      <text>
        <t>Protection — Psy, statut
20 PP
Crée un mur lumineux. Affaiblit att.
physiques.</t>
      </text>
    </comment>
    <comment ref="E3963" authorId="0" shapeId="0">
      <text>
        <t>Big Splash — Combat, physique
Puissance 80 · Précision 100 % · 10 PP
Plus la Défense du lanceur est haute, plus ça
blesse.</t>
      </text>
    </comment>
    <comment ref="F3963" authorId="0" shapeId="0">
      <text>
        <t>Plaie Croix — Insecte, physique
Puissance 80 · Précision 100 % · 15 PP
Taillade l'ennemi de ses faux croisées.</t>
      </text>
    </comment>
    <comment ref="G3963" authorId="0" shapeId="0">
      <text>
        <t>Poing Météore — Acier, physique
Puissance 90 · Précision 90 % · 10 PP
Coup de poing météore. Peut augmenter
l'Attaque.</t>
      </text>
    </comment>
    <comment ref="B3964" authorId="0" shapeId="0">
      <text>
        <t>Tête de Fer — Acier, physique
Puissance 80 · Précision 100 % · 15 PP
Un crâne dur. Peut apeurer l'ennemi.</t>
      </text>
    </comment>
    <comment ref="C3964" authorId="0" shapeId="0">
      <text>
        <t>Saumure — Eau, spéciale
Puissance 65 · Précision 100 % · 10 PP
Double les dégâts si l'ennemi a mi-PV ou
moins.</t>
      </text>
    </comment>
    <comment ref="D3964" authorId="0" shapeId="0">
      <text>
        <t>Vaste Pouvoir — Psy, spéciale
Puissance 80 · Précision 100 % · 10 PP
Plus fort et touche tout sur Champ Psychique.</t>
      </text>
    </comment>
    <comment ref="E3964" authorId="0" shapeId="0">
      <text>
        <t>Malédiction — Spectre, statut
10 PP
Coup qui fonctionne autre- ment pour les
Spectres.</t>
      </text>
    </comment>
    <comment ref="F3964" authorId="0" shapeId="0">
      <text>
        <t>Poison Croix — Poison, physique
Puissance 70 · Précision 100 % · 20 PP
Une taillade qui peut empoisonner. Critiques.</t>
      </text>
    </comment>
    <comment ref="G3964" authorId="0" shapeId="0">
      <text>
        <t>Psycho-Croc — Psy, physique
Puissance 85 · Précision 100 % · 15 PP
Des crocs psychiques. Détruit les barrières.</t>
      </text>
    </comment>
    <comment ref="B3965" authorId="0" shapeId="0">
      <text>
        <t>Picots — Sol, statut
20 PP
Pointes blessant lors d'un changement
d'adversaire.</t>
      </text>
    </comment>
    <comment ref="C3965" authorId="0" shapeId="0">
      <text>
        <t>Pics Toxik — Poison, statut
20 PP
Des pics qui empoisonnent l'arrivant.</t>
      </text>
    </comment>
    <comment ref="D3965" authorId="0" shapeId="0">
      <text>
        <t>Telluriforce — Sol, spéciale
Puissance 90 · Précision 100 % · 10 PP
Le sol se déchaîne. Peut baisser la Déf. Spé.</t>
      </text>
    </comment>
    <comment ref="E3965" authorId="0" shapeId="0">
      <text>
        <t>Éboulement — Roche, physique
Puissance 75 · Précision 90 % · 10 PP
Envoie de gros rochers. Peut apeurer l'ennemi.</t>
      </text>
    </comment>
    <comment ref="F3965" authorId="0" shapeId="0">
      <text>
        <t>Reflet — Normal, statut
15 PP
Crée des images-miroirs pour augmenter
l'esquive.</t>
      </text>
    </comment>
    <comment ref="G3965" authorId="0" shapeId="0">
      <text>
        <t>Force Cosmique — Psy, statut
20 PP
Pouvoir mystique qui monte la Défense et la
Déf. Spé.</t>
      </text>
    </comment>
    <comment ref="B3968" authorId="0" shapeId="0">
      <text>
        <t>PIKACHU — Électrik
PV 35 · Att 55 · Déf 40
Att.Spé 50 · Déf.Spé 50 · Vit 90
Total 320
Talents : Statik (caché : Paratonnerre)</t>
      </text>
    </comment>
    <comment ref="C3968" authorId="0" shapeId="0">
      <text>
        <t>RONFLEX — Normal
PV 160 · Att 110 · Déf 65
Att.Spé 65 · Déf.Spé 110 · Vit 30
Total 540
Talents : Vaccin, Isograisse (caché :
  Gloutonnerie)</t>
      </text>
    </comment>
    <comment ref="D3968" authorId="0" shapeId="0">
      <text>
        <t>DRACAUFEU — Feu / Vol
PV 78 · Att 84 · Déf 78
Att.Spé 109 · Déf.Spé 85 · Vit 100
Total 534
Talents : Brasier (caché : Force Soleil)</t>
      </text>
    </comment>
    <comment ref="E3968" authorId="0" shapeId="0">
      <text>
        <t>FLORIZARRE — Plante / Poison
PV 80 · Att 82 · Déf 83
Att.Spé 100 · Déf.Spé 100 · Vit 80
Total 525
Talents : Engrais (caché : Chlorophylle)</t>
      </text>
    </comment>
    <comment ref="F3968" authorId="0" shapeId="0">
      <text>
        <t>TORTANK — Eau
PV 79 · Att 83 · Déf 100
Att.Spé 85 · Déf.Spé 105 · Vit 78
Total 530
Talents : Torrent (caché : Cuvette)</t>
      </text>
    </comment>
    <comment ref="G3968" authorId="0" shapeId="0">
      <text>
        <t>MENTALI — Psy
PV 65 · Att 65 · Déf 60
Att.Spé 130 · Déf.Spé 95 · Vit 110
Total 525
Talents : Synchro, Synchro (caché : Miroir
  Magik)</t>
      </text>
    </comment>
    <comment ref="B3970" authorId="0" shapeId="0">
      <text>
        <t>Balle Lumière
Objet tenu pour monter l'Atq. Spé. de PIKACHU.</t>
      </text>
    </comment>
    <comment ref="C3970" authorId="0" shapeId="0">
      <text>
        <t>Restes
Objet tenu permet- tant de restaurer les PV au
combat.</t>
      </text>
    </comment>
    <comment ref="D3970" authorId="0" shapeId="0">
      <text>
        <t>Charbon
Objet à tenir. Renforce le type Feu.</t>
      </text>
    </comment>
    <comment ref="E3970" authorId="0" shapeId="0">
      <text>
        <t>Graine Miracle</t>
      </text>
    </comment>
    <comment ref="F3970" authorId="0" shapeId="0">
      <text>
        <t>Vive Griffe
Objet tenu qui permet parfois de frapper le
premier.</t>
      </text>
    </comment>
    <comment ref="G3970" authorId="0" shapeId="0">
      <text>
        <t>Baie Sitrus
Objet tenu qui restaure 30 PV pendant un
combat.</t>
      </text>
    </comment>
    <comment ref="B3971" authorId="0" shapeId="0">
      <text>
        <t>Statik
Paralyse au toucher.</t>
      </text>
    </comment>
    <comment ref="C3971" authorId="0" shapeId="0">
      <text>
        <t>Vaccin
Empêche l'empoisonnement.</t>
      </text>
    </comment>
    <comment ref="D3971" authorId="0" shapeId="0">
      <text>
        <t>Brasier
Augmente attaques Feu.</t>
      </text>
    </comment>
    <comment ref="E3971" authorId="0" shapeId="0">
      <text>
        <t>Engrais
Augmente attaques Plante.</t>
      </text>
    </comment>
    <comment ref="F3971" authorId="0" shapeId="0">
      <text>
        <t>Torrent
Augmente attaques Eau.</t>
      </text>
    </comment>
    <comment ref="G3971" authorId="0" shapeId="0">
      <text>
        <t>Synchro
Transfère statuts.</t>
      </text>
    </comment>
    <comment ref="B3972" authorId="0" shapeId="0">
      <text>
        <t>Tonnerre — Électrik, spéciale
Puissance 90 · Précision 100 % · 15 PP
Forte attaque électrique pouvant paralyser
l'ennemi.</t>
      </text>
    </comment>
    <comment ref="C3972" authorId="0" shapeId="0">
      <text>
        <t>Cognobidon — Normal, statut
10 PP
Améliore l'Attaque à fond en sacrifiant la
moitié des PV.</t>
      </text>
    </comment>
    <comment ref="D3972" authorId="0" shapeId="0">
      <text>
        <t>Déflagration — Feu, spéciale
Puissance 110 · Précision 85 % · 5 PP
Une explosion de flammes. Peut brûler
l'ennemi.</t>
      </text>
    </comment>
    <comment ref="E3972" authorId="0" shapeId="0">
      <text>
        <t>Tempête Florale — Plante, physique
Puissance 90 · Précision 100 % · 15 PP
Une tempête de pétales sur tout le monde.</t>
      </text>
    </comment>
    <comment ref="F3972" authorId="0" shapeId="0">
      <text>
        <t>Laser Glace — Glace, spéciale
Puissance 90 · Précision 100 % · 10 PP</t>
      </text>
    </comment>
    <comment ref="G3972" authorId="0" shapeId="0">
      <text>
        <t>Psyko — Psy, spéciale
Puissance 90 · Précision 100 % · 10 PP
Une puissante attaque Psy pouvant baisser la
Déf. Spé.</t>
      </text>
    </comment>
    <comment ref="B3973" authorId="0" shapeId="0">
      <text>
        <t>Surf — Eau, spéciale
Puissance 90 · Précision 100 % · 15 PP</t>
      </text>
    </comment>
    <comment ref="C3973" authorId="0" shapeId="0">
      <text>
        <t>Malédiction — Spectre, statut
10 PP
Coup qui fonctionne autre- ment pour les
Spectres.</t>
      </text>
    </comment>
    <comment ref="D3973" authorId="0" shapeId="0">
      <text>
        <t>Aéropique — Vol, physique
Puissance 60 · Ne rate jamais · 20 PP
Attaque très rapide et imparable.</t>
      </text>
    </comment>
    <comment ref="E3973" authorId="0" shapeId="0">
      <text>
        <t>Damoclès — Normal, physique
Puissance 120 · Précision 100 % · 15 PP
Une dangereuse charge qui blesse aussi le
lanceur.</t>
      </text>
    </comment>
    <comment ref="F3973" authorId="0" shapeId="0">
      <text>
        <t>Hydrocanon — Eau, spéciale
Puissance 110 · Précision 80 % · 5 PP
Envoie un puissant jet d'eau pour frapper
l'ennemi.</t>
      </text>
    </comment>
    <comment ref="G3973" authorId="0" shapeId="0">
      <text>
        <t>Ball'Ombre — Spectre, spéciale
Puissance 80 · Précision 100 % · 15 PP
Projette une grande tache qui peut baisser la
Déf. Spé.</t>
      </text>
    </comment>
    <comment ref="B3974" authorId="0" shapeId="0">
      <text>
        <t>Queue de Fer — Acier, physique
Puissance 100 · Précision 75 % · 15 PP
Attaque avec la queue. Peut baisser la
Défense.</t>
      </text>
    </comment>
    <comment ref="C3974" authorId="0" shapeId="0">
      <text>
        <t>Tacle Lourd — Acier, physique
Puissance 1 · Précision 100 % · 10 PP</t>
      </text>
    </comment>
    <comment ref="D3974" authorId="0" shapeId="0">
      <text>
        <t>Colère — Dragon, physique
Puissance 120 · Précision 100 % · 10 PP
Une attaque furieuse sur 2 à 3 tours. Lanceur
confus.</t>
      </text>
    </comment>
    <comment ref="E3974" authorId="0" shapeId="0">
      <text>
        <t>Poudre Dodo — Plante, statut
Précision 75 % · 15 PP
Répand une poudre pouvant endormir l'ennemi.</t>
      </text>
    </comment>
    <comment ref="F3974" authorId="0" shapeId="0">
      <text>
        <t>Coud'Krâne — Normal, physique
Puissance 130 · Précision 100 % · 10 PP
Monte la Défense au 1{SUPER_ER} tour et frappe
au 2{SUPER_E}.</t>
      </text>
    </comment>
    <comment ref="G3974" authorId="0" shapeId="0">
      <text>
        <t>Puissance Cachée — Normal, spéciale
Puissance 60 · Précision 100 % · 15 PP</t>
      </text>
    </comment>
    <comment ref="B3975" authorId="0" shapeId="0">
      <text>
        <t>Reflet — Normal, statut
15 PP
Crée des images-miroirs pour augmenter
l'esquive.</t>
      </text>
    </comment>
    <comment ref="C3975" authorId="0" shapeId="0">
      <text>
        <t>Séisme — Sol, physique
Puissance 100 · Précision 100 % · 10 PP
Secousse sans effet sur les adversaires
volants.</t>
      </text>
    </comment>
    <comment ref="D3975" authorId="0" shapeId="0">
      <text>
        <t>Ailes d'Acier — Acier, physique
Puissance 70 · Précision 90 % · 25 PP
Frappe l'ennemi en déployant des ailes
d'acier.</t>
      </text>
    </comment>
    <comment ref="E3975" authorId="0" shapeId="0">
      <text>
        <t>Vampigraine — Plante, statut
Précision 90 % · 10 PP
Plante des graines pour voler des PV à chaque
tour.</t>
      </text>
    </comment>
    <comment ref="F3975" authorId="0" shapeId="0">
      <text>
        <t>Séisme — Sol, physique
Puissance 100 · Précision 100 % · 10 PP
Secousse sans effet sur les adversaires
volants.</t>
      </text>
    </comment>
    <comment ref="G3975" authorId="0" shapeId="0">
      <text>
        <t>Aurore — Normal, statut
5 PP
Restaure les PV. La quantité varie suivant le
temps.</t>
      </text>
    </comment>
  </commentList>
</comments>
</file>

<file path=xl/comments/comment2.xml><?xml version="1.0" encoding="utf-8"?>
<comments xmlns="http://schemas.openxmlformats.org/spreadsheetml/2006/main">
  <authors>
    <author>HnS</author>
  </authors>
  <commentList>
    <comment ref="E2" authorId="0" shapeId="0">
      <text>
        <t>CAPUMAIN — Normal
PV 55 · Att 70 · Déf 55
Att.Spé 40 · Déf.Spé 55 · Vit 85
Total 360
Talents : Fuite, Ramassage (caché : Multi-
  Coups)</t>
      </text>
    </comment>
    <comment ref="E3" authorId="0" shapeId="0">
      <text>
        <t>POMDEPIK — Insecte
PV 50 · Att 65 · Déf 90
Att.Spé 35 · Déf.Spé 35 · Vit 15
Total 290
Talents : Fermeté (caché : Envelocape)</t>
      </text>
    </comment>
    <comment ref="E4" authorId="0" shapeId="0">
      <text>
        <t>SCARHINO — Insecte / Combat
PV 80 · Att 125 · Déf 75
Att.Spé 40 · Déf.Spé 95 · Vit 85
Total 500
Talents : Essaim, Cran (caché : Impudence)</t>
      </text>
    </comment>
    <comment ref="E5" authorId="0" shapeId="0">
      <text>
        <t>MAGMAR — Feu
PV 65 · Att 95 · Déf 57
Att.Spé 100 · Déf.Spé 85 · Vit 93
Total 495
Talents : Corps Ardent (caché : Esprit Vital)</t>
      </text>
    </comment>
    <comment ref="E6" authorId="0" shapeId="0">
      <text>
        <t>TOUDOUDOU
PV 90 · Att 30 · Déf 15
Att.Spé 40 · Déf.Spé 20 · Vit 15
Total 210
Talents : Joli Sourire, Battant (caché :
  Garde-Ami)</t>
      </text>
    </comment>
    <comment ref="E7" authorId="0" shapeId="0">
      <text>
        <t>GOELISE — Eau / Vol
PV 40 · Att 30 · Déf 30
Att.Spé 55 · Déf.Spé 30 · Vit 85
Total 270
Talents : Regard Vif, Hydratation (caché :
  Cuvette)</t>
      </text>
    </comment>
    <comment ref="E8" authorId="0" shapeId="0">
      <text>
        <t>CAPUMAIN — Normal
PV 55 · Att 70 · Déf 55
Att.Spé 40 · Déf.Spé 55 · Vit 85
Total 360
Talents : Fuite, Ramassage (caché : Multi-
  Coups)</t>
      </text>
    </comment>
    <comment ref="E9" authorId="0" shapeId="0">
      <text>
        <t>MAGBY — Feu
PV 45 · Att 75 · Déf 37
Att.Spé 70 · Déf.Spé 55 · Vit 83
Total 365
Talents : Corps Ardent (caché : Esprit Vital)</t>
      </text>
    </comment>
    <comment ref="E10" authorId="0" shapeId="0">
      <text>
        <t>NATU — Psy / Vol
PV 40 · Att 50 · Déf 45
Att.Spé 70 · Déf.Spé 45 · Vit 70
Total 320
Talents : Synchro, Matinal (caché : Miroir
  Magik)</t>
      </text>
    </comment>
    <comment ref="E11" authorId="0" shapeId="0">
      <text>
        <t>OSSELAIT — Sol
PV 50 · Att 50 · Déf 95
Att.Spé 40 · Déf.Spé 50 · Vit 35
Total 320
Talents : Tête de Roc, Paratonnerre (caché :
  Armurbaston)</t>
      </text>
    </comment>
    <comment ref="E12" authorId="0" shapeId="0">
      <text>
        <t>TARINOR — Roche
PV 30 · Att 45 · Déf 135
Att.Spé 45 · Déf.Spé 90 · Vit 30
Total 375
Talents : Fermeté, Magnépiège (caché : Force
  Sable)</t>
      </text>
    </comment>
    <comment ref="E13" authorId="0" shapeId="0">
      <text>
        <t>MAGANON — Feu
PV 75 · Att 95 · Déf 67
Att.Spé 125 · Déf.Spé 95 · Vit 83
Total 540
Talents : Corps Ardent (caché : Esprit Vital)</t>
      </text>
    </comment>
    <comment ref="E14" authorId="0" shapeId="0">
      <text>
        <t>TARINORME — Roche / Acier
PV 60 · Att 55 · Déf 145
Att.Spé 75 · Déf.Spé 150 · Vit 40
Total 525
Talents : Fermeté, Magnépiège (caché : Force
  Sable)</t>
      </text>
    </comment>
    <comment ref="E15" authorId="0" shapeId="0">
      <text>
        <t>LOKHLASS — Eau / Glace
PV 130 · Att 85 · Déf 80
Att.Spé 85 · Déf.Spé 95 · Vit 60
Total 535
Talents : Absorbe-Eau, Coque Armure (caché :
  Hydratation)</t>
      </text>
    </comment>
    <comment ref="E16" authorId="0" shapeId="0">
      <text>
        <t>GOELISE — Eau / Vol
PV 40 · Att 30 · Déf 30
Att.Spé 55 · Déf.Spé 30 · Vit 85
Total 270
Talents : Regard Vif, Hydratation (caché :
  Cuvette)</t>
      </text>
    </comment>
    <comment ref="E17" authorId="0" shapeId="0">
      <text>
        <t>STARI — Eau
PV 30 · Att 45 · Déf 55
Att.Spé 70 · Déf.Spé 55 · Vit 85
Total 340
Talents : Lumiattirance, Médic Nature (caché :
  Analyste)</t>
      </text>
    </comment>
    <comment ref="E18" authorId="0" shapeId="0">
      <text>
        <t>TENTACOOL — Eau / Poison
PV 40 · Att 40 · Déf 35
Att.Spé 50 · Déf.Spé 100 · Vit 70
Total 335
Talents : Corps Sain, Suintement (caché :
  Cuvette)</t>
      </text>
    </comment>
    <comment ref="E19" authorId="0" shapeId="0">
      <text>
        <t>LOVDISC — Eau
PV 43 · Att 30 · Déf 55
Att.Spé 40 · Déf.Spé 65 · Vit 97
Total 330
Talents : Glissade (caché : Hydratation)</t>
      </text>
    </comment>
    <comment ref="E20" authorId="0" shapeId="0">
      <text>
        <t>MAGICARPE — Eau
PV 20 · Att 10 · Déf 55
Att.Spé 15 · Déf.Spé 20 · Vit 80
Total 200
Talents : Glissade (caché : Phobique)</t>
      </text>
    </comment>
    <comment ref="E21" authorId="0" shapeId="0">
      <text>
        <t>LOUPIO — Eau / Électrik
PV 75 · Att 38 · Déf 38
Att.Spé 56 · Déf.Spé 56 · Vit 67
Total 330
Talents : Absorbe-Volt, Lumiattirance (caché :
  Absorbe-Eau)</t>
      </text>
    </comment>
    <comment ref="E22" authorId="0" shapeId="0">
      <text>
        <t>CORAYON — Eau / Roche
PV 65 · Att 55 · Déf 95
Att.Spé 65 · Déf.Spé 95 · Vit 35
Total 410
Talents : Agitation, Médic Nature (caché :
  Régé-Force)</t>
      </text>
    </comment>
    <comment ref="E23" authorId="0" shapeId="0">
      <text>
        <t>POISSIRENE — Eau
PV 45 · Att 67 · Déf 60
Att.Spé 35 · Déf.Spé 50 · Vit 63
Total 320
Talents : Glissade, Ignifu-Voile (caché :
  Paratonnerre)</t>
      </text>
    </comment>
    <comment ref="E24" authorId="0" shapeId="0">
      <text>
        <t>LEVIATOR — Eau / Vol
PV 95 · Att 125 · Déf 79
Att.Spé 60 · Déf.Spé 100 · Vit 81
Total 540
Talents : Intimidation (caché : Impudence)</t>
      </text>
    </comment>
    <comment ref="E25" authorId="0" shapeId="0">
      <text>
        <t>POISSOROY — Eau
PV 80 · Att 92 · Déf 65
Att.Spé 65 · Déf.Spé 80 · Vit 68
Total 450
Talents : Glissade, Ignifu-Voile (caché :
  Paratonnerre)</t>
      </text>
    </comment>
    <comment ref="E26" authorId="0" shapeId="0">
      <text>
        <t>LANTURN — Eau / Électrik
PV 125 · Att 58 · Déf 58
Att.Spé 76 · Déf.Spé 76 · Vit 67
Total 460
Talents : Absorbe-Volt, Lumiattirance (caché :
  Absorbe-Eau)</t>
      </text>
    </comment>
    <comment ref="E27" authorId="0" shapeId="0">
      <text>
        <t>STAROSS — Eau / Psy
PV 60 · Att 75 · Déf 85
Att.Spé 100 · Déf.Spé 85 · Vit 115
Total 520
Talents : Lumiattirance, Médic Nature (caché :
  Analyste)</t>
      </text>
    </comment>
    <comment ref="E28" authorId="0" shapeId="0">
      <text>
        <t>NOSFERAPTI — Poison / Vol
PV 40 · Att 45 · Déf 35
Att.Spé 30 · Déf.Spé 40 · Vit 55
Total 245
Talents : Attention (caché : Infiltration)</t>
      </text>
    </comment>
    <comment ref="E29" authorId="0" shapeId="0">
      <text>
        <t>RACAILLOU — Roche / Sol
PV 40 · Att 80 · Déf 100
Att.Spé 30 · Déf.Spé 30 · Vit 20
Total 300
Talents : Tête de Roc, Fermeté (caché : Voile
  Sable)</t>
      </text>
    </comment>
    <comment ref="E30" authorId="0" shapeId="0">
      <text>
        <t>URSARING — Normal
PV 90 · Att 130 · Déf 75
Att.Spé 75 · Déf.Spé 75 · Vit 55
Total 500
Talents : Cran, Pied Véloce (caché : Tension)</t>
      </text>
    </comment>
    <comment ref="E31" authorId="0" shapeId="0">
      <text>
        <t>GRAVALANCH — Roche / Sol
PV 55 · Att 95 · Déf 115
Att.Spé 45 · Déf.Spé 45 · Vit 35
Total 390
Talents : Tête de Roc, Fermeté (caché : Voile
  Sable)</t>
      </text>
    </comment>
    <comment ref="E32" authorId="0" shapeId="0">
      <text>
        <t>NOSFERALTO — Poison / Vol
PV 75 · Att 80 · Déf 70
Att.Spé 65 · Déf.Spé 75 · Vit 90
Total 455
Talents : Attention (caché : Infiltration)</t>
      </text>
    </comment>
    <comment ref="E33" authorId="0" shapeId="0">
      <text>
        <t>NOSFERAPTI — Poison / Vol
PV 40 · Att 45 · Déf 35
Att.Spé 30 · Déf.Spé 40 · Vit 55
Total 245
Talents : Attention (caché : Infiltration)</t>
      </text>
    </comment>
    <comment ref="E34" authorId="0" shapeId="0">
      <text>
        <t>RACAILLOU — Roche / Sol
PV 40 · Att 80 · Déf 100
Att.Spé 30 · Déf.Spé 30 · Vit 20
Total 300
Talents : Tête de Roc, Fermeté (caché : Voile
  Sable)</t>
      </text>
    </comment>
    <comment ref="E35" authorId="0" shapeId="0">
      <text>
        <t>QULBUTOKE — Psy
PV 190 · Att 33 · Déf 58
Att.Spé 33 · Déf.Spé 58 · Vit 33
Total 405
Talents : Marque Ombre (caché : Télépathe)</t>
      </text>
    </comment>
    <comment ref="E36" authorId="0" shapeId="0">
      <text>
        <t>GRAVALANCH — Roche / Sol
PV 55 · Att 95 · Déf 115
Att.Spé 45 · Déf.Spé 45 · Vit 35
Total 390
Talents : Tête de Roc, Fermeté (caché : Voile
  Sable)</t>
      </text>
    </comment>
    <comment ref="E37" authorId="0" shapeId="0">
      <text>
        <t>NOSFERALTO — Poison / Vol
PV 75 · Att 80 · Déf 70
Att.Spé 65 · Déf.Spé 75 · Vit 90
Total 455
Talents : Attention (caché : Infiltration)</t>
      </text>
    </comment>
    <comment ref="E38" authorId="0" shapeId="0">
      <text>
        <t>MAGICARPE — Eau
PV 20 · Att 10 · Déf 55
Att.Spé 15 · Déf.Spé 20 · Vit 80
Total 200
Talents : Glissade (caché : Phobique)</t>
      </text>
    </comment>
    <comment ref="E39" authorId="0" shapeId="0">
      <text>
        <t>MAGICARPE — Eau
PV 20 · Att 10 · Déf 55
Att.Spé 15 · Déf.Spé 20 · Vit 80
Total 200
Talents : Glissade (caché : Phobique)</t>
      </text>
    </comment>
    <comment ref="E40" authorId="0" shapeId="0">
      <text>
        <t>MAGICARPE — Eau
PV 20 · Att 10 · Déf 55
Att.Spé 15 · Déf.Spé 20 · Vit 80
Total 200
Talents : Glissade (caché : Phobique)</t>
      </text>
    </comment>
    <comment ref="E41" authorId="0" shapeId="0">
      <text>
        <t>POISSIRENE — Eau
PV 45 · Att 67 · Déf 60
Att.Spé 35 · Déf.Spé 50 · Vit 63
Total 320
Talents : Glissade, Ignifu-Voile (caché :
  Paratonnerre)</t>
      </text>
    </comment>
    <comment ref="E42" authorId="0" shapeId="0">
      <text>
        <t>MAGICARPE — Eau
PV 20 · Att 10 · Déf 55
Att.Spé 15 · Déf.Spé 20 · Vit 80
Total 200
Talents : Glissade (caché : Phobique)</t>
      </text>
    </comment>
    <comment ref="E43" authorId="0" shapeId="0">
      <text>
        <t>POISSIRENE — Eau
PV 45 · Att 67 · Déf 60
Att.Spé 35 · Déf.Spé 50 · Vit 63
Total 320
Talents : Glissade, Ignifu-Voile (caché :
  Paratonnerre)</t>
      </text>
    </comment>
    <comment ref="E44" authorId="0" shapeId="0">
      <text>
        <t>POISSIRENE — Eau
PV 45 · Att 67 · Déf 60
Att.Spé 35 · Déf.Spé 50 · Vit 63
Total 320
Talents : Glissade, Ignifu-Voile (caché :
  Paratonnerre)</t>
      </text>
    </comment>
    <comment ref="E45" authorId="0" shapeId="0">
      <text>
        <t>MAGICARPE — Eau
PV 20 · Att 10 · Déf 55
Att.Spé 15 · Déf.Spé 20 · Vit 80
Total 200
Talents : Glissade (caché : Phobique)</t>
      </text>
    </comment>
    <comment ref="E46" authorId="0" shapeId="0">
      <text>
        <t>POISSIRENE — Eau
PV 45 · Att 67 · Déf 60
Att.Spé 35 · Déf.Spé 50 · Vit 63
Total 320
Talents : Glissade, Ignifu-Voile (caché :
  Paratonnerre)</t>
      </text>
    </comment>
    <comment ref="E47" authorId="0" shapeId="0">
      <text>
        <t>MAGICARPE — Eau
PV 20 · Att 10 · Déf 55
Att.Spé 15 · Déf.Spé 20 · Vit 80
Total 200
Talents : Glissade (caché : Phobique)</t>
      </text>
    </comment>
    <comment ref="E48" authorId="0" shapeId="0">
      <text>
        <t>MAGICARPE — Eau
PV 20 · Att 10 · Déf 55
Att.Spé 15 · Déf.Spé 20 · Vit 80
Total 200
Talents : Glissade (caché : Phobique)</t>
      </text>
    </comment>
    <comment ref="E49" authorId="0" shapeId="0">
      <text>
        <t>POISSOROY — Eau
PV 80 · Att 92 · Déf 65
Att.Spé 65 · Déf.Spé 80 · Vit 68
Total 450
Talents : Glissade, Ignifu-Voile (caché :
  Paratonnerre)</t>
      </text>
    </comment>
    <comment ref="E50" authorId="0" shapeId="0">
      <text>
        <t>POISSIRENE — Eau
PV 45 · Att 67 · Déf 60
Att.Spé 35 · Déf.Spé 50 · Vit 63
Total 320
Talents : Glissade, Ignifu-Voile (caché :
  Paratonnerre)</t>
      </text>
    </comment>
    <comment ref="E51" authorId="0" shapeId="0">
      <text>
        <t>MAGICARPE — Eau
PV 20 · Att 10 · Déf 55
Att.Spé 15 · Déf.Spé 20 · Vit 80
Total 200
Talents : Glissade (caché : Phobique)</t>
      </text>
    </comment>
    <comment ref="E52" authorId="0" shapeId="0">
      <text>
        <t>POISSOROY — Eau
PV 80 · Att 92 · Déf 65
Att.Spé 65 · Déf.Spé 80 · Vit 68
Total 450
Talents : Glissade, Ignifu-Voile (caché :
  Paratonnerre)</t>
      </text>
    </comment>
    <comment ref="E53" authorId="0" shapeId="0">
      <text>
        <t>POISSIRENE — Eau
PV 45 · Att 67 · Déf 60
Att.Spé 35 · Déf.Spé 50 · Vit 63
Total 320
Talents : Glissade, Ignifu-Voile (caché :
  Paratonnerre)</t>
      </text>
    </comment>
    <comment ref="E54" authorId="0" shapeId="0">
      <text>
        <t>NOSFERAPTI — Poison / Vol
PV 40 · Att 45 · Déf 35
Att.Spé 30 · Déf.Spé 40 · Vit 55
Total 245
Talents : Attention (caché : Infiltration)</t>
      </text>
    </comment>
    <comment ref="E55" authorId="0" shapeId="0">
      <text>
        <t>RACAILLOU — Roche / Sol
PV 40 · Att 80 · Déf 100
Att.Spé 30 · Déf.Spé 30 · Vit 20
Total 300
Talents : Tête de Roc, Fermeté (caché : Voile
  Sable)</t>
      </text>
    </comment>
    <comment ref="E56" authorId="0" shapeId="0">
      <text>
        <t>TEDDIURSA — Normal
PV 60 · Att 80 · Déf 50
Att.Spé 50 · Déf.Spé 50 · Vit 40
Total 330
Talents : Ramassage, Pied Véloce (caché :
  Cherche Miel)</t>
      </text>
    </comment>
    <comment ref="E57" authorId="0" shapeId="0">
      <text>
        <t>INSOLOURDO — Normal
PV 100 · Att 70 · Déf 70
Att.Spé 65 · Déf.Spé 65 · Vit 45
Total 415
Talents : Sérénité, Fuite (caché : Phobique)</t>
      </text>
    </comment>
    <comment ref="E58" authorId="0" shapeId="0">
      <text>
        <t>EMBRYLEX — Roche / Sol
PV 50 · Att 64 · Déf 50
Att.Spé 45 · Déf.Spé 50 · Vit 41
Total 300
Talents : Cran (caché : Voile Sable)</t>
      </text>
    </comment>
    <comment ref="E59" authorId="0" shapeId="0">
      <text>
        <t>MAGICARPE — Eau
PV 20 · Att 10 · Déf 55
Att.Spé 15 · Déf.Spé 20 · Vit 80
Total 200
Talents : Glissade (caché : Phobique)</t>
      </text>
    </comment>
    <comment ref="E60" authorId="0" shapeId="0">
      <text>
        <t>MAGICARPE — Eau
PV 20 · Att 10 · Déf 55
Att.Spé 15 · Déf.Spé 20 · Vit 80
Total 200
Talents : Glissade (caché : Phobique)</t>
      </text>
    </comment>
    <comment ref="E61" authorId="0" shapeId="0">
      <text>
        <t>POISSIRENE — Eau
PV 45 · Att 67 · Déf 60
Att.Spé 35 · Déf.Spé 50 · Vit 63
Total 320
Talents : Glissade, Ignifu-Voile (caché :
  Paratonnerre)</t>
      </text>
    </comment>
    <comment ref="E62" authorId="0" shapeId="0">
      <text>
        <t>POISSIRENE — Eau
PV 45 · Att 67 · Déf 60
Att.Spé 35 · Déf.Spé 50 · Vit 63
Total 320
Talents : Glissade, Ignifu-Voile (caché :
  Paratonnerre)</t>
      </text>
    </comment>
    <comment ref="E63" authorId="0" shapeId="0">
      <text>
        <t>MAGICARPE — Eau
PV 20 · Att 10 · Déf 55
Att.Spé 15 · Déf.Spé 20 · Vit 80
Total 200
Talents : Glissade (caché : Phobique)</t>
      </text>
    </comment>
    <comment ref="E64" authorId="0" shapeId="0">
      <text>
        <t>MAGICARPE — Eau
PV 20 · Att 10 · Déf 55
Att.Spé 15 · Déf.Spé 20 · Vit 80
Total 200
Talents : Glissade (caché : Phobique)</t>
      </text>
    </comment>
    <comment ref="E65" authorId="0" shapeId="0">
      <text>
        <t>POISSOROY — Eau
PV 80 · Att 92 · Déf 65
Att.Spé 65 · Déf.Spé 80 · Vit 68
Total 450
Talents : Glissade, Ignifu-Voile (caché :
  Paratonnerre)</t>
      </text>
    </comment>
    <comment ref="E66" authorId="0" shapeId="0">
      <text>
        <t>POISSIRENE — Eau
PV 45 · Att 67 · Déf 60
Att.Spé 35 · Déf.Spé 50 · Vit 63
Total 320
Talents : Glissade, Ignifu-Voile (caché :
  Paratonnerre)</t>
      </text>
    </comment>
    <comment ref="E67" authorId="0" shapeId="0">
      <text>
        <t>MAGICARPE — Eau
PV 20 · Att 10 · Déf 55
Att.Spé 15 · Déf.Spé 20 · Vit 80
Total 200
Talents : Glissade (caché : Phobique)</t>
      </text>
    </comment>
    <comment ref="E68" authorId="0" shapeId="0">
      <text>
        <t>HYPOTREMPE — Eau
PV 30 · Att 40 · Déf 70
Att.Spé 70 · Déf.Spé 25 · Vit 60
Total 295
Talents : Glissade, Sniper (caché : Moiteur)</t>
      </text>
    </comment>
    <comment ref="E69" authorId="0" shapeId="0">
      <text>
        <t>MINIDRACO — Dragon
PV 41 · Att 64 · Déf 45
Att.Spé 50 · Déf.Spé 50 · Vit 50
Total 300
Talents : Mue (caché : Écaille Spéciale)</t>
      </text>
    </comment>
    <comment ref="E70" authorId="0" shapeId="0">
      <text>
        <t>MAGICARPE — Eau
PV 20 · Att 10 · Déf 55
Att.Spé 15 · Déf.Spé 20 · Vit 80
Total 200
Talents : Glissade (caché : Phobique)</t>
      </text>
    </comment>
    <comment ref="E71" authorId="0" shapeId="0">
      <text>
        <t>MINIDRACO — Dragon
PV 41 · Att 64 · Déf 45
Att.Spé 50 · Déf.Spé 50 · Vit 50
Total 300
Talents : Mue (caché : Écaille Spéciale)</t>
      </text>
    </comment>
    <comment ref="E72" authorId="0" shapeId="0">
      <text>
        <t>MAGICARPE — Eau
PV 20 · Att 10 · Déf 55
Att.Spé 15 · Déf.Spé 20 · Vit 80
Total 200
Talents : Glissade (caché : Phobique)</t>
      </text>
    </comment>
    <comment ref="E73" authorId="0" shapeId="0">
      <text>
        <t>MAGICARPE — Eau
PV 20 · Att 10 · Déf 55
Att.Spé 15 · Déf.Spé 20 · Vit 80
Total 200
Talents : Glissade (caché : Phobique)</t>
      </text>
    </comment>
    <comment ref="E74" authorId="0" shapeId="0">
      <text>
        <t>MAGICARPE — Eau
PV 20 · Att 10 · Déf 55
Att.Spé 15 · Déf.Spé 20 · Vit 80
Total 200
Talents : Glissade (caché : Phobique)</t>
      </text>
    </comment>
    <comment ref="E75" authorId="0" shapeId="0">
      <text>
        <t>MINIDRACO — Dragon
PV 41 · Att 64 · Déf 45
Att.Spé 50 · Déf.Spé 50 · Vit 50
Total 300
Talents : Mue (caché : Écaille Spéciale)</t>
      </text>
    </comment>
    <comment ref="E76" authorId="0" shapeId="0">
      <text>
        <t>MAGICARPE — Eau
PV 20 · Att 10 · Déf 55
Att.Spé 15 · Déf.Spé 20 · Vit 80
Total 200
Talents : Glissade (caché : Phobique)</t>
      </text>
    </comment>
    <comment ref="E77" authorId="0" shapeId="0">
      <text>
        <t>MINIDRACO — Dragon
PV 41 · Att 64 · Déf 45
Att.Spé 50 · Déf.Spé 50 · Vit 50
Total 300
Talents : Mue (caché : Écaille Spéciale)</t>
      </text>
    </comment>
    <comment ref="E78" authorId="0" shapeId="0">
      <text>
        <t>MINIDRACO — Dragon
PV 41 · Att 64 · Déf 45
Att.Spé 50 · Déf.Spé 50 · Vit 50
Total 300
Talents : Mue (caché : Écaille Spéciale)</t>
      </text>
    </comment>
    <comment ref="E79" authorId="0" shapeId="0">
      <text>
        <t>HYPOCEAN — Eau
PV 55 · Att 65 · Déf 95
Att.Spé 95 · Déf.Spé 45 · Vit 85
Total 440
Talents : Point Poison, Sniper (caché :
  Moiteur)</t>
      </text>
    </comment>
    <comment ref="E80" authorId="0" shapeId="0">
      <text>
        <t>DRACO — Dragon
PV 61 · Att 84 · Déf 65
Att.Spé 70 · Déf.Spé 70 · Vit 70
Total 420
Talents : Mue (caché : Écaille Spéciale)</t>
      </text>
    </comment>
    <comment ref="E81" authorId="0" shapeId="0">
      <text>
        <t>MINIDRACO — Dragon
PV 41 · Att 64 · Déf 45
Att.Spé 50 · Déf.Spé 50 · Vit 50
Total 300
Talents : Mue (caché : Écaille Spéciale)</t>
      </text>
    </comment>
    <comment ref="E82" authorId="0" shapeId="0">
      <text>
        <t>MAGICARPE — Eau
PV 20 · Att 10 · Déf 55
Att.Spé 15 · Déf.Spé 20 · Vit 80
Total 200
Talents : Glissade (caché : Phobique)</t>
      </text>
    </comment>
    <comment ref="E83" authorId="0" shapeId="0">
      <text>
        <t>DRACO — Dragon
PV 61 · Att 84 · Déf 65
Att.Spé 70 · Déf.Spé 70 · Vit 70
Total 420
Talents : Mue (caché : Écaille Spéciale)</t>
      </text>
    </comment>
    <comment ref="E84" authorId="0" shapeId="0">
      <text>
        <t>POMDEPIK — Insecte
PV 50 · Att 65 · Déf 90
Att.Spé 35 · Déf.Spé 35 · Vit 15
Total 290
Talents : Fermeté (caché : Envelocape)</t>
      </text>
    </comment>
    <comment ref="E85" authorId="0" shapeId="0">
      <text>
        <t>NOEUNOEUF — Plante / Psy
PV 60 · Att 40 · Déf 80
Att.Spé 60 · Déf.Spé 45 · Vit 40
Total 325
Talents : Chlorophylle (caché : Récolte)</t>
      </text>
    </comment>
    <comment ref="E86" authorId="0" shapeId="0">
      <text>
        <t>COXY — Insecte / Vol
PV 40 · Att 20 · Déf 30
Att.Spé 40 · Déf.Spé 80 · Vit 55
Total 265
Talents : Essaim, Matinal (caché : Phobique)</t>
      </text>
    </comment>
    <comment ref="E87" authorId="0" shapeId="0">
      <text>
        <t>MIMIGAL — Insecte / Poison
PV 40 · Att 60 · Déf 40
Att.Spé 40 · Déf.Spé 40 · Vit 30
Total 250
Talents : Essaim, Insomnia (caché : Sniper)</t>
      </text>
    </comment>
    <comment ref="E88" authorId="0" shapeId="0">
      <text>
        <t>POISSIRENE — Eau
PV 45 · Att 67 · Déf 60
Att.Spé 35 · Déf.Spé 50 · Vit 63
Total 320
Talents : Glissade, Ignifu-Voile (caché :
  Paratonnerre)</t>
      </text>
    </comment>
    <comment ref="E89" authorId="0" shapeId="0">
      <text>
        <t>POISSOROY — Eau
PV 80 · Att 92 · Déf 65
Att.Spé 65 · Déf.Spé 80 · Vit 68
Total 450
Talents : Glissade, Ignifu-Voile (caché :
  Paratonnerre)</t>
      </text>
    </comment>
    <comment ref="E90" authorId="0" shapeId="0">
      <text>
        <t>POISSIRENE — Eau
PV 45 · Att 67 · Déf 60
Att.Spé 35 · Déf.Spé 50 · Vit 63
Total 320
Talents : Glissade, Ignifu-Voile (caché :
  Paratonnerre)</t>
      </text>
    </comment>
    <comment ref="E91" authorId="0" shapeId="0">
      <text>
        <t>POISSOROY — Eau
PV 80 · Att 92 · Déf 65
Att.Spé 65 · Déf.Spé 80 · Vit 68
Total 450
Talents : Glissade, Ignifu-Voile (caché :
  Paratonnerre)</t>
      </text>
    </comment>
    <comment ref="E92" authorId="0" shapeId="0">
      <text>
        <t>POMDEPIK — Insecte
PV 50 · Att 65 · Déf 90
Att.Spé 35 · Déf.Spé 35 · Vit 15
Total 290
Talents : Fermeté (caché : Envelocape)</t>
      </text>
    </comment>
    <comment ref="E93" authorId="0" shapeId="0">
      <text>
        <t>NOEUNOEUF — Plante / Psy
PV 60 · Att 40 · Déf 80
Att.Spé 60 · Déf.Spé 45 · Vit 40
Total 325
Talents : Chlorophylle (caché : Récolte)</t>
      </text>
    </comment>
    <comment ref="E94" authorId="0" shapeId="0">
      <text>
        <t>COXY — Insecte / Vol
PV 40 · Att 20 · Déf 30
Att.Spé 40 · Déf.Spé 80 · Vit 55
Total 265
Talents : Essaim, Matinal (caché : Phobique)</t>
      </text>
    </comment>
    <comment ref="E95" authorId="0" shapeId="0">
      <text>
        <t>MIMIGAL — Insecte / Poison
PV 40 · Att 60 · Déf 40
Att.Spé 40 · Déf.Spé 40 · Vit 30
Total 250
Talents : Essaim, Insomnia (caché : Sniper)</t>
      </text>
    </comment>
    <comment ref="E96" authorId="0" shapeId="0">
      <text>
        <t>POMDEPIK — Insecte
PV 50 · Att 65 · Déf 90
Att.Spé 35 · Déf.Spé 35 · Vit 15
Total 290
Talents : Fermeté (caché : Envelocape)</t>
      </text>
    </comment>
    <comment ref="E97" authorId="0" shapeId="0">
      <text>
        <t>NOEUNOEUF — Plante / Psy
PV 60 · Att 40 · Déf 80
Att.Spé 60 · Déf.Spé 45 · Vit 40
Total 325
Talents : Chlorophylle (caché : Récolte)</t>
      </text>
    </comment>
    <comment ref="E98" authorId="0" shapeId="0">
      <text>
        <t>COXY — Insecte / Vol
PV 40 · Att 20 · Déf 30
Att.Spé 40 · Déf.Spé 80 · Vit 55
Total 265
Talents : Essaim, Matinal (caché : Phobique)</t>
      </text>
    </comment>
    <comment ref="E99" authorId="0" shapeId="0">
      <text>
        <t>MIMIGAL — Insecte / Poison
PV 40 · Att 60 · Déf 40
Att.Spé 40 · Déf.Spé 40 · Vit 30
Total 250
Talents : Essaim, Insomnia (caché : Sniper)</t>
      </text>
    </comment>
    <comment ref="E100" authorId="0" shapeId="0">
      <text>
        <t>MAGICARPE — Eau
PV 20 · Att 10 · Déf 55
Att.Spé 15 · Déf.Spé 20 · Vit 80
Total 200
Talents : Glissade (caché : Phobique)</t>
      </text>
    </comment>
    <comment ref="E101" authorId="0" shapeId="0">
      <text>
        <t>PTITARD — Eau
PV 40 · Att 50 · Déf 40
Att.Spé 40 · Déf.Spé 40 · Vit 90
Total 300
Talents : Absorbe-Eau, Moiteur (caché :
  Glissade)</t>
      </text>
    </comment>
    <comment ref="E102" authorId="0" shapeId="0">
      <text>
        <t>MAGICARPE — Eau
PV 20 · Att 10 · Déf 55
Att.Spé 15 · Déf.Spé 20 · Vit 80
Total 200
Talents : Glissade (caché : Phobique)</t>
      </text>
    </comment>
    <comment ref="E103" authorId="0" shapeId="0">
      <text>
        <t>PTITARD — Eau
PV 40 · Att 50 · Déf 40
Att.Spé 40 · Déf.Spé 40 · Vit 90
Total 300
Talents : Absorbe-Eau, Moiteur (caché :
  Glissade)</t>
      </text>
    </comment>
    <comment ref="E104" authorId="0" shapeId="0">
      <text>
        <t>PTITARD — Eau
PV 40 · Att 50 · Déf 40
Att.Spé 40 · Déf.Spé 40 · Vit 90
Total 300
Talents : Absorbe-Eau, Moiteur (caché :
  Glissade)</t>
      </text>
    </comment>
    <comment ref="E105" authorId="0" shapeId="0">
      <text>
        <t>MAGICARPE — Eau
PV 20 · Att 10 · Déf 55
Att.Spé 15 · Déf.Spé 20 · Vit 80
Total 200
Talents : Glissade (caché : Phobique)</t>
      </text>
    </comment>
    <comment ref="E106" authorId="0" shapeId="0">
      <text>
        <t>PTITARD — Eau
PV 40 · Att 50 · Déf 40
Att.Spé 40 · Déf.Spé 40 · Vit 90
Total 300
Talents : Absorbe-Eau, Moiteur (caché :
  Glissade)</t>
      </text>
    </comment>
    <comment ref="E107" authorId="0" shapeId="0">
      <text>
        <t>MAGICARPE — Eau
PV 20 · Att 10 · Déf 55
Att.Spé 15 · Déf.Spé 20 · Vit 80
Total 200
Talents : Glissade (caché : Phobique)</t>
      </text>
    </comment>
    <comment ref="E108" authorId="0" shapeId="0">
      <text>
        <t>PTITARD — Eau
PV 40 · Att 50 · Déf 40
Att.Spé 40 · Déf.Spé 40 · Vit 90
Total 300
Talents : Absorbe-Eau, Moiteur (caché :
  Glissade)</t>
      </text>
    </comment>
    <comment ref="E109" authorId="0" shapeId="0">
      <text>
        <t>MAGICARPE — Eau
PV 20 · Att 10 · Déf 55
Att.Spé 15 · Déf.Spé 20 · Vit 80
Total 200
Talents : Glissade (caché : Phobique)</t>
      </text>
    </comment>
    <comment ref="E110" authorId="0" shapeId="0">
      <text>
        <t>TETARTE — Eau
PV 65 · Att 65 · Déf 65
Att.Spé 50 · Déf.Spé 50 · Vit 90
Total 385
Talents : Absorbe-Eau, Moiteur (caché :
  Glissade)</t>
      </text>
    </comment>
    <comment ref="E111" authorId="0" shapeId="0">
      <text>
        <t>PTITARD — Eau
PV 40 · Att 50 · Déf 40
Att.Spé 40 · Déf.Spé 40 · Vit 90
Total 300
Talents : Absorbe-Eau, Moiteur (caché :
  Glissade)</t>
      </text>
    </comment>
    <comment ref="E112" authorId="0" shapeId="0">
      <text>
        <t>MAGICARPE — Eau
PV 20 · Att 10 · Déf 55
Att.Spé 15 · Déf.Spé 20 · Vit 80
Total 200
Talents : Glissade (caché : Phobique)</t>
      </text>
    </comment>
    <comment ref="E113" authorId="0" shapeId="0">
      <text>
        <t>TETARTE — Eau
PV 65 · Att 65 · Déf 65
Att.Spé 50 · Déf.Spé 50 · Vit 90
Total 385
Talents : Absorbe-Eau, Moiteur (caché :
  Glissade)</t>
      </text>
    </comment>
    <comment ref="E114" authorId="0" shapeId="0">
      <text>
        <t>ASPICOT — Insecte / Poison
PV 40 · Att 35 · Déf 30
Att.Spé 20 · Déf.Spé 20 · Vit 50
Total 195
Talents : Écran Poudre (caché : Fuite)</t>
      </text>
    </comment>
    <comment ref="E115" authorId="0" shapeId="0">
      <text>
        <t>CHENIPAN — Insecte
PV 45 · Att 30 · Déf 35
Att.Spé 20 · Déf.Spé 20 · Vit 45
Total 195
Talents : Écran Poudre (caché : Fuite)</t>
      </text>
    </comment>
    <comment ref="E116" authorId="0" shapeId="0">
      <text>
        <t>PARAS — Insecte / Plante
PV 35 · Att 70 · Déf 55
Att.Spé 45 · Déf.Spé 55 · Vit 25
Total 285
Talents : Pose Spore, Peau Sèche (caché :
  Moiteur)</t>
      </text>
    </comment>
    <comment ref="E117" authorId="0" shapeId="0">
      <text>
        <t>CHRYSACIER — Insecte
PV 50 · Att 20 · Déf 55
Att.Spé 25 · Déf.Spé 25 · Vit 30
Total 205
Talents : Mue</t>
      </text>
    </comment>
    <comment ref="E118" authorId="0" shapeId="0">
      <text>
        <t>MYSTHERBE — Plante / Poison
PV 45 · Att 50 · Déf 55
Att.Spé 75 · Déf.Spé 65 · Vit 30
Total 320
Talents : Chlorophylle (caché : Fuite)</t>
      </text>
    </comment>
    <comment ref="E119" authorId="0" shapeId="0">
      <text>
        <t>COCONFORT — Insecte / Poison
PV 45 · Att 25 · Déf 50
Att.Spé 25 · Déf.Spé 25 · Vit 35
Total 205
Talents : Mue</t>
      </text>
    </comment>
    <comment ref="E120" authorId="0" shapeId="0">
      <text>
        <t>MYSTHERBE — Plante / Poison
PV 45 · Att 50 · Déf 55
Att.Spé 75 · Déf.Spé 65 · Vit 30
Total 320
Talents : Chlorophylle (caché : Fuite)</t>
      </text>
    </comment>
    <comment ref="E121" authorId="0" shapeId="0">
      <text>
        <t>MIMITOSS — Insecte / Poison
PV 60 · Att 55 · Déf 50
Att.Spé 40 · Déf.Spé 55 · Vit 45
Total 305
Talents : Œil Composé, Lentiteintée (caché :
  Fuite)</t>
      </text>
    </comment>
    <comment ref="E122" authorId="0" shapeId="0">
      <text>
        <t>PARAS — Insecte / Plante
PV 35 · Att 70 · Déf 55
Att.Spé 45 · Déf.Spé 55 · Vit 25
Total 285
Talents : Pose Spore, Peau Sèche (caché :
  Moiteur)</t>
      </text>
    </comment>
    <comment ref="E123" authorId="0" shapeId="0">
      <text>
        <t>HOOTHOOT — Normal / Vol
PV 60 · Att 30 · Déf 30
Att.Spé 36 · Déf.Spé 56 · Vit 50
Total 262
Talents : Insomnia, Regard Vif (caché :
  Lentiteintée)</t>
      </text>
    </comment>
    <comment ref="E124" authorId="0" shapeId="0">
      <text>
        <t>PSYKOKWAK — Eau
PV 50 · Att 52 · Déf 48
Att.Spé 65 · Déf.Spé 50 · Vit 55
Total 320
Talents : Moiteur, Ciel Gris (caché :
  Glissade)</t>
      </text>
    </comment>
    <comment ref="E125" authorId="0" shapeId="0">
      <text>
        <t>PSYKOKWAK — Eau
PV 50 · Att 52 · Déf 48
Att.Spé 65 · Déf.Spé 50 · Vit 55
Total 320
Talents : Moiteur, Ciel Gris (caché :
  Glissade)</t>
      </text>
    </comment>
    <comment ref="E126" authorId="0" shapeId="0">
      <text>
        <t>AKWAKWAK — Eau
PV 80 · Att 82 · Déf 78
Att.Spé 95 · Déf.Spé 80 · Vit 85
Total 500
Talents : Moiteur, Ciel Gris (caché :
  Glissade)</t>
      </text>
    </comment>
    <comment ref="E127" authorId="0" shapeId="0">
      <text>
        <t>PSYKOKWAK — Eau
PV 50 · Att 52 · Déf 48
Att.Spé 65 · Déf.Spé 50 · Vit 55
Total 320
Talents : Moiteur, Ciel Gris (caché :
  Glissade)</t>
      </text>
    </comment>
    <comment ref="E128" authorId="0" shapeId="0">
      <text>
        <t>AKWAKWAK — Eau
PV 80 · Att 82 · Déf 78
Att.Spé 95 · Déf.Spé 80 · Vit 85
Total 500
Talents : Moiteur, Ciel Gris (caché :
  Glissade)</t>
      </text>
    </comment>
    <comment ref="E129" authorId="0" shapeId="0">
      <text>
        <t>POMDEPIK — Insecte
PV 50 · Att 65 · Déf 90
Att.Spé 35 · Déf.Spé 35 · Vit 15
Total 290
Talents : Fermeté (caché : Envelocape)</t>
      </text>
    </comment>
    <comment ref="E130" authorId="0" shapeId="0">
      <text>
        <t>NOEUNOEUF — Plante / Psy
PV 60 · Att 40 · Déf 80
Att.Spé 60 · Déf.Spé 45 · Vit 40
Total 325
Talents : Chlorophylle (caché : Récolte)</t>
      </text>
    </comment>
    <comment ref="E131" authorId="0" shapeId="0">
      <text>
        <t>DARDARGNAN — Insecte / Poison
PV 65 · Att 90 · Déf 40
Att.Spé 45 · Déf.Spé 80 · Vit 75
Total 395
Talents : Essaim (caché : Sniper)</t>
      </text>
    </comment>
    <comment ref="E132" authorId="0" shapeId="0">
      <text>
        <t>PAPILUSION — Insecte / Vol
PV 60 · Att 45 · Déf 50
Att.Spé 90 · Déf.Spé 80 · Vit 70
Total 395
Talents : Œil Composé (caché : Lentiteintée)</t>
      </text>
    </comment>
    <comment ref="E133" authorId="0" shapeId="0">
      <text>
        <t>POMDEPIK — Insecte
PV 50 · Att 65 · Déf 90
Att.Spé 35 · Déf.Spé 35 · Vit 15
Total 290
Talents : Fermeté (caché : Envelocape)</t>
      </text>
    </comment>
    <comment ref="E134" authorId="0" shapeId="0">
      <text>
        <t>NOEUNOEUF — Plante / Psy
PV 60 · Att 40 · Déf 80
Att.Spé 60 · Déf.Spé 45 · Vit 40
Total 325
Talents : Chlorophylle (caché : Récolte)</t>
      </text>
    </comment>
    <comment ref="E135" authorId="0" shapeId="0">
      <text>
        <t>DARDARGNAN — Insecte / Poison
PV 65 · Att 90 · Déf 40
Att.Spé 45 · Déf.Spé 80 · Vit 75
Total 395
Talents : Essaim (caché : Sniper)</t>
      </text>
    </comment>
    <comment ref="E136" authorId="0" shapeId="0">
      <text>
        <t>PAPILUSION — Insecte / Vol
PV 60 · Att 45 · Déf 50
Att.Spé 90 · Déf.Spé 80 · Vit 70
Total 395
Talents : Œil Composé (caché : Lentiteintée)</t>
      </text>
    </comment>
    <comment ref="E137" authorId="0" shapeId="0">
      <text>
        <t>MAGICARPE — Eau
PV 20 · Att 10 · Déf 55
Att.Spé 15 · Déf.Spé 20 · Vit 80
Total 200
Talents : Glissade (caché : Phobique)</t>
      </text>
    </comment>
    <comment ref="E138" authorId="0" shapeId="0">
      <text>
        <t>PTITARD — Eau
PV 40 · Att 50 · Déf 40
Att.Spé 40 · Déf.Spé 40 · Vit 90
Total 300
Talents : Absorbe-Eau, Moiteur (caché :
  Glissade)</t>
      </text>
    </comment>
    <comment ref="E139" authorId="0" shapeId="0">
      <text>
        <t>MAGICARPE — Eau
PV 20 · Att 10 · Déf 55
Att.Spé 15 · Déf.Spé 20 · Vit 80
Total 200
Talents : Glissade (caché : Phobique)</t>
      </text>
    </comment>
    <comment ref="E140" authorId="0" shapeId="0">
      <text>
        <t>PTITARD — Eau
PV 40 · Att 50 · Déf 40
Att.Spé 40 · Déf.Spé 40 · Vit 90
Total 300
Talents : Absorbe-Eau, Moiteur (caché :
  Glissade)</t>
      </text>
    </comment>
    <comment ref="E141" authorId="0" shapeId="0">
      <text>
        <t>PTITARD — Eau
PV 40 · Att 50 · Déf 40
Att.Spé 40 · Déf.Spé 40 · Vit 90
Total 300
Talents : Absorbe-Eau, Moiteur (caché :
  Glissade)</t>
      </text>
    </comment>
    <comment ref="E142" authorId="0" shapeId="0">
      <text>
        <t>MAGICARPE — Eau
PV 20 · Att 10 · Déf 55
Att.Spé 15 · Déf.Spé 20 · Vit 80
Total 200
Talents : Glissade (caché : Phobique)</t>
      </text>
    </comment>
    <comment ref="E143" authorId="0" shapeId="0">
      <text>
        <t>PTITARD — Eau
PV 40 · Att 50 · Déf 40
Att.Spé 40 · Déf.Spé 40 · Vit 90
Total 300
Talents : Absorbe-Eau, Moiteur (caché :
  Glissade)</t>
      </text>
    </comment>
    <comment ref="E144" authorId="0" shapeId="0">
      <text>
        <t>MAGICARPE — Eau
PV 20 · Att 10 · Déf 55
Att.Spé 15 · Déf.Spé 20 · Vit 80
Total 200
Talents : Glissade (caché : Phobique)</t>
      </text>
    </comment>
    <comment ref="E145" authorId="0" shapeId="0">
      <text>
        <t>MAGICARPE — Eau
PV 20 · Att 10 · Déf 55
Att.Spé 15 · Déf.Spé 20 · Vit 80
Total 200
Talents : Glissade (caché : Phobique)</t>
      </text>
    </comment>
    <comment ref="E146" authorId="0" shapeId="0">
      <text>
        <t>TETARTE — Eau
PV 65 · Att 65 · Déf 65
Att.Spé 50 · Déf.Spé 50 · Vit 90
Total 385
Talents : Absorbe-Eau, Moiteur (caché :
  Glissade)</t>
      </text>
    </comment>
    <comment ref="E147" authorId="0" shapeId="0">
      <text>
        <t>PTITARD — Eau
PV 40 · Att 50 · Déf 40
Att.Spé 40 · Déf.Spé 40 · Vit 90
Total 300
Talents : Absorbe-Eau, Moiteur (caché :
  Glissade)</t>
      </text>
    </comment>
    <comment ref="E148" authorId="0" shapeId="0">
      <text>
        <t>MAGICARPE — Eau
PV 20 · Att 10 · Déf 55
Att.Spé 15 · Déf.Spé 20 · Vit 80
Total 200
Talents : Glissade (caché : Phobique)</t>
      </text>
    </comment>
    <comment ref="E149" authorId="0" shapeId="0">
      <text>
        <t>TETARTE — Eau
PV 65 · Att 65 · Déf 65
Att.Spé 50 · Déf.Spé 50 · Vit 90
Total 385
Talents : Absorbe-Eau, Moiteur (caché :
  Glissade)</t>
      </text>
    </comment>
    <comment ref="E150" authorId="0" shapeId="0">
      <text>
        <t>PTITARD — Eau
PV 40 · Att 50 · Déf 40
Att.Spé 40 · Déf.Spé 40 · Vit 90
Total 300
Talents : Absorbe-Eau, Moiteur (caché :
  Glissade)</t>
      </text>
    </comment>
    <comment ref="E151" authorId="0" shapeId="0">
      <text>
        <t>TENTACOOL — Eau / Poison
PV 40 · Att 40 · Déf 35
Att.Spé 50 · Déf.Spé 100 · Vit 70
Total 335
Talents : Corps Sain, Suintement (caché :
  Cuvette)</t>
      </text>
    </comment>
    <comment ref="E152" authorId="0" shapeId="0">
      <text>
        <t>TENTACOOL — Eau / Poison
PV 40 · Att 40 · Déf 35
Att.Spé 50 · Déf.Spé 100 · Vit 70
Total 335
Talents : Corps Sain, Suintement (caché :
  Cuvette)</t>
      </text>
    </comment>
    <comment ref="E153" authorId="0" shapeId="0">
      <text>
        <t>POMDEPIK — Insecte
PV 50 · Att 65 · Déf 90
Att.Spé 35 · Déf.Spé 35 · Vit 15
Total 290
Talents : Fermeté (caché : Envelocape)</t>
      </text>
    </comment>
    <comment ref="E154" authorId="0" shapeId="0">
      <text>
        <t>NOEUNOEUF — Plante / Psy
PV 60 · Att 40 · Déf 80
Att.Spé 60 · Déf.Spé 45 · Vit 40
Total 325
Talents : Chlorophylle (caché : Récolte)</t>
      </text>
    </comment>
    <comment ref="E155" authorId="0" shapeId="0">
      <text>
        <t>COXY — Insecte / Vol
PV 40 · Att 20 · Déf 30
Att.Spé 40 · Déf.Spé 80 · Vit 55
Total 265
Talents : Essaim, Matinal (caché : Phobique)</t>
      </text>
    </comment>
    <comment ref="E156" authorId="0" shapeId="0">
      <text>
        <t>MIMIGAL — Insecte / Poison
PV 40 · Att 60 · Déf 40
Att.Spé 40 · Déf.Spé 40 · Vit 30
Total 250
Talents : Essaim, Insomnia (caché : Sniper)</t>
      </text>
    </comment>
    <comment ref="E157" authorId="0" shapeId="0">
      <text>
        <t>POMDEPIK — Insecte
PV 50 · Att 65 · Déf 90
Att.Spé 35 · Déf.Spé 35 · Vit 15
Total 290
Talents : Fermeté (caché : Envelocape)</t>
      </text>
    </comment>
    <comment ref="E158" authorId="0" shapeId="0">
      <text>
        <t>NOEUNOEUF — Plante / Psy
PV 60 · Att 40 · Déf 80
Att.Spé 60 · Déf.Spé 45 · Vit 40
Total 325
Talents : Chlorophylle (caché : Récolte)</t>
      </text>
    </comment>
    <comment ref="E159" authorId="0" shapeId="0">
      <text>
        <t>COXY — Insecte / Vol
PV 40 · Att 20 · Déf 30
Att.Spé 40 · Déf.Spé 80 · Vit 55
Total 265
Talents : Essaim, Matinal (caché : Phobique)</t>
      </text>
    </comment>
    <comment ref="E160" authorId="0" shapeId="0">
      <text>
        <t>MIMIGAL — Insecte / Poison
PV 40 · Att 60 · Déf 40
Att.Spé 40 · Déf.Spé 40 · Vit 30
Total 250
Talents : Essaim, Insomnia (caché : Sniper)</t>
      </text>
    </comment>
    <comment ref="E161" authorId="0" shapeId="0">
      <text>
        <t>MAGICARPE — Eau
PV 20 · Att 10 · Déf 55
Att.Spé 15 · Déf.Spé 20 · Vit 80
Total 200
Talents : Glissade (caché : Phobique)</t>
      </text>
    </comment>
    <comment ref="E162" authorId="0" shapeId="0">
      <text>
        <t>TENTACOOL — Eau / Poison
PV 40 · Att 40 · Déf 35
Att.Spé 50 · Déf.Spé 100 · Vit 70
Total 335
Talents : Corps Sain, Suintement (caché :
  Cuvette)</t>
      </text>
    </comment>
    <comment ref="E163" authorId="0" shapeId="0">
      <text>
        <t>MAGICARPE — Eau
PV 20 · Att 10 · Déf 55
Att.Spé 15 · Déf.Spé 20 · Vit 80
Total 200
Talents : Glissade (caché : Phobique)</t>
      </text>
    </comment>
    <comment ref="E164" authorId="0" shapeId="0">
      <text>
        <t>TENTACOOL — Eau / Poison
PV 40 · Att 40 · Déf 35
Att.Spé 50 · Déf.Spé 100 · Vit 70
Total 335
Talents : Corps Sain, Suintement (caché :
  Cuvette)</t>
      </text>
    </comment>
    <comment ref="E165" authorId="0" shapeId="0">
      <text>
        <t>MAGICARPE — Eau
PV 20 · Att 10 · Déf 55
Att.Spé 15 · Déf.Spé 20 · Vit 80
Total 200
Talents : Glissade (caché : Phobique)</t>
      </text>
    </comment>
    <comment ref="E166" authorId="0" shapeId="0">
      <text>
        <t>LOUPIO — Eau / Électrik
PV 75 · Att 38 · Déf 38
Att.Spé 56 · Déf.Spé 56 · Vit 67
Total 330
Talents : Absorbe-Volt, Lumiattirance (caché :
  Absorbe-Eau)</t>
      </text>
    </comment>
    <comment ref="E167" authorId="0" shapeId="0">
      <text>
        <t>TENTACOOL — Eau / Poison
PV 40 · Att 40 · Déf 35
Att.Spé 50 · Déf.Spé 100 · Vit 70
Total 335
Talents : Corps Sain, Suintement (caché :
  Cuvette)</t>
      </text>
    </comment>
    <comment ref="E168" authorId="0" shapeId="0">
      <text>
        <t>MAGICARPE — Eau
PV 20 · Att 10 · Déf 55
Att.Spé 15 · Déf.Spé 20 · Vit 80
Total 200
Talents : Glissade (caché : Phobique)</t>
      </text>
    </comment>
    <comment ref="E169" authorId="0" shapeId="0">
      <text>
        <t>LOUPIO — Eau / Électrik
PV 75 · Att 38 · Déf 38
Att.Spé 56 · Déf.Spé 56 · Vit 67
Total 330
Talents : Absorbe-Volt, Lumiattirance (caché :
  Absorbe-Eau)</t>
      </text>
    </comment>
    <comment ref="E170" authorId="0" shapeId="0">
      <text>
        <t>TENTACOOL — Eau / Poison
PV 40 · Att 40 · Déf 35
Att.Spé 50 · Déf.Spé 100 · Vit 70
Total 335
Talents : Corps Sain, Suintement (caché :
  Cuvette)</t>
      </text>
    </comment>
    <comment ref="E171" authorId="0" shapeId="0">
      <text>
        <t>KOKIYAS — Eau
PV 30 · Att 65 · Déf 100
Att.Spé 45 · Déf.Spé 25 · Vit 40
Total 305
Talents : Coque Armure, Multi-Coups (caché :
  Envelocape)</t>
      </text>
    </comment>
    <comment ref="E172" authorId="0" shapeId="0">
      <text>
        <t>LOUPIO — Eau / Électrik
PV 75 · Att 38 · Déf 38
Att.Spé 56 · Déf.Spé 56 · Vit 67
Total 330
Talents : Absorbe-Volt, Lumiattirance (caché :
  Absorbe-Eau)</t>
      </text>
    </comment>
    <comment ref="E173" authorId="0" shapeId="0">
      <text>
        <t>TENTACRUEL — Eau / Poison
PV 80 · Att 70 · Déf 65
Att.Spé 80 · Déf.Spé 120 · Vit 100
Total 515
Talents : Corps Sain, Suintement (caché :
  Cuvette)</t>
      </text>
    </comment>
    <comment ref="E174" authorId="0" shapeId="0">
      <text>
        <t>LANTURN — Eau / Électrik
PV 125 · Att 58 · Déf 58
Att.Spé 76 · Déf.Spé 76 · Vit 67
Total 460
Talents : Absorbe-Volt, Lumiattirance (caché :
  Absorbe-Eau)</t>
      </text>
    </comment>
    <comment ref="E175" authorId="0" shapeId="0">
      <text>
        <t>KOKIYAS — Eau
PV 30 · Att 65 · Déf 100
Att.Spé 45 · Déf.Spé 25 · Vit 40
Total 305
Talents : Coque Armure, Multi-Coups (caché :
  Envelocape)</t>
      </text>
    </comment>
    <comment ref="E176" authorId="0" shapeId="0">
      <text>
        <t>LOUPIO — Eau / Électrik
PV 75 · Att 38 · Déf 38
Att.Spé 56 · Déf.Spé 56 · Vit 67
Total 330
Talents : Absorbe-Volt, Lumiattirance (caché :
  Absorbe-Eau)</t>
      </text>
    </comment>
    <comment ref="E177" authorId="0" shapeId="0">
      <text>
        <t>TENTACRUEL — Eau / Poison
PV 80 · Att 70 · Déf 65
Att.Spé 80 · Déf.Spé 120 · Vit 100
Total 515
Talents : Corps Sain, Suintement (caché :
  Cuvette)</t>
      </text>
    </comment>
    <comment ref="E178" authorId="0" shapeId="0">
      <text>
        <t>LANTURN — Eau / Électrik
PV 125 · Att 58 · Déf 58
Att.Spé 76 · Déf.Spé 76 · Vit 67
Total 460
Talents : Absorbe-Volt, Lumiattirance (caché :
  Absorbe-Eau)</t>
      </text>
    </comment>
    <comment ref="E179" authorId="0" shapeId="0">
      <text>
        <t>POMDEPIK — Insecte
PV 50 · Att 65 · Déf 90
Att.Spé 35 · Déf.Spé 35 · Vit 15
Total 290
Talents : Fermeté (caché : Envelocape)</t>
      </text>
    </comment>
    <comment ref="E180" authorId="0" shapeId="0">
      <text>
        <t>NOEUNOEUF — Plante / Psy
PV 60 · Att 40 · Déf 80
Att.Spé 60 · Déf.Spé 45 · Vit 40
Total 325
Talents : Chlorophylle (caché : Récolte)</t>
      </text>
    </comment>
    <comment ref="E181" authorId="0" shapeId="0">
      <text>
        <t>COXY — Insecte / Vol
PV 40 · Att 20 · Déf 30
Att.Spé 40 · Déf.Spé 80 · Vit 55
Total 265
Talents : Essaim, Matinal (caché : Phobique)</t>
      </text>
    </comment>
    <comment ref="E182" authorId="0" shapeId="0">
      <text>
        <t>MIMIGAL — Insecte / Poison
PV 40 · Att 60 · Déf 40
Att.Spé 40 · Déf.Spé 40 · Vit 30
Total 250
Talents : Essaim, Insomnia (caché : Sniper)</t>
      </text>
    </comment>
    <comment ref="E183" authorId="0" shapeId="0">
      <text>
        <t>MAGICARPE — Eau
PV 20 · Att 10 · Déf 55
Att.Spé 15 · Déf.Spé 20 · Vit 80
Total 200
Talents : Glissade (caché : Phobique)</t>
      </text>
    </comment>
    <comment ref="E184" authorId="0" shapeId="0">
      <text>
        <t>TENTACOOL — Eau / Poison
PV 40 · Att 40 · Déf 35
Att.Spé 50 · Déf.Spé 100 · Vit 70
Total 335
Talents : Corps Sain, Suintement (caché :
  Cuvette)</t>
      </text>
    </comment>
    <comment ref="E185" authorId="0" shapeId="0">
      <text>
        <t>MAGICARPE — Eau
PV 20 · Att 10 · Déf 55
Att.Spé 15 · Déf.Spé 20 · Vit 80
Total 200
Talents : Glissade (caché : Phobique)</t>
      </text>
    </comment>
    <comment ref="E186" authorId="0" shapeId="0">
      <text>
        <t>ECRAPINCE — Eau
PV 43 · Att 80 · Déf 65
Att.Spé 50 · Déf.Spé 35 · Vit 35
Total 308
Talents : Hyper Cutter, Coque Armure (caché :
  Adaptabilité)</t>
      </text>
    </comment>
    <comment ref="E187" authorId="0" shapeId="0">
      <text>
        <t>TENTACOOL — Eau / Poison
PV 40 · Att 40 · Déf 35
Att.Spé 50 · Déf.Spé 100 · Vit 70
Total 335
Talents : Corps Sain, Suintement (caché :
  Cuvette)</t>
      </text>
    </comment>
    <comment ref="E188" authorId="0" shapeId="0">
      <text>
        <t>MARAISTE — Eau / Sol
PV 95 · Att 85 · Déf 85
Att.Spé 65 · Déf.Spé 65 · Vit 35
Total 430
Talents : Moiteur, Absorbe-Eau (caché :
  Inconscient)</t>
      </text>
    </comment>
    <comment ref="E189" authorId="0" shapeId="0">
      <text>
        <t>ECRAPINCE — Eau
PV 43 · Att 80 · Déf 65
Att.Spé 50 · Déf.Spé 35 · Vit 35
Total 308
Talents : Hyper Cutter, Coque Armure (caché :
  Adaptabilité)</t>
      </text>
    </comment>
    <comment ref="E190" authorId="0" shapeId="0">
      <text>
        <t>TENTACOOL — Eau / Poison
PV 40 · Att 40 · Déf 35
Att.Spé 50 · Déf.Spé 100 · Vit 70
Total 335
Talents : Corps Sain, Suintement (caché :
  Cuvette)</t>
      </text>
    </comment>
    <comment ref="E191" authorId="0" shapeId="0">
      <text>
        <t>TENTACRUEL — Eau / Poison
PV 80 · Att 70 · Déf 65
Att.Spé 80 · Déf.Spé 120 · Vit 100
Total 515
Talents : Corps Sain, Suintement (caché :
  Cuvette)</t>
      </text>
    </comment>
    <comment ref="E192" authorId="0" shapeId="0">
      <text>
        <t>TENTACOOL — Eau / Poison
PV 40 · Att 40 · Déf 35
Att.Spé 50 · Déf.Spé 100 · Vit 70
Total 335
Talents : Corps Sain, Suintement (caché :
  Cuvette)</t>
      </text>
    </comment>
    <comment ref="E193" authorId="0" shapeId="0">
      <text>
        <t>TENTACRUEL — Eau / Poison
PV 80 · Att 70 · Déf 65
Att.Spé 80 · Déf.Spé 120 · Vit 100
Total 515
Talents : Corps Sain, Suintement (caché :
  Cuvette)</t>
      </text>
    </comment>
    <comment ref="E194" authorId="0" shapeId="0">
      <text>
        <t>MAGICARPE — Eau
PV 20 · Att 10 · Déf 55
Att.Spé 15 · Déf.Spé 20 · Vit 80
Total 200
Talents : Glissade (caché : Phobique)</t>
      </text>
    </comment>
    <comment ref="E195" authorId="0" shapeId="0">
      <text>
        <t>TENTACOOL — Eau / Poison
PV 40 · Att 40 · Déf 35
Att.Spé 50 · Déf.Spé 100 · Vit 70
Total 335
Talents : Corps Sain, Suintement (caché :
  Cuvette)</t>
      </text>
    </comment>
    <comment ref="E196" authorId="0" shapeId="0">
      <text>
        <t>MAGICARPE — Eau
PV 20 · Att 10 · Déf 55
Att.Spé 15 · Déf.Spé 20 · Vit 80
Total 200
Talents : Glissade (caché : Phobique)</t>
      </text>
    </comment>
    <comment ref="E197" authorId="0" shapeId="0">
      <text>
        <t>TENTACOOL — Eau / Poison
PV 40 · Att 40 · Déf 35
Att.Spé 50 · Déf.Spé 100 · Vit 70
Total 335
Talents : Corps Sain, Suintement (caché :
  Cuvette)</t>
      </text>
    </comment>
    <comment ref="E198" authorId="0" shapeId="0">
      <text>
        <t>MAGICARPE — Eau
PV 20 · Att 10 · Déf 55
Att.Spé 15 · Déf.Spé 20 · Vit 80
Total 200
Talents : Glissade (caché : Phobique)</t>
      </text>
    </comment>
    <comment ref="E199" authorId="0" shapeId="0">
      <text>
        <t>LOUPIO — Eau / Électrik
PV 75 · Att 38 · Déf 38
Att.Spé 56 · Déf.Spé 56 · Vit 67
Total 330
Talents : Absorbe-Volt, Lumiattirance (caché :
  Absorbe-Eau)</t>
      </text>
    </comment>
    <comment ref="E200" authorId="0" shapeId="0">
      <text>
        <t>TENTACOOL — Eau / Poison
PV 40 · Att 40 · Déf 35
Att.Spé 50 · Déf.Spé 100 · Vit 70
Total 335
Talents : Corps Sain, Suintement (caché :
  Cuvette)</t>
      </text>
    </comment>
    <comment ref="E201" authorId="0" shapeId="0">
      <text>
        <t>MAGICARPE — Eau
PV 20 · Att 10 · Déf 55
Att.Spé 15 · Déf.Spé 20 · Vit 80
Total 200
Talents : Glissade (caché : Phobique)</t>
      </text>
    </comment>
    <comment ref="E202" authorId="0" shapeId="0">
      <text>
        <t>LOUPIO — Eau / Électrik
PV 75 · Att 38 · Déf 38
Att.Spé 56 · Déf.Spé 56 · Vit 67
Total 330
Talents : Absorbe-Volt, Lumiattirance (caché :
  Absorbe-Eau)</t>
      </text>
    </comment>
    <comment ref="E203" authorId="0" shapeId="0">
      <text>
        <t>TENTACOOL — Eau / Poison
PV 40 · Att 40 · Déf 35
Att.Spé 50 · Déf.Spé 100 · Vit 70
Total 335
Talents : Corps Sain, Suintement (caché :
  Cuvette)</t>
      </text>
    </comment>
    <comment ref="E204" authorId="0" shapeId="0">
      <text>
        <t>KOKIYAS — Eau
PV 30 · Att 65 · Déf 100
Att.Spé 45 · Déf.Spé 25 · Vit 40
Total 305
Talents : Coque Armure, Multi-Coups (caché :
  Envelocape)</t>
      </text>
    </comment>
    <comment ref="E205" authorId="0" shapeId="0">
      <text>
        <t>LOUPIO — Eau / Électrik
PV 75 · Att 38 · Déf 38
Att.Spé 56 · Déf.Spé 56 · Vit 67
Total 330
Talents : Absorbe-Volt, Lumiattirance (caché :
  Absorbe-Eau)</t>
      </text>
    </comment>
    <comment ref="E206" authorId="0" shapeId="0">
      <text>
        <t>TENTACRUEL — Eau / Poison
PV 80 · Att 70 · Déf 65
Att.Spé 80 · Déf.Spé 120 · Vit 100
Total 515
Talents : Corps Sain, Suintement (caché :
  Cuvette)</t>
      </text>
    </comment>
    <comment ref="E207" authorId="0" shapeId="0">
      <text>
        <t>LANTURN — Eau / Électrik
PV 125 · Att 58 · Déf 58
Att.Spé 76 · Déf.Spé 76 · Vit 67
Total 460
Talents : Absorbe-Volt, Lumiattirance (caché :
  Absorbe-Eau)</t>
      </text>
    </comment>
    <comment ref="E208" authorId="0" shapeId="0">
      <text>
        <t>KOKIYAS — Eau
PV 30 · Att 65 · Déf 100
Att.Spé 45 · Déf.Spé 25 · Vit 40
Total 305
Talents : Coque Armure, Multi-Coups (caché :
  Envelocape)</t>
      </text>
    </comment>
    <comment ref="E209" authorId="0" shapeId="0">
      <text>
        <t>LOUPIO — Eau / Électrik
PV 75 · Att 38 · Déf 38
Att.Spé 56 · Déf.Spé 56 · Vit 67
Total 330
Talents : Absorbe-Volt, Lumiattirance (caché :
  Absorbe-Eau)</t>
      </text>
    </comment>
    <comment ref="E210" authorId="0" shapeId="0">
      <text>
        <t>TENTACRUEL — Eau / Poison
PV 80 · Att 70 · Déf 65
Att.Spé 80 · Déf.Spé 120 · Vit 100
Total 515
Talents : Corps Sain, Suintement (caché :
  Cuvette)</t>
      </text>
    </comment>
    <comment ref="E211" authorId="0" shapeId="0">
      <text>
        <t>LANTURN — Eau / Électrik
PV 125 · Att 58 · Déf 58
Att.Spé 76 · Déf.Spé 76 · Vit 67
Total 460
Talents : Absorbe-Volt, Lumiattirance (caché :
  Absorbe-Eau)</t>
      </text>
    </comment>
    <comment ref="E212" authorId="0" shapeId="0">
      <text>
        <t>TENTACOOL — Eau / Poison
PV 40 · Att 40 · Déf 35
Att.Spé 50 · Déf.Spé 100 · Vit 70
Total 335
Talents : Corps Sain, Suintement (caché :
  Cuvette)</t>
      </text>
    </comment>
    <comment ref="E213" authorId="0" shapeId="0">
      <text>
        <t>TENTACRUEL — Eau / Poison
PV 80 · Att 70 · Déf 65
Att.Spé 80 · Déf.Spé 120 · Vit 100
Total 515
Talents : Corps Sain, Suintement (caché :
  Cuvette)</t>
      </text>
    </comment>
    <comment ref="E214" authorId="0" shapeId="0">
      <text>
        <t>TENTACOOL — Eau / Poison
PV 40 · Att 40 · Déf 35
Att.Spé 50 · Déf.Spé 100 · Vit 70
Total 335
Talents : Corps Sain, Suintement (caché :
  Cuvette)</t>
      </text>
    </comment>
    <comment ref="E215" authorId="0" shapeId="0">
      <text>
        <t>TENTACRUEL — Eau / Poison
PV 80 · Att 70 · Déf 65
Att.Spé 80 · Déf.Spé 120 · Vit 100
Total 515
Talents : Corps Sain, Suintement (caché :
  Cuvette)</t>
      </text>
    </comment>
    <comment ref="E216" authorId="0" shapeId="0">
      <text>
        <t>RACAILLOU — Roche / Sol
PV 40 · Att 80 · Déf 100
Att.Spé 30 · Déf.Spé 30 · Vit 20
Total 300
Talents : Tête de Roc, Fermeté (caché : Voile
  Sable)</t>
      </text>
    </comment>
    <comment ref="E217" authorId="0" shapeId="0">
      <text>
        <t>CARATROC — Insecte / Roche
PV 20 · Att 10 · Déf 230
Att.Spé 10 · Déf.Spé 230 · Vit 5
Total 505
Talents : Fermeté, Gloutonnerie (caché :
  Contestation)</t>
      </text>
    </comment>
    <comment ref="E218" authorId="0" shapeId="0">
      <text>
        <t>RACAILLOU — Roche / Sol
PV 40 · Att 80 · Déf 100
Att.Spé 30 · Déf.Spé 30 · Vit 20
Total 300
Talents : Tête de Roc, Fermeté (caché : Voile
  Sable)</t>
      </text>
    </comment>
    <comment ref="E219" authorId="0" shapeId="0">
      <text>
        <t>CARATROC — Insecte / Roche
PV 20 · Att 10 · Déf 230
Att.Spé 10 · Déf.Spé 230 · Vit 5
Total 505
Talents : Fermeté, Gloutonnerie (caché :
  Contestation)</t>
      </text>
    </comment>
    <comment ref="E220" authorId="0" shapeId="0">
      <text>
        <t>MAGICARPE — Eau
PV 20 · Att 10 · Déf 55
Att.Spé 15 · Déf.Spé 20 · Vit 80
Total 200
Talents : Glissade (caché : Phobique)</t>
      </text>
    </comment>
    <comment ref="E221" authorId="0" shapeId="0">
      <text>
        <t>TENTACOOL — Eau / Poison
PV 40 · Att 40 · Déf 35
Att.Spé 50 · Déf.Spé 100 · Vit 70
Total 335
Talents : Corps Sain, Suintement (caché :
  Cuvette)</t>
      </text>
    </comment>
    <comment ref="E222" authorId="0" shapeId="0">
      <text>
        <t>MAGICARPE — Eau
PV 20 · Att 10 · Déf 55
Att.Spé 15 · Déf.Spé 20 · Vit 80
Total 200
Talents : Glissade (caché : Phobique)</t>
      </text>
    </comment>
    <comment ref="E223" authorId="0" shapeId="0">
      <text>
        <t>TENTACOOL — Eau / Poison
PV 40 · Att 40 · Déf 35
Att.Spé 50 · Déf.Spé 100 · Vit 70
Total 335
Talents : Corps Sain, Suintement (caché :
  Cuvette)</t>
      </text>
    </comment>
    <comment ref="E224" authorId="0" shapeId="0">
      <text>
        <t>MAGICARPE — Eau
PV 20 · Att 10 · Déf 55
Att.Spé 15 · Déf.Spé 20 · Vit 80
Total 200
Talents : Glissade (caché : Phobique)</t>
      </text>
    </comment>
    <comment ref="E225" authorId="0" shapeId="0">
      <text>
        <t>LOUPIO — Eau / Électrik
PV 75 · Att 38 · Déf 38
Att.Spé 56 · Déf.Spé 56 · Vit 67
Total 330
Talents : Absorbe-Volt, Lumiattirance (caché :
  Absorbe-Eau)</t>
      </text>
    </comment>
    <comment ref="E226" authorId="0" shapeId="0">
      <text>
        <t>TENTACOOL — Eau / Poison
PV 40 · Att 40 · Déf 35
Att.Spé 50 · Déf.Spé 100 · Vit 70
Total 335
Talents : Corps Sain, Suintement (caché :
  Cuvette)</t>
      </text>
    </comment>
    <comment ref="E227" authorId="0" shapeId="0">
      <text>
        <t>MAGICARPE — Eau
PV 20 · Att 10 · Déf 55
Att.Spé 15 · Déf.Spé 20 · Vit 80
Total 200
Talents : Glissade (caché : Phobique)</t>
      </text>
    </comment>
    <comment ref="E228" authorId="0" shapeId="0">
      <text>
        <t>LOUPIO — Eau / Électrik
PV 75 · Att 38 · Déf 38
Att.Spé 56 · Déf.Spé 56 · Vit 67
Total 330
Talents : Absorbe-Volt, Lumiattirance (caché :
  Absorbe-Eau)</t>
      </text>
    </comment>
    <comment ref="E229" authorId="0" shapeId="0">
      <text>
        <t>TENTACOOL — Eau / Poison
PV 40 · Att 40 · Déf 35
Att.Spé 50 · Déf.Spé 100 · Vit 70
Total 335
Talents : Corps Sain, Suintement (caché :
  Cuvette)</t>
      </text>
    </comment>
    <comment ref="E230" authorId="0" shapeId="0">
      <text>
        <t>KOKIYAS — Eau
PV 30 · Att 65 · Déf 100
Att.Spé 45 · Déf.Spé 25 · Vit 40
Total 305
Talents : Coque Armure, Multi-Coups (caché :
  Envelocape)</t>
      </text>
    </comment>
    <comment ref="E231" authorId="0" shapeId="0">
      <text>
        <t>LOUPIO — Eau / Électrik
PV 75 · Att 38 · Déf 38
Att.Spé 56 · Déf.Spé 56 · Vit 67
Total 330
Talents : Absorbe-Volt, Lumiattirance (caché :
  Absorbe-Eau)</t>
      </text>
    </comment>
    <comment ref="E232" authorId="0" shapeId="0">
      <text>
        <t>TENTACRUEL — Eau / Poison
PV 80 · Att 70 · Déf 65
Att.Spé 80 · Déf.Spé 120 · Vit 100
Total 515
Talents : Corps Sain, Suintement (caché :
  Cuvette)</t>
      </text>
    </comment>
    <comment ref="E233" authorId="0" shapeId="0">
      <text>
        <t>LANTURN — Eau / Électrik
PV 125 · Att 58 · Déf 58
Att.Spé 76 · Déf.Spé 76 · Vit 67
Total 460
Talents : Absorbe-Volt, Lumiattirance (caché :
  Absorbe-Eau)</t>
      </text>
    </comment>
    <comment ref="E234" authorId="0" shapeId="0">
      <text>
        <t>KOKIYAS — Eau
PV 30 · Att 65 · Déf 100
Att.Spé 45 · Déf.Spé 25 · Vit 40
Total 305
Talents : Coque Armure, Multi-Coups (caché :
  Envelocape)</t>
      </text>
    </comment>
    <comment ref="E235" authorId="0" shapeId="0">
      <text>
        <t>LOUPIO — Eau / Électrik
PV 75 · Att 38 · Déf 38
Att.Spé 56 · Déf.Spé 56 · Vit 67
Total 330
Talents : Absorbe-Volt, Lumiattirance (caché :
  Absorbe-Eau)</t>
      </text>
    </comment>
    <comment ref="E236" authorId="0" shapeId="0">
      <text>
        <t>TENTACRUEL — Eau / Poison
PV 80 · Att 70 · Déf 65
Att.Spé 80 · Déf.Spé 120 · Vit 100
Total 515
Talents : Corps Sain, Suintement (caché :
  Cuvette)</t>
      </text>
    </comment>
    <comment ref="E237" authorId="0" shapeId="0">
      <text>
        <t>LANTURN — Eau / Électrik
PV 125 · Att 58 · Déf 58
Att.Spé 76 · Déf.Spé 76 · Vit 67
Total 460
Talents : Absorbe-Volt, Lumiattirance (caché :
  Absorbe-Eau)</t>
      </text>
    </comment>
    <comment ref="E238" authorId="0" shapeId="0">
      <text>
        <t>TAUPIQUEUR — Sol
PV 10 · Att 55 · Déf 25
Att.Spé 35 · Déf.Spé 45 · Vit 95
Total 265
Talents : Voile Sable, Piège Sable (caché :
  Force Sable)</t>
      </text>
    </comment>
    <comment ref="E239" authorId="0" shapeId="0">
      <text>
        <t>TRIOPIKEUR — Sol
PV 35 · Att 100 · Déf 50
Att.Spé 50 · Déf.Spé 70 · Vit 120
Total 425
Talents : Voile Sable, Piège Sable (caché :
  Force Sable)</t>
      </text>
    </comment>
    <comment ref="E240" authorId="0" shapeId="0">
      <text>
        <t>TAUPIQUEUR — Sol
PV 10 · Att 55 · Déf 25
Att.Spé 35 · Déf.Spé 45 · Vit 95
Total 265
Talents : Voile Sable, Piège Sable (caché :
  Force Sable)</t>
      </text>
    </comment>
    <comment ref="E241" authorId="0" shapeId="0">
      <text>
        <t>TRIOPIKEUR — Sol
PV 35 · Att 100 · Déf 50
Att.Spé 50 · Déf.Spé 70 · Vit 120
Total 425
Talents : Voile Sable, Piège Sable (caché :
  Force Sable)</t>
      </text>
    </comment>
    <comment ref="E242" authorId="0" shapeId="0">
      <text>
        <t>PARASECT — Insecte / Plante
PV 60 · Att 95 · Déf 80
Att.Spé 60 · Déf.Spé 80 · Vit 30
Total 405
Talents : Pose Spore, Peau Sèche (caché :
  Moiteur)</t>
      </text>
    </comment>
    <comment ref="E243" authorId="0" shapeId="0">
      <text>
        <t>MAGNETON — Électrik
PV 50 · Att 60 · Déf 95
Att.Spé 120 · Déf.Spé 70 · Vit 70
Total 465
Talents : Magnépiège, Fermeté (caché :
  Analyste)</t>
      </text>
    </comment>
    <comment ref="E244" authorId="0" shapeId="0">
      <text>
        <t>NOSFERALTO — Poison / Vol
PV 75 · Att 80 · Déf 70
Att.Spé 65 · Déf.Spé 75 · Vit 90
Total 455
Talents : Attention (caché : Infiltration)</t>
      </text>
    </comment>
    <comment ref="E245" authorId="0" shapeId="0">
      <text>
        <t>METAMORPH — Normal
PV 48 · Att 48 · Déf 48
Att.Spé 48 · Déf.Spé 48 · Vit 48
Total 288
Talents : Échauffement (caché : Imposteur)</t>
      </text>
    </comment>
    <comment ref="E246" authorId="0" shapeId="0">
      <text>
        <t>COLOSSINGE — Combat
PV 65 · Att 105 · Déf 60
Att.Spé 60 · Déf.Spé 70 · Vit 95
Total 455
Talents : Esprit Vital, Colérique (caché :
  Acharné)</t>
      </text>
    </comment>
    <comment ref="E247" authorId="0" shapeId="0">
      <text>
        <t>MACHOPEUR — Combat
PV 80 · Att 100 · Déf 70
Att.Spé 50 · Déf.Spé 60 · Vit 45
Total 405
Talents : Cran, Annule Garde (caché :
  Impassible)</t>
      </text>
    </comment>
    <comment ref="E248" authorId="0" shapeId="0">
      <text>
        <t>ELECTRODE — Électrik
PV 60 · Att 50 · Déf 70
Att.Spé 80 · Déf.Spé 80 · Vit 150
Total 490
Talents : Anti-Bruit, Statik (caché : Boom
  Final)</t>
      </text>
    </comment>
    <comment ref="E249" authorId="0" shapeId="0">
      <text>
        <t>QULBUTOKE — Psy
PV 190 · Att 33 · Déf 58
Att.Spé 33 · Déf.Spé 58 · Vit 33
Total 405
Talents : Marque Ombre (caché : Télépathe)</t>
      </text>
    </comment>
    <comment ref="E250" authorId="0" shapeId="0">
      <text>
        <t>MACKOGNEUR — Combat
PV 90 · Att 130 · Déf 80
Att.Spé 65 · Déf.Spé 85 · Vit 55
Total 505
Talents : Cran, Annule Garde (caché :
  Impassible)</t>
      </text>
    </comment>
    <comment ref="E251" authorId="0" shapeId="0">
      <text>
        <t>PSYKOKWAK — Eau
PV 50 · Att 52 · Déf 48
Att.Spé 65 · Déf.Spé 50 · Vit 55
Total 320
Talents : Moiteur, Ciel Gris (caché :
  Glissade)</t>
      </text>
    </comment>
    <comment ref="E252" authorId="0" shapeId="0">
      <text>
        <t>AKWAKWAK — Eau
PV 80 · Att 82 · Déf 78
Att.Spé 95 · Déf.Spé 80 · Vit 85
Total 500
Talents : Moiteur, Ciel Gris (caché :
  Glissade)</t>
      </text>
    </comment>
    <comment ref="E253" authorId="0" shapeId="0">
      <text>
        <t>RACAILLOU — Roche / Sol
PV 40 · Att 80 · Déf 100
Att.Spé 30 · Déf.Spé 30 · Vit 20
Total 300
Talents : Tête de Roc, Fermeté (caché : Voile
  Sable)</t>
      </text>
    </comment>
    <comment ref="E254" authorId="0" shapeId="0">
      <text>
        <t>GRAVALANCH — Roche / Sol
PV 55 · Att 95 · Déf 115
Att.Spé 45 · Déf.Spé 45 · Vit 35
Total 390
Talents : Tête de Roc, Fermeté (caché : Voile
  Sable)</t>
      </text>
    </comment>
    <comment ref="E255" authorId="0" shapeId="0">
      <text>
        <t>MAGICARPE — Eau
PV 20 · Att 10 · Déf 55
Att.Spé 15 · Déf.Spé 20 · Vit 80
Total 200
Talents : Glissade (caché : Phobique)</t>
      </text>
    </comment>
    <comment ref="E256" authorId="0" shapeId="0">
      <text>
        <t>PTITARD — Eau
PV 40 · Att 50 · Déf 40
Att.Spé 40 · Déf.Spé 40 · Vit 90
Total 300
Talents : Absorbe-Eau, Moiteur (caché :
  Glissade)</t>
      </text>
    </comment>
    <comment ref="E257" authorId="0" shapeId="0">
      <text>
        <t>MAGICARPE — Eau
PV 20 · Att 10 · Déf 55
Att.Spé 15 · Déf.Spé 20 · Vit 80
Total 200
Talents : Glissade (caché : Phobique)</t>
      </text>
    </comment>
    <comment ref="E258" authorId="0" shapeId="0">
      <text>
        <t>POISSIRENE — Eau
PV 45 · Att 67 · Déf 60
Att.Spé 35 · Déf.Spé 50 · Vit 63
Total 320
Talents : Glissade, Ignifu-Voile (caché :
  Paratonnerre)</t>
      </text>
    </comment>
    <comment ref="E259" authorId="0" shapeId="0">
      <text>
        <t>PTITARD — Eau
PV 40 · Att 50 · Déf 40
Att.Spé 40 · Déf.Spé 40 · Vit 90
Total 300
Talents : Absorbe-Eau, Moiteur (caché :
  Glissade)</t>
      </text>
    </comment>
    <comment ref="E260" authorId="0" shapeId="0">
      <text>
        <t>TETARTE — Eau
PV 65 · Att 65 · Déf 65
Att.Spé 50 · Déf.Spé 50 · Vit 90
Total 385
Talents : Absorbe-Eau, Moiteur (caché :
  Glissade)</t>
      </text>
    </comment>
    <comment ref="E261" authorId="0" shapeId="0">
      <text>
        <t>LEVIATOR — Eau / Vol
PV 95 · Att 125 · Déf 79
Att.Spé 60 · Déf.Spé 100 · Vit 81
Total 540
Talents : Intimidation (caché : Impudence)</t>
      </text>
    </comment>
    <comment ref="E262" authorId="0" shapeId="0">
      <text>
        <t>PSYKOKWAK — Eau
PV 50 · Att 52 · Déf 48
Att.Spé 65 · Déf.Spé 50 · Vit 55
Total 320
Talents : Moiteur, Ciel Gris (caché :
  Glissade)</t>
      </text>
    </comment>
    <comment ref="E263" authorId="0" shapeId="0">
      <text>
        <t>MACHOPEUR — Combat
PV 80 · Att 100 · Déf 70
Att.Spé 50 · Déf.Spé 60 · Vit 45
Total 405
Talents : Cran, Annule Garde (caché :
  Impassible)</t>
      </text>
    </comment>
    <comment ref="E264" authorId="0" shapeId="0">
      <text>
        <t>NOSFERALTO — Poison / Vol
PV 75 · Att 80 · Déf 70
Att.Spé 65 · Déf.Spé 75 · Vit 90
Total 455
Talents : Attention (caché : Infiltration)</t>
      </text>
    </comment>
    <comment ref="E265" authorId="0" shapeId="0">
      <text>
        <t>PARASECT — Insecte / Plante
PV 60 · Att 95 · Déf 80
Att.Spé 60 · Déf.Spé 80 · Vit 30
Total 405
Talents : Pose Spore, Peau Sèche (caché :
  Moiteur)</t>
      </text>
    </comment>
    <comment ref="E266" authorId="0" shapeId="0">
      <text>
        <t>KADABRA — Psy
PV 40 · Att 35 · Déf 30
Att.Spé 120 · Déf.Spé 70 · Vit 105
Total 400
Talents : Synchro, Attention (caché : Garde
  Magik)</t>
      </text>
    </comment>
    <comment ref="E267" authorId="0" shapeId="0">
      <text>
        <t>MAGNETON — Électrik
PV 50 · Att 60 · Déf 95
Att.Spé 120 · Déf.Spé 70 · Vit 70
Total 465
Talents : Magnépiège, Fermeté (caché :
  Analyste)</t>
      </text>
    </comment>
    <comment ref="E268" authorId="0" shapeId="0">
      <text>
        <t>METAMORPH — Normal
PV 48 · Att 48 · Déf 48
Att.Spé 48 · Déf.Spé 48 · Vit 48
Total 288
Talents : Échauffement (caché : Imposteur)</t>
      </text>
    </comment>
    <comment ref="E269" authorId="0" shapeId="0">
      <text>
        <t>NOSTENFER — Poison / Vol
PV 85 · Att 90 · Déf 80
Att.Spé 70 · Déf.Spé 80 · Vit 130
Total 535
Talents : Attention (caché : Infiltration)</t>
      </text>
    </comment>
    <comment ref="E270" authorId="0" shapeId="0">
      <text>
        <t>QULBUTOKE — Psy
PV 190 · Att 33 · Déf 58
Att.Spé 33 · Déf.Spé 58 · Vit 33
Total 405
Talents : Marque Ombre (caché : Télépathe)</t>
      </text>
    </comment>
    <comment ref="E271" authorId="0" shapeId="0">
      <text>
        <t>ELECTRODE — Électrik
PV 60 · Att 50 · Déf 70
Att.Spé 80 · Déf.Spé 80 · Vit 150
Total 490
Talents : Anti-Bruit, Statik (caché : Boom
  Final)</t>
      </text>
    </comment>
    <comment ref="E272" authorId="0" shapeId="0">
      <text>
        <t>ALAKAZAM — Psy
PV 55 · Att 50 · Déf 45
Att.Spé 135 · Déf.Spé 135 · Vit 120
Total 540
Talents : Synchro, Attention (caché : Garde
  Magik)</t>
      </text>
    </comment>
    <comment ref="E273" authorId="0" shapeId="0">
      <text>
        <t>MAGNEZONE — Électrik / Acier
PV 70 · Att 70 · Déf 115
Att.Spé 130 · Déf.Spé 90 · Vit 60
Total 535
Talents : Magnépiège, Fermeté (caché :
  Analyste)</t>
      </text>
    </comment>
    <comment ref="E274" authorId="0" shapeId="0">
      <text>
        <t>PSYKOKWAK — Eau
PV 50 · Att 52 · Déf 48
Att.Spé 65 · Déf.Spé 50 · Vit 55
Total 320
Talents : Moiteur, Ciel Gris (caché :
  Glissade)</t>
      </text>
    </comment>
    <comment ref="E275" authorId="0" shapeId="0">
      <text>
        <t>AKWAKWAK — Eau
PV 80 · Att 82 · Déf 78
Att.Spé 95 · Déf.Spé 80 · Vit 85
Total 500
Talents : Moiteur, Ciel Gris (caché :
  Glissade)</t>
      </text>
    </comment>
    <comment ref="E276" authorId="0" shapeId="0">
      <text>
        <t>RACAILLOU — Roche / Sol
PV 40 · Att 80 · Déf 100
Att.Spé 30 · Déf.Spé 30 · Vit 20
Total 300
Talents : Tête de Roc, Fermeté (caché : Voile
  Sable)</t>
      </text>
    </comment>
    <comment ref="E277" authorId="0" shapeId="0">
      <text>
        <t>GRAVALANCH — Roche / Sol
PV 55 · Att 95 · Déf 115
Att.Spé 45 · Déf.Spé 45 · Vit 35
Total 390
Talents : Tête de Roc, Fermeté (caché : Voile
  Sable)</t>
      </text>
    </comment>
    <comment ref="E278" authorId="0" shapeId="0">
      <text>
        <t>MAGICARPE — Eau
PV 20 · Att 10 · Déf 55
Att.Spé 15 · Déf.Spé 20 · Vit 80
Total 200
Talents : Glissade (caché : Phobique)</t>
      </text>
    </comment>
    <comment ref="E279" authorId="0" shapeId="0">
      <text>
        <t>PTITARD — Eau
PV 40 · Att 50 · Déf 40
Att.Spé 40 · Déf.Spé 40 · Vit 90
Total 300
Talents : Absorbe-Eau, Moiteur (caché :
  Glissade)</t>
      </text>
    </comment>
    <comment ref="E280" authorId="0" shapeId="0">
      <text>
        <t>MAGICARPE — Eau
PV 20 · Att 10 · Déf 55
Att.Spé 15 · Déf.Spé 20 · Vit 80
Total 200
Talents : Glissade (caché : Phobique)</t>
      </text>
    </comment>
    <comment ref="E281" authorId="0" shapeId="0">
      <text>
        <t>POISSIRENE — Eau
PV 45 · Att 67 · Déf 60
Att.Spé 35 · Déf.Spé 50 · Vit 63
Total 320
Talents : Glissade, Ignifu-Voile (caché :
  Paratonnerre)</t>
      </text>
    </comment>
    <comment ref="E282" authorId="0" shapeId="0">
      <text>
        <t>PTITARD — Eau
PV 40 · Att 50 · Déf 40
Att.Spé 40 · Déf.Spé 40 · Vit 90
Total 300
Talents : Absorbe-Eau, Moiteur (caché :
  Glissade)</t>
      </text>
    </comment>
    <comment ref="E283" authorId="0" shapeId="0">
      <text>
        <t>TETARTE — Eau
PV 65 · Att 65 · Déf 65
Att.Spé 50 · Déf.Spé 50 · Vit 90
Total 385
Talents : Absorbe-Eau, Moiteur (caché :
  Glissade)</t>
      </text>
    </comment>
    <comment ref="E284" authorId="0" shapeId="0">
      <text>
        <t>LEVIATOR — Eau / Vol
PV 95 · Att 125 · Déf 79
Att.Spé 60 · Déf.Spé 100 · Vit 81
Total 540
Talents : Intimidation (caché : Impudence)</t>
      </text>
    </comment>
    <comment ref="E285" authorId="0" shapeId="0">
      <text>
        <t>PSYKOKWAK — Eau
PV 50 · Att 52 · Déf 48
Att.Spé 65 · Déf.Spé 50 · Vit 55
Total 320
Talents : Moiteur, Ciel Gris (caché :
  Glissade)</t>
      </text>
    </comment>
    <comment ref="E286" authorId="0" shapeId="0">
      <text>
        <t>KADABRA — Psy
PV 40 · Att 35 · Déf 30
Att.Spé 120 · Déf.Spé 70 · Vit 105
Total 400
Talents : Synchro, Attention (caché : Garde
  Magik)</t>
      </text>
    </comment>
    <comment ref="E287" authorId="0" shapeId="0">
      <text>
        <t>METAMORPH — Normal
PV 48 · Att 48 · Déf 48
Att.Spé 48 · Déf.Spé 48 · Vit 48
Total 288
Talents : Échauffement (caché : Imposteur)</t>
      </text>
    </comment>
    <comment ref="E288" authorId="0" shapeId="0">
      <text>
        <t>PARASECT — Insecte / Plante
PV 60 · Att 95 · Déf 80
Att.Spé 60 · Déf.Spé 80 · Vit 30
Total 405
Talents : Pose Spore, Peau Sèche (caché :
  Moiteur)</t>
      </text>
    </comment>
    <comment ref="E289" authorId="0" shapeId="0">
      <text>
        <t>MACHOPEUR — Combat
PV 80 · Att 100 · Déf 70
Att.Spé 50 · Déf.Spé 60 · Vit 45
Total 405
Talents : Cran, Annule Garde (caché :
  Impassible)</t>
      </text>
    </comment>
    <comment ref="E290" authorId="0" shapeId="0">
      <text>
        <t>MAGNETON — Électrik
PV 50 · Att 60 · Déf 95
Att.Spé 120 · Déf.Spé 70 · Vit 70
Total 465
Talents : Magnépiège, Fermeté (caché :
  Analyste)</t>
      </text>
    </comment>
    <comment ref="E291" authorId="0" shapeId="0">
      <text>
        <t>NOSFERALTO — Poison / Vol
PV 75 · Att 80 · Déf 70
Att.Spé 65 · Déf.Spé 75 · Vit 90
Total 455
Talents : Attention (caché : Infiltration)</t>
      </text>
    </comment>
    <comment ref="E292" authorId="0" shapeId="0">
      <text>
        <t>NOSTENFER — Poison / Vol
PV 85 · Att 90 · Déf 80
Att.Spé 70 · Déf.Spé 80 · Vit 130
Total 535
Talents : Attention (caché : Infiltration)</t>
      </text>
    </comment>
    <comment ref="E293" authorId="0" shapeId="0">
      <text>
        <t>COURROUSINGE — Combat / Spectre
PV 110 · Att 115 · Déf 80
Att.Spé 50 · Déf.Spé 90 · Vit 90
Total 535
Talents : Esprit Vital, Attention (caché :
  Acharné)</t>
      </text>
    </comment>
    <comment ref="E294" authorId="0" shapeId="0">
      <text>
        <t>RAMOLOSS — Eau / Psy
PV 90 · Att 65 · Déf 65
Att.Spé 40 · Déf.Spé 40 · Vit 15
Total 315
Talents : Benêt, Tempo Perso (caché : Régé-
  Force)</t>
      </text>
    </comment>
    <comment ref="E295" authorId="0" shapeId="0">
      <text>
        <t>FLAGADOSS — Eau / Psy
PV 95 · Att 75 · Déf 110
Att.Spé 100 · Déf.Spé 80 · Vit 30
Total 490
Talents : Benêt, Tempo Perso (caché : Régé-
  Force)</t>
      </text>
    </comment>
    <comment ref="E296" authorId="0" shapeId="0">
      <text>
        <t>ROIGADA — Eau / Psy
PV 95 · Att 75 · Déf 80
Att.Spé 100 · Déf.Spé 110 · Vit 30
Total 490
Talents : Benêt, Tempo Perso (caché : Régé-
  Force)</t>
      </text>
    </comment>
    <comment ref="E297" authorId="0" shapeId="0">
      <text>
        <t>RACAILLOU — Roche / Sol
PV 40 · Att 80 · Déf 100
Att.Spé 30 · Déf.Spé 30 · Vit 20
Total 300
Talents : Tête de Roc, Fermeté (caché : Voile
  Sable)</t>
      </text>
    </comment>
    <comment ref="E298" authorId="0" shapeId="0">
      <text>
        <t>GRAVALANCH — Roche / Sol
PV 55 · Att 95 · Déf 115
Att.Spé 45 · Déf.Spé 45 · Vit 35
Total 390
Talents : Tête de Roc, Fermeté (caché : Voile
  Sable)</t>
      </text>
    </comment>
    <comment ref="E299" authorId="0" shapeId="0">
      <text>
        <t>MAGICARPE — Eau
PV 20 · Att 10 · Déf 55
Att.Spé 15 · Déf.Spé 20 · Vit 80
Total 200
Talents : Glissade (caché : Phobique)</t>
      </text>
    </comment>
    <comment ref="E300" authorId="0" shapeId="0">
      <text>
        <t>PTITARD — Eau
PV 40 · Att 50 · Déf 40
Att.Spé 40 · Déf.Spé 40 · Vit 90
Total 300
Talents : Absorbe-Eau, Moiteur (caché :
  Glissade)</t>
      </text>
    </comment>
    <comment ref="E301" authorId="0" shapeId="0">
      <text>
        <t>MAGICARPE — Eau
PV 20 · Att 10 · Déf 55
Att.Spé 15 · Déf.Spé 20 · Vit 80
Total 200
Talents : Glissade (caché : Phobique)</t>
      </text>
    </comment>
    <comment ref="E302" authorId="0" shapeId="0">
      <text>
        <t>POISSIRENE — Eau
PV 45 · Att 67 · Déf 60
Att.Spé 35 · Déf.Spé 50 · Vit 63
Total 320
Talents : Glissade, Ignifu-Voile (caché :
  Paratonnerre)</t>
      </text>
    </comment>
    <comment ref="E303" authorId="0" shapeId="0">
      <text>
        <t>PTITARD — Eau
PV 40 · Att 50 · Déf 40
Att.Spé 40 · Déf.Spé 40 · Vit 90
Total 300
Talents : Absorbe-Eau, Moiteur (caché :
  Glissade)</t>
      </text>
    </comment>
    <comment ref="E304" authorId="0" shapeId="0">
      <text>
        <t>TETARTE — Eau
PV 65 · Att 65 · Déf 65
Att.Spé 50 · Déf.Spé 50 · Vit 90
Total 385
Talents : Absorbe-Eau, Moiteur (caché :
  Glissade)</t>
      </text>
    </comment>
    <comment ref="E305" authorId="0" shapeId="0">
      <text>
        <t>LEVIATOR — Eau / Vol
PV 95 · Att 125 · Déf 79
Att.Spé 60 · Déf.Spé 100 · Vit 81
Total 540
Talents : Intimidation (caché : Impudence)</t>
      </text>
    </comment>
    <comment ref="E306" authorId="0" shapeId="0">
      <text>
        <t>FLAGADOSS — Eau / Psy
PV 95 · Att 75 · Déf 110
Att.Spé 100 · Déf.Spé 80 · Vit 30
Total 490
Talents : Benêt, Tempo Perso (caché : Régé-
  Force)</t>
      </text>
    </comment>
    <comment ref="E307" authorId="0" shapeId="0">
      <text>
        <t>ROIGADA — Eau / Psy
PV 95 · Att 75 · Déf 80
Att.Spé 100 · Déf.Spé 110 · Vit 30
Total 490
Talents : Benêt, Tempo Perso (caché : Régé-
  Force)</t>
      </text>
    </comment>
    <comment ref="E308" authorId="0" shapeId="0">
      <text>
        <t>FARFURET-H — Combat / Poison
PV 55 · Att 95 · Déf 55
Att.Spé 35 · Déf.Spé 75 · Vit 115
Total 430
Talents : Attention, Regard Vif (caché :
  Pickpocket)</t>
      </text>
    </comment>
    <comment ref="E309" authorId="0" shapeId="0">
      <text>
        <t>COCHIGNON — Glace / Sol
PV 100 · Att 100 · Déf 80
Att.Spé 60 · Déf.Spé 60 · Vit 50
Total 450
Talents : Benêt, Rideau Neige (caché :
  Isograisse)</t>
      </text>
    </comment>
    <comment ref="E310" authorId="0" shapeId="0">
      <text>
        <t>LIPPOUTI — Glace / Psy
PV 45 · Att 30 · Déf 15
Att.Spé 85 · Déf.Spé 65 · Vit 65
Total 305
Talents : Benêt, Prédiction (caché :
  Hydratation)</t>
      </text>
    </comment>
    <comment ref="E311" authorId="0" shapeId="0">
      <text>
        <t>LIPPOUTOU — Glace / Psy
PV 65 · Att 50 · Déf 35
Att.Spé 115 · Déf.Spé 95 · Vit 95
Total 455
Talents : Benêt, Prédiction (caché : Peau
  Sèche)</t>
      </text>
    </comment>
    <comment ref="E312" authorId="0" shapeId="0">
      <text>
        <t>NOSFERALTO — Poison / Vol
PV 75 · Att 80 · Déf 70
Att.Spé 65 · Déf.Spé 75 · Vit 90
Total 455
Talents : Attention (caché : Infiltration)</t>
      </text>
    </comment>
    <comment ref="E313" authorId="0" shapeId="0">
      <text>
        <t>CHARMINA — Combat / Psy
PV 60 · Att 60 · Déf 75
Att.Spé 60 · Déf.Spé 75 · Vit 80
Total 410
Talents : Force Pure (caché : Télépathe)</t>
      </text>
    </comment>
    <comment ref="E314" authorId="0" shapeId="0">
      <text>
        <t>FARFUREX — Combat / Poison
PV 80 · Att 130 · Déf 60
Att.Spé 40 · Déf.Spé 80 · Vit 120
Total 510
Talents : Pression, Délestage (caché :
  Toxitouche)</t>
      </text>
    </comment>
    <comment ref="E315" authorId="0" shapeId="0">
      <text>
        <t>MEDITIKKA — Combat / Psy
PV 30 · Att 40 · Déf 55
Att.Spé 40 · Déf.Spé 55 · Vit 60
Total 280
Talents : Force Pure (caché : Télépathe)</t>
      </text>
    </comment>
    <comment ref="E316" authorId="0" shapeId="0">
      <text>
        <t>TENEFIX — Ténèbres / Spectre
PV 50 · Att 75 · Déf 75
Att.Spé 65 · Déf.Spé 65 · Vit 50
Total 380
Talents : Regard Vif, Frein (caché : Farceur)</t>
      </text>
    </comment>
    <comment ref="E317" authorId="0" shapeId="0">
      <text>
        <t>GRAVALANCH — Roche / Sol
PV 55 · Att 95 · Déf 115
Att.Spé 45 · Déf.Spé 45 · Vit 35
Total 390
Talents : Tête de Roc, Fermeté (caché : Voile
  Sable)</t>
      </text>
    </comment>
    <comment ref="E318" authorId="0" shapeId="0">
      <text>
        <t>RACAILLOU — Roche / Sol
PV 40 · Att 80 · Déf 100
Att.Spé 30 · Déf.Spé 30 · Vit 20
Total 300
Talents : Tête de Roc, Fermeté (caché : Voile
  Sable)</t>
      </text>
    </comment>
    <comment ref="E319" authorId="0" shapeId="0">
      <text>
        <t>GALEKID — Acier / Roche
PV 50 · Att 70 · Déf 100
Att.Spé 40 · Déf.Spé 40 · Vit 30
Total 330
Talents : Fermeté, Tête de Roc (caché : Heavy
  Metal)</t>
      </text>
    </comment>
    <comment ref="E320" authorId="0" shapeId="0">
      <text>
        <t>TARINOR — Roche
PV 30 · Att 45 · Déf 135
Att.Spé 45 · Déf.Spé 90 · Vit 30
Total 375
Talents : Fermeté, Magnépiège (caché : Force
  Sable)</t>
      </text>
    </comment>
    <comment ref="E321" authorId="0" shapeId="0">
      <text>
        <t>RACAILLOU — Roche / Sol
PV 40 · Att 80 · Déf 100
Att.Spé 30 · Déf.Spé 30 · Vit 20
Total 300
Talents : Tête de Roc, Fermeté (caché : Voile
  Sable)</t>
      </text>
    </comment>
    <comment ref="E322" authorId="0" shapeId="0">
      <text>
        <t>SABELETTE — Sol
PV 50 · Att 75 · Déf 85
Att.Spé 20 · Déf.Spé 30 · Vit 40
Total 300
Talents : Voile Sable (caché : Baigne Sable)</t>
      </text>
    </comment>
    <comment ref="E323" authorId="0" shapeId="0">
      <text>
        <t>NOSFERAPTI — Poison / Vol
PV 40 · Att 45 · Déf 35
Att.Spé 30 · Déf.Spé 40 · Vit 55
Total 245
Talents : Attention (caché : Infiltration)</t>
      </text>
    </comment>
    <comment ref="E324" authorId="0" shapeId="0">
      <text>
        <t>ONIX — Roche / Sol
PV 35 · Att 45 · Déf 160
Att.Spé 30 · Déf.Spé 45 · Vit 70
Total 385
Talents : Tête de Roc, Fermeté (caché :
  Armurouillée)</t>
      </text>
    </comment>
    <comment ref="E325" authorId="0" shapeId="0">
      <text>
        <t>OSSELAIT — Sol
PV 50 · Att 50 · Déf 95
Att.Spé 40 · Déf.Spé 50 · Vit 35
Total 320
Talents : Tête de Roc, Paratonnerre (caché :
  Armurbaston)</t>
      </text>
    </comment>
    <comment ref="E326" authorId="0" shapeId="0">
      <text>
        <t>AXOLOTO — Eau / Sol
PV 55 · Att 45 · Déf 45
Att.Spé 25 · Déf.Spé 25 · Vit 15
Total 210
Talents : Moiteur, Absorbe-Eau (caché :
  Inconscient)</t>
      </text>
    </comment>
    <comment ref="E327" authorId="0" shapeId="0">
      <text>
        <t>MARAISTE — Eau / Sol
PV 95 · Att 85 · Déf 85
Att.Spé 65 · Déf.Spé 65 · Vit 35
Total 430
Talents : Moiteur, Absorbe-Eau (caché :
  Inconscient)</t>
      </text>
    </comment>
    <comment ref="E328" authorId="0" shapeId="0">
      <text>
        <t>MAGICARPE — Eau
PV 20 · Att 10 · Déf 55
Att.Spé 15 · Déf.Spé 20 · Vit 80
Total 200
Talents : Glissade (caché : Phobique)</t>
      </text>
    </comment>
    <comment ref="E329" authorId="0" shapeId="0">
      <text>
        <t>POISSIRENE — Eau
PV 45 · Att 67 · Déf 60
Att.Spé 35 · Déf.Spé 50 · Vit 63
Total 320
Talents : Glissade, Ignifu-Voile (caché :
  Paratonnerre)</t>
      </text>
    </comment>
    <comment ref="E330" authorId="0" shapeId="0">
      <text>
        <t>POISSIRENE — Eau
PV 45 · Att 67 · Déf 60
Att.Spé 35 · Déf.Spé 50 · Vit 63
Total 320
Talents : Glissade, Ignifu-Voile (caché :
  Paratonnerre)</t>
      </text>
    </comment>
    <comment ref="E331" authorId="0" shapeId="0">
      <text>
        <t>MAGICARPE — Eau
PV 20 · Att 10 · Déf 55
Att.Spé 15 · Déf.Spé 20 · Vit 80
Total 200
Talents : Glissade (caché : Phobique)</t>
      </text>
    </comment>
    <comment ref="E332" authorId="0" shapeId="0">
      <text>
        <t>MAGICARPE — Eau
PV 20 · Att 10 · Déf 55
Att.Spé 15 · Déf.Spé 20 · Vit 80
Total 200
Talents : Glissade (caché : Phobique)</t>
      </text>
    </comment>
    <comment ref="E333" authorId="0" shapeId="0">
      <text>
        <t>POISSOROY — Eau
PV 80 · Att 92 · Déf 65
Att.Spé 65 · Déf.Spé 80 · Vit 68
Total 450
Talents : Glissade, Ignifu-Voile (caché :
  Paratonnerre)</t>
      </text>
    </comment>
    <comment ref="E334" authorId="0" shapeId="0">
      <text>
        <t>POISSIRENE — Eau
PV 45 · Att 67 · Déf 60
Att.Spé 35 · Déf.Spé 50 · Vit 63
Total 320
Talents : Glissade, Ignifu-Voile (caché :
  Paratonnerre)</t>
      </text>
    </comment>
    <comment ref="E335" authorId="0" shapeId="0">
      <text>
        <t>NOSFERAPTI — Poison / Vol
PV 40 · Att 45 · Déf 35
Att.Spé 30 · Déf.Spé 40 · Vit 55
Total 245
Talents : Attention (caché : Infiltration)</t>
      </text>
    </comment>
    <comment ref="E336" authorId="0" shapeId="0">
      <text>
        <t>RACAILLOU — Roche / Sol
PV 40 · Att 80 · Déf 100
Att.Spé 30 · Déf.Spé 30 · Vit 20
Total 300
Talents : Tête de Roc, Fermeté (caché : Voile
  Sable)</t>
      </text>
    </comment>
    <comment ref="E337" authorId="0" shapeId="0">
      <text>
        <t>MARILL — Eau / Fée
PV 70 · Att 20 · Déf 50
Att.Spé 20 · Déf.Spé 50 · Vit 40
Total 250
Talents : Isograisse, Coloforce (caché :
  Herbivore)</t>
      </text>
    </comment>
    <comment ref="E338" authorId="0" shapeId="0">
      <text>
        <t>ONIX — Roche / Sol
PV 35 · Att 45 · Déf 160
Att.Spé 30 · Déf.Spé 45 · Vit 70
Total 385
Talents : Tête de Roc, Fermeté (caché :
  Armurouillée)</t>
      </text>
    </comment>
    <comment ref="E339" authorId="0" shapeId="0">
      <text>
        <t>AXOLOTO — Eau / Sol
PV 55 · Att 45 · Déf 45
Att.Spé 25 · Déf.Spé 25 · Vit 15
Total 210
Talents : Moiteur, Absorbe-Eau (caché :
  Inconscient)</t>
      </text>
    </comment>
    <comment ref="E340" authorId="0" shapeId="0">
      <text>
        <t>MARAISTE — Eau / Sol
PV 95 · Att 85 · Déf 85
Att.Spé 65 · Déf.Spé 65 · Vit 35
Total 430
Talents : Moiteur, Absorbe-Eau (caché :
  Inconscient)</t>
      </text>
    </comment>
    <comment ref="E341" authorId="0" shapeId="0">
      <text>
        <t>MAGICARPE — Eau
PV 20 · Att 10 · Déf 55
Att.Spé 15 · Déf.Spé 20 · Vit 80
Total 200
Talents : Glissade (caché : Phobique)</t>
      </text>
    </comment>
    <comment ref="E342" authorId="0" shapeId="0">
      <text>
        <t>POISSIRENE — Eau
PV 45 · Att 67 · Déf 60
Att.Spé 35 · Déf.Spé 50 · Vit 63
Total 320
Talents : Glissade, Ignifu-Voile (caché :
  Paratonnerre)</t>
      </text>
    </comment>
    <comment ref="E343" authorId="0" shapeId="0">
      <text>
        <t>POISSIRENE — Eau
PV 45 · Att 67 · Déf 60
Att.Spé 35 · Déf.Spé 50 · Vit 63
Total 320
Talents : Glissade, Ignifu-Voile (caché :
  Paratonnerre)</t>
      </text>
    </comment>
    <comment ref="E344" authorId="0" shapeId="0">
      <text>
        <t>MAGICARPE — Eau
PV 20 · Att 10 · Déf 55
Att.Spé 15 · Déf.Spé 20 · Vit 80
Total 200
Talents : Glissade (caché : Phobique)</t>
      </text>
    </comment>
    <comment ref="E345" authorId="0" shapeId="0">
      <text>
        <t>MAGICARPE — Eau
PV 20 · Att 10 · Déf 55
Att.Spé 15 · Déf.Spé 20 · Vit 80
Total 200
Talents : Glissade (caché : Phobique)</t>
      </text>
    </comment>
    <comment ref="E346" authorId="0" shapeId="0">
      <text>
        <t>POISSOROY — Eau
PV 80 · Att 92 · Déf 65
Att.Spé 65 · Déf.Spé 80 · Vit 68
Total 450
Talents : Glissade, Ignifu-Voile (caché :
  Paratonnerre)</t>
      </text>
    </comment>
    <comment ref="E347" authorId="0" shapeId="0">
      <text>
        <t>POISSIRENE — Eau
PV 45 · Att 67 · Déf 60
Att.Spé 35 · Déf.Spé 50 · Vit 63
Total 320
Talents : Glissade, Ignifu-Voile (caché :
  Paratonnerre)</t>
      </text>
    </comment>
    <comment ref="E348" authorId="0" shapeId="0">
      <text>
        <t>NOSFERALTO — Poison / Vol
PV 75 · Att 80 · Déf 70
Att.Spé 65 · Déf.Spé 75 · Vit 90
Total 455
Talents : Attention (caché : Infiltration)</t>
      </text>
    </comment>
    <comment ref="E349" authorId="0" shapeId="0">
      <text>
        <t>ONIX — Roche / Sol
PV 35 · Att 45 · Déf 160
Att.Spé 30 · Déf.Spé 45 · Vit 70
Total 385
Talents : Tête de Roc, Fermeté (caché :
  Armurouillée)</t>
      </text>
    </comment>
    <comment ref="E350" authorId="0" shapeId="0">
      <text>
        <t>OSSELAIT — Sol
PV 50 · Att 50 · Déf 95
Att.Spé 40 · Déf.Spé 50 · Vit 35
Total 320
Talents : Tête de Roc, Paratonnerre (caché :
  Armurbaston)</t>
      </text>
    </comment>
    <comment ref="E351" authorId="0" shapeId="0">
      <text>
        <t>RATTATAC — Normal
PV 55 · Att 81 · Déf 60
Att.Spé 50 · Déf.Spé 70 · Vit 97
Total 413
Talents : Fuite, Cran (caché : Agitation)</t>
      </text>
    </comment>
    <comment ref="E352" authorId="0" shapeId="0">
      <text>
        <t>KANGOUREX — Normal
PV 105 · Att 95 · Déf 80
Att.Spé 40 · Déf.Spé 80 · Vit 90
Total 490
Talents : Matinal, Querelleur (caché :
  Attention)</t>
      </text>
    </comment>
    <comment ref="E353" authorId="0" shapeId="0">
      <text>
        <t>MARAISTE — Eau / Sol
PV 95 · Att 85 · Déf 85
Att.Spé 65 · Déf.Spé 65 · Vit 35
Total 430
Talents : Moiteur, Absorbe-Eau (caché :
  Inconscient)</t>
      </text>
    </comment>
    <comment ref="E354" authorId="0" shapeId="0">
      <text>
        <t>TENTACOOL — Eau / Poison
PV 40 · Att 40 · Déf 35
Att.Spé 50 · Déf.Spé 100 · Vit 70
Total 335
Talents : Corps Sain, Suintement (caché :
  Cuvette)</t>
      </text>
    </comment>
    <comment ref="E355" authorId="0" shapeId="0">
      <text>
        <t>MARAISTE — Eau / Sol
PV 95 · Att 85 · Déf 85
Att.Spé 65 · Déf.Spé 65 · Vit 35
Total 430
Talents : Moiteur, Absorbe-Eau (caché :
  Inconscient)</t>
      </text>
    </comment>
    <comment ref="E356" authorId="0" shapeId="0">
      <text>
        <t>TENTACRUEL — Eau / Poison
PV 80 · Att 70 · Déf 65
Att.Spé 80 · Déf.Spé 120 · Vit 100
Total 515
Talents : Corps Sain, Suintement (caché :
  Cuvette)</t>
      </text>
    </comment>
    <comment ref="E357" authorId="0" shapeId="0">
      <text>
        <t>MAGICARPE — Eau
PV 20 · Att 10 · Déf 55
Att.Spé 15 · Déf.Spé 20 · Vit 80
Total 200
Talents : Glissade (caché : Phobique)</t>
      </text>
    </comment>
    <comment ref="E358" authorId="0" shapeId="0">
      <text>
        <t>TENTACOOL — Eau / Poison
PV 40 · Att 40 · Déf 35
Att.Spé 50 · Déf.Spé 100 · Vit 70
Total 335
Talents : Corps Sain, Suintement (caché :
  Cuvette)</t>
      </text>
    </comment>
    <comment ref="E359" authorId="0" shapeId="0">
      <text>
        <t>MAGICARPE — Eau
PV 20 · Att 10 · Déf 55
Att.Spé 15 · Déf.Spé 20 · Vit 80
Total 200
Talents : Glissade (caché : Phobique)</t>
      </text>
    </comment>
    <comment ref="E360" authorId="0" shapeId="0">
      <text>
        <t>LOUPIO — Eau / Électrik
PV 75 · Att 38 · Déf 38
Att.Spé 56 · Déf.Spé 56 · Vit 67
Total 330
Talents : Absorbe-Volt, Lumiattirance (caché :
  Absorbe-Eau)</t>
      </text>
    </comment>
    <comment ref="E361" authorId="0" shapeId="0">
      <text>
        <t>TENTACOOL — Eau / Poison
PV 40 · Att 40 · Déf 35
Att.Spé 50 · Déf.Spé 100 · Vit 70
Total 335
Talents : Corps Sain, Suintement (caché :
  Cuvette)</t>
      </text>
    </comment>
    <comment ref="E362" authorId="0" shapeId="0">
      <text>
        <t>KOKIYAS — Eau
PV 30 · Att 65 · Déf 100
Att.Spé 45 · Déf.Spé 25 · Vit 40
Total 305
Talents : Coque Armure, Multi-Coups (caché :
  Envelocape)</t>
      </text>
    </comment>
    <comment ref="E363" authorId="0" shapeId="0">
      <text>
        <t>LOUPIO — Eau / Électrik
PV 75 · Att 38 · Déf 38
Att.Spé 56 · Déf.Spé 56 · Vit 67
Total 330
Talents : Absorbe-Volt, Lumiattirance (caché :
  Absorbe-Eau)</t>
      </text>
    </comment>
    <comment ref="E364" authorId="0" shapeId="0">
      <text>
        <t>TENTACRUEL — Eau / Poison
PV 80 · Att 70 · Déf 65
Att.Spé 80 · Déf.Spé 120 · Vit 100
Total 515
Talents : Corps Sain, Suintement (caché :
  Cuvette)</t>
      </text>
    </comment>
    <comment ref="E365" authorId="0" shapeId="0">
      <text>
        <t>LANTURN — Eau / Électrik
PV 125 · Att 58 · Déf 58
Att.Spé 76 · Déf.Spé 76 · Vit 67
Total 460
Talents : Absorbe-Volt, Lumiattirance (caché :
  Absorbe-Eau)</t>
      </text>
    </comment>
    <comment ref="E366" authorId="0" shapeId="0">
      <text>
        <t>TENTACOOL — Eau / Poison
PV 40 · Att 40 · Déf 35
Att.Spé 50 · Déf.Spé 100 · Vit 70
Total 335
Talents : Corps Sain, Suintement (caché :
  Cuvette)</t>
      </text>
    </comment>
    <comment ref="E367" authorId="0" shapeId="0">
      <text>
        <t>GOELISE — Eau / Vol
PV 40 · Att 30 · Déf 30
Att.Spé 55 · Déf.Spé 30 · Vit 85
Total 270
Talents : Regard Vif, Hydratation (caché :
  Cuvette)</t>
      </text>
    </comment>
    <comment ref="E368" authorId="0" shapeId="0">
      <text>
        <t>TENTACRUEL — Eau / Poison
PV 80 · Att 70 · Déf 65
Att.Spé 80 · Déf.Spé 120 · Vit 100
Total 515
Talents : Corps Sain, Suintement (caché :
  Cuvette)</t>
      </text>
    </comment>
    <comment ref="E369" authorId="0" shapeId="0">
      <text>
        <t>TENTACOOL — Eau / Poison
PV 40 · Att 40 · Déf 35
Att.Spé 50 · Déf.Spé 100 · Vit 70
Total 335
Talents : Corps Sain, Suintement (caché :
  Cuvette)</t>
      </text>
    </comment>
    <comment ref="E370" authorId="0" shapeId="0">
      <text>
        <t>GOELISE — Eau / Vol
PV 40 · Att 30 · Déf 30
Att.Spé 55 · Déf.Spé 30 · Vit 85
Total 270
Talents : Regard Vif, Hydratation (caché :
  Cuvette)</t>
      </text>
    </comment>
    <comment ref="E371" authorId="0" shapeId="0">
      <text>
        <t>TENTACRUEL — Eau / Poison
PV 80 · Att 70 · Déf 65
Att.Spé 80 · Déf.Spé 120 · Vit 100
Total 515
Talents : Corps Sain, Suintement (caché :
  Cuvette)</t>
      </text>
    </comment>
    <comment ref="E372" authorId="0" shapeId="0">
      <text>
        <t>MAGICARPE — Eau
PV 20 · Att 10 · Déf 55
Att.Spé 15 · Déf.Spé 20 · Vit 80
Total 200
Talents : Glissade (caché : Phobique)</t>
      </text>
    </comment>
    <comment ref="E373" authorId="0" shapeId="0">
      <text>
        <t>TENTACOOL — Eau / Poison
PV 40 · Att 40 · Déf 35
Att.Spé 50 · Déf.Spé 100 · Vit 70
Total 335
Talents : Corps Sain, Suintement (caché :
  Cuvette)</t>
      </text>
    </comment>
    <comment ref="E374" authorId="0" shapeId="0">
      <text>
        <t>MAGICARPE — Eau
PV 20 · Att 10 · Déf 55
Att.Spé 15 · Déf.Spé 20 · Vit 80
Total 200
Talents : Glissade (caché : Phobique)</t>
      </text>
    </comment>
    <comment ref="E375" authorId="0" shapeId="0">
      <text>
        <t>TENTACOOL — Eau / Poison
PV 40 · Att 40 · Déf 35
Att.Spé 50 · Déf.Spé 100 · Vit 70
Total 335
Talents : Corps Sain, Suintement (caché :
  Cuvette)</t>
      </text>
    </comment>
    <comment ref="E376" authorId="0" shapeId="0">
      <text>
        <t>MAGICARPE — Eau
PV 20 · Att 10 · Déf 55
Att.Spé 15 · Déf.Spé 20 · Vit 80
Total 200
Talents : Glissade (caché : Phobique)</t>
      </text>
    </comment>
    <comment ref="E377" authorId="0" shapeId="0">
      <text>
        <t>MARAISTE — Eau / Sol
PV 95 · Att 85 · Déf 85
Att.Spé 65 · Déf.Spé 65 · Vit 35
Total 430
Talents : Moiteur, Absorbe-Eau (caché :
  Inconscient)</t>
      </text>
    </comment>
    <comment ref="E378" authorId="0" shapeId="0">
      <text>
        <t>TENTACOOL — Eau / Poison
PV 40 · Att 40 · Déf 35
Att.Spé 50 · Déf.Spé 100 · Vit 70
Total 335
Talents : Corps Sain, Suintement (caché :
  Cuvette)</t>
      </text>
    </comment>
    <comment ref="E379" authorId="0" shapeId="0">
      <text>
        <t>MAGICARPE — Eau
PV 20 · Att 10 · Déf 55
Att.Spé 15 · Déf.Spé 20 · Vit 80
Total 200
Talents : Glissade (caché : Phobique)</t>
      </text>
    </comment>
    <comment ref="E380" authorId="0" shapeId="0">
      <text>
        <t>MARAISTE — Eau / Sol
PV 95 · Att 85 · Déf 85
Att.Spé 65 · Déf.Spé 65 · Vit 35
Total 430
Talents : Moiteur, Absorbe-Eau (caché :
  Inconscient)</t>
      </text>
    </comment>
    <comment ref="E381" authorId="0" shapeId="0">
      <text>
        <t>TENTACOOL — Eau / Poison
PV 40 · Att 40 · Déf 35
Att.Spé 50 · Déf.Spé 100 · Vit 70
Total 335
Talents : Corps Sain, Suintement (caché :
  Cuvette)</t>
      </text>
    </comment>
    <comment ref="E382" authorId="0" shapeId="0">
      <text>
        <t>MARAISTE — Eau / Sol
PV 95 · Att 85 · Déf 85
Att.Spé 65 · Déf.Spé 65 · Vit 35
Total 430
Talents : Moiteur, Absorbe-Eau (caché :
  Inconscient)</t>
      </text>
    </comment>
    <comment ref="E383" authorId="0" shapeId="0">
      <text>
        <t>TENTACRUEL — Eau / Poison
PV 80 · Att 70 · Déf 65
Att.Spé 80 · Déf.Spé 120 · Vit 100
Total 515
Talents : Corps Sain, Suintement (caché :
  Cuvette)</t>
      </text>
    </comment>
    <comment ref="E384" authorId="0" shapeId="0">
      <text>
        <t>MAGICARPE — Eau
PV 20 · Att 10 · Déf 55
Att.Spé 15 · Déf.Spé 20 · Vit 80
Total 200
Talents : Glissade (caché : Phobique)</t>
      </text>
    </comment>
    <comment ref="E385" authorId="0" shapeId="0">
      <text>
        <t>TENTACOOL — Eau / Poison
PV 40 · Att 40 · Déf 35
Att.Spé 50 · Déf.Spé 100 · Vit 70
Total 335
Talents : Corps Sain, Suintement (caché :
  Cuvette)</t>
      </text>
    </comment>
    <comment ref="E386" authorId="0" shapeId="0">
      <text>
        <t>MARAISTE — Eau / Sol
PV 95 · Att 85 · Déf 85
Att.Spé 65 · Déf.Spé 65 · Vit 35
Total 430
Talents : Moiteur, Absorbe-Eau (caché :
  Inconscient)</t>
      </text>
    </comment>
    <comment ref="E387" authorId="0" shapeId="0">
      <text>
        <t>TENTACRUEL — Eau / Poison
PV 80 · Att 70 · Déf 65
Att.Spé 80 · Déf.Spé 120 · Vit 100
Total 515
Talents : Corps Sain, Suintement (caché :
  Cuvette)</t>
      </text>
    </comment>
    <comment ref="E388" authorId="0" shapeId="0">
      <text>
        <t>MAGICARPE — Eau
PV 20 · Att 10 · Déf 55
Att.Spé 15 · Déf.Spé 20 · Vit 80
Total 200
Talents : Glissade (caché : Phobique)</t>
      </text>
    </comment>
    <comment ref="E389" authorId="0" shapeId="0">
      <text>
        <t>TENTACOOL — Eau / Poison
PV 40 · Att 40 · Déf 35
Att.Spé 50 · Déf.Spé 100 · Vit 70
Total 335
Talents : Corps Sain, Suintement (caché :
  Cuvette)</t>
      </text>
    </comment>
    <comment ref="E390" authorId="0" shapeId="0">
      <text>
        <t>TENTACOOL — Eau / Poison
PV 40 · Att 40 · Déf 35
Att.Spé 50 · Déf.Spé 100 · Vit 70
Total 335
Talents : Corps Sain, Suintement (caché :
  Cuvette)</t>
      </text>
    </comment>
    <comment ref="E391" authorId="0" shapeId="0">
      <text>
        <t>OTARIA — Eau
PV 65 · Att 45 · Déf 55
Att.Spé 45 · Déf.Spé 70 · Vit 45
Total 325
Talents : Isograisse, Hydratation (caché :
  Corps Gel)</t>
      </text>
    </comment>
    <comment ref="E392" authorId="0" shapeId="0">
      <text>
        <t>LAMANTINE — Eau / Glace
PV 90 · Att 70 · Déf 80
Att.Spé 70 · Déf.Spé 95 · Vit 70
Total 475
Talents : Isograisse, Hydratation (caché :
  Corps Gel)</t>
      </text>
    </comment>
    <comment ref="E393" authorId="0" shapeId="0">
      <text>
        <t>TENTACOOL — Eau / Poison
PV 40 · Att 40 · Déf 35
Att.Spé 50 · Déf.Spé 100 · Vit 70
Total 335
Talents : Corps Sain, Suintement (caché :
  Cuvette)</t>
      </text>
    </comment>
    <comment ref="E394" authorId="0" shapeId="0">
      <text>
        <t>TENTACRUEL — Eau / Poison
PV 80 · Att 70 · Déf 65
Att.Spé 80 · Déf.Spé 120 · Vit 100
Total 515
Talents : Corps Sain, Suintement (caché :
  Cuvette)</t>
      </text>
    </comment>
    <comment ref="E395" authorId="0" shapeId="0">
      <text>
        <t>MAGICARPE — Eau
PV 20 · Att 10 · Déf 55
Att.Spé 15 · Déf.Spé 20 · Vit 80
Total 200
Talents : Glissade (caché : Phobique)</t>
      </text>
    </comment>
    <comment ref="E396" authorId="0" shapeId="0">
      <text>
        <t>TENTACOOL — Eau / Poison
PV 40 · Att 40 · Déf 35
Att.Spé 50 · Déf.Spé 100 · Vit 70
Total 335
Talents : Corps Sain, Suintement (caché :
  Cuvette)</t>
      </text>
    </comment>
    <comment ref="E397" authorId="0" shapeId="0">
      <text>
        <t>MAGICARPE — Eau
PV 20 · Att 10 · Déf 55
Att.Spé 15 · Déf.Spé 20 · Vit 80
Total 200
Talents : Glissade (caché : Phobique)</t>
      </text>
    </comment>
    <comment ref="E398" authorId="0" shapeId="0">
      <text>
        <t>TENTACOOL — Eau / Poison
PV 40 · Att 40 · Déf 35
Att.Spé 50 · Déf.Spé 100 · Vit 70
Total 335
Talents : Corps Sain, Suintement (caché :
  Cuvette)</t>
      </text>
    </comment>
    <comment ref="E399" authorId="0" shapeId="0">
      <text>
        <t>MAGICARPE — Eau
PV 20 · Att 10 · Déf 55
Att.Spé 15 · Déf.Spé 20 · Vit 80
Total 200
Talents : Glissade (caché : Phobique)</t>
      </text>
    </comment>
    <comment ref="E400" authorId="0" shapeId="0">
      <text>
        <t>MARAISTE — Eau / Sol
PV 95 · Att 85 · Déf 85
Att.Spé 65 · Déf.Spé 65 · Vit 35
Total 430
Talents : Moiteur, Absorbe-Eau (caché :
  Inconscient)</t>
      </text>
    </comment>
    <comment ref="E401" authorId="0" shapeId="0">
      <text>
        <t>TENTACOOL — Eau / Poison
PV 40 · Att 40 · Déf 35
Att.Spé 50 · Déf.Spé 100 · Vit 70
Total 335
Talents : Corps Sain, Suintement (caché :
  Cuvette)</t>
      </text>
    </comment>
    <comment ref="E402" authorId="0" shapeId="0">
      <text>
        <t>MAGICARPE — Eau
PV 20 · Att 10 · Déf 55
Att.Spé 15 · Déf.Spé 20 · Vit 80
Total 200
Talents : Glissade (caché : Phobique)</t>
      </text>
    </comment>
    <comment ref="E403" authorId="0" shapeId="0">
      <text>
        <t>MARAISTE — Eau / Sol
PV 95 · Att 85 · Déf 85
Att.Spé 65 · Déf.Spé 65 · Vit 35
Total 430
Talents : Moiteur, Absorbe-Eau (caché :
  Inconscient)</t>
      </text>
    </comment>
    <comment ref="E404" authorId="0" shapeId="0">
      <text>
        <t>TENTACOOL — Eau / Poison
PV 40 · Att 40 · Déf 35
Att.Spé 50 · Déf.Spé 100 · Vit 70
Total 335
Talents : Corps Sain, Suintement (caché :
  Cuvette)</t>
      </text>
    </comment>
    <comment ref="E405" authorId="0" shapeId="0">
      <text>
        <t>MARAISTE — Eau / Sol
PV 95 · Att 85 · Déf 85
Att.Spé 65 · Déf.Spé 65 · Vit 35
Total 430
Talents : Moiteur, Absorbe-Eau (caché :
  Inconscient)</t>
      </text>
    </comment>
    <comment ref="E406" authorId="0" shapeId="0">
      <text>
        <t>TENTACRUEL — Eau / Poison
PV 80 · Att 70 · Déf 65
Att.Spé 80 · Déf.Spé 120 · Vit 100
Total 515
Talents : Corps Sain, Suintement (caché :
  Cuvette)</t>
      </text>
    </comment>
    <comment ref="E407" authorId="0" shapeId="0">
      <text>
        <t>COQUIPERL — Eau
PV 35 · Att 64 · Déf 85
Att.Spé 74 · Déf.Spé 55 · Vit 32
Total 345
Talents : Coque Armure (caché : Phobique)</t>
      </text>
    </comment>
    <comment ref="E408" authorId="0" shapeId="0">
      <text>
        <t>MARAISTE — Eau / Sol
PV 95 · Att 85 · Déf 85
Att.Spé 65 · Déf.Spé 65 · Vit 35
Total 430
Talents : Moiteur, Absorbe-Eau (caché :
  Inconscient)</t>
      </text>
    </comment>
    <comment ref="E409" authorId="0" shapeId="0">
      <text>
        <t>TENTACRUEL — Eau / Poison
PV 80 · Att 70 · Déf 65
Att.Spé 80 · Déf.Spé 120 · Vit 100
Total 515
Talents : Corps Sain, Suintement (caché :
  Cuvette)</t>
      </text>
    </comment>
    <comment ref="E410" authorId="0" shapeId="0">
      <text>
        <t>COQUIPERL — Eau
PV 35 · Att 64 · Déf 85
Att.Spé 74 · Déf.Spé 55 · Vit 32
Total 345
Talents : Coque Armure (caché : Phobique)</t>
      </text>
    </comment>
    <comment ref="E411" authorId="0" shapeId="0">
      <text>
        <t>RATTATA — Normal
PV 30 · Att 56 · Déf 35
Att.Spé 25 · Déf.Spé 35 · Vit 72
Total 253
Talents : Fuite, Cran (caché : Agitation)</t>
      </text>
    </comment>
    <comment ref="E412" authorId="0" shapeId="0">
      <text>
        <t>SAQUEDENEU — Plante
PV 65 · Att 55 · Déf 115
Att.Spé 100 · Déf.Spé 40 · Vit 60
Total 435
Talents : Chlorophylle, Feuille Garde (caché :
  Régé-Force)</t>
      </text>
    </comment>
    <comment ref="E413" authorId="0" shapeId="0">
      <text>
        <t>M. MIME — Psy / Fée
PV 40 · Att 45 · Déf 65
Att.Spé 100 · Déf.Spé 120 · Vit 90
Total 460
Talents : Anti-Bruit, Filtre (caché :
  Technicien)</t>
      </text>
    </comment>
    <comment ref="E414" authorId="0" shapeId="0">
      <text>
        <t>RATTATAC — Normal
PV 55 · Att 81 · Déf 60
Att.Spé 50 · Déf.Spé 70 · Vit 97
Total 413
Talents : Fuite, Cran (caché : Agitation)</t>
      </text>
    </comment>
    <comment ref="E415" authorId="0" shapeId="0">
      <text>
        <t>SAQUEDENEU — Plante
PV 65 · Att 55 · Déf 115
Att.Spé 100 · Déf.Spé 40 · Vit 60
Total 435
Talents : Chlorophylle, Feuille Garde (caché :
  Régé-Force)</t>
      </text>
    </comment>
    <comment ref="E416" authorId="0" shapeId="0">
      <text>
        <t>RATTATA — Normal
PV 30 · Att 56 · Déf 35
Att.Spé 25 · Déf.Spé 35 · Vit 72
Total 253
Talents : Fuite, Cran (caché : Agitation)</t>
      </text>
    </comment>
    <comment ref="E417" authorId="0" shapeId="0">
      <text>
        <t>RATTATAC — Normal
PV 55 · Att 81 · Déf 60
Att.Spé 50 · Déf.Spé 70 · Vit 97
Total 413
Talents : Fuite, Cran (caché : Agitation)</t>
      </text>
    </comment>
    <comment ref="E418" authorId="0" shapeId="0">
      <text>
        <t>TENTACOOL — Eau / Poison
PV 40 · Att 40 · Déf 35
Att.Spé 50 · Déf.Spé 100 · Vit 70
Total 335
Talents : Corps Sain, Suintement (caché :
  Cuvette)</t>
      </text>
    </comment>
    <comment ref="E419" authorId="0" shapeId="0">
      <text>
        <t>TENTACRUEL — Eau / Poison
PV 80 · Att 70 · Déf 65
Att.Spé 80 · Déf.Spé 120 · Vit 100
Total 515
Talents : Corps Sain, Suintement (caché :
  Cuvette)</t>
      </text>
    </comment>
    <comment ref="E420" authorId="0" shapeId="0">
      <text>
        <t>TENTACOOL — Eau / Poison
PV 40 · Att 40 · Déf 35
Att.Spé 50 · Déf.Spé 100 · Vit 70
Total 335
Talents : Corps Sain, Suintement (caché :
  Cuvette)</t>
      </text>
    </comment>
    <comment ref="E421" authorId="0" shapeId="0">
      <text>
        <t>TENTACRUEL — Eau / Poison
PV 80 · Att 70 · Déf 65
Att.Spé 80 · Déf.Spé 120 · Vit 100
Total 515
Talents : Corps Sain, Suintement (caché :
  Cuvette)</t>
      </text>
    </comment>
    <comment ref="E422" authorId="0" shapeId="0">
      <text>
        <t>MAGICARPE — Eau
PV 20 · Att 10 · Déf 55
Att.Spé 15 · Déf.Spé 20 · Vit 80
Total 200
Talents : Glissade (caché : Phobique)</t>
      </text>
    </comment>
    <comment ref="E423" authorId="0" shapeId="0">
      <text>
        <t>TENTACOOL — Eau / Poison
PV 40 · Att 40 · Déf 35
Att.Spé 50 · Déf.Spé 100 · Vit 70
Total 335
Talents : Corps Sain, Suintement (caché :
  Cuvette)</t>
      </text>
    </comment>
    <comment ref="E424" authorId="0" shapeId="0">
      <text>
        <t>MAGICARPE — Eau
PV 20 · Att 10 · Déf 55
Att.Spé 15 · Déf.Spé 20 · Vit 80
Total 200
Talents : Glissade (caché : Phobique)</t>
      </text>
    </comment>
    <comment ref="E425" authorId="0" shapeId="0">
      <text>
        <t>TENTACOOL — Eau / Poison
PV 40 · Att 40 · Déf 35
Att.Spé 50 · Déf.Spé 100 · Vit 70
Total 335
Talents : Corps Sain, Suintement (caché :
  Cuvette)</t>
      </text>
    </comment>
    <comment ref="E426" authorId="0" shapeId="0">
      <text>
        <t>MAGICARPE — Eau
PV 20 · Att 10 · Déf 55
Att.Spé 15 · Déf.Spé 20 · Vit 80
Total 200
Talents : Glissade (caché : Phobique)</t>
      </text>
    </comment>
    <comment ref="E427" authorId="0" shapeId="0">
      <text>
        <t>ECRAPINCE — Eau
PV 43 · Att 80 · Déf 65
Att.Spé 50 · Déf.Spé 35 · Vit 35
Total 308
Talents : Hyper Cutter, Coque Armure (caché :
  Adaptabilité)</t>
      </text>
    </comment>
    <comment ref="E428" authorId="0" shapeId="0">
      <text>
        <t>TENTACOOL — Eau / Poison
PV 40 · Att 40 · Déf 35
Att.Spé 50 · Déf.Spé 100 · Vit 70
Total 335
Talents : Corps Sain, Suintement (caché :
  Cuvette)</t>
      </text>
    </comment>
    <comment ref="E429" authorId="0" shapeId="0">
      <text>
        <t>MAGICARPE — Eau
PV 20 · Att 10 · Déf 55
Att.Spé 15 · Déf.Spé 20 · Vit 80
Total 200
Talents : Glissade (caché : Phobique)</t>
      </text>
    </comment>
    <comment ref="E430" authorId="0" shapeId="0">
      <text>
        <t>ECRAPINCE — Eau
PV 43 · Att 80 · Déf 65
Att.Spé 50 · Déf.Spé 35 · Vit 35
Total 308
Talents : Hyper Cutter, Coque Armure (caché :
  Adaptabilité)</t>
      </text>
    </comment>
    <comment ref="E431" authorId="0" shapeId="0">
      <text>
        <t>TENTACOOL — Eau / Poison
PV 40 · Att 40 · Déf 35
Att.Spé 50 · Déf.Spé 100 · Vit 70
Total 335
Talents : Corps Sain, Suintement (caché :
  Cuvette)</t>
      </text>
    </comment>
    <comment ref="E432" authorId="0" shapeId="0">
      <text>
        <t>MARAISTE — Eau / Sol
PV 95 · Att 85 · Déf 85
Att.Spé 65 · Déf.Spé 65 · Vit 35
Total 430
Talents : Moiteur, Absorbe-Eau (caché :
  Inconscient)</t>
      </text>
    </comment>
    <comment ref="E433" authorId="0" shapeId="0">
      <text>
        <t>ECRAPINCE — Eau
PV 43 · Att 80 · Déf 65
Att.Spé 50 · Déf.Spé 35 · Vit 35
Total 308
Talents : Hyper Cutter, Coque Armure (caché :
  Adaptabilité)</t>
      </text>
    </comment>
    <comment ref="E434" authorId="0" shapeId="0">
      <text>
        <t>MARAISTE — Eau / Sol
PV 95 · Att 85 · Déf 85
Att.Spé 65 · Déf.Spé 65 · Vit 35
Total 430
Talents : Moiteur, Absorbe-Eau (caché :
  Inconscient)</t>
      </text>
    </comment>
    <comment ref="E435" authorId="0" shapeId="0">
      <text>
        <t>ECRAPINCE — Eau
PV 43 · Att 80 · Déf 65
Att.Spé 50 · Déf.Spé 35 · Vit 35
Total 308
Talents : Hyper Cutter, Coque Armure (caché :
  Adaptabilité)</t>
      </text>
    </comment>
    <comment ref="E436" authorId="0" shapeId="0">
      <text>
        <t>TENTACOOL — Eau / Poison
PV 40 · Att 40 · Déf 35
Att.Spé 50 · Déf.Spé 100 · Vit 70
Total 335
Talents : Corps Sain, Suintement (caché :
  Cuvette)</t>
      </text>
    </comment>
    <comment ref="E437" authorId="0" shapeId="0">
      <text>
        <t>KOKIYAS — Eau
PV 30 · Att 65 · Déf 100
Att.Spé 45 · Déf.Spé 25 · Vit 40
Total 305
Talents : Coque Armure, Multi-Coups (caché :
  Envelocape)</t>
      </text>
    </comment>
    <comment ref="E438" authorId="0" shapeId="0">
      <text>
        <t>TENTACRUEL — Eau / Poison
PV 80 · Att 70 · Déf 65
Att.Spé 80 · Déf.Spé 120 · Vit 100
Total 515
Talents : Corps Sain, Suintement (caché :
  Cuvette)</t>
      </text>
    </comment>
    <comment ref="E439" authorId="0" shapeId="0">
      <text>
        <t>MAGICARPE — Eau
PV 20 · Att 10 · Déf 55
Att.Spé 15 · Déf.Spé 20 · Vit 80
Total 200
Talents : Glissade (caché : Phobique)</t>
      </text>
    </comment>
    <comment ref="E440" authorId="0" shapeId="0">
      <text>
        <t>KRABBY — Eau
PV 30 · Att 105 · Déf 90
Att.Spé 25 · Déf.Spé 25 · Vit 50
Total 325
Talents : Hyper Cutter, Coque Armure (caché :
  Sans Limite)</t>
      </text>
    </comment>
    <comment ref="E441" authorId="0" shapeId="0">
      <text>
        <t>KRABBY — Eau
PV 30 · Att 105 · Déf 90
Att.Spé 25 · Déf.Spé 25 · Vit 50
Total 325
Talents : Hyper Cutter, Coque Armure (caché :
  Sans Limite)</t>
      </text>
    </comment>
    <comment ref="E442" authorId="0" shapeId="0">
      <text>
        <t>CORAYON — Eau / Roche
PV 65 · Att 55 · Déf 95
Att.Spé 65 · Déf.Spé 95 · Vit 35
Total 410
Talents : Agitation, Médic Nature (caché :
  Régé-Force)</t>
      </text>
    </comment>
    <comment ref="E443" authorId="0" shapeId="0">
      <text>
        <t>MAGICARPE — Eau
PV 20 · Att 10 · Déf 55
Att.Spé 15 · Déf.Spé 20 · Vit 80
Total 200
Talents : Glissade (caché : Phobique)</t>
      </text>
    </comment>
    <comment ref="E444" authorId="0" shapeId="0">
      <text>
        <t>STARI — Eau
PV 30 · Att 45 · Déf 55
Att.Spé 70 · Déf.Spé 55 · Vit 85
Total 340
Talents : Lumiattirance, Médic Nature (caché :
  Analyste)</t>
      </text>
    </comment>
    <comment ref="E445" authorId="0" shapeId="0">
      <text>
        <t>KRABBY — Eau
PV 30 · Att 105 · Déf 90
Att.Spé 25 · Déf.Spé 25 · Vit 50
Total 325
Talents : Hyper Cutter, Coque Armure (caché :
  Sans Limite)</t>
      </text>
    </comment>
    <comment ref="E446" authorId="0" shapeId="0">
      <text>
        <t>CORAYON — Eau / Roche
PV 65 · Att 55 · Déf 95
Att.Spé 65 · Déf.Spé 95 · Vit 35
Total 410
Talents : Agitation, Médic Nature (caché :
  Régé-Force)</t>
      </text>
    </comment>
    <comment ref="E447" authorId="0" shapeId="0">
      <text>
        <t>KRABBOSS — Eau
PV 55 · Att 130 · Déf 115
Att.Spé 50 · Déf.Spé 50 · Vit 75
Total 475
Talents : Hyper Cutter, Coque Armure (caché :
  Sans Limite)</t>
      </text>
    </comment>
    <comment ref="E448" authorId="0" shapeId="0">
      <text>
        <t>TENTACOOL — Eau / Poison
PV 40 · Att 40 · Déf 35
Att.Spé 50 · Déf.Spé 100 · Vit 70
Total 335
Talents : Corps Sain, Suintement (caché :
  Cuvette)</t>
      </text>
    </comment>
    <comment ref="E449" authorId="0" shapeId="0">
      <text>
        <t>HYPOTREMPE — Eau
PV 30 · Att 40 · Déf 70
Att.Spé 70 · Déf.Spé 25 · Vit 60
Total 295
Talents : Glissade, Sniper (caché : Moiteur)</t>
      </text>
    </comment>
    <comment ref="E450" authorId="0" shapeId="0">
      <text>
        <t>DEMANTA — Eau / Vol
PV 85 · Att 40 · Déf 70
Att.Spé 80 · Déf.Spé 140 · Vit 70
Total 485
Talents : Glissade, Absorbe-Eau (caché :
  Ignifu-Voile)</t>
      </text>
    </comment>
    <comment ref="E451" authorId="0" shapeId="0">
      <text>
        <t>MAGICARPE — Eau
PV 20 · Att 10 · Déf 55
Att.Spé 15 · Déf.Spé 20 · Vit 80
Total 200
Talents : Glissade (caché : Phobique)</t>
      </text>
    </comment>
    <comment ref="E452" authorId="0" shapeId="0">
      <text>
        <t>KOKIYAS — Eau
PV 30 · Att 65 · Déf 100
Att.Spé 45 · Déf.Spé 25 · Vit 40
Total 305
Talents : Coque Armure, Multi-Coups (caché :
  Envelocape)</t>
      </text>
    </comment>
    <comment ref="E453" authorId="0" shapeId="0">
      <text>
        <t>MAGICARPE — Eau
PV 20 · Att 10 · Déf 55
Att.Spé 15 · Déf.Spé 20 · Vit 80
Total 200
Talents : Glissade (caché : Phobique)</t>
      </text>
    </comment>
    <comment ref="E454" authorId="0" shapeId="0">
      <text>
        <t>KOKIYAS — Eau
PV 30 · Att 65 · Déf 100
Att.Spé 45 · Déf.Spé 25 · Vit 40
Total 305
Talents : Coque Armure, Multi-Coups (caché :
  Envelocape)</t>
      </text>
    </comment>
    <comment ref="E455" authorId="0" shapeId="0">
      <text>
        <t>LOUPIO — Eau / Électrik
PV 75 · Att 38 · Déf 38
Att.Spé 56 · Déf.Spé 56 · Vit 67
Total 330
Talents : Absorbe-Volt, Lumiattirance (caché :
  Absorbe-Eau)</t>
      </text>
    </comment>
    <comment ref="E456" authorId="0" shapeId="0">
      <text>
        <t>KOKIYAS — Eau
PV 30 · Att 65 · Déf 100
Att.Spé 45 · Déf.Spé 25 · Vit 40
Total 305
Talents : Coque Armure, Multi-Coups (caché :
  Envelocape)</t>
      </text>
    </comment>
    <comment ref="E457" authorId="0" shapeId="0">
      <text>
        <t>LOUPIO — Eau / Électrik
PV 75 · Att 38 · Déf 38
Att.Spé 56 · Déf.Spé 56 · Vit 67
Total 330
Talents : Absorbe-Volt, Lumiattirance (caché :
  Absorbe-Eau)</t>
      </text>
    </comment>
    <comment ref="E458" authorId="0" shapeId="0">
      <text>
        <t>LANTURN — Eau / Électrik
PV 125 · Att 58 · Déf 58
Att.Spé 76 · Déf.Spé 76 · Vit 67
Total 460
Talents : Absorbe-Volt, Lumiattirance (caché :
  Absorbe-Eau)</t>
      </text>
    </comment>
    <comment ref="E459" authorId="0" shapeId="0">
      <text>
        <t>TENTACRUEL — Eau / Poison
PV 80 · Att 70 · Déf 65
Att.Spé 80 · Déf.Spé 120 · Vit 100
Total 515
Talents : Corps Sain, Suintement (caché :
  Cuvette)</t>
      </text>
    </comment>
    <comment ref="E460" authorId="0" shapeId="0">
      <text>
        <t>NOSFERAPTI — Poison / Vol
PV 40 · Att 45 · Déf 35
Att.Spé 30 · Déf.Spé 40 · Vit 55
Total 245
Talents : Attention (caché : Infiltration)</t>
      </text>
    </comment>
    <comment ref="E461" authorId="0" shapeId="0">
      <text>
        <t>RATTATAC — Normal
PV 55 · Att 81 · Déf 60
Att.Spé 50 · Déf.Spé 70 · Vit 97
Total 413
Talents : Fuite, Cran (caché : Agitation)</t>
      </text>
    </comment>
    <comment ref="E462" authorId="0" shapeId="0">
      <text>
        <t>RAMOLOSS — Eau / Psy
PV 90 · Att 65 · Déf 65
Att.Spé 40 · Déf.Spé 40 · Vit 15
Total 315
Talents : Benêt, Tempo Perso (caché : Régé-
  Force)</t>
      </text>
    </comment>
    <comment ref="E463" authorId="0" shapeId="0">
      <text>
        <t>NOSFERALTO — Poison / Vol
PV 75 · Att 80 · Déf 70
Att.Spé 65 · Déf.Spé 75 · Vit 90
Total 455
Talents : Attention (caché : Infiltration)</t>
      </text>
    </comment>
    <comment ref="E464" authorId="0" shapeId="0">
      <text>
        <t>RATTATA — Normal
PV 30 · Att 56 · Déf 35
Att.Spé 25 · Déf.Spé 35 · Vit 72
Total 253
Talents : Fuite, Cran (caché : Agitation)</t>
      </text>
    </comment>
    <comment ref="E465" authorId="0" shapeId="0">
      <text>
        <t>NOSFERAPTI — Poison / Vol
PV 40 · Att 45 · Déf 35
Att.Spé 30 · Déf.Spé 40 · Vit 55
Total 245
Talents : Attention (caché : Infiltration)</t>
      </text>
    </comment>
    <comment ref="E466" authorId="0" shapeId="0">
      <text>
        <t>RATTATAC — Normal
PV 55 · Att 81 · Déf 60
Att.Spé 50 · Déf.Spé 70 · Vit 97
Total 413
Talents : Fuite, Cran (caché : Agitation)</t>
      </text>
    </comment>
    <comment ref="E467" authorId="0" shapeId="0">
      <text>
        <t>RAMOLOSS — Eau / Psy
PV 90 · Att 65 · Déf 65
Att.Spé 40 · Déf.Spé 40 · Vit 15
Total 315
Talents : Benêt, Tempo Perso (caché : Régé-
  Force)</t>
      </text>
    </comment>
    <comment ref="E468" authorId="0" shapeId="0">
      <text>
        <t>NOSFERALTO — Poison / Vol
PV 75 · Att 80 · Déf 70
Att.Spé 65 · Déf.Spé 75 · Vit 90
Total 455
Talents : Attention (caché : Infiltration)</t>
      </text>
    </comment>
    <comment ref="E469" authorId="0" shapeId="0">
      <text>
        <t>RATTATA — Normal
PV 30 · Att 56 · Déf 35
Att.Spé 25 · Déf.Spé 35 · Vit 72
Total 253
Talents : Fuite, Cran (caché : Agitation)</t>
      </text>
    </comment>
    <comment ref="E470" authorId="0" shapeId="0">
      <text>
        <t>POISSIRENE — Eau
PV 45 · Att 67 · Déf 60
Att.Spé 35 · Déf.Spé 50 · Vit 63
Total 320
Talents : Glissade, Ignifu-Voile (caché :
  Paratonnerre)</t>
      </text>
    </comment>
    <comment ref="E471" authorId="0" shapeId="0">
      <text>
        <t>RAMOLOSS — Eau / Psy
PV 90 · Att 65 · Déf 65
Att.Spé 40 · Déf.Spé 40 · Vit 15
Total 315
Talents : Benêt, Tempo Perso (caché : Régé-
  Force)</t>
      </text>
    </comment>
    <comment ref="E472" authorId="0" shapeId="0">
      <text>
        <t>POISSOROY — Eau
PV 80 · Att 92 · Déf 65
Att.Spé 65 · Déf.Spé 80 · Vit 68
Total 450
Talents : Glissade, Ignifu-Voile (caché :
  Paratonnerre)</t>
      </text>
    </comment>
    <comment ref="E473" authorId="0" shapeId="0">
      <text>
        <t>POISSIRENE — Eau
PV 45 · Att 67 · Déf 60
Att.Spé 35 · Déf.Spé 50 · Vit 63
Total 320
Talents : Glissade, Ignifu-Voile (caché :
  Paratonnerre)</t>
      </text>
    </comment>
    <comment ref="E474" authorId="0" shapeId="0">
      <text>
        <t>RAMOLOSS — Eau / Psy
PV 90 · Att 65 · Déf 65
Att.Spé 40 · Déf.Spé 40 · Vit 15
Total 315
Talents : Benêt, Tempo Perso (caché : Régé-
  Force)</t>
      </text>
    </comment>
    <comment ref="E475" authorId="0" shapeId="0">
      <text>
        <t>POISSOROY — Eau
PV 80 · Att 92 · Déf 65
Att.Spé 65 · Déf.Spé 80 · Vit 68
Total 450
Talents : Glissade, Ignifu-Voile (caché :
  Paratonnerre)</t>
      </text>
    </comment>
    <comment ref="E476" authorId="0" shapeId="0">
      <text>
        <t>MAGICARPE — Eau
PV 20 · Att 10 · Déf 55
Att.Spé 15 · Déf.Spé 20 · Vit 80
Total 200
Talents : Glissade (caché : Phobique)</t>
      </text>
    </comment>
    <comment ref="E477" authorId="0" shapeId="0">
      <text>
        <t>POISSIRENE — Eau
PV 45 · Att 67 · Déf 60
Att.Spé 35 · Déf.Spé 50 · Vit 63
Total 320
Talents : Glissade, Ignifu-Voile (caché :
  Paratonnerre)</t>
      </text>
    </comment>
    <comment ref="E478" authorId="0" shapeId="0">
      <text>
        <t>MAGICARPE — Eau
PV 20 · Att 10 · Déf 55
Att.Spé 15 · Déf.Spé 20 · Vit 80
Total 200
Talents : Glissade (caché : Phobique)</t>
      </text>
    </comment>
    <comment ref="E479" authorId="0" shapeId="0">
      <text>
        <t>POISSIRENE — Eau
PV 45 · Att 67 · Déf 60
Att.Spé 35 · Déf.Spé 50 · Vit 63
Total 320
Talents : Glissade, Ignifu-Voile (caché :
  Paratonnerre)</t>
      </text>
    </comment>
    <comment ref="E480" authorId="0" shapeId="0">
      <text>
        <t>POISSIRENE — Eau
PV 45 · Att 67 · Déf 60
Att.Spé 35 · Déf.Spé 50 · Vit 63
Total 320
Talents : Glissade, Ignifu-Voile (caché :
  Paratonnerre)</t>
      </text>
    </comment>
    <comment ref="E481" authorId="0" shapeId="0">
      <text>
        <t>MAGICARPE — Eau
PV 20 · Att 10 · Déf 55
Att.Spé 15 · Déf.Spé 20 · Vit 80
Total 200
Talents : Glissade (caché : Phobique)</t>
      </text>
    </comment>
    <comment ref="E482" authorId="0" shapeId="0">
      <text>
        <t>POISSOROY — Eau
PV 80 · Att 92 · Déf 65
Att.Spé 65 · Déf.Spé 80 · Vit 68
Total 450
Talents : Glissade, Ignifu-Voile (caché :
  Paratonnerre)</t>
      </text>
    </comment>
    <comment ref="E483" authorId="0" shapeId="0">
      <text>
        <t>POISSIRENE — Eau
PV 45 · Att 67 · Déf 60
Att.Spé 35 · Déf.Spé 50 · Vit 63
Total 320
Talents : Glissade, Ignifu-Voile (caché :
  Paratonnerre)</t>
      </text>
    </comment>
    <comment ref="E484" authorId="0" shapeId="0">
      <text>
        <t>MAGICARPE — Eau
PV 20 · Att 10 · Déf 55
Att.Spé 15 · Déf.Spé 20 · Vit 80
Total 200
Talents : Glissade (caché : Phobique)</t>
      </text>
    </comment>
    <comment ref="E485" authorId="0" shapeId="0">
      <text>
        <t>POISSOROY — Eau
PV 80 · Att 92 · Déf 65
Att.Spé 65 · Déf.Spé 80 · Vit 68
Total 450
Talents : Glissade, Ignifu-Voile (caché :
  Paratonnerre)</t>
      </text>
    </comment>
    <comment ref="E486" authorId="0" shapeId="0">
      <text>
        <t>MAGICARPE — Eau
PV 20 · Att 10 · Déf 55
Att.Spé 15 · Déf.Spé 20 · Vit 80
Total 200
Talents : Glissade (caché : Phobique)</t>
      </text>
    </comment>
    <comment ref="E487" authorId="0" shapeId="0">
      <text>
        <t>POISSIRENE — Eau
PV 45 · Att 67 · Déf 60
Att.Spé 35 · Déf.Spé 50 · Vit 63
Total 320
Talents : Glissade, Ignifu-Voile (caché :
  Paratonnerre)</t>
      </text>
    </comment>
    <comment ref="E488" authorId="0" shapeId="0">
      <text>
        <t>POISSOROY — Eau
PV 80 · Att 92 · Déf 65
Att.Spé 65 · Déf.Spé 80 · Vit 68
Total 450
Talents : Glissade, Ignifu-Voile (caché :
  Paratonnerre)</t>
      </text>
    </comment>
    <comment ref="E489" authorId="0" shapeId="0">
      <text>
        <t>RAMOLOSS — Eau / Psy
PV 90 · Att 65 · Déf 65
Att.Spé 40 · Déf.Spé 40 · Vit 15
Total 315
Talents : Benêt, Tempo Perso (caché : Régé-
  Force)</t>
      </text>
    </comment>
    <comment ref="E490" authorId="0" shapeId="0">
      <text>
        <t>MAGICARPE — Eau
PV 20 · Att 10 · Déf 55
Att.Spé 15 · Déf.Spé 20 · Vit 80
Total 200
Talents : Glissade (caché : Phobique)</t>
      </text>
    </comment>
    <comment ref="E491" authorId="0" shapeId="0">
      <text>
        <t>POISSIRENE — Eau
PV 45 · Att 67 · Déf 60
Att.Spé 35 · Déf.Spé 50 · Vit 63
Total 320
Talents : Glissade, Ignifu-Voile (caché :
  Paratonnerre)</t>
      </text>
    </comment>
    <comment ref="E492" authorId="0" shapeId="0">
      <text>
        <t>POISSOROY — Eau
PV 80 · Att 92 · Déf 65
Att.Spé 65 · Déf.Spé 80 · Vit 68
Total 450
Talents : Glissade, Ignifu-Voile (caché :
  Paratonnerre)</t>
      </text>
    </comment>
    <comment ref="E493" authorId="0" shapeId="0">
      <text>
        <t>RAMOLOSS — Eau / Psy
PV 90 · Att 65 · Déf 65
Att.Spé 40 · Déf.Spé 40 · Vit 15
Total 315
Talents : Benêt, Tempo Perso (caché : Régé-
  Force)</t>
      </text>
    </comment>
    <comment ref="E494" authorId="0" shapeId="0">
      <text>
        <t>LIMAGMA — Feu
PV 40 · Att 40 · Déf 40
Att.Spé 70 · Déf.Spé 40 · Vit 20
Total 250
Talents : Armumagma, Corps Ardent (caché :
  Armurouillée)</t>
      </text>
    </comment>
    <comment ref="E495" authorId="0" shapeId="0">
      <text>
        <t>SMOGO — Poison
PV 40 · Att 65 · Déf 95
Att.Spé 60 · Déf.Spé 45 · Vit 35
Total 340
Talents : Lévitation, Gaz Inhibiteur (caché :
  Puanteur)</t>
      </text>
    </comment>
    <comment ref="E496" authorId="0" shapeId="0">
      <text>
        <t>MAGMAR — Feu
PV 65 · Att 95 · Déf 57
Att.Spé 100 · Déf.Spé 85 · Vit 93
Total 495
Talents : Corps Ardent (caché : Esprit Vital)</t>
      </text>
    </comment>
    <comment ref="E497" authorId="0" shapeId="0">
      <text>
        <t>GRAVALANCH — Roche / Sol
PV 55 · Att 95 · Déf 115
Att.Spé 45 · Déf.Spé 45 · Vit 35
Total 390
Talents : Tête de Roc, Fermeté (caché : Voile
  Sable)</t>
      </text>
    </comment>
    <comment ref="E498" authorId="0" shapeId="0">
      <text>
        <t>MAGBY — Feu
PV 45 · Att 75 · Déf 37
Att.Spé 70 · Déf.Spé 55 · Vit 83
Total 365
Talents : Corps Ardent (caché : Esprit Vital)</t>
      </text>
    </comment>
    <comment ref="E499" authorId="0" shapeId="0">
      <text>
        <t>SMOGOGO — Poison
PV 65 · Att 90 · Déf 120
Att.Spé 85 · Déf.Spé 70 · Vit 60
Total 490
Talents : Lévitation, Gaz Inhibiteur (caché :
  Puanteur)</t>
      </text>
    </comment>
    <comment ref="E500" authorId="0" shapeId="0">
      <text>
        <t>VOLCAROPOD — Feu / Roche
PV 60 · Att 50 · Déf 120
Att.Spé 90 · Déf.Spé 80 · Vit 30
Total 430
Talents : Armumagma, Corps Ardent (caché :
  Armurouillée)</t>
      </text>
    </comment>
    <comment ref="E501" authorId="0" shapeId="0">
      <text>
        <t>CHARTOR — Feu
PV 70 · Att 85 · Déf 140
Att.Spé 85 · Déf.Spé 70 · Vit 20
Total 470
Talents : Écran Fumée, Sécheresse (caché :
  Coque Armure)</t>
      </text>
    </comment>
    <comment ref="E502" authorId="0" shapeId="0">
      <text>
        <t>LIMAGMA — Feu
PV 40 · Att 40 · Déf 40
Att.Spé 70 · Déf.Spé 40 · Vit 20
Total 250
Talents : Armumagma, Corps Ardent (caché :
  Armurouillée)</t>
      </text>
    </comment>
    <comment ref="E503" authorId="0" shapeId="0">
      <text>
        <t>SMOGO — Poison
PV 40 · Att 65 · Déf 95
Att.Spé 60 · Déf.Spé 45 · Vit 35
Total 340
Talents : Lévitation, Gaz Inhibiteur (caché :
  Puanteur)</t>
      </text>
    </comment>
    <comment ref="E504" authorId="0" shapeId="0">
      <text>
        <t>MAGMAR — Feu
PV 65 · Att 95 · Déf 57
Att.Spé 100 · Déf.Spé 85 · Vit 93
Total 495
Talents : Corps Ardent (caché : Esprit Vital)</t>
      </text>
    </comment>
    <comment ref="E505" authorId="0" shapeId="0">
      <text>
        <t>FEUFOREVE — Spectre
PV 60 · Att 60 · Déf 60
Att.Spé 85 · Déf.Spé 85 · Vit 85
Total 435
Talents : Lévitation</t>
      </text>
    </comment>
    <comment ref="E506" authorId="0" shapeId="0">
      <text>
        <t>GRAVALANCH — Roche / Sol
PV 55 · Att 95 · Déf 115
Att.Spé 45 · Déf.Spé 45 · Vit 35
Total 390
Talents : Tête de Roc, Fermeté (caché : Voile
  Sable)</t>
      </text>
    </comment>
    <comment ref="E507" authorId="0" shapeId="0">
      <text>
        <t>SMOGOGO — Poison
PV 65 · Att 90 · Déf 120
Att.Spé 85 · Déf.Spé 70 · Vit 60
Total 490
Talents : Lévitation, Gaz Inhibiteur (caché :
  Puanteur)</t>
      </text>
    </comment>
    <comment ref="E508" authorId="0" shapeId="0">
      <text>
        <t>VOLCAROPOD — Feu / Roche
PV 60 · Att 50 · Déf 120
Att.Spé 90 · Déf.Spé 80 · Vit 30
Total 430
Talents : Armumagma, Corps Ardent (caché :
  Armurouillée)</t>
      </text>
    </comment>
    <comment ref="E509" authorId="0" shapeId="0">
      <text>
        <t>CHARTOR — Feu
PV 70 · Att 85 · Déf 140
Att.Spé 85 · Déf.Spé 70 · Vit 20
Total 470
Talents : Écran Fumée, Sécheresse (caché :
  Coque Armure)</t>
      </text>
    </comment>
    <comment ref="E510" authorId="0" shapeId="0">
      <text>
        <t>TENTACOOL — Eau / Poison
PV 40 · Att 40 · Déf 35
Att.Spé 50 · Déf.Spé 100 · Vit 70
Total 335
Talents : Corps Sain, Suintement (caché :
  Cuvette)</t>
      </text>
    </comment>
    <comment ref="E511" authorId="0" shapeId="0">
      <text>
        <t>WAILMER — Eau
PV 130 · Att 70 · Déf 35
Att.Spé 70 · Déf.Spé 35 · Vit 60
Total 400
Talents : Ignifu-Voile, Benêt (caché :
  Pression)</t>
      </text>
    </comment>
    <comment ref="E512" authorId="0" shapeId="0">
      <text>
        <t>TENTACRUEL — Eau / Poison
PV 80 · Att 70 · Déf 65
Att.Spé 80 · Déf.Spé 120 · Vit 100
Total 515
Talents : Corps Sain, Suintement (caché :
  Cuvette)</t>
      </text>
    </comment>
    <comment ref="E513" authorId="0" shapeId="0">
      <text>
        <t>TENTACOOL — Eau / Poison
PV 40 · Att 40 · Déf 35
Att.Spé 50 · Déf.Spé 100 · Vit 70
Total 335
Talents : Corps Sain, Suintement (caché :
  Cuvette)</t>
      </text>
    </comment>
    <comment ref="E514" authorId="0" shapeId="0">
      <text>
        <t>WAILMER — Eau
PV 130 · Att 70 · Déf 35
Att.Spé 70 · Déf.Spé 35 · Vit 60
Total 400
Talents : Ignifu-Voile, Benêt (caché :
  Pression)</t>
      </text>
    </comment>
    <comment ref="E515" authorId="0" shapeId="0">
      <text>
        <t>TENTACRUEL — Eau / Poison
PV 80 · Att 70 · Déf 65
Att.Spé 80 · Déf.Spé 120 · Vit 100
Total 515
Talents : Corps Sain, Suintement (caché :
  Cuvette)</t>
      </text>
    </comment>
    <comment ref="E516" authorId="0" shapeId="0">
      <text>
        <t>MAGICARPE — Eau
PV 20 · Att 10 · Déf 55
Att.Spé 15 · Déf.Spé 20 · Vit 80
Total 200
Talents : Glissade (caché : Phobique)</t>
      </text>
    </comment>
    <comment ref="E517" authorId="0" shapeId="0">
      <text>
        <t>TENTACOOL — Eau / Poison
PV 40 · Att 40 · Déf 35
Att.Spé 50 · Déf.Spé 100 · Vit 70
Total 335
Talents : Corps Sain, Suintement (caché :
  Cuvette)</t>
      </text>
    </comment>
    <comment ref="E518" authorId="0" shapeId="0">
      <text>
        <t>MAGICARPE — Eau
PV 20 · Att 10 · Déf 55
Att.Spé 15 · Déf.Spé 20 · Vit 80
Total 200
Talents : Glissade (caché : Phobique)</t>
      </text>
    </comment>
    <comment ref="E519" authorId="0" shapeId="0">
      <text>
        <t>TENTACOOL — Eau / Poison
PV 40 · Att 40 · Déf 35
Att.Spé 50 · Déf.Spé 100 · Vit 70
Total 335
Talents : Corps Sain, Suintement (caché :
  Cuvette)</t>
      </text>
    </comment>
    <comment ref="E520" authorId="0" shapeId="0">
      <text>
        <t>MAGICARPE — Eau
PV 20 · Att 10 · Déf 55
Att.Spé 15 · Déf.Spé 20 · Vit 80
Total 200
Talents : Glissade (caché : Phobique)</t>
      </text>
    </comment>
    <comment ref="E521" authorId="0" shapeId="0">
      <text>
        <t>LOUPIO — Eau / Électrik
PV 75 · Att 38 · Déf 38
Att.Spé 56 · Déf.Spé 56 · Vit 67
Total 330
Talents : Absorbe-Volt, Lumiattirance (caché :
  Absorbe-Eau)</t>
      </text>
    </comment>
    <comment ref="E522" authorId="0" shapeId="0">
      <text>
        <t>TENTACOOL — Eau / Poison
PV 40 · Att 40 · Déf 35
Att.Spé 50 · Déf.Spé 100 · Vit 70
Total 335
Talents : Corps Sain, Suintement (caché :
  Cuvette)</t>
      </text>
    </comment>
    <comment ref="E523" authorId="0" shapeId="0">
      <text>
        <t>MAGICARPE — Eau
PV 20 · Att 10 · Déf 55
Att.Spé 15 · Déf.Spé 20 · Vit 80
Total 200
Talents : Glissade (caché : Phobique)</t>
      </text>
    </comment>
    <comment ref="E524" authorId="0" shapeId="0">
      <text>
        <t>LOUPIO — Eau / Électrik
PV 75 · Att 38 · Déf 38
Att.Spé 56 · Déf.Spé 56 · Vit 67
Total 330
Talents : Absorbe-Volt, Lumiattirance (caché :
  Absorbe-Eau)</t>
      </text>
    </comment>
    <comment ref="E525" authorId="0" shapeId="0">
      <text>
        <t>TENTACOOL — Eau / Poison
PV 40 · Att 40 · Déf 35
Att.Spé 50 · Déf.Spé 100 · Vit 70
Total 335
Talents : Corps Sain, Suintement (caché :
  Cuvette)</t>
      </text>
    </comment>
    <comment ref="E526" authorId="0" shapeId="0">
      <text>
        <t>KOKIYAS — Eau
PV 30 · Att 65 · Déf 100
Att.Spé 45 · Déf.Spé 25 · Vit 40
Total 305
Talents : Coque Armure, Multi-Coups (caché :
  Envelocape)</t>
      </text>
    </comment>
    <comment ref="E527" authorId="0" shapeId="0">
      <text>
        <t>LOUPIO — Eau / Électrik
PV 75 · Att 38 · Déf 38
Att.Spé 56 · Déf.Spé 56 · Vit 67
Total 330
Talents : Absorbe-Volt, Lumiattirance (caché :
  Absorbe-Eau)</t>
      </text>
    </comment>
    <comment ref="E528" authorId="0" shapeId="0">
      <text>
        <t>TENTACRUEL — Eau / Poison
PV 80 · Att 70 · Déf 65
Att.Spé 80 · Déf.Spé 120 · Vit 100
Total 515
Talents : Corps Sain, Suintement (caché :
  Cuvette)</t>
      </text>
    </comment>
    <comment ref="E529" authorId="0" shapeId="0">
      <text>
        <t>LANTURN — Eau / Électrik
PV 125 · Att 58 · Déf 58
Att.Spé 76 · Déf.Spé 76 · Vit 67
Total 460
Talents : Absorbe-Volt, Lumiattirance (caché :
  Absorbe-Eau)</t>
      </text>
    </comment>
    <comment ref="E530" authorId="0" shapeId="0">
      <text>
        <t>KOKIYAS — Eau
PV 30 · Att 65 · Déf 100
Att.Spé 45 · Déf.Spé 25 · Vit 40
Total 305
Talents : Coque Armure, Multi-Coups (caché :
  Envelocape)</t>
      </text>
    </comment>
    <comment ref="E531" authorId="0" shapeId="0">
      <text>
        <t>LOUPIO — Eau / Électrik
PV 75 · Att 38 · Déf 38
Att.Spé 56 · Déf.Spé 56 · Vit 67
Total 330
Talents : Absorbe-Volt, Lumiattirance (caché :
  Absorbe-Eau)</t>
      </text>
    </comment>
    <comment ref="E532" authorId="0" shapeId="0">
      <text>
        <t>TENTACRUEL — Eau / Poison
PV 80 · Att 70 · Déf 65
Att.Spé 80 · Déf.Spé 120 · Vit 100
Total 515
Talents : Corps Sain, Suintement (caché :
  Cuvette)</t>
      </text>
    </comment>
    <comment ref="E533" authorId="0" shapeId="0">
      <text>
        <t>LANTURN — Eau / Électrik
PV 125 · Att 58 · Déf 58
Att.Spé 76 · Déf.Spé 76 · Vit 67
Total 460
Talents : Absorbe-Volt, Lumiattirance (caché :
  Absorbe-Eau)</t>
      </text>
    </comment>
    <comment ref="E534" authorId="0" shapeId="0">
      <text>
        <t>TADMORV — Poison
PV 80 · Att 80 · Déf 50
Att.Spé 40 · Déf.Spé 50 · Vit 25
Total 325
Talents : Puanteur, Glu (caché : Toxitouche)</t>
      </text>
    </comment>
    <comment ref="E535" authorId="0" shapeId="0">
      <text>
        <t>GROTADMORV — Poison
PV 105 · Att 105 · Déf 75
Att.Spé 65 · Déf.Spé 100 · Vit 50
Total 500
Talents : Puanteur, Glu (caché : Toxitouche)</t>
      </text>
    </comment>
    <comment ref="E536" authorId="0" shapeId="0">
      <text>
        <t>TADMORV — Poison
PV 80 · Att 80 · Déf 50
Att.Spé 40 · Déf.Spé 50 · Vit 25
Total 325
Talents : Puanteur, Glu (caché : Toxitouche)</t>
      </text>
    </comment>
    <comment ref="E537" authorId="0" shapeId="0">
      <text>
        <t>GROTADMORV — Poison
PV 105 · Att 105 · Déf 75
Att.Spé 65 · Déf.Spé 100 · Vit 50
Total 500
Talents : Puanteur, Glu (caché : Toxitouche)</t>
      </text>
    </comment>
    <comment ref="E538" authorId="0" shapeId="0">
      <text>
        <t>POMDEPIK — Insecte
PV 50 · Att 65 · Déf 90
Att.Spé 35 · Déf.Spé 35 · Vit 15
Total 290
Talents : Fermeté (caché : Envelocape)</t>
      </text>
    </comment>
    <comment ref="E539" authorId="0" shapeId="0">
      <text>
        <t>NOEUNOEUF — Plante / Psy
PV 60 · Att 40 · Déf 80
Att.Spé 60 · Déf.Spé 45 · Vit 40
Total 325
Talents : Chlorophylle (caché : Récolte)</t>
      </text>
    </comment>
    <comment ref="E540" authorId="0" shapeId="0">
      <text>
        <t>COXY — Insecte / Vol
PV 40 · Att 20 · Déf 30
Att.Spé 40 · Déf.Spé 80 · Vit 55
Total 265
Talents : Essaim, Matinal (caché : Phobique)</t>
      </text>
    </comment>
    <comment ref="E541" authorId="0" shapeId="0">
      <text>
        <t>MIMIGAL — Insecte / Poison
PV 40 · Att 60 · Déf 40
Att.Spé 40 · Déf.Spé 40 · Vit 30
Total 250
Talents : Essaim, Insomnia (caché : Sniper)</t>
      </text>
    </comment>
    <comment ref="E542" authorId="0" shapeId="0">
      <text>
        <t>POMDEPIK — Insecte
PV 50 · Att 65 · Déf 90
Att.Spé 35 · Déf.Spé 35 · Vit 15
Total 290
Talents : Fermeté (caché : Envelocape)</t>
      </text>
    </comment>
    <comment ref="E543" authorId="0" shapeId="0">
      <text>
        <t>NOEUNOEUF — Plante / Psy
PV 60 · Att 40 · Déf 80
Att.Spé 60 · Déf.Spé 45 · Vit 40
Total 325
Talents : Chlorophylle (caché : Récolte)</t>
      </text>
    </comment>
    <comment ref="E544" authorId="0" shapeId="0">
      <text>
        <t>COXY — Insecte / Vol
PV 40 · Att 20 · Déf 30
Att.Spé 40 · Déf.Spé 80 · Vit 55
Total 265
Talents : Essaim, Matinal (caché : Phobique)</t>
      </text>
    </comment>
    <comment ref="E545" authorId="0" shapeId="0">
      <text>
        <t>MIMIGAL — Insecte / Poison
PV 40 · Att 60 · Déf 40
Att.Spé 40 · Déf.Spé 40 · Vit 30
Total 250
Talents : Essaim, Insomnia (caché : Sniper)</t>
      </text>
    </comment>
    <comment ref="E546" authorId="0" shapeId="0">
      <text>
        <t>TADMORV — Poison
PV 80 · Att 80 · Déf 50
Att.Spé 40 · Déf.Spé 50 · Vit 25
Total 325
Talents : Puanteur, Glu (caché : Toxitouche)</t>
      </text>
    </comment>
    <comment ref="E547" authorId="0" shapeId="0">
      <text>
        <t>TADMORV — Poison
PV 80 · Att 80 · Déf 50
Att.Spé 40 · Déf.Spé 50 · Vit 25
Total 325
Talents : Puanteur, Glu (caché : Toxitouche)</t>
      </text>
    </comment>
    <comment ref="E548" authorId="0" shapeId="0">
      <text>
        <t>TADMORV — Poison
PV 80 · Att 80 · Déf 50
Att.Spé 40 · Déf.Spé 50 · Vit 25
Total 325
Talents : Puanteur, Glu (caché : Toxitouche)</t>
      </text>
    </comment>
    <comment ref="E549" authorId="0" shapeId="0">
      <text>
        <t>TADMORV — Poison
PV 80 · Att 80 · Déf 50
Att.Spé 40 · Déf.Spé 50 · Vit 25
Total 325
Talents : Puanteur, Glu (caché : Toxitouche)</t>
      </text>
    </comment>
    <comment ref="E550" authorId="0" shapeId="0">
      <text>
        <t>TADMORV — Poison
PV 80 · Att 80 · Déf 50
Att.Spé 40 · Déf.Spé 50 · Vit 25
Total 325
Talents : Puanteur, Glu (caché : Toxitouche)</t>
      </text>
    </comment>
    <comment ref="E551" authorId="0" shapeId="0">
      <text>
        <t>TADMORV — Poison
PV 80 · Att 80 · Déf 50
Att.Spé 40 · Déf.Spé 50 · Vit 25
Total 325
Talents : Puanteur, Glu (caché : Toxitouche)</t>
      </text>
    </comment>
    <comment ref="E552" authorId="0" shapeId="0">
      <text>
        <t>POMDEPIK — Insecte
PV 50 · Att 65 · Déf 90
Att.Spé 35 · Déf.Spé 35 · Vit 15
Total 290
Talents : Fermeté (caché : Envelocape)</t>
      </text>
    </comment>
    <comment ref="E553" authorId="0" shapeId="0">
      <text>
        <t>NOEUNOEUF — Plante / Psy
PV 60 · Att 40 · Déf 80
Att.Spé 60 · Déf.Spé 45 · Vit 40
Total 325
Talents : Chlorophylle (caché : Récolte)</t>
      </text>
    </comment>
    <comment ref="E554" authorId="0" shapeId="0">
      <text>
        <t>COXY — Insecte / Vol
PV 40 · Att 20 · Déf 30
Att.Spé 40 · Déf.Spé 80 · Vit 55
Total 265
Talents : Essaim, Matinal (caché : Phobique)</t>
      </text>
    </comment>
    <comment ref="E555" authorId="0" shapeId="0">
      <text>
        <t>MIMIGAL — Insecte / Poison
PV 40 · Att 60 · Déf 40
Att.Spé 40 · Déf.Spé 40 · Vit 30
Total 250
Talents : Essaim, Insomnia (caché : Sniper)</t>
      </text>
    </comment>
    <comment ref="E556" authorId="0" shapeId="0">
      <text>
        <t>MAGICARPE — Eau
PV 20 · Att 10 · Déf 55
Att.Spé 15 · Déf.Spé 20 · Vit 80
Total 200
Talents : Glissade (caché : Phobique)</t>
      </text>
    </comment>
    <comment ref="E557" authorId="0" shapeId="0">
      <text>
        <t>MAGICARPE — Eau
PV 20 · Att 10 · Déf 55
Att.Spé 15 · Déf.Spé 20 · Vit 80
Total 200
Talents : Glissade (caché : Phobique)</t>
      </text>
    </comment>
    <comment ref="E558" authorId="0" shapeId="0">
      <text>
        <t>CAPUMAIN — Normal
PV 55 · Att 70 · Déf 55
Att.Spé 40 · Déf.Spé 55 · Vit 85
Total 360
Talents : Fuite, Ramassage (caché : Multi-
  Coups)</t>
      </text>
    </comment>
    <comment ref="E559" authorId="0" shapeId="0">
      <text>
        <t>POMDEPIK — Insecte
PV 50 · Att 65 · Déf 90
Att.Spé 35 · Déf.Spé 35 · Vit 15
Total 290
Talents : Fermeté (caché : Envelocape)</t>
      </text>
    </comment>
    <comment ref="E560" authorId="0" shapeId="0">
      <text>
        <t>SCARHINO — Insecte / Combat
PV 80 · Att 125 · Déf 75
Att.Spé 40 · Déf.Spé 95 · Vit 85
Total 500
Talents : Essaim, Cran (caché : Impudence)</t>
      </text>
    </comment>
    <comment ref="E561" authorId="0" shapeId="0">
      <text>
        <t>CAPUMAIN — Normal
PV 55 · Att 70 · Déf 55
Att.Spé 40 · Déf.Spé 55 · Vit 85
Total 360
Talents : Fuite, Ramassage (caché : Multi-
  Coups)</t>
      </text>
    </comment>
    <comment ref="E562" authorId="0" shapeId="0">
      <text>
        <t>POMDEPIK — Insecte
PV 50 · Att 65 · Déf 90
Att.Spé 35 · Déf.Spé 35 · Vit 15
Total 290
Talents : Fermeté (caché : Envelocape)</t>
      </text>
    </comment>
    <comment ref="E563" authorId="0" shapeId="0">
      <text>
        <t>SCARHINO — Insecte / Combat
PV 80 · Att 125 · Déf 75
Att.Spé 40 · Déf.Spé 95 · Vit 85
Total 500
Talents : Essaim, Cran (caché : Impudence)</t>
      </text>
    </comment>
    <comment ref="E564" authorId="0" shapeId="0">
      <text>
        <t>MAGICARPE — Eau
PV 20 · Att 10 · Déf 55
Att.Spé 15 · Déf.Spé 20 · Vit 80
Total 200
Talents : Glissade (caché : Phobique)</t>
      </text>
    </comment>
    <comment ref="E565" authorId="0" shapeId="0">
      <text>
        <t>PTITARD — Eau
PV 40 · Att 50 · Déf 40
Att.Spé 40 · Déf.Spé 40 · Vit 90
Total 300
Talents : Absorbe-Eau, Moiteur (caché :
  Glissade)</t>
      </text>
    </comment>
    <comment ref="E566" authorId="0" shapeId="0">
      <text>
        <t>MAGICARPE — Eau
PV 20 · Att 10 · Déf 55
Att.Spé 15 · Déf.Spé 20 · Vit 80
Total 200
Talents : Glissade (caché : Phobique)</t>
      </text>
    </comment>
    <comment ref="E567" authorId="0" shapeId="0">
      <text>
        <t>PTITARD — Eau
PV 40 · Att 50 · Déf 40
Att.Spé 40 · Déf.Spé 40 · Vit 90
Total 300
Talents : Absorbe-Eau, Moiteur (caché :
  Glissade)</t>
      </text>
    </comment>
    <comment ref="E568" authorId="0" shapeId="0">
      <text>
        <t>PTITARD — Eau
PV 40 · Att 50 · Déf 40
Att.Spé 40 · Déf.Spé 40 · Vit 90
Total 300
Talents : Absorbe-Eau, Moiteur (caché :
  Glissade)</t>
      </text>
    </comment>
    <comment ref="E569" authorId="0" shapeId="0">
      <text>
        <t>MAGICARPE — Eau
PV 20 · Att 10 · Déf 55
Att.Spé 15 · Déf.Spé 20 · Vit 80
Total 200
Talents : Glissade (caché : Phobique)</t>
      </text>
    </comment>
    <comment ref="E570" authorId="0" shapeId="0">
      <text>
        <t>PTITARD — Eau
PV 40 · Att 50 · Déf 40
Att.Spé 40 · Déf.Spé 40 · Vit 90
Total 300
Talents : Absorbe-Eau, Moiteur (caché :
  Glissade)</t>
      </text>
    </comment>
    <comment ref="E571" authorId="0" shapeId="0">
      <text>
        <t>MAGICARPE — Eau
PV 20 · Att 10 · Déf 55
Att.Spé 15 · Déf.Spé 20 · Vit 80
Total 200
Talents : Glissade (caché : Phobique)</t>
      </text>
    </comment>
    <comment ref="E572" authorId="0" shapeId="0">
      <text>
        <t>PTITARD — Eau
PV 40 · Att 50 · Déf 40
Att.Spé 40 · Déf.Spé 40 · Vit 90
Total 300
Talents : Absorbe-Eau, Moiteur (caché :
  Glissade)</t>
      </text>
    </comment>
    <comment ref="E573" authorId="0" shapeId="0">
      <text>
        <t>MAGICARPE — Eau
PV 20 · Att 10 · Déf 55
Att.Spé 15 · Déf.Spé 20 · Vit 80
Total 200
Talents : Glissade (caché : Phobique)</t>
      </text>
    </comment>
    <comment ref="E574" authorId="0" shapeId="0">
      <text>
        <t>TETARTE — Eau
PV 65 · Att 65 · Déf 65
Att.Spé 50 · Déf.Spé 50 · Vit 90
Total 385
Talents : Absorbe-Eau, Moiteur (caché :
  Glissade)</t>
      </text>
    </comment>
    <comment ref="E575" authorId="0" shapeId="0">
      <text>
        <t>PTITARD — Eau
PV 40 · Att 50 · Déf 40
Att.Spé 40 · Déf.Spé 40 · Vit 90
Total 300
Talents : Absorbe-Eau, Moiteur (caché :
  Glissade)</t>
      </text>
    </comment>
    <comment ref="E576" authorId="0" shapeId="0">
      <text>
        <t>MAGICARPE — Eau
PV 20 · Att 10 · Déf 55
Att.Spé 15 · Déf.Spé 20 · Vit 80
Total 200
Talents : Glissade (caché : Phobique)</t>
      </text>
    </comment>
    <comment ref="E577" authorId="0" shapeId="0">
      <text>
        <t>TETARTE — Eau
PV 65 · Att 65 · Déf 65
Att.Spé 50 · Déf.Spé 50 · Vit 90
Total 385
Talents : Absorbe-Eau, Moiteur (caché :
  Glissade)</t>
      </text>
    </comment>
    <comment ref="E578" authorId="0" shapeId="0">
      <text>
        <t>POMDEPIK — Insecte
PV 50 · Att 65 · Déf 90
Att.Spé 35 · Déf.Spé 35 · Vit 15
Total 290
Talents : Fermeté (caché : Envelocape)</t>
      </text>
    </comment>
    <comment ref="E579" authorId="0" shapeId="0">
      <text>
        <t>MIMIGAL — Insecte / Poison
PV 40 · Att 60 · Déf 40
Att.Spé 40 · Déf.Spé 40 · Vit 30
Total 250
Talents : Essaim, Insomnia (caché : Sniper)</t>
      </text>
    </comment>
    <comment ref="E580" authorId="0" shapeId="0">
      <text>
        <t>CAPUMAIN — Normal
PV 55 · Att 70 · Déf 55
Att.Spé 40 · Déf.Spé 55 · Vit 85
Total 360
Talents : Fuite, Ramassage (caché : Multi-
  Coups)</t>
      </text>
    </comment>
    <comment ref="E581" authorId="0" shapeId="0">
      <text>
        <t>SCARHINO — Insecte / Combat
PV 80 · Att 125 · Déf 75
Att.Spé 40 · Déf.Spé 95 · Vit 85
Total 500
Talents : Essaim, Cran (caché : Impudence)</t>
      </text>
    </comment>
    <comment ref="E582" authorId="0" shapeId="0">
      <text>
        <t>INSECATEUR — Insecte / Vol
PV 70 · Att 110 · Déf 80
Att.Spé 55 · Déf.Spé 80 · Vit 105
Total 500
Talents : Essaim, Technicien (caché :
  Impassible)</t>
      </text>
    </comment>
    <comment ref="E583" authorId="0" shapeId="0">
      <text>
        <t>SCARABRUTE — Insecte
PV 65 · Att 125 · Déf 100
Att.Spé 55 · Déf.Spé 70 · Vit 85
Total 500
Talents : Hyper Cutter, Brise Moule (caché :
  Impudence)</t>
      </text>
    </comment>
    <comment ref="E584" authorId="0" shapeId="0">
      <text>
        <t>DARDARGNAN — Insecte / Poison
PV 65 · Att 90 · Déf 40
Att.Spé 45 · Déf.Spé 80 · Vit 75
Total 395
Talents : Essaim (caché : Sniper)</t>
      </text>
    </comment>
    <comment ref="E585" authorId="0" shapeId="0">
      <text>
        <t>PAPILUSION — Insecte / Vol
PV 60 · Att 45 · Déf 50
Att.Spé 90 · Déf.Spé 80 · Vit 70
Total 395
Talents : Œil Composé (caché : Lentiteintée)</t>
      </text>
    </comment>
    <comment ref="E586" authorId="0" shapeId="0">
      <text>
        <t>PARASECT — Insecte / Plante
PV 60 · Att 95 · Déf 80
Att.Spé 60 · Déf.Spé 80 · Vit 30
Total 405
Talents : Pose Spore, Peau Sèche (caché :
  Moiteur)</t>
      </text>
    </comment>
    <comment ref="E587" authorId="0" shapeId="0">
      <text>
        <t>SCARHINO — Insecte / Combat
PV 80 · Att 125 · Déf 75
Att.Spé 40 · Déf.Spé 95 · Vit 85
Total 500
Talents : Essaim, Cran (caché : Impudence)</t>
      </text>
    </comment>
    <comment ref="E588" authorId="0" shapeId="0">
      <text>
        <t>CHARMILLON — Insecte / Vol
PV 60 · Att 70 · Déf 50
Att.Spé 100 · Déf.Spé 50 · Vit 65
Total 395
Talents : Essaim (caché : Rivalité)</t>
      </text>
    </comment>
    <comment ref="E589" authorId="0" shapeId="0">
      <text>
        <t>PAPINOX — Insecte / Poison
PV 60 · Att 50 · Déf 70
Att.Spé 50 · Déf.Spé 90 · Vit 65
Total 385
Talents : Écran Poudre (caché : Œil Composé)</t>
      </text>
    </comment>
    <comment ref="E590" authorId="0" shapeId="0">
      <text>
        <t>PICHU — Électrik
PV 20 · Att 40 · Déf 15
Att.Spé 35 · Déf.Spé 35 · Vit 60
Total 205
Talents : Statik (caché : Paratonnerre)</t>
      </text>
    </comment>
    <comment ref="E591" authorId="0" shapeId="0">
      <text>
        <t>PIKACHU — Électrik
PV 35 · Att 55 · Déf 40
Att.Spé 50 · Déf.Spé 50 · Vit 90
Total 320
Talents : Statik (caché : Paratonnerre)</t>
      </text>
    </comment>
    <comment ref="E592" authorId="0" shapeId="0">
      <text>
        <t>ASPICOT — Insecte / Poison
PV 40 · Att 35 · Déf 30
Att.Spé 20 · Déf.Spé 20 · Vit 50
Total 195
Talents : Écran Poudre (caché : Fuite)</t>
      </text>
    </comment>
    <comment ref="E593" authorId="0" shapeId="0">
      <text>
        <t>CHENIPAN — Insecte
PV 45 · Att 30 · Déf 35
Att.Spé 20 · Déf.Spé 20 · Vit 45
Total 195
Talents : Écran Poudre (caché : Fuite)</t>
      </text>
    </comment>
    <comment ref="E594" authorId="0" shapeId="0">
      <text>
        <t>CHRYSACIER — Insecte
PV 50 · Att 20 · Déf 55
Att.Spé 25 · Déf.Spé 25 · Vit 30
Total 205
Talents : Mue</t>
      </text>
    </comment>
    <comment ref="E595" authorId="0" shapeId="0">
      <text>
        <t>COCONFORT — Insecte / Poison
PV 45 · Att 25 · Déf 50
Att.Spé 25 · Déf.Spé 25 · Vit 35
Total 205
Talents : Mue</t>
      </text>
    </comment>
    <comment ref="E596" authorId="0" shapeId="0">
      <text>
        <t>MYSTHERBE — Plante / Poison
PV 45 · Att 50 · Déf 55
Att.Spé 75 · Déf.Spé 65 · Vit 30
Total 320
Talents : Chlorophylle (caché : Fuite)</t>
      </text>
    </comment>
    <comment ref="E597" authorId="0" shapeId="0">
      <text>
        <t>PARAS — Insecte / Plante
PV 35 · Att 70 · Déf 55
Att.Spé 45 · Déf.Spé 55 · Vit 25
Total 285
Talents : Pose Spore, Peau Sèche (caché :
  Moiteur)</t>
      </text>
    </comment>
    <comment ref="E598" authorId="0" shapeId="0">
      <text>
        <t>CHENIPOTTE — Insecte
PV 45 · Att 45 · Déf 35
Att.Spé 20 · Déf.Spé 30 · Vit 20
Total 195
Talents : Écran Poudre (caché : Fuite)</t>
      </text>
    </comment>
    <comment ref="E599" authorId="0" shapeId="0">
      <text>
        <t>DARDARGNAN — Insecte / Poison
PV 65 · Att 90 · Déf 40
Att.Spé 45 · Déf.Spé 80 · Vit 75
Total 395
Talents : Essaim (caché : Sniper)</t>
      </text>
    </comment>
    <comment ref="E600" authorId="0" shapeId="0">
      <text>
        <t>PAPILUSION — Insecte / Vol
PV 60 · Att 45 · Déf 50
Att.Spé 90 · Déf.Spé 80 · Vit 70
Total 395
Talents : Œil Composé (caché : Lentiteintée)</t>
      </text>
    </comment>
    <comment ref="E601" authorId="0" shapeId="0">
      <text>
        <t>PIKACHU — Électrik
PV 35 · Att 55 · Déf 40
Att.Spé 50 · Déf.Spé 50 · Vit 90
Total 320
Talents : Statik (caché : Paratonnerre)</t>
      </text>
    </comment>
    <comment ref="E602" authorId="0" shapeId="0">
      <text>
        <t>OSSELAIT — Sol
PV 50 · Att 50 · Déf 95
Att.Spé 40 · Déf.Spé 50 · Vit 35
Total 320
Talents : Tête de Roc, Paratonnerre (caché :
  Armurbaston)</t>
      </text>
    </comment>
    <comment ref="E603" authorId="0" shapeId="0">
      <text>
        <t>ONIX — Roche / Sol
PV 35 · Att 45 · Déf 160
Att.Spé 30 · Déf.Spé 45 · Vit 70
Total 385
Talents : Tête de Roc, Fermeté (caché :
  Armurouillée)</t>
      </text>
    </comment>
    <comment ref="E604" authorId="0" shapeId="0">
      <text>
        <t>RACAILLOU — Roche / Sol
PV 40 · Att 80 · Déf 100
Att.Spé 30 · Déf.Spé 30 · Vit 20
Total 300
Talents : Tête de Roc, Fermeté (caché : Voile
  Sable)</t>
      </text>
    </comment>
    <comment ref="E605" authorId="0" shapeId="0">
      <text>
        <t>NOSFERAPTI — Poison / Vol
PV 40 · Att 45 · Déf 35
Att.Spé 30 · Déf.Spé 40 · Vit 55
Total 245
Talents : Attention (caché : Infiltration)</t>
      </text>
    </comment>
    <comment ref="E606" authorId="0" shapeId="0">
      <text>
        <t>OSSATUEUR — Sol
PV 60 · Att 80 · Déf 110
Att.Spé 50 · Déf.Spé 80 · Vit 45
Total 425
Talents : Tête de Roc, Paratonnerre (caché :
  Armurbaston)</t>
      </text>
    </comment>
    <comment ref="E607" authorId="0" shapeId="0">
      <text>
        <t>KANGOUREX — Normal
PV 105 · Att 95 · Déf 80
Att.Spé 40 · Déf.Spé 80 · Vit 90
Total 490
Talents : Matinal, Querelleur (caché :
  Attention)</t>
      </text>
    </comment>
    <comment ref="E608" authorId="0" shapeId="0">
      <text>
        <t>MYSDIBULE — Acier / Fée
PV 50 · Att 85 · Déf 85
Att.Spé 55 · Déf.Spé 55 · Vit 50
Total 380
Talents : Hyper Cutter, Intimidation (caché :
  Sans Limite)</t>
      </text>
    </comment>
    <comment ref="E609" authorId="0" shapeId="0">
      <text>
        <t>RACAILLOU — Roche / Sol
PV 40 · Att 80 · Déf 100
Att.Spé 30 · Déf.Spé 30 · Vit 20
Total 300
Talents : Tête de Roc, Fermeté (caché : Voile
  Sable)</t>
      </text>
    </comment>
    <comment ref="E610" authorId="0" shapeId="0">
      <text>
        <t>NOSFERAPTI — Poison / Vol
PV 40 · Att 45 · Déf 35
Att.Spé 30 · Déf.Spé 40 · Vit 55
Total 245
Talents : Attention (caché : Infiltration)</t>
      </text>
    </comment>
    <comment ref="E611" authorId="0" shapeId="0">
      <text>
        <t>SPECTRUM — Spectre / Poison
PV 45 · Att 50 · Déf 45
Att.Spé 115 · Déf.Spé 55 · Vit 95
Total 405
Talents : Lévitation</t>
      </text>
    </comment>
    <comment ref="E612" authorId="0" shapeId="0">
      <text>
        <t>ONIX — Roche / Sol
PV 35 · Att 45 · Déf 160
Att.Spé 30 · Déf.Spé 45 · Vit 70
Total 385
Talents : Tête de Roc, Fermeté (caché :
  Armurouillée)</t>
      </text>
    </comment>
    <comment ref="E613" authorId="0" shapeId="0">
      <text>
        <t>NOSFERALTO — Poison / Vol
PV 75 · Att 80 · Déf 70
Att.Spé 65 · Déf.Spé 75 · Vit 90
Total 455
Talents : Attention (caché : Infiltration)</t>
      </text>
    </comment>
    <comment ref="E614" authorId="0" shapeId="0">
      <text>
        <t>MYSDIBULE — Acier / Fée
PV 50 · Att 85 · Déf 85
Att.Spé 55 · Déf.Spé 55 · Vit 50
Total 380
Talents : Hyper Cutter, Intimidation (caché :
  Sans Limite)</t>
      </text>
    </comment>
    <comment ref="E615" authorId="0" shapeId="0">
      <text>
        <t>OSSELAIT — Sol
PV 50 · Att 50 · Déf 95
Att.Spé 40 · Déf.Spé 50 · Vit 35
Total 320
Talents : Tête de Roc, Paratonnerre (caché :
  Armurbaston)</t>
      </text>
    </comment>
    <comment ref="E616" authorId="0" shapeId="0">
      <text>
        <t>MACHOC — Combat
PV 70 · Att 80 · Déf 50
Att.Spé 35 · Déf.Spé 35 · Vit 35
Total 305
Talents : Cran, Annule Garde (caché :
  Impassible)</t>
      </text>
    </comment>
    <comment ref="E617" authorId="0" shapeId="0">
      <text>
        <t>RACAILLOU — Roche / Sol
PV 40 · Att 80 · Déf 100
Att.Spé 30 · Déf.Spé 30 · Vit 20
Total 300
Talents : Tête de Roc, Fermeté (caché : Voile
  Sable)</t>
      </text>
    </comment>
    <comment ref="E618" authorId="0" shapeId="0">
      <text>
        <t>NOSFERAPTI — Poison / Vol
PV 40 · Att 45 · Déf 35
Att.Spé 30 · Déf.Spé 40 · Vit 55
Total 245
Talents : Attention (caché : Infiltration)</t>
      </text>
    </comment>
    <comment ref="E619" authorId="0" shapeId="0">
      <text>
        <t>MACHOPEUR — Combat
PV 80 · Att 100 · Déf 70
Att.Spé 50 · Déf.Spé 60 · Vit 45
Total 405
Talents : Cran, Annule Garde (caché :
  Impassible)</t>
      </text>
    </comment>
    <comment ref="E620" authorId="0" shapeId="0">
      <text>
        <t>OSSATUEUR — Sol
PV 60 · Att 80 · Déf 110
Att.Spé 50 · Déf.Spé 80 · Vit 45
Total 425
Talents : Tête de Roc, Paratonnerre (caché :
  Armurbaston)</t>
      </text>
    </comment>
    <comment ref="E621" authorId="0" shapeId="0">
      <text>
        <t>TENEFIX — Ténèbres / Spectre
PV 50 · Att 75 · Déf 75
Att.Spé 65 · Déf.Spé 65 · Vit 50
Total 380
Talents : Regard Vif, Frein (caché : Farceur)</t>
      </text>
    </comment>
    <comment ref="E622" authorId="0" shapeId="0">
      <text>
        <t>RACAILLOU — Roche / Sol
PV 40 · Att 80 · Déf 100
Att.Spé 30 · Déf.Spé 30 · Vit 20
Total 300
Talents : Tête de Roc, Fermeté (caché : Voile
  Sable)</t>
      </text>
    </comment>
    <comment ref="E623" authorId="0" shapeId="0">
      <text>
        <t>NOSFERAPTI — Poison / Vol
PV 40 · Att 45 · Déf 35
Att.Spé 30 · Déf.Spé 40 · Vit 55
Total 245
Talents : Attention (caché : Infiltration)</t>
      </text>
    </comment>
    <comment ref="E624" authorId="0" shapeId="0">
      <text>
        <t>NOSFERALTO — Poison / Vol
PV 75 · Att 80 · Déf 70
Att.Spé 65 · Déf.Spé 75 · Vit 90
Total 455
Talents : Attention (caché : Infiltration)</t>
      </text>
    </comment>
    <comment ref="E625" authorId="0" shapeId="0">
      <text>
        <t>SPECTRUM — Spectre / Poison
PV 45 · Att 50 · Déf 45
Att.Spé 115 · Déf.Spé 55 · Vit 95
Total 405
Talents : Lévitation</t>
      </text>
    </comment>
    <comment ref="E626" authorId="0" shapeId="0">
      <text>
        <t>TENEFIX — Ténèbres / Spectre
PV 50 · Att 75 · Déf 75
Att.Spé 65 · Déf.Spé 65 · Vit 50
Total 380
Talents : Regard Vif, Frein (caché : Farceur)</t>
      </text>
    </comment>
    <comment ref="E627" authorId="0" shapeId="0">
      <text>
        <t>NOSFERALTO — Poison / Vol
PV 75 · Att 80 · Déf 70
Att.Spé 65 · Déf.Spé 75 · Vit 90
Total 455
Talents : Attention (caché : Infiltration)</t>
      </text>
    </comment>
    <comment ref="E628" authorId="0" shapeId="0">
      <text>
        <t>RACAILLOU — Roche / Sol
PV 40 · Att 80 · Déf 100
Att.Spé 30 · Déf.Spé 30 · Vit 20
Total 300
Talents : Tête de Roc, Fermeté (caché : Voile
  Sable)</t>
      </text>
    </comment>
    <comment ref="E629" authorId="0" shapeId="0">
      <text>
        <t>KRABBOSS — Eau
PV 55 · Att 130 · Déf 115
Att.Spé 50 · Déf.Spé 50 · Vit 75
Total 475
Talents : Hyper Cutter, Coque Armure (caché :
  Sans Limite)</t>
      </text>
    </comment>
    <comment ref="E630" authorId="0" shapeId="0">
      <text>
        <t>KRABBY — Eau
PV 30 · Att 105 · Déf 90
Att.Spé 25 · Déf.Spé 25 · Vit 50
Total 325
Talents : Hyper Cutter, Coque Armure (caché :
  Sans Limite)</t>
      </text>
    </comment>
    <comment ref="E631" authorId="0" shapeId="0">
      <text>
        <t>MACHOC — Combat
PV 70 · Att 80 · Déf 50
Att.Spé 35 · Déf.Spé 35 · Vit 35
Total 305
Talents : Cran, Annule Garde (caché :
  Impassible)</t>
      </text>
    </comment>
    <comment ref="E632" authorId="0" shapeId="0">
      <text>
        <t>ONIX — Roche / Sol
PV 35 · Att 45 · Déf 160
Att.Spé 30 · Déf.Spé 45 · Vit 70
Total 385
Talents : Tête de Roc, Fermeté (caché :
  Armurouillée)</t>
      </text>
    </comment>
    <comment ref="E633" authorId="0" shapeId="0">
      <text>
        <t>AXOLOTO — Eau / Sol
PV 55 · Att 45 · Déf 45
Att.Spé 25 · Déf.Spé 25 · Vit 15
Total 210
Talents : Moiteur, Absorbe-Eau (caché :
  Inconscient)</t>
      </text>
    </comment>
    <comment ref="E634" authorId="0" shapeId="0">
      <text>
        <t>MARAISTE — Eau / Sol
PV 95 · Att 85 · Déf 85
Att.Spé 65 · Déf.Spé 65 · Vit 35
Total 430
Talents : Moiteur, Absorbe-Eau (caché :
  Inconscient)</t>
      </text>
    </comment>
    <comment ref="E635" authorId="0" shapeId="0">
      <text>
        <t>GRAVALANCH — Roche / Sol
PV 55 · Att 95 · Déf 115
Att.Spé 45 · Déf.Spé 45 · Vit 35
Total 390
Talents : Tête de Roc, Fermeté (caché : Voile
  Sable)</t>
      </text>
    </comment>
    <comment ref="E636" authorId="0" shapeId="0">
      <text>
        <t>MACHOPEUR — Combat
PV 80 · Att 100 · Déf 70
Att.Spé 50 · Déf.Spé 60 · Vit 45
Total 405
Talents : Cran, Annule Garde (caché :
  Impassible)</t>
      </text>
    </comment>
    <comment ref="E637" authorId="0" shapeId="0">
      <text>
        <t>STEELIX — Acier / Sol
PV 75 · Att 85 · Déf 200
Att.Spé 55 · Déf.Spé 65 · Vit 30
Total 510
Talents : Tête de Roc, Fermeté (caché : Sans
  Limite)</t>
      </text>
    </comment>
    <comment ref="E638" authorId="0" shapeId="0">
      <text>
        <t>KRABBY — Eau
PV 30 · Att 105 · Déf 90
Att.Spé 25 · Déf.Spé 25 · Vit 50
Total 325
Talents : Hyper Cutter, Coque Armure (caché :
  Sans Limite)</t>
      </text>
    </comment>
    <comment ref="E639" authorId="0" shapeId="0">
      <text>
        <t>KRABBOSS — Eau
PV 55 · Att 130 · Déf 115
Att.Spé 50 · Déf.Spé 50 · Vit 75
Total 475
Talents : Hyper Cutter, Coque Armure (caché :
  Sans Limite)</t>
      </text>
    </comment>
    <comment ref="E640" authorId="0" shapeId="0">
      <text>
        <t>AXOLOTO — Eau / Sol
PV 55 · Att 45 · Déf 45
Att.Spé 25 · Déf.Spé 25 · Vit 15
Total 210
Talents : Moiteur, Absorbe-Eau (caché :
  Inconscient)</t>
      </text>
    </comment>
    <comment ref="E641" authorId="0" shapeId="0">
      <text>
        <t>MARAISTE — Eau / Sol
PV 95 · Att 85 · Déf 85
Att.Spé 65 · Déf.Spé 65 · Vit 35
Total 430
Talents : Moiteur, Absorbe-Eau (caché :
  Inconscient)</t>
      </text>
    </comment>
    <comment ref="E642" authorId="0" shapeId="0">
      <text>
        <t>TAUPIQUEUR-A — Sol / Acier
PV 10 · Att 55 · Déf 30
Att.Spé 35 · Déf.Spé 45 · Vit 90
Total 265
Talents : Voile Sable, Mèche Rebelle (caché :
  Force Sable)</t>
      </text>
    </comment>
    <comment ref="E643" authorId="0" shapeId="0">
      <text>
        <t>OSSELAIT — Sol
PV 50 · Att 50 · Déf 95
Att.Spé 40 · Déf.Spé 50 · Vit 35
Total 320
Talents : Tête de Roc, Paratonnerre (caché :
  Armurbaston)</t>
      </text>
    </comment>
    <comment ref="E644" authorId="0" shapeId="0">
      <text>
        <t>MAGMAR — Feu
PV 65 · Att 95 · Déf 57
Att.Spé 100 · Déf.Spé 85 · Vit 93
Total 495
Talents : Corps Ardent (caché : Esprit Vital)</t>
      </text>
    </comment>
    <comment ref="E645" authorId="0" shapeId="0">
      <text>
        <t>MACHOPEUR — Combat
PV 80 · Att 100 · Déf 70
Att.Spé 50 · Déf.Spé 60 · Vit 45
Total 405
Talents : Cran, Annule Garde (caché :
  Impassible)</t>
      </text>
    </comment>
    <comment ref="E646" authorId="0" shapeId="0">
      <text>
        <t>SELEROC — Roche / Psy
PV 90 · Att 55 · Déf 65
Att.Spé 95 · Déf.Spé 85 · Vit 70
Total 460
Talents : Lévitation</t>
      </text>
    </comment>
    <comment ref="E647" authorId="0" shapeId="0">
      <text>
        <t>SOLAROC — Roche / Psy
PV 90 · Att 95 · Déf 85
Att.Spé 55 · Déf.Spé 65 · Vit 70
Total 460
Talents : Lévitation</t>
      </text>
    </comment>
    <comment ref="E648" authorId="0" shapeId="0">
      <text>
        <t>TADMORV-A — Poison / Ténèbres
PV 80 · Att 80 · Déf 50
Att.Spé 40 · Déf.Spé 50 · Vit 25
Total 325
Talents : Toxitouche, Gloutonnerie (caché :
  Osmose)</t>
      </text>
    </comment>
    <comment ref="E649" authorId="0" shapeId="0">
      <text>
        <t>RACAILLOU-A — Roche / Électrik
PV 40 · Att 80 · Déf 100
Att.Spé 30 · Déf.Spé 30 · Vit 20
Total 300
Talents : Magnépiège, Fermeté (caché : Peau
  Électrique)</t>
      </text>
    </comment>
    <comment ref="E650" authorId="0" shapeId="0">
      <text>
        <t>ELEKTEK — Électrik
PV 65 · Att 83 · Déf 57
Att.Spé 95 · Déf.Spé 85 · Vit 105
Total 490
Talents : Statik (caché : Esprit Vital)</t>
      </text>
    </comment>
    <comment ref="E651" authorId="0" shapeId="0">
      <text>
        <t>GRAVALANCH-A — Roche / Électrik
PV 55 · Att 95 · Déf 115
Att.Spé 45 · Déf.Spé 45 · Vit 35
Total 390
Talents : Magnépiège, Fermeté (caché : Peau
  Électrique)</t>
      </text>
    </comment>
    <comment ref="E652" authorId="0" shapeId="0">
      <text>
        <t>NOSFERALTO — Poison / Vol
PV 75 · Att 80 · Déf 70
Att.Spé 65 · Déf.Spé 75 · Vit 90
Total 455
Talents : Attention (caché : Infiltration)</t>
      </text>
    </comment>
    <comment ref="E653" authorId="0" shapeId="0">
      <text>
        <t>DYNAVOLT — Électrik
PV 40 · Att 45 · Déf 40
Att.Spé 65 · Déf.Spé 40 · Vit 65
Total 295
Talents : Statik, Paratonnerre (caché : Moins)</t>
      </text>
    </comment>
    <comment ref="E654" authorId="0" shapeId="0">
      <text>
        <t>MYSDIBULE — Acier / Fée
PV 50 · Att 85 · Déf 85
Att.Spé 55 · Déf.Spé 55 · Vit 50
Total 380
Talents : Hyper Cutter, Intimidation (caché :
  Sans Limite)</t>
      </text>
    </comment>
    <comment ref="E655" authorId="0" shapeId="0">
      <text>
        <t>AKWAKWAK — Eau
PV 80 · Att 82 · Déf 78
Att.Spé 95 · Déf.Spé 80 · Vit 85
Total 500
Talents : Moiteur, Ciel Gris (caché :
  Glissade)</t>
      </text>
    </comment>
    <comment ref="E656" authorId="0" shapeId="0">
      <text>
        <t>NOSFERALTO — Poison / Vol
PV 75 · Att 80 · Déf 70
Att.Spé 65 · Déf.Spé 75 · Vit 90
Total 455
Talents : Attention (caché : Infiltration)</t>
      </text>
    </comment>
    <comment ref="E657" authorId="0" shapeId="0">
      <text>
        <t>MAGICARPE — Eau
PV 20 · Att 10 · Déf 55
Att.Spé 15 · Déf.Spé 20 · Vit 80
Total 200
Talents : Glissade (caché : Phobique)</t>
      </text>
    </comment>
    <comment ref="E658" authorId="0" shapeId="0">
      <text>
        <t>MAGICARPE — Eau
PV 20 · Att 10 · Déf 55
Att.Spé 15 · Déf.Spé 20 · Vit 80
Total 200
Talents : Glissade (caché : Phobique)</t>
      </text>
    </comment>
    <comment ref="E659" authorId="0" shapeId="0">
      <text>
        <t>KRABBY — Eau
PV 30 · Att 105 · Déf 90
Att.Spé 25 · Déf.Spé 25 · Vit 50
Total 325
Talents : Hyper Cutter, Coque Armure (caché :
  Sans Limite)</t>
      </text>
    </comment>
    <comment ref="E660" authorId="0" shapeId="0">
      <text>
        <t>KRABBOSS — Eau
PV 55 · Att 130 · Déf 115
Att.Spé 50 · Déf.Spé 50 · Vit 75
Total 475
Talents : Hyper Cutter, Coque Armure (caché :
  Sans Limite)</t>
      </text>
    </comment>
    <comment ref="E661" authorId="0" shapeId="0">
      <text>
        <t>BARLOCHE — Eau / Sol
PV 50 · Att 48 · Déf 43
Att.Spé 46 · Déf.Spé 41 · Vit 60
Total 288
Talents : Benêt, Anticipation (caché :
  Hydratation)</t>
      </text>
    </comment>
    <comment ref="E662" authorId="0" shapeId="0">
      <text>
        <t>AZURILL — Normal / Fée
PV 50 · Att 20 · Déf 40
Att.Spé 20 · Déf.Spé 40 · Vit 20
Total 190
Talents : Isograisse, Coloforce (caché :
  Herbivore)</t>
      </text>
    </comment>
    <comment ref="E663" authorId="0" shapeId="0">
      <text>
        <t>OKEOKE — Psy
PV 95 · Att 23 · Déf 48
Att.Spé 23 · Déf.Spé 48 · Vit 23
Total 260
Talents : Marque Ombre (caché : Télépathe)</t>
      </text>
    </comment>
    <comment ref="E664" authorId="0" shapeId="0">
      <text>
        <t>ARCKO — Plante
PV 40 · Att 45 · Déf 35
Att.Spé 65 · Déf.Spé 55 · Vit 70
Total 310
Talents : Engrais (caché : Délestage)</t>
      </text>
    </comment>
    <comment ref="E665" authorId="0" shapeId="0">
      <text>
        <t>ELEKID — Électrik
PV 45 · Att 63 · Déf 37
Att.Spé 65 · Déf.Spé 55 · Vit 95
Total 360
Talents : Statik (caché : Esprit Vital)</t>
      </text>
    </comment>
    <comment ref="E666" authorId="0" shapeId="0">
      <text>
        <t>GOBOU — Eau
PV 50 · Att 70 · Déf 50
Att.Spé 50 · Déf.Spé 50 · Vit 40
Total 310
Talents : Torrent (caché : Moiteur)</t>
      </text>
    </comment>
    <comment ref="E667" authorId="0" shapeId="0">
      <text>
        <t>MAGBY — Feu
PV 45 · Att 75 · Déf 37
Att.Spé 70 · Déf.Spé 55 · Vit 83
Total 365
Talents : Corps Ardent (caché : Esprit Vital)</t>
      </text>
    </comment>
    <comment ref="E668" authorId="0" shapeId="0">
      <text>
        <t>POUSSIFEU — Feu
PV 45 · Att 60 · Déf 40
Att.Spé 70 · Déf.Spé 50 · Vit 45
Total 310
Talents : Brasier (caché : Turbo)</t>
      </text>
    </comment>
    <comment ref="E669" authorId="0" shapeId="0">
      <text>
        <t>DEBUGANT — Combat
PV 35 · Att 35 · Déf 35
Att.Spé 35 · Déf.Spé 35 · Vit 35
Total 210
Talents : Cran, Impassible (caché : Esprit
  Vital)</t>
      </text>
    </comment>
    <comment ref="E670" authorId="0" shapeId="0">
      <text>
        <t>TOGEPI
PV 35 · Att 20 · Déf 65
Att.Spé 40 · Déf.Spé 65 · Vit 20
Total 245
Talents : Agitation, Sérénité (caché :
  Chanceux)</t>
      </text>
    </comment>
    <comment ref="E671" authorId="0" shapeId="0">
      <text>
        <t>LAMANTINE — Eau / Glace
PV 90 · Att 70 · Déf 80
Att.Spé 70 · Déf.Spé 95 · Vit 70
Total 475
Talents : Isograisse, Hydratation (caché :
  Corps Gel)</t>
      </text>
    </comment>
    <comment ref="E672" authorId="0" shapeId="0">
      <text>
        <t>LIPPOUTOU — Glace / Psy
PV 65 · Att 50 · Déf 35
Att.Spé 115 · Déf.Spé 95 · Vit 95
Total 455
Talents : Benêt, Prédiction (caché : Peau
  Sèche)</t>
      </text>
    </comment>
    <comment ref="E673" authorId="0" shapeId="0">
      <text>
        <t>OTARIA — Eau
PV 65 · Att 45 · Déf 55
Att.Spé 45 · Déf.Spé 70 · Vit 45
Total 325
Talents : Isograisse, Hydratation (caché :
  Corps Gel)</t>
      </text>
    </comment>
    <comment ref="E674" authorId="0" shapeId="0">
      <text>
        <t>COCHIGNON — Glace / Sol
PV 100 · Att 100 · Déf 80
Att.Spé 60 · Déf.Spé 60 · Vit 50
Total 450
Talents : Benêt, Rideau Neige (caché :
  Isograisse)</t>
      </text>
    </comment>
    <comment ref="E675" authorId="0" shapeId="0">
      <text>
        <t>CADOIZO — Glace / Vol
PV 45 · Att 55 · Déf 45
Att.Spé 65 · Déf.Spé 45 · Vit 75
Total 330
Talents : Esprit Vital, Agitation (caché :
  Insomnia)</t>
      </text>
    </comment>
    <comment ref="E676" authorId="0" shapeId="0">
      <text>
        <t>LIPPOUTI — Glace / Psy
PV 45 · Att 30 · Déf 15
Att.Spé 85 · Déf.Spé 65 · Vit 65
Total 305
Talents : Benêt, Prédiction (caché :
  Hydratation)</t>
      </text>
    </comment>
    <comment ref="E677" authorId="0" shapeId="0">
      <text>
        <t>STALGAMIN — Glace
PV 50 · Att 50 · Déf 50
Att.Spé 50 · Déf.Spé 50 · Vit 50
Total 300
Talents : Attention, Corps Gel (caché :
  Lunatique)</t>
      </text>
    </comment>
    <comment ref="E678" authorId="0" shapeId="0">
      <text>
        <t>LAMANTINE — Eau / Glace
PV 90 · Att 70 · Déf 80
Att.Spé 70 · Déf.Spé 95 · Vit 70
Total 475
Talents : Isograisse, Hydratation (caché :
  Corps Gel)</t>
      </text>
    </comment>
    <comment ref="E679" authorId="0" shapeId="0">
      <text>
        <t>LIPPOUTOU — Glace / Psy
PV 65 · Att 50 · Déf 35
Att.Spé 115 · Déf.Spé 95 · Vit 95
Total 455
Talents : Benêt, Prédiction (caché : Peau
  Sèche)</t>
      </text>
    </comment>
    <comment ref="E680" authorId="0" shapeId="0">
      <text>
        <t>OTARIA — Eau
PV 65 · Att 45 · Déf 55
Att.Spé 45 · Déf.Spé 70 · Vit 45
Total 325
Talents : Isograisse, Hydratation (caché :
  Corps Gel)</t>
      </text>
    </comment>
    <comment ref="E681" authorId="0" shapeId="0">
      <text>
        <t>COCHIGNON — Glace / Sol
PV 100 · Att 100 · Déf 80
Att.Spé 60 · Déf.Spé 60 · Vit 50
Total 450
Talents : Benêt, Rideau Neige (caché :
  Isograisse)</t>
      </text>
    </comment>
    <comment ref="E682" authorId="0" shapeId="0">
      <text>
        <t>CADOIZO — Glace / Vol
PV 45 · Att 55 · Déf 45
Att.Spé 65 · Déf.Spé 45 · Vit 75
Total 330
Talents : Esprit Vital, Agitation (caché :
  Insomnia)</t>
      </text>
    </comment>
    <comment ref="E683" authorId="0" shapeId="0">
      <text>
        <t>LIPPOUTI — Glace / Psy
PV 45 · Att 30 · Déf 15
Att.Spé 85 · Déf.Spé 65 · Vit 65
Total 305
Talents : Benêt, Prédiction (caché :
  Hydratation)</t>
      </text>
    </comment>
    <comment ref="E684" authorId="0" shapeId="0">
      <text>
        <t>OBALIE — Glace / Eau
PV 70 · Att 40 · Déf 50
Att.Spé 55 · Déf.Spé 50 · Vit 25
Total 290
Talents : Isograisse, Corps Gel (caché :
  Benêt)</t>
      </text>
    </comment>
    <comment ref="E685" authorId="0" shapeId="0">
      <text>
        <t>TENTACOOL — Eau / Poison
PV 40 · Att 40 · Déf 35
Att.Spé 50 · Déf.Spé 100 · Vit 70
Total 335
Talents : Corps Sain, Suintement (caché :
  Cuvette)</t>
      </text>
    </comment>
    <comment ref="E686" authorId="0" shapeId="0">
      <text>
        <t>TENTACRUEL — Eau / Poison
PV 80 · Att 70 · Déf 65
Att.Spé 80 · Déf.Spé 120 · Vit 100
Total 515
Talents : Corps Sain, Suintement (caché :
  Cuvette)</t>
      </text>
    </comment>
    <comment ref="E687" authorId="0" shapeId="0">
      <text>
        <t>TENTACOOL — Eau / Poison
PV 40 · Att 40 · Déf 35
Att.Spé 50 · Déf.Spé 100 · Vit 70
Total 335
Talents : Corps Sain, Suintement (caché :
  Cuvette)</t>
      </text>
    </comment>
    <comment ref="E688" authorId="0" shapeId="0">
      <text>
        <t>TENTACRUEL — Eau / Poison
PV 80 · Att 70 · Déf 65
Att.Spé 80 · Déf.Spé 120 · Vit 100
Total 515
Talents : Corps Sain, Suintement (caché :
  Cuvette)</t>
      </text>
    </comment>
    <comment ref="E689" authorId="0" shapeId="0">
      <text>
        <t>RACAILLOU — Roche / Sol
PV 40 · Att 80 · Déf 100
Att.Spé 30 · Déf.Spé 30 · Vit 20
Total 300
Talents : Tête de Roc, Fermeté (caché : Voile
  Sable)</t>
      </text>
    </comment>
    <comment ref="E690" authorId="0" shapeId="0">
      <text>
        <t>CARATROC — Insecte / Roche
PV 20 · Att 10 · Déf 230
Att.Spé 10 · Déf.Spé 230 · Vit 5
Total 505
Talents : Fermeté, Gloutonnerie (caché :
  Contestation)</t>
      </text>
    </comment>
    <comment ref="E691" authorId="0" shapeId="0">
      <text>
        <t>MAGICARPE — Eau
PV 20 · Att 10 · Déf 55
Att.Spé 15 · Déf.Spé 20 · Vit 80
Total 200
Talents : Glissade (caché : Phobique)</t>
      </text>
    </comment>
    <comment ref="E692" authorId="0" shapeId="0">
      <text>
        <t>KOKIYAS — Eau
PV 30 · Att 65 · Déf 100
Att.Spé 45 · Déf.Spé 25 · Vit 40
Total 305
Talents : Coque Armure, Multi-Coups (caché :
  Envelocape)</t>
      </text>
    </comment>
    <comment ref="E693" authorId="0" shapeId="0">
      <text>
        <t>MAGICARPE — Eau
PV 20 · Att 10 · Déf 55
Att.Spé 15 · Déf.Spé 20 · Vit 80
Total 200
Talents : Glissade (caché : Phobique)</t>
      </text>
    </comment>
    <comment ref="E694" authorId="0" shapeId="0">
      <text>
        <t>KRABBY — Eau
PV 30 · Att 105 · Déf 90
Att.Spé 25 · Déf.Spé 25 · Vit 50
Total 325
Talents : Hyper Cutter, Coque Armure (caché :
  Sans Limite)</t>
      </text>
    </comment>
    <comment ref="E695" authorId="0" shapeId="0">
      <text>
        <t>MAGICARPE — Eau
PV 20 · Att 10 · Déf 55
Att.Spé 15 · Déf.Spé 20 · Vit 80
Total 200
Talents : Glissade (caché : Phobique)</t>
      </text>
    </comment>
    <comment ref="E696" authorId="0" shapeId="0">
      <text>
        <t>KOKIYAS — Eau
PV 30 · Att 65 · Déf 100
Att.Spé 45 · Déf.Spé 25 · Vit 40
Total 305
Talents : Coque Armure, Multi-Coups (caché :
  Envelocape)</t>
      </text>
    </comment>
    <comment ref="E697" authorId="0" shapeId="0">
      <text>
        <t>LOUPIO — Eau / Électrik
PV 75 · Att 38 · Déf 38
Att.Spé 56 · Déf.Spé 56 · Vit 67
Total 330
Talents : Absorbe-Volt, Lumiattirance (caché :
  Absorbe-Eau)</t>
      </text>
    </comment>
    <comment ref="E698" authorId="0" shapeId="0">
      <text>
        <t>KRABBY — Eau
PV 30 · Att 105 · Déf 90
Att.Spé 25 · Déf.Spé 25 · Vit 50
Total 325
Talents : Hyper Cutter, Coque Armure (caché :
  Sans Limite)</t>
      </text>
    </comment>
    <comment ref="E699" authorId="0" shapeId="0">
      <text>
        <t>MAGICARPE — Eau
PV 20 · Att 10 · Déf 55
Att.Spé 15 · Déf.Spé 20 · Vit 80
Total 200
Talents : Glissade (caché : Phobique)</t>
      </text>
    </comment>
    <comment ref="E700" authorId="0" shapeId="0">
      <text>
        <t>STARI — Eau
PV 30 · Att 45 · Déf 55
Att.Spé 70 · Déf.Spé 55 · Vit 85
Total 340
Talents : Lumiattirance, Médic Nature (caché :
  Analyste)</t>
      </text>
    </comment>
    <comment ref="E701" authorId="0" shapeId="0">
      <text>
        <t>KOKIYAS — Eau
PV 30 · Att 65 · Déf 100
Att.Spé 45 · Déf.Spé 25 · Vit 40
Total 305
Talents : Coque Armure, Multi-Coups (caché :
  Envelocape)</t>
      </text>
    </comment>
    <comment ref="E702" authorId="0" shapeId="0">
      <text>
        <t>LOUPIO — Eau / Électrik
PV 75 · Att 38 · Déf 38
Att.Spé 56 · Déf.Spé 56 · Vit 67
Total 330
Talents : Absorbe-Volt, Lumiattirance (caché :
  Absorbe-Eau)</t>
      </text>
    </comment>
    <comment ref="E703" authorId="0" shapeId="0">
      <text>
        <t>LANTURN — Eau / Électrik
PV 125 · Att 58 · Déf 58
Att.Spé 76 · Déf.Spé 76 · Vit 67
Total 460
Talents : Absorbe-Volt, Lumiattirance (caché :
  Absorbe-Eau)</t>
      </text>
    </comment>
    <comment ref="E704" authorId="0" shapeId="0">
      <text>
        <t>TENTACRUEL — Eau / Poison
PV 80 · Att 70 · Déf 65
Att.Spé 80 · Déf.Spé 120 · Vit 100
Total 515
Talents : Corps Sain, Suintement (caché :
  Cuvette)</t>
      </text>
    </comment>
    <comment ref="E705" authorId="0" shapeId="0">
      <text>
        <t>STARI — Eau
PV 30 · Att 45 · Déf 55
Att.Spé 70 · Déf.Spé 55 · Vit 85
Total 340
Talents : Lumiattirance, Médic Nature (caché :
  Analyste)</t>
      </text>
    </comment>
    <comment ref="E706" authorId="0" shapeId="0">
      <text>
        <t>KRABBY — Eau
PV 30 · Att 105 · Déf 90
Att.Spé 25 · Déf.Spé 25 · Vit 50
Total 325
Talents : Hyper Cutter, Coque Armure (caché :
  Sans Limite)</t>
      </text>
    </comment>
    <comment ref="E707" authorId="0" shapeId="0">
      <text>
        <t>KRABBOSS — Eau
PV 55 · Att 130 · Déf 115
Att.Spé 50 · Déf.Spé 50 · Vit 75
Total 475
Talents : Hyper Cutter, Coque Armure (caché :
  Sans Limite)</t>
      </text>
    </comment>
    <comment ref="E708" authorId="0" shapeId="0">
      <text>
        <t>PTITARD — Eau
PV 40 · Att 50 · Déf 40
Att.Spé 40 · Déf.Spé 40 · Vit 90
Total 300
Talents : Absorbe-Eau, Moiteur (caché :
  Glissade)</t>
      </text>
    </comment>
    <comment ref="E709" authorId="0" shapeId="0">
      <text>
        <t>TETARTE — Eau
PV 65 · Att 65 · Déf 65
Att.Spé 50 · Déf.Spé 50 · Vit 90
Total 385
Talents : Absorbe-Eau, Moiteur (caché :
  Glissade)</t>
      </text>
    </comment>
    <comment ref="E710" authorId="0" shapeId="0">
      <text>
        <t>PTITARD — Eau
PV 40 · Att 50 · Déf 40
Att.Spé 40 · Déf.Spé 40 · Vit 90
Total 300
Talents : Absorbe-Eau, Moiteur (caché :
  Glissade)</t>
      </text>
    </comment>
    <comment ref="E711" authorId="0" shapeId="0">
      <text>
        <t>TETARTE — Eau
PV 65 · Att 65 · Déf 65
Att.Spé 50 · Déf.Spé 50 · Vit 90
Total 385
Talents : Absorbe-Eau, Moiteur (caché :
  Glissade)</t>
      </text>
    </comment>
    <comment ref="E712" authorId="0" shapeId="0">
      <text>
        <t>POMDEPIK — Insecte
PV 50 · Att 65 · Déf 90
Att.Spé 35 · Déf.Spé 35 · Vit 15
Total 290
Talents : Fermeté (caché : Envelocape)</t>
      </text>
    </comment>
    <comment ref="E713" authorId="0" shapeId="0">
      <text>
        <t>NOEUNOEUF — Plante / Psy
PV 60 · Att 40 · Déf 80
Att.Spé 60 · Déf.Spé 45 · Vit 40
Total 325
Talents : Chlorophylle (caché : Récolte)</t>
      </text>
    </comment>
    <comment ref="E714" authorId="0" shapeId="0">
      <text>
        <t>COXY — Insecte / Vol
PV 40 · Att 20 · Déf 30
Att.Spé 40 · Déf.Spé 80 · Vit 55
Total 265
Talents : Essaim, Matinal (caché : Phobique)</t>
      </text>
    </comment>
    <comment ref="E715" authorId="0" shapeId="0">
      <text>
        <t>MIMIGAL — Insecte / Poison
PV 40 · Att 60 · Déf 40
Att.Spé 40 · Déf.Spé 40 · Vit 30
Total 250
Talents : Essaim, Insomnia (caché : Sniper)</t>
      </text>
    </comment>
    <comment ref="E716" authorId="0" shapeId="0">
      <text>
        <t>POMDEPIK — Insecte
PV 50 · Att 65 · Déf 90
Att.Spé 35 · Déf.Spé 35 · Vit 15
Total 290
Talents : Fermeté (caché : Envelocape)</t>
      </text>
    </comment>
    <comment ref="E717" authorId="0" shapeId="0">
      <text>
        <t>NOEUNOEUF — Plante / Psy
PV 60 · Att 40 · Déf 80
Att.Spé 60 · Déf.Spé 45 · Vit 40
Total 325
Talents : Chlorophylle (caché : Récolte)</t>
      </text>
    </comment>
    <comment ref="E718" authorId="0" shapeId="0">
      <text>
        <t>COXY — Insecte / Vol
PV 40 · Att 20 · Déf 30
Att.Spé 40 · Déf.Spé 80 · Vit 55
Total 265
Talents : Essaim, Matinal (caché : Phobique)</t>
      </text>
    </comment>
    <comment ref="E719" authorId="0" shapeId="0">
      <text>
        <t>MIMIGAL — Insecte / Poison
PV 40 · Att 60 · Déf 40
Att.Spé 40 · Déf.Spé 40 · Vit 30
Total 250
Talents : Essaim, Insomnia (caché : Sniper)</t>
      </text>
    </comment>
    <comment ref="E720" authorId="0" shapeId="0">
      <text>
        <t>MAGICARPE — Eau
PV 20 · Att 10 · Déf 55
Att.Spé 15 · Déf.Spé 20 · Vit 80
Total 200
Talents : Glissade (caché : Phobique)</t>
      </text>
    </comment>
    <comment ref="E721" authorId="0" shapeId="0">
      <text>
        <t>PTITARD — Eau
PV 40 · Att 50 · Déf 40
Att.Spé 40 · Déf.Spé 40 · Vit 90
Total 300
Talents : Absorbe-Eau, Moiteur (caché :
  Glissade)</t>
      </text>
    </comment>
    <comment ref="E722" authorId="0" shapeId="0">
      <text>
        <t>MAGICARPE — Eau
PV 20 · Att 10 · Déf 55
Att.Spé 15 · Déf.Spé 20 · Vit 80
Total 200
Talents : Glissade (caché : Phobique)</t>
      </text>
    </comment>
    <comment ref="E723" authorId="0" shapeId="0">
      <text>
        <t>PTITARD — Eau
PV 40 · Att 50 · Déf 40
Att.Spé 40 · Déf.Spé 40 · Vit 90
Total 300
Talents : Absorbe-Eau, Moiteur (caché :
  Glissade)</t>
      </text>
    </comment>
    <comment ref="E724" authorId="0" shapeId="0">
      <text>
        <t>PTITARD — Eau
PV 40 · Att 50 · Déf 40
Att.Spé 40 · Déf.Spé 40 · Vit 90
Total 300
Talents : Absorbe-Eau, Moiteur (caché :
  Glissade)</t>
      </text>
    </comment>
    <comment ref="E725" authorId="0" shapeId="0">
      <text>
        <t>MAGICARPE — Eau
PV 20 · Att 10 · Déf 55
Att.Spé 15 · Déf.Spé 20 · Vit 80
Total 200
Talents : Glissade (caché : Phobique)</t>
      </text>
    </comment>
    <comment ref="E726" authorId="0" shapeId="0">
      <text>
        <t>PTITARD — Eau
PV 40 · Att 50 · Déf 40
Att.Spé 40 · Déf.Spé 40 · Vit 90
Total 300
Talents : Absorbe-Eau, Moiteur (caché :
  Glissade)</t>
      </text>
    </comment>
    <comment ref="E727" authorId="0" shapeId="0">
      <text>
        <t>MAGICARPE — Eau
PV 20 · Att 10 · Déf 55
Att.Spé 15 · Déf.Spé 20 · Vit 80
Total 200
Talents : Glissade (caché : Phobique)</t>
      </text>
    </comment>
    <comment ref="E728" authorId="0" shapeId="0">
      <text>
        <t>PTITARD — Eau
PV 40 · Att 50 · Déf 40
Att.Spé 40 · Déf.Spé 40 · Vit 90
Total 300
Talents : Absorbe-Eau, Moiteur (caché :
  Glissade)</t>
      </text>
    </comment>
    <comment ref="E729" authorId="0" shapeId="0">
      <text>
        <t>MAGICARPE — Eau
PV 20 · Att 10 · Déf 55
Att.Spé 15 · Déf.Spé 20 · Vit 80
Total 200
Talents : Glissade (caché : Phobique)</t>
      </text>
    </comment>
    <comment ref="E730" authorId="0" shapeId="0">
      <text>
        <t>TETARTE — Eau
PV 65 · Att 65 · Déf 65
Att.Spé 50 · Déf.Spé 50 · Vit 90
Total 385
Talents : Absorbe-Eau, Moiteur (caché :
  Glissade)</t>
      </text>
    </comment>
    <comment ref="E731" authorId="0" shapeId="0">
      <text>
        <t>PTITARD — Eau
PV 40 · Att 50 · Déf 40
Att.Spé 40 · Déf.Spé 40 · Vit 90
Total 300
Talents : Absorbe-Eau, Moiteur (caché :
  Glissade)</t>
      </text>
    </comment>
    <comment ref="E732" authorId="0" shapeId="0">
      <text>
        <t>MAGICARPE — Eau
PV 20 · Att 10 · Déf 55
Att.Spé 15 · Déf.Spé 20 · Vit 80
Total 200
Talents : Glissade (caché : Phobique)</t>
      </text>
    </comment>
    <comment ref="E733" authorId="0" shapeId="0">
      <text>
        <t>TETARTE — Eau
PV 65 · Att 65 · Déf 65
Att.Spé 50 · Déf.Spé 50 · Vit 90
Total 385
Talents : Absorbe-Eau, Moiteur (caché :
  Glissade)</t>
      </text>
    </comment>
    <comment ref="E734" authorId="0" shapeId="0">
      <text>
        <t>MAGICARPE — Eau
PV 20 · Att 10 · Déf 55
Att.Spé 15 · Déf.Spé 20 · Vit 80
Total 200
Talents : Glissade (caché : Phobique)</t>
      </text>
    </comment>
    <comment ref="E735" authorId="0" shapeId="0">
      <text>
        <t>LEVIATOR — Eau / Vol
PV 95 · Att 125 · Déf 79
Att.Spé 60 · Déf.Spé 100 · Vit 81
Total 540
Talents : Intimidation (caché : Impudence)</t>
      </text>
    </comment>
    <comment ref="E736" authorId="0" shapeId="0">
      <text>
        <t>POMDEPIK — Insecte
PV 50 · Att 65 · Déf 90
Att.Spé 35 · Déf.Spé 35 · Vit 15
Total 290
Talents : Fermeté (caché : Envelocape)</t>
      </text>
    </comment>
    <comment ref="E737" authorId="0" shapeId="0">
      <text>
        <t>NOEUNOEUF — Plante / Psy
PV 60 · Att 40 · Déf 80
Att.Spé 60 · Déf.Spé 45 · Vit 40
Total 325
Talents : Chlorophylle (caché : Récolte)</t>
      </text>
    </comment>
    <comment ref="E738" authorId="0" shapeId="0">
      <text>
        <t>MIMITOSS — Insecte / Poison
PV 60 · Att 55 · Déf 50
Att.Spé 40 · Déf.Spé 55 · Vit 45
Total 305
Talents : Œil Composé, Lentiteintée (caché :
  Fuite)</t>
      </text>
    </comment>
    <comment ref="E739" authorId="0" shapeId="0">
      <text>
        <t>MAGICARPE — Eau
PV 20 · Att 10 · Déf 55
Att.Spé 15 · Déf.Spé 20 · Vit 80
Total 200
Talents : Glissade (caché : Phobique)</t>
      </text>
    </comment>
    <comment ref="E740" authorId="0" shapeId="0">
      <text>
        <t>MAGICARPE — Eau
PV 20 · Att 10 · Déf 55
Att.Spé 15 · Déf.Spé 20 · Vit 80
Total 200
Talents : Glissade (caché : Phobique)</t>
      </text>
    </comment>
    <comment ref="E741" authorId="0" shapeId="0">
      <text>
        <t>LEVIATOR — Eau / Vol
PV 95 · Att 125 · Déf 79
Att.Spé 60 · Déf.Spé 100 · Vit 81
Total 540
Talents : Intimidation (caché : Impudence)</t>
      </text>
    </comment>
    <comment ref="E742" authorId="0" shapeId="0">
      <text>
        <t>LEVIATOR — Eau / Vol
PV 95 · Att 125 · Déf 79
Att.Spé 60 · Déf.Spé 100 · Vit 81
Total 540
Talents : Intimidation (caché : Impudence)</t>
      </text>
    </comment>
    <comment ref="E743" authorId="0" shapeId="0">
      <text>
        <t>MAGICARPE — Eau
PV 20 · Att 10 · Déf 55
Att.Spé 15 · Déf.Spé 20 · Vit 80
Total 200
Talents : Glissade (caché : Phobique)</t>
      </text>
    </comment>
    <comment ref="E744" authorId="0" shapeId="0">
      <text>
        <t>POMDEPIK — Insecte
PV 50 · Att 65 · Déf 90
Att.Spé 35 · Déf.Spé 35 · Vit 15
Total 290
Talents : Fermeté (caché : Envelocape)</t>
      </text>
    </comment>
    <comment ref="E745" authorId="0" shapeId="0">
      <text>
        <t>NOEUNOEUF — Plante / Psy
PV 60 · Att 40 · Déf 80
Att.Spé 60 · Déf.Spé 45 · Vit 40
Total 325
Talents : Chlorophylle (caché : Récolte)</t>
      </text>
    </comment>
    <comment ref="E746" authorId="0" shapeId="0">
      <text>
        <t>COXY — Insecte / Vol
PV 40 · Att 20 · Déf 30
Att.Spé 40 · Déf.Spé 80 · Vit 55
Total 265
Talents : Essaim, Matinal (caché : Phobique)</t>
      </text>
    </comment>
    <comment ref="E747" authorId="0" shapeId="0">
      <text>
        <t>MIMIGAL — Insecte / Poison
PV 40 · Att 60 · Déf 40
Att.Spé 40 · Déf.Spé 40 · Vit 30
Total 250
Talents : Essaim, Insomnia (caché : Sniper)</t>
      </text>
    </comment>
    <comment ref="E748" authorId="0" shapeId="0">
      <text>
        <t>PTITARD — Eau
PV 40 · Att 50 · Déf 40
Att.Spé 40 · Déf.Spé 40 · Vit 90
Total 300
Talents : Absorbe-Eau, Moiteur (caché :
  Glissade)</t>
      </text>
    </comment>
    <comment ref="E749" authorId="0" shapeId="0">
      <text>
        <t>TETARTE — Eau
PV 65 · Att 65 · Déf 65
Att.Spé 50 · Déf.Spé 50 · Vit 90
Total 385
Talents : Absorbe-Eau, Moiteur (caché :
  Glissade)</t>
      </text>
    </comment>
    <comment ref="E750" authorId="0" shapeId="0">
      <text>
        <t>PTITARD — Eau
PV 40 · Att 50 · Déf 40
Att.Spé 40 · Déf.Spé 40 · Vit 90
Total 300
Talents : Absorbe-Eau, Moiteur (caché :
  Glissade)</t>
      </text>
    </comment>
    <comment ref="E751" authorId="0" shapeId="0">
      <text>
        <t>TETARTE — Eau
PV 65 · Att 65 · Déf 65
Att.Spé 50 · Déf.Spé 50 · Vit 90
Total 385
Talents : Absorbe-Eau, Moiteur (caché :
  Glissade)</t>
      </text>
    </comment>
    <comment ref="E752" authorId="0" shapeId="0">
      <text>
        <t>CHETIFLOR — Plante / Poison
PV 50 · Att 75 · Déf 35
Att.Spé 70 · Déf.Spé 30 · Vit 40
Total 300
Talents : Chlorophylle (caché : Gloutonnerie)</t>
      </text>
    </comment>
    <comment ref="E753" authorId="0" shapeId="0">
      <text>
        <t>RATTATA — Normal
PV 30 · Att 56 · Déf 35
Att.Spé 25 · Déf.Spé 35 · Vit 72
Total 253
Talents : Fuite, Cran (caché : Agitation)</t>
      </text>
    </comment>
    <comment ref="E754" authorId="0" shapeId="0">
      <text>
        <t>COXY — Insecte / Vol
PV 40 · Att 20 · Déf 30
Att.Spé 40 · Déf.Spé 80 · Vit 55
Total 265
Talents : Essaim, Matinal (caché : Phobique)</t>
      </text>
    </comment>
    <comment ref="E755" authorId="0" shapeId="0">
      <text>
        <t>MIMIGAL — Insecte / Poison
PV 40 · Att 60 · Déf 40
Att.Spé 40 · Déf.Spé 40 · Vit 30
Total 250
Talents : Essaim, Insomnia (caché : Sniper)</t>
      </text>
    </comment>
    <comment ref="E756" authorId="0" shapeId="0">
      <text>
        <t>CHETIFLOR — Plante / Poison
PV 50 · Att 75 · Déf 35
Att.Spé 70 · Déf.Spé 30 · Vit 40
Total 300
Talents : Chlorophylle (caché : Gloutonnerie)</t>
      </text>
    </comment>
    <comment ref="E757" authorId="0" shapeId="0">
      <text>
        <t>RATTATA — Normal
PV 30 · Att 56 · Déf 35
Att.Spé 25 · Déf.Spé 35 · Vit 72
Total 253
Talents : Fuite, Cran (caché : Agitation)</t>
      </text>
    </comment>
    <comment ref="E758" authorId="0" shapeId="0">
      <text>
        <t>COXY — Insecte / Vol
PV 40 · Att 20 · Déf 30
Att.Spé 40 · Déf.Spé 80 · Vit 55
Total 265
Talents : Essaim, Matinal (caché : Phobique)</t>
      </text>
    </comment>
    <comment ref="E759" authorId="0" shapeId="0">
      <text>
        <t>MIMIGAL — Insecte / Poison
PV 40 · Att 60 · Déf 40
Att.Spé 40 · Déf.Spé 40 · Vit 30
Total 250
Talents : Essaim, Insomnia (caché : Sniper)</t>
      </text>
    </comment>
    <comment ref="E760" authorId="0" shapeId="0">
      <text>
        <t>MAGICARPE — Eau
PV 20 · Att 10 · Déf 55
Att.Spé 15 · Déf.Spé 20 · Vit 80
Total 200
Talents : Glissade (caché : Phobique)</t>
      </text>
    </comment>
    <comment ref="E761" authorId="0" shapeId="0">
      <text>
        <t>PTITARD — Eau
PV 40 · Att 50 · Déf 40
Att.Spé 40 · Déf.Spé 40 · Vit 90
Total 300
Talents : Absorbe-Eau, Moiteur (caché :
  Glissade)</t>
      </text>
    </comment>
    <comment ref="E762" authorId="0" shapeId="0">
      <text>
        <t>MAGICARPE — Eau
PV 20 · Att 10 · Déf 55
Att.Spé 15 · Déf.Spé 20 · Vit 80
Total 200
Talents : Glissade (caché : Phobique)</t>
      </text>
    </comment>
    <comment ref="E763" authorId="0" shapeId="0">
      <text>
        <t>PTITARD — Eau
PV 40 · Att 50 · Déf 40
Att.Spé 40 · Déf.Spé 40 · Vit 90
Total 300
Talents : Absorbe-Eau, Moiteur (caché :
  Glissade)</t>
      </text>
    </comment>
    <comment ref="E764" authorId="0" shapeId="0">
      <text>
        <t>PTITARD — Eau
PV 40 · Att 50 · Déf 40
Att.Spé 40 · Déf.Spé 40 · Vit 90
Total 300
Talents : Absorbe-Eau, Moiteur (caché :
  Glissade)</t>
      </text>
    </comment>
    <comment ref="E765" authorId="0" shapeId="0">
      <text>
        <t>MAGICARPE — Eau
PV 20 · Att 10 · Déf 55
Att.Spé 15 · Déf.Spé 20 · Vit 80
Total 200
Talents : Glissade (caché : Phobique)</t>
      </text>
    </comment>
    <comment ref="E766" authorId="0" shapeId="0">
      <text>
        <t>PTITARD — Eau
PV 40 · Att 50 · Déf 40
Att.Spé 40 · Déf.Spé 40 · Vit 90
Total 300
Talents : Absorbe-Eau, Moiteur (caché :
  Glissade)</t>
      </text>
    </comment>
    <comment ref="E767" authorId="0" shapeId="0">
      <text>
        <t>MAGICARPE — Eau
PV 20 · Att 10 · Déf 55
Att.Spé 15 · Déf.Spé 20 · Vit 80
Total 200
Talents : Glissade (caché : Phobique)</t>
      </text>
    </comment>
    <comment ref="E768" authorId="0" shapeId="0">
      <text>
        <t>PTITARD — Eau
PV 40 · Att 50 · Déf 40
Att.Spé 40 · Déf.Spé 40 · Vit 90
Total 300
Talents : Absorbe-Eau, Moiteur (caché :
  Glissade)</t>
      </text>
    </comment>
    <comment ref="E769" authorId="0" shapeId="0">
      <text>
        <t>MAGICARPE — Eau
PV 20 · Att 10 · Déf 55
Att.Spé 15 · Déf.Spé 20 · Vit 80
Total 200
Talents : Glissade (caché : Phobique)</t>
      </text>
    </comment>
    <comment ref="E770" authorId="0" shapeId="0">
      <text>
        <t>TETARTE — Eau
PV 65 · Att 65 · Déf 65
Att.Spé 50 · Déf.Spé 50 · Vit 90
Total 385
Talents : Absorbe-Eau, Moiteur (caché :
  Glissade)</t>
      </text>
    </comment>
    <comment ref="E771" authorId="0" shapeId="0">
      <text>
        <t>PTITARD — Eau
PV 40 · Att 50 · Déf 40
Att.Spé 40 · Déf.Spé 40 · Vit 90
Total 300
Talents : Absorbe-Eau, Moiteur (caché :
  Glissade)</t>
      </text>
    </comment>
    <comment ref="E772" authorId="0" shapeId="0">
      <text>
        <t>MAGICARPE — Eau
PV 20 · Att 10 · Déf 55
Att.Spé 15 · Déf.Spé 20 · Vit 80
Total 200
Talents : Glissade (caché : Phobique)</t>
      </text>
    </comment>
    <comment ref="E773" authorId="0" shapeId="0">
      <text>
        <t>TETARTE — Eau
PV 65 · Att 65 · Déf 65
Att.Spé 50 · Déf.Spé 50 · Vit 90
Total 385
Talents : Absorbe-Eau, Moiteur (caché :
  Glissade)</t>
      </text>
    </comment>
    <comment ref="E774" authorId="0" shapeId="0">
      <text>
        <t>MIAOUSS-A — Ténèbres
PV 40 · Att 35 · Déf 35
Att.Spé 50 · Déf.Spé 40 · Vit 90
Total 290
Talents : Ramassage, Technicien (caché :
  Phobique)</t>
      </text>
    </comment>
    <comment ref="E775" authorId="0" shapeId="0">
      <text>
        <t>RATTATA-A — Ténèbres / Normal
PV 30 · Att 56 · Déf 35
Att.Spé 25 · Déf.Spé 35 · Vit 72
Total 253
Talents : Gloutonnerie, Agitation (caché :
  Isograisse)</t>
      </text>
    </comment>
    <comment ref="E776" authorId="0" shapeId="0">
      <text>
        <t>ROUCOOL — Normal / Vol
PV 40 · Att 45 · Déf 40
Att.Spé 35 · Déf.Spé 35 · Vit 56
Total 251
Talents : Regard Vif, Pieds Confus (caché :
  Cœur de Coq)</t>
      </text>
    </comment>
    <comment ref="E777" authorId="0" shapeId="0">
      <text>
        <t>EVOLI — Normal
PV 55 · Att 55 · Déf 50
Att.Spé 45 · Déf.Spé 65 · Vit 55
Total 325
Talents : Fuite, Adaptabilité (caché :
  Anticipation)</t>
      </text>
    </comment>
    <comment ref="E778" authorId="0" shapeId="0">
      <text>
        <t>PERSIAN-A — Ténèbres
PV 65 · Att 60 · Déf 60
Att.Spé 75 · Déf.Spé 65 · Vit 115
Total 440
Talents : Toison Épaisse, Technicien (caché :
  Phobique)</t>
      </text>
    </comment>
    <comment ref="E779" authorId="0" shapeId="0">
      <text>
        <t>RATTATAC-A — Ténèbres / Normal
PV 75 · Att 71 · Déf 70
Att.Spé 40 · Déf.Spé 80 · Vit 77
Total 413
Talents : Gloutonnerie, Agitation (caché :
  Isograisse)</t>
      </text>
    </comment>
    <comment ref="E780" authorId="0" shapeId="0">
      <text>
        <t>NIRONDELLE — Normal / Vol
PV 40 · Att 55 · Déf 30
Att.Spé 30 · Déf.Spé 30 · Vit 85
Total 270
Talents : Cran (caché : Querelleur)</t>
      </text>
    </comment>
    <comment ref="E781" authorId="0" shapeId="0">
      <text>
        <t>PHYLLALI — Plante
PV 65 · Att 110 · Déf 130
Att.Spé 60 · Déf.Spé 65 · Vit 95
Total 525
Talents : Feuille Garde, Feuille Garde (caché
  : Chlorophylle)</t>
      </text>
    </comment>
    <comment ref="E782" authorId="0" shapeId="0">
      <text>
        <t>TENTACOOL — Eau / Poison
PV 40 · Att 40 · Déf 35
Att.Spé 50 · Déf.Spé 100 · Vit 70
Total 335
Talents : Corps Sain, Suintement (caché :
  Cuvette)</t>
      </text>
    </comment>
    <comment ref="E783" authorId="0" shapeId="0">
      <text>
        <t>GOELISE — Eau / Vol
PV 40 · Att 30 · Déf 30
Att.Spé 55 · Déf.Spé 30 · Vit 85
Total 270
Talents : Regard Vif, Hydratation (caché :
  Cuvette)</t>
      </text>
    </comment>
    <comment ref="E784" authorId="0" shapeId="0">
      <text>
        <t>BABIMANTA — Eau / Vol
PV 45 · Att 20 · Déf 50
Att.Spé 60 · Déf.Spé 120 · Vit 50
Total 345
Talents : Glissade, Absorbe-Eau (caché :
  Ignifu-Voile)</t>
      </text>
    </comment>
    <comment ref="E785" authorId="0" shapeId="0">
      <text>
        <t>MAGICARPE — Eau
PV 20 · Att 10 · Déf 55
Att.Spé 15 · Déf.Spé 20 · Vit 80
Total 200
Talents : Glissade (caché : Phobique)</t>
      </text>
    </comment>
    <comment ref="E786" authorId="0" shapeId="0">
      <text>
        <t>REMORAID — Eau
PV 35 · Att 65 · Déf 35
Att.Spé 65 · Déf.Spé 35 · Vit 65
Total 300
Talents : Agitation, Sniper (caché :
  Lunatique)</t>
      </text>
    </comment>
    <comment ref="E787" authorId="0" shapeId="0">
      <text>
        <t>CORAYON — Eau / Roche
PV 65 · Att 55 · Déf 95
Att.Spé 65 · Déf.Spé 95 · Vit 35
Total 410
Talents : Agitation, Médic Nature (caché :
  Régé-Force)</t>
      </text>
    </comment>
    <comment ref="E788" authorId="0" shapeId="0">
      <text>
        <t>LOVDISC — Eau
PV 43 · Att 30 · Déf 55
Att.Spé 40 · Déf.Spé 65 · Vit 97
Total 330
Talents : Glissade (caché : Hydratation)</t>
      </text>
    </comment>
    <comment ref="E789" authorId="0" shapeId="0">
      <text>
        <t>STARI — Eau
PV 30 · Att 45 · Déf 55
Att.Spé 70 · Déf.Spé 55 · Vit 85
Total 340
Talents : Lumiattirance, Médic Nature (caché :
  Analyste)</t>
      </text>
    </comment>
    <comment ref="E790" authorId="0" shapeId="0">
      <text>
        <t>HYPOCEAN — Eau
PV 55 · Att 65 · Déf 95
Att.Spé 95 · Déf.Spé 45 · Vit 85
Total 440
Talents : Point Poison, Sniper (caché :
  Moiteur)</t>
      </text>
    </comment>
    <comment ref="E791" authorId="0" shapeId="0">
      <text>
        <t>STAROSS — Eau / Psy
PV 60 · Att 75 · Déf 85
Att.Spé 100 · Déf.Spé 85 · Vit 115
Total 520
Talents : Lumiattirance, Médic Nature (caché :
  Analyste)</t>
      </text>
    </comment>
    <comment ref="E792" authorId="0" shapeId="0">
      <text>
        <t>COQUIPERL — Eau
PV 35 · Att 64 · Déf 85
Att.Spé 74 · Déf.Spé 55 · Vit 32
Total 345
Talents : Coque Armure (caché : Phobique)</t>
      </text>
    </comment>
    <comment ref="E793" authorId="0" shapeId="0">
      <text>
        <t>TENTACOOL — Eau / Poison
PV 40 · Att 40 · Déf 35
Att.Spé 50 · Déf.Spé 100 · Vit 70
Total 335
Talents : Corps Sain, Suintement (caché :
  Cuvette)</t>
      </text>
    </comment>
    <comment ref="E794" authorId="0" shapeId="0">
      <text>
        <t>BABIMANTA — Eau / Vol
PV 45 · Att 20 · Déf 50
Att.Spé 60 · Déf.Spé 120 · Vit 50
Total 345
Talents : Glissade, Absorbe-Eau (caché :
  Ignifu-Voile)</t>
      </text>
    </comment>
    <comment ref="E795" authorId="0" shapeId="0">
      <text>
        <t>GOELISE — Eau / Vol
PV 40 · Att 30 · Déf 30
Att.Spé 55 · Déf.Spé 30 · Vit 85
Total 270
Talents : Regard Vif, Hydratation (caché :
  Cuvette)</t>
      </text>
    </comment>
    <comment ref="E796" authorId="0" shapeId="0">
      <text>
        <t>MAGICARPE — Eau
PV 20 · Att 10 · Déf 55
Att.Spé 15 · Déf.Spé 20 · Vit 80
Total 200
Talents : Glissade (caché : Phobique)</t>
      </text>
    </comment>
    <comment ref="E797" authorId="0" shapeId="0">
      <text>
        <t>REMORAID — Eau
PV 35 · Att 65 · Déf 35
Att.Spé 65 · Déf.Spé 35 · Vit 65
Total 300
Talents : Agitation, Sniper (caché :
  Lunatique)</t>
      </text>
    </comment>
    <comment ref="E798" authorId="0" shapeId="0">
      <text>
        <t>CORAYON — Eau / Roche
PV 65 · Att 55 · Déf 95
Att.Spé 65 · Déf.Spé 95 · Vit 35
Total 410
Talents : Agitation, Médic Nature (caché :
  Régé-Force)</t>
      </text>
    </comment>
    <comment ref="E799" authorId="0" shapeId="0">
      <text>
        <t>LOVDISC — Eau
PV 43 · Att 30 · Déf 55
Att.Spé 40 · Déf.Spé 65 · Vit 97
Total 330
Talents : Glissade (caché : Hydratation)</t>
      </text>
    </comment>
    <comment ref="E800" authorId="0" shapeId="0">
      <text>
        <t>STARI — Eau
PV 30 · Att 45 · Déf 55
Att.Spé 70 · Déf.Spé 55 · Vit 85
Total 340
Talents : Lumiattirance, Médic Nature (caché :
  Analyste)</t>
      </text>
    </comment>
    <comment ref="E801" authorId="0" shapeId="0">
      <text>
        <t>HYPOCEAN — Eau
PV 55 · Att 65 · Déf 95
Att.Spé 95 · Déf.Spé 45 · Vit 85
Total 440
Talents : Point Poison, Sniper (caché :
  Moiteur)</t>
      </text>
    </comment>
    <comment ref="E802" authorId="0" shapeId="0">
      <text>
        <t>STARI — Eau
PV 30 · Att 45 · Déf 55
Att.Spé 70 · Déf.Spé 55 · Vit 85
Total 340
Talents : Lumiattirance, Médic Nature (caché :
  Analyste)</t>
      </text>
    </comment>
    <comment ref="E803" authorId="0" shapeId="0">
      <text>
        <t>COQUIPERL — Eau
PV 35 · Att 64 · Déf 85
Att.Spé 74 · Déf.Spé 55 · Vit 32
Total 345
Talents : Coque Armure (caché : Phobique)</t>
      </text>
    </comment>
    <comment ref="E804" authorId="0" shapeId="0">
      <text>
        <t>URSARING — Normal
PV 90 · Att 130 · Déf 75
Att.Spé 75 · Déf.Spé 75 · Vit 55
Total 500
Talents : Cran, Pied Véloce (caché : Tension)</t>
      </text>
    </comment>
    <comment ref="E805" authorId="0" shapeId="0">
      <text>
        <t>GRAVALANCH — Roche / Sol
PV 55 · Att 95 · Déf 115
Att.Spé 45 · Déf.Spé 45 · Vit 35
Total 390
Talents : Tête de Roc, Fermeté (caché : Voile
  Sable)</t>
      </text>
    </comment>
    <comment ref="E806" authorId="0" shapeId="0">
      <text>
        <t>ONIX — Roche / Sol
PV 35 · Att 45 · Déf 160
Att.Spé 30 · Déf.Spé 45 · Vit 70
Total 385
Talents : Tête de Roc, Fermeté (caché :
  Armurouillée)</t>
      </text>
    </comment>
    <comment ref="E807" authorId="0" shapeId="0">
      <text>
        <t>MAGMAR — Feu
PV 65 · Att 95 · Déf 57
Att.Spé 100 · Déf.Spé 85 · Vit 93
Total 495
Talents : Corps Ardent (caché : Esprit Vital)</t>
      </text>
    </comment>
    <comment ref="E808" authorId="0" shapeId="0">
      <text>
        <t>ELEKTEK — Électrik
PV 65 · Att 83 · Déf 57
Att.Spé 95 · Déf.Spé 85 · Vit 105
Total 490
Talents : Statik (caché : Esprit Vital)</t>
      </text>
    </comment>
    <comment ref="E809" authorId="0" shapeId="0">
      <text>
        <t>NOSFERALTO — Poison / Vol
PV 75 · Att 80 · Déf 70
Att.Spé 65 · Déf.Spé 75 · Vit 90
Total 455
Talents : Attention (caché : Infiltration)</t>
      </text>
    </comment>
    <comment ref="E810" authorId="0" shapeId="0">
      <text>
        <t>YMPHECT — Roche / Sol
PV 70 · Att 84 · Déf 70
Att.Spé 65 · Déf.Spé 70 · Vit 51
Total 410
Talents : Mue</t>
      </text>
    </comment>
    <comment ref="E811" authorId="0" shapeId="0">
      <text>
        <t>EMBRYLEX — Roche / Sol
PV 50 · Att 64 · Déf 50
Att.Spé 45 · Déf.Spé 50 · Vit 41
Total 300
Talents : Cran (caché : Voile Sable)</t>
      </text>
    </comment>
    <comment ref="E812" authorId="0" shapeId="0">
      <text>
        <t>NOSFERALTO — Poison / Vol
PV 75 · Att 80 · Déf 70
Att.Spé 65 · Déf.Spé 75 · Vit 90
Total 455
Talents : Attention (caché : Infiltration)</t>
      </text>
    </comment>
    <comment ref="E813" authorId="0" shapeId="0">
      <text>
        <t>GRAVALANCH — Roche / Sol
PV 55 · Att 95 · Déf 115
Att.Spé 45 · Déf.Spé 45 · Vit 35
Total 390
Talents : Tête de Roc, Fermeté (caché : Voile
  Sable)</t>
      </text>
    </comment>
    <comment ref="E814" authorId="0" shapeId="0">
      <text>
        <t>AKWAKWAK — Eau
PV 80 · Att 82 · Déf 78
Att.Spé 95 · Déf.Spé 80 · Vit 85
Total 500
Talents : Moiteur, Ciel Gris (caché :
  Glissade)</t>
      </text>
    </comment>
    <comment ref="E815" authorId="0" shapeId="0">
      <text>
        <t>ONIX — Roche / Sol
PV 35 · Att 45 · Déf 160
Att.Spé 30 · Déf.Spé 45 · Vit 70
Total 385
Talents : Tête de Roc, Fermeté (caché :
  Armurouillée)</t>
      </text>
    </comment>
    <comment ref="E816" authorId="0" shapeId="0">
      <text>
        <t>MAGICARPE — Eau
PV 20 · Att 10 · Déf 55
Att.Spé 15 · Déf.Spé 20 · Vit 80
Total 200
Talents : Glissade (caché : Phobique)</t>
      </text>
    </comment>
    <comment ref="E817" authorId="0" shapeId="0">
      <text>
        <t>PTITARD — Eau
PV 40 · Att 50 · Déf 40
Att.Spé 40 · Déf.Spé 40 · Vit 90
Total 300
Talents : Absorbe-Eau, Moiteur (caché :
  Glissade)</t>
      </text>
    </comment>
    <comment ref="E818" authorId="0" shapeId="0">
      <text>
        <t>MAGICARPE — Eau
PV 20 · Att 10 · Déf 55
Att.Spé 15 · Déf.Spé 20 · Vit 80
Total 200
Talents : Glissade (caché : Phobique)</t>
      </text>
    </comment>
    <comment ref="E819" authorId="0" shapeId="0">
      <text>
        <t>PTITARD — Eau
PV 40 · Att 50 · Déf 40
Att.Spé 40 · Déf.Spé 40 · Vit 90
Total 300
Talents : Absorbe-Eau, Moiteur (caché :
  Glissade)</t>
      </text>
    </comment>
    <comment ref="E820" authorId="0" shapeId="0">
      <text>
        <t>PTITARD — Eau
PV 40 · Att 50 · Déf 40
Att.Spé 40 · Déf.Spé 40 · Vit 90
Total 300
Talents : Absorbe-Eau, Moiteur (caché :
  Glissade)</t>
      </text>
    </comment>
    <comment ref="E821" authorId="0" shapeId="0">
      <text>
        <t>MAGICARPE — Eau
PV 20 · Att 10 · Déf 55
Att.Spé 15 · Déf.Spé 20 · Vit 80
Total 200
Talents : Glissade (caché : Phobique)</t>
      </text>
    </comment>
    <comment ref="E822" authorId="0" shapeId="0">
      <text>
        <t>PTITARD — Eau
PV 40 · Att 50 · Déf 40
Att.Spé 40 · Déf.Spé 40 · Vit 90
Total 300
Talents : Absorbe-Eau, Moiteur (caché :
  Glissade)</t>
      </text>
    </comment>
    <comment ref="E823" authorId="0" shapeId="0">
      <text>
        <t>MAGICARPE — Eau
PV 20 · Att 10 · Déf 55
Att.Spé 15 · Déf.Spé 20 · Vit 80
Total 200
Talents : Glissade (caché : Phobique)</t>
      </text>
    </comment>
    <comment ref="E824" authorId="0" shapeId="0">
      <text>
        <t>MAGICARPE — Eau
PV 20 · Att 10 · Déf 55
Att.Spé 15 · Déf.Spé 20 · Vit 80
Total 200
Talents : Glissade (caché : Phobique)</t>
      </text>
    </comment>
    <comment ref="E825" authorId="0" shapeId="0">
      <text>
        <t>TETARTE — Eau
PV 65 · Att 65 · Déf 65
Att.Spé 50 · Déf.Spé 50 · Vit 90
Total 385
Talents : Absorbe-Eau, Moiteur (caché :
  Glissade)</t>
      </text>
    </comment>
    <comment ref="E826" authorId="0" shapeId="0">
      <text>
        <t>PTITARD — Eau
PV 40 · Att 50 · Déf 40
Att.Spé 40 · Déf.Spé 40 · Vit 90
Total 300
Talents : Absorbe-Eau, Moiteur (caché :
  Glissade)</t>
      </text>
    </comment>
    <comment ref="E827" authorId="0" shapeId="0">
      <text>
        <t>MAGICARPE — Eau
PV 20 · Att 10 · Déf 55
Att.Spé 15 · Déf.Spé 20 · Vit 80
Total 200
Talents : Glissade (caché : Phobique)</t>
      </text>
    </comment>
    <comment ref="E828" authorId="0" shapeId="0">
      <text>
        <t>TETARTE — Eau
PV 65 · Att 65 · Déf 65
Att.Spé 50 · Déf.Spé 50 · Vit 90
Total 385
Talents : Absorbe-Eau, Moiteur (caché :
  Glissade)</t>
      </text>
    </comment>
    <comment ref="E829" authorId="0" shapeId="0">
      <text>
        <t>PTITARD — Eau
PV 40 · Att 50 · Déf 40
Att.Spé 40 · Déf.Spé 40 · Vit 90
Total 300
Talents : Absorbe-Eau, Moiteur (caché :
  Glissade)</t>
      </text>
    </comment>
    <comment ref="E830" authorId="0" shapeId="0">
      <text>
        <t>MACHOPEUR — Combat
PV 80 · Att 100 · Déf 70
Att.Spé 50 · Déf.Spé 60 · Vit 45
Total 405
Talents : Cran, Annule Garde (caché :
  Impassible)</t>
      </text>
    </comment>
    <comment ref="E831" authorId="0" shapeId="0">
      <text>
        <t>GRAVALANCH — Roche / Sol
PV 55 · Att 95 · Déf 115
Att.Spé 45 · Déf.Spé 45 · Vit 35
Total 390
Talents : Tête de Roc, Fermeté (caché : Voile
  Sable)</t>
      </text>
    </comment>
    <comment ref="E832" authorId="0" shapeId="0">
      <text>
        <t>ONIX — Roche / Sol
PV 35 · Att 45 · Déf 160
Att.Spé 30 · Déf.Spé 45 · Vit 70
Total 385
Talents : Tête de Roc, Fermeté (caché :
  Armurouillée)</t>
      </text>
    </comment>
    <comment ref="E833" authorId="0" shapeId="0">
      <text>
        <t>MAGMAR — Feu
PV 65 · Att 95 · Déf 57
Att.Spé 100 · Déf.Spé 85 · Vit 93
Total 495
Talents : Corps Ardent (caché : Esprit Vital)</t>
      </text>
    </comment>
    <comment ref="E834" authorId="0" shapeId="0">
      <text>
        <t>ELEKTEK — Électrik
PV 65 · Att 83 · Déf 57
Att.Spé 95 · Déf.Spé 85 · Vit 105
Total 490
Talents : Statik (caché : Esprit Vital)</t>
      </text>
    </comment>
    <comment ref="E835" authorId="0" shapeId="0">
      <text>
        <t>NOSFERALTO — Poison / Vol
PV 75 · Att 80 · Déf 70
Att.Spé 65 · Déf.Spé 75 · Vit 90
Total 455
Talents : Attention (caché : Infiltration)</t>
      </text>
    </comment>
    <comment ref="E836" authorId="0" shapeId="0">
      <text>
        <t>YMPHECT — Roche / Sol
PV 70 · Att 84 · Déf 70
Att.Spé 65 · Déf.Spé 70 · Vit 51
Total 410
Talents : Mue</t>
      </text>
    </comment>
    <comment ref="E837" authorId="0" shapeId="0">
      <text>
        <t>PARASECT — Insecte / Plante
PV 60 · Att 95 · Déf 80
Att.Spé 60 · Déf.Spé 80 · Vit 30
Total 405
Talents : Pose Spore, Peau Sèche (caché :
  Moiteur)</t>
      </text>
    </comment>
    <comment ref="E838" authorId="0" shapeId="0">
      <text>
        <t>NOSFERALTO — Poison / Vol
PV 75 · Att 80 · Déf 70
Att.Spé 65 · Déf.Spé 75 · Vit 90
Total 455
Talents : Attention (caché : Infiltration)</t>
      </text>
    </comment>
    <comment ref="E839" authorId="0" shapeId="0">
      <text>
        <t>AKWAKWAK — Eau
PV 80 · Att 82 · Déf 78
Att.Spé 95 · Déf.Spé 80 · Vit 85
Total 500
Talents : Moiteur, Ciel Gris (caché :
  Glissade)</t>
      </text>
    </comment>
    <comment ref="E840" authorId="0" shapeId="0">
      <text>
        <t>FEUFOREVE — Spectre
PV 60 · Att 60 · Déf 60
Att.Spé 85 · Déf.Spé 85 · Vit 85
Total 435
Talents : Lévitation</t>
      </text>
    </comment>
    <comment ref="E841" authorId="0" shapeId="0">
      <text>
        <t>PARASECT — Insecte / Plante
PV 60 · Att 95 · Déf 80
Att.Spé 60 · Déf.Spé 80 · Vit 30
Total 405
Talents : Pose Spore, Peau Sèche (caché :
  Moiteur)</t>
      </text>
    </comment>
    <comment ref="E842" authorId="0" shapeId="0">
      <text>
        <t>POISSOROY — Eau
PV 80 · Att 92 · Déf 65
Att.Spé 65 · Déf.Spé 80 · Vit 68
Total 450
Talents : Glissade, Ignifu-Voile (caché :
  Paratonnerre)</t>
      </text>
    </comment>
    <comment ref="E843" authorId="0" shapeId="0">
      <text>
        <t>AKWAKWAK — Eau
PV 80 · Att 82 · Déf 78
Att.Spé 95 · Déf.Spé 80 · Vit 85
Total 500
Talents : Moiteur, Ciel Gris (caché :
  Glissade)</t>
      </text>
    </comment>
    <comment ref="E844" authorId="0" shapeId="0">
      <text>
        <t>POISSIRENE — Eau
PV 45 · Att 67 · Déf 60
Att.Spé 35 · Déf.Spé 50 · Vit 63
Total 320
Talents : Glissade, Ignifu-Voile (caché :
  Paratonnerre)</t>
      </text>
    </comment>
    <comment ref="E845" authorId="0" shapeId="0">
      <text>
        <t>POISSOROY — Eau
PV 80 · Att 92 · Déf 65
Att.Spé 65 · Déf.Spé 80 · Vit 68
Total 450
Talents : Glissade, Ignifu-Voile (caché :
  Paratonnerre)</t>
      </text>
    </comment>
    <comment ref="E846" authorId="0" shapeId="0">
      <text>
        <t>AKWAKWAK — Eau
PV 80 · Att 82 · Déf 78
Att.Spé 95 · Déf.Spé 80 · Vit 85
Total 500
Talents : Moiteur, Ciel Gris (caché :
  Glissade)</t>
      </text>
    </comment>
    <comment ref="E847" authorId="0" shapeId="0">
      <text>
        <t>POISSIRENE — Eau
PV 45 · Att 67 · Déf 60
Att.Spé 35 · Déf.Spé 50 · Vit 63
Total 320
Talents : Glissade, Ignifu-Voile (caché :
  Paratonnerre)</t>
      </text>
    </comment>
    <comment ref="E848" authorId="0" shapeId="0">
      <text>
        <t>MAGICARPE — Eau
PV 20 · Att 10 · Déf 55
Att.Spé 15 · Déf.Spé 20 · Vit 80
Total 200
Talents : Glissade (caché : Phobique)</t>
      </text>
    </comment>
    <comment ref="E849" authorId="0" shapeId="0">
      <text>
        <t>PTITARD — Eau
PV 40 · Att 50 · Déf 40
Att.Spé 40 · Déf.Spé 40 · Vit 90
Total 300
Talents : Absorbe-Eau, Moiteur (caché :
  Glissade)</t>
      </text>
    </comment>
    <comment ref="E850" authorId="0" shapeId="0">
      <text>
        <t>MAGICARPE — Eau
PV 20 · Att 10 · Déf 55
Att.Spé 15 · Déf.Spé 20 · Vit 80
Total 200
Talents : Glissade (caché : Phobique)</t>
      </text>
    </comment>
    <comment ref="E851" authorId="0" shapeId="0">
      <text>
        <t>PTITARD — Eau
PV 40 · Att 50 · Déf 40
Att.Spé 40 · Déf.Spé 40 · Vit 90
Total 300
Talents : Absorbe-Eau, Moiteur (caché :
  Glissade)</t>
      </text>
    </comment>
    <comment ref="E852" authorId="0" shapeId="0">
      <text>
        <t>PTITARD — Eau
PV 40 · Att 50 · Déf 40
Att.Spé 40 · Déf.Spé 40 · Vit 90
Total 300
Talents : Absorbe-Eau, Moiteur (caché :
  Glissade)</t>
      </text>
    </comment>
    <comment ref="E853" authorId="0" shapeId="0">
      <text>
        <t>MAGICARPE — Eau
PV 20 · Att 10 · Déf 55
Att.Spé 15 · Déf.Spé 20 · Vit 80
Total 200
Talents : Glissade (caché : Phobique)</t>
      </text>
    </comment>
    <comment ref="E854" authorId="0" shapeId="0">
      <text>
        <t>PTITARD — Eau
PV 40 · Att 50 · Déf 40
Att.Spé 40 · Déf.Spé 40 · Vit 90
Total 300
Talents : Absorbe-Eau, Moiteur (caché :
  Glissade)</t>
      </text>
    </comment>
    <comment ref="E855" authorId="0" shapeId="0">
      <text>
        <t>MAGICARPE — Eau
PV 20 · Att 10 · Déf 55
Att.Spé 15 · Déf.Spé 20 · Vit 80
Total 200
Talents : Glissade (caché : Phobique)</t>
      </text>
    </comment>
    <comment ref="E856" authorId="0" shapeId="0">
      <text>
        <t>MAGICARPE — Eau
PV 20 · Att 10 · Déf 55
Att.Spé 15 · Déf.Spé 20 · Vit 80
Total 200
Talents : Glissade (caché : Phobique)</t>
      </text>
    </comment>
    <comment ref="E857" authorId="0" shapeId="0">
      <text>
        <t>TETARTE — Eau
PV 65 · Att 65 · Déf 65
Att.Spé 50 · Déf.Spé 50 · Vit 90
Total 385
Talents : Absorbe-Eau, Moiteur (caché :
  Glissade)</t>
      </text>
    </comment>
    <comment ref="E858" authorId="0" shapeId="0">
      <text>
        <t>PTITARD — Eau
PV 40 · Att 50 · Déf 40
Att.Spé 40 · Déf.Spé 40 · Vit 90
Total 300
Talents : Absorbe-Eau, Moiteur (caché :
  Glissade)</t>
      </text>
    </comment>
    <comment ref="E859" authorId="0" shapeId="0">
      <text>
        <t>MAGICARPE — Eau
PV 20 · Att 10 · Déf 55
Att.Spé 15 · Déf.Spé 20 · Vit 80
Total 200
Talents : Glissade (caché : Phobique)</t>
      </text>
    </comment>
    <comment ref="E860" authorId="0" shapeId="0">
      <text>
        <t>TETARTE — Eau
PV 65 · Att 65 · Déf 65
Att.Spé 50 · Déf.Spé 50 · Vit 90
Total 385
Talents : Absorbe-Eau, Moiteur (caché :
  Glissade)</t>
      </text>
    </comment>
    <comment ref="E861" authorId="0" shapeId="0">
      <text>
        <t>PTITARD — Eau
PV 40 · Att 50 · Déf 40
Att.Spé 40 · Déf.Spé 40 · Vit 90
Total 300
Talents : Absorbe-Eau, Moiteur (caché :
  Glissade)</t>
      </text>
    </comment>
    <comment ref="E862" authorId="0" shapeId="0">
      <text>
        <t>URSARING — Normal
PV 90 · Att 130 · Déf 75
Att.Spé 75 · Déf.Spé 75 · Vit 55
Total 500
Talents : Cran, Pied Véloce (caché : Tension)</t>
      </text>
    </comment>
    <comment ref="E863" authorId="0" shapeId="0">
      <text>
        <t>GROLEM — Roche / Sol
PV 80 · Att 120 · Déf 130
Att.Spé 55 · Déf.Spé 65 · Vit 45
Total 495
Talents : Tête de Roc, Fermeté (caché : Voile
  Sable)</t>
      </text>
    </comment>
    <comment ref="E864" authorId="0" shapeId="0">
      <text>
        <t>ONIX — Roche / Sol
PV 35 · Att 45 · Déf 160
Att.Spé 30 · Déf.Spé 45 · Vit 70
Total 385
Talents : Tête de Roc, Fermeté (caché :
  Armurouillée)</t>
      </text>
    </comment>
    <comment ref="E865" authorId="0" shapeId="0">
      <text>
        <t>MAGMAR — Feu
PV 65 · Att 95 · Déf 57
Att.Spé 100 · Déf.Spé 85 · Vit 93
Total 495
Talents : Corps Ardent (caché : Esprit Vital)</t>
      </text>
    </comment>
    <comment ref="E866" authorId="0" shapeId="0">
      <text>
        <t>ELEKTEK — Électrik
PV 65 · Att 83 · Déf 57
Att.Spé 95 · Déf.Spé 85 · Vit 105
Total 490
Talents : Statik (caché : Esprit Vital)</t>
      </text>
    </comment>
    <comment ref="E867" authorId="0" shapeId="0">
      <text>
        <t>YMPHECT — Roche / Sol
PV 70 · Att 84 · Déf 70
Att.Spé 65 · Déf.Spé 70 · Vit 51
Total 410
Talents : Mue</t>
      </text>
    </comment>
    <comment ref="E868" authorId="0" shapeId="0">
      <text>
        <t>NOSFERALTO — Poison / Vol
PV 75 · Att 80 · Déf 70
Att.Spé 65 · Déf.Spé 75 · Vit 90
Total 455
Talents : Attention (caché : Infiltration)</t>
      </text>
    </comment>
    <comment ref="E869" authorId="0" shapeId="0">
      <text>
        <t>EMBRYLEX — Roche / Sol
PV 50 · Att 64 · Déf 50
Att.Spé 45 · Déf.Spé 50 · Vit 41
Total 300
Talents : Cran (caché : Voile Sable)</t>
      </text>
    </comment>
    <comment ref="E870" authorId="0" shapeId="0">
      <text>
        <t>PARASECT — Insecte / Plante
PV 60 · Att 95 · Déf 80
Att.Spé 60 · Déf.Spé 80 · Vit 30
Total 405
Talents : Pose Spore, Peau Sèche (caché :
  Moiteur)</t>
      </text>
    </comment>
    <comment ref="E871" authorId="0" shapeId="0">
      <text>
        <t>URSARING — Normal
PV 90 · Att 130 · Déf 75
Att.Spé 75 · Déf.Spé 75 · Vit 55
Total 500
Talents : Cran, Pied Véloce (caché : Tension)</t>
      </text>
    </comment>
    <comment ref="E872" authorId="0" shapeId="0">
      <text>
        <t>GROLEM — Roche / Sol
PV 80 · Att 120 · Déf 130
Att.Spé 55 · Déf.Spé 65 · Vit 45
Total 495
Talents : Tête de Roc, Fermeté (caché : Voile
  Sable)</t>
      </text>
    </comment>
    <comment ref="E873" authorId="0" shapeId="0">
      <text>
        <t>ONIX — Roche / Sol
PV 35 · Att 45 · Déf 160
Att.Spé 30 · Déf.Spé 45 · Vit 70
Total 385
Talents : Tête de Roc, Fermeté (caché :
  Armurouillée)</t>
      </text>
    </comment>
    <comment ref="E874" authorId="0" shapeId="0">
      <text>
        <t>AKWAKWAK — Eau
PV 80 · Att 82 · Déf 78
Att.Spé 95 · Déf.Spé 80 · Vit 85
Total 500
Talents : Moiteur, Ciel Gris (caché :
  Glissade)</t>
      </text>
    </comment>
    <comment ref="E875" authorId="0" shapeId="0">
      <text>
        <t>MAGIREVE — Spectre
PV 60 · Att 60 · Déf 60
Att.Spé 105 · Déf.Spé 105 · Vit 105
Total 495
Talents : Lévitation</t>
      </text>
    </comment>
    <comment ref="E876" authorId="0" shapeId="0">
      <text>
        <t>YMPHECT — Roche / Sol
PV 70 · Att 84 · Déf 70
Att.Spé 65 · Déf.Spé 70 · Vit 51
Total 410
Talents : Mue</t>
      </text>
    </comment>
    <comment ref="E877" authorId="0" shapeId="0">
      <text>
        <t>MAGMAR — Feu
PV 65 · Att 95 · Déf 57
Att.Spé 100 · Déf.Spé 85 · Vit 93
Total 495
Talents : Corps Ardent (caché : Esprit Vital)</t>
      </text>
    </comment>
    <comment ref="E878" authorId="0" shapeId="0">
      <text>
        <t>NOSFERALTO — Poison / Vol
PV 75 · Att 80 · Déf 70
Att.Spé 65 · Déf.Spé 75 · Vit 90
Total 455
Talents : Attention (caché : Infiltration)</t>
      </text>
    </comment>
    <comment ref="E879" authorId="0" shapeId="0">
      <text>
        <t>EMBRYLEX — Roche / Sol
PV 50 · Att 64 · Déf 50
Att.Spé 45 · Déf.Spé 50 · Vit 41
Total 300
Talents : Cran (caché : Voile Sable)</t>
      </text>
    </comment>
    <comment ref="E880" authorId="0" shapeId="0">
      <text>
        <t>PARASECT — Insecte / Plante
PV 60 · Att 95 · Déf 80
Att.Spé 60 · Déf.Spé 80 · Vit 30
Total 405
Talents : Pose Spore, Peau Sèche (caché :
  Moiteur)</t>
      </text>
    </comment>
    <comment ref="E881" authorId="0" shapeId="0">
      <text>
        <t>AKWAKWAK — Eau
PV 80 · Att 82 · Déf 78
Att.Spé 95 · Déf.Spé 80 · Vit 85
Total 500
Talents : Moiteur, Ciel Gris (caché :
  Glissade)</t>
      </text>
    </comment>
    <comment ref="E882" authorId="0" shapeId="0">
      <text>
        <t>POISSOROY — Eau
PV 80 · Att 92 · Déf 65
Att.Spé 65 · Déf.Spé 80 · Vit 68
Total 450
Talents : Glissade, Ignifu-Voile (caché :
  Paratonnerre)</t>
      </text>
    </comment>
    <comment ref="E883" authorId="0" shapeId="0">
      <text>
        <t>LOKHLASS — Eau / Glace
PV 130 · Att 85 · Déf 80
Att.Spé 85 · Déf.Spé 95 · Vit 60
Total 535
Talents : Absorbe-Eau, Coque Armure (caché :
  Hydratation)</t>
      </text>
    </comment>
    <comment ref="E884" authorId="0" shapeId="0">
      <text>
        <t>AKWAKWAK — Eau
PV 80 · Att 82 · Déf 78
Att.Spé 95 · Déf.Spé 80 · Vit 85
Total 500
Talents : Moiteur, Ciel Gris (caché :
  Glissade)</t>
      </text>
    </comment>
    <comment ref="E885" authorId="0" shapeId="0">
      <text>
        <t>POISSOROY — Eau
PV 80 · Att 92 · Déf 65
Att.Spé 65 · Déf.Spé 80 · Vit 68
Total 450
Talents : Glissade, Ignifu-Voile (caché :
  Paratonnerre)</t>
      </text>
    </comment>
    <comment ref="E886" authorId="0" shapeId="0">
      <text>
        <t>LOKHLASS — Eau / Glace
PV 130 · Att 85 · Déf 80
Att.Spé 85 · Déf.Spé 95 · Vit 60
Total 535
Talents : Absorbe-Eau, Coque Armure (caché :
  Hydratation)</t>
      </text>
    </comment>
    <comment ref="E887" authorId="0" shapeId="0">
      <text>
        <t>MAGICARPE — Eau
PV 20 · Att 10 · Déf 55
Att.Spé 15 · Déf.Spé 20 · Vit 80
Total 200
Talents : Glissade (caché : Phobique)</t>
      </text>
    </comment>
    <comment ref="E888" authorId="0" shapeId="0">
      <text>
        <t>PTITARD — Eau
PV 40 · Att 50 · Déf 40
Att.Spé 40 · Déf.Spé 40 · Vit 90
Total 300
Talents : Absorbe-Eau, Moiteur (caché :
  Glissade)</t>
      </text>
    </comment>
    <comment ref="E889" authorId="0" shapeId="0">
      <text>
        <t>MAGICARPE — Eau
PV 20 · Att 10 · Déf 55
Att.Spé 15 · Déf.Spé 20 · Vit 80
Total 200
Talents : Glissade (caché : Phobique)</t>
      </text>
    </comment>
    <comment ref="E890" authorId="0" shapeId="0">
      <text>
        <t>PTITARD — Eau
PV 40 · Att 50 · Déf 40
Att.Spé 40 · Déf.Spé 40 · Vit 90
Total 300
Talents : Absorbe-Eau, Moiteur (caché :
  Glissade)</t>
      </text>
    </comment>
    <comment ref="E891" authorId="0" shapeId="0">
      <text>
        <t>PTITARD — Eau
PV 40 · Att 50 · Déf 40
Att.Spé 40 · Déf.Spé 40 · Vit 90
Total 300
Talents : Absorbe-Eau, Moiteur (caché :
  Glissade)</t>
      </text>
    </comment>
    <comment ref="E892" authorId="0" shapeId="0">
      <text>
        <t>MAGICARPE — Eau
PV 20 · Att 10 · Déf 55
Att.Spé 15 · Déf.Spé 20 · Vit 80
Total 200
Talents : Glissade (caché : Phobique)</t>
      </text>
    </comment>
    <comment ref="E893" authorId="0" shapeId="0">
      <text>
        <t>PTITARD — Eau
PV 40 · Att 50 · Déf 40
Att.Spé 40 · Déf.Spé 40 · Vit 90
Total 300
Talents : Absorbe-Eau, Moiteur (caché :
  Glissade)</t>
      </text>
    </comment>
    <comment ref="E894" authorId="0" shapeId="0">
      <text>
        <t>MAGICARPE — Eau
PV 20 · Att 10 · Déf 55
Att.Spé 15 · Déf.Spé 20 · Vit 80
Total 200
Talents : Glissade (caché : Phobique)</t>
      </text>
    </comment>
    <comment ref="E895" authorId="0" shapeId="0">
      <text>
        <t>MAGICARPE — Eau
PV 20 · Att 10 · Déf 55
Att.Spé 15 · Déf.Spé 20 · Vit 80
Total 200
Talents : Glissade (caché : Phobique)</t>
      </text>
    </comment>
    <comment ref="E896" authorId="0" shapeId="0">
      <text>
        <t>TETARTE — Eau
PV 65 · Att 65 · Déf 65
Att.Spé 50 · Déf.Spé 50 · Vit 90
Total 385
Talents : Absorbe-Eau, Moiteur (caché :
  Glissade)</t>
      </text>
    </comment>
    <comment ref="E897" authorId="0" shapeId="0">
      <text>
        <t>PTITARD — Eau
PV 40 · Att 50 · Déf 40
Att.Spé 40 · Déf.Spé 40 · Vit 90
Total 300
Talents : Absorbe-Eau, Moiteur (caché :
  Glissade)</t>
      </text>
    </comment>
    <comment ref="E898" authorId="0" shapeId="0">
      <text>
        <t>MAGICARPE — Eau
PV 20 · Att 10 · Déf 55
Att.Spé 15 · Déf.Spé 20 · Vit 80
Total 200
Talents : Glissade (caché : Phobique)</t>
      </text>
    </comment>
    <comment ref="E899" authorId="0" shapeId="0">
      <text>
        <t>TETARTE — Eau
PV 65 · Att 65 · Déf 65
Att.Spé 50 · Déf.Spé 50 · Vit 90
Total 385
Talents : Absorbe-Eau, Moiteur (caché :
  Glissade)</t>
      </text>
    </comment>
    <comment ref="E900" authorId="0" shapeId="0">
      <text>
        <t>PTITARD — Eau
PV 40 · Att 50 · Déf 40
Att.Spé 40 · Déf.Spé 40 · Vit 90
Total 300
Talents : Absorbe-Eau, Moiteur (caché :
  Glissade)</t>
      </text>
    </comment>
    <comment ref="E901" authorId="0" shapeId="0">
      <text>
        <t>GROLEM — Roche / Sol
PV 80 · Att 120 · Déf 130
Att.Spé 55 · Déf.Spé 65 · Vit 45
Total 495
Talents : Tête de Roc, Fermeté (caché : Voile
  Sable)</t>
      </text>
    </comment>
    <comment ref="E902" authorId="0" shapeId="0">
      <text>
        <t>MACHOPEUR — Combat
PV 80 · Att 100 · Déf 70
Att.Spé 50 · Déf.Spé 60 · Vit 45
Total 405
Talents : Cran, Annule Garde (caché :
  Impassible)</t>
      </text>
    </comment>
    <comment ref="E903" authorId="0" shapeId="0">
      <text>
        <t>MARAISTE — Eau / Sol
PV 95 · Att 85 · Déf 85
Att.Spé 65 · Déf.Spé 65 · Vit 35
Total 430
Talents : Moiteur, Absorbe-Eau (caché :
  Inconscient)</t>
      </text>
    </comment>
    <comment ref="E904" authorId="0" shapeId="0">
      <text>
        <t>AKWAKWAK — Eau
PV 80 · Att 82 · Déf 78
Att.Spé 95 · Déf.Spé 80 · Vit 85
Total 500
Talents : Moiteur, Ciel Gris (caché :
  Glissade)</t>
      </text>
    </comment>
    <comment ref="E905" authorId="0" shapeId="0">
      <text>
        <t>ELEKTEK — Électrik
PV 65 · Att 83 · Déf 57
Att.Spé 95 · Déf.Spé 85 · Vit 105
Total 490
Talents : Statik (caché : Esprit Vital)</t>
      </text>
    </comment>
    <comment ref="E906" authorId="0" shapeId="0">
      <text>
        <t>MAGMAR — Feu
PV 65 · Att 95 · Déf 57
Att.Spé 100 · Déf.Spé 85 · Vit 93
Total 495
Talents : Corps Ardent (caché : Esprit Vital)</t>
      </text>
    </comment>
    <comment ref="E907" authorId="0" shapeId="0">
      <text>
        <t>NOSFERALTO — Poison / Vol
PV 75 · Att 80 · Déf 70
Att.Spé 65 · Déf.Spé 75 · Vit 90
Total 455
Talents : Attention (caché : Infiltration)</t>
      </text>
    </comment>
    <comment ref="E908" authorId="0" shapeId="0">
      <text>
        <t>YMPHECT — Roche / Sol
PV 70 · Att 84 · Déf 70
Att.Spé 65 · Déf.Spé 70 · Vit 51
Total 410
Talents : Mue</t>
      </text>
    </comment>
    <comment ref="E909" authorId="0" shapeId="0">
      <text>
        <t>PARASECT — Insecte / Plante
PV 60 · Att 95 · Déf 80
Att.Spé 60 · Déf.Spé 80 · Vit 30
Total 405
Talents : Pose Spore, Peau Sèche (caché :
  Moiteur)</t>
      </text>
    </comment>
    <comment ref="E910" authorId="0" shapeId="0">
      <text>
        <t>AKWAKWAK — Eau
PV 80 · Att 82 · Déf 78
Att.Spé 95 · Déf.Spé 80 · Vit 85
Total 500
Talents : Moiteur, Ciel Gris (caché :
  Glissade)</t>
      </text>
    </comment>
    <comment ref="E911" authorId="0" shapeId="0">
      <text>
        <t>MARAISTE — Eau / Sol
PV 95 · Att 85 · Déf 85
Att.Spé 65 · Déf.Spé 65 · Vit 35
Total 430
Talents : Moiteur, Absorbe-Eau (caché :
  Inconscient)</t>
      </text>
    </comment>
    <comment ref="E912" authorId="0" shapeId="0">
      <text>
        <t>LOKHLASS — Eau / Glace
PV 130 · Att 85 · Déf 80
Att.Spé 85 · Déf.Spé 95 · Vit 60
Total 535
Talents : Absorbe-Eau, Coque Armure (caché :
  Hydratation)</t>
      </text>
    </comment>
    <comment ref="E913" authorId="0" shapeId="0">
      <text>
        <t>MAGICARPE — Eau
PV 20 · Att 10 · Déf 55
Att.Spé 15 · Déf.Spé 20 · Vit 80
Total 200
Talents : Glissade (caché : Phobique)</t>
      </text>
    </comment>
    <comment ref="E914" authorId="0" shapeId="0">
      <text>
        <t>PTITARD — Eau
PV 40 · Att 50 · Déf 40
Att.Spé 40 · Déf.Spé 40 · Vit 90
Total 300
Talents : Absorbe-Eau, Moiteur (caché :
  Glissade)</t>
      </text>
    </comment>
    <comment ref="E915" authorId="0" shapeId="0">
      <text>
        <t>PTITARD — Eau
PV 40 · Att 50 · Déf 40
Att.Spé 40 · Déf.Spé 40 · Vit 90
Total 300
Talents : Absorbe-Eau, Moiteur (caché :
  Glissade)</t>
      </text>
    </comment>
    <comment ref="E916" authorId="0" shapeId="0">
      <text>
        <t>MAGICARPE — Eau
PV 20 · Att 10 · Déf 55
Att.Spé 15 · Déf.Spé 20 · Vit 80
Total 200
Talents : Glissade (caché : Phobique)</t>
      </text>
    </comment>
    <comment ref="E917" authorId="0" shapeId="0">
      <text>
        <t>MAGICARPE — Eau
PV 20 · Att 10 · Déf 55
Att.Spé 15 · Déf.Spé 20 · Vit 80
Total 200
Talents : Glissade (caché : Phobique)</t>
      </text>
    </comment>
    <comment ref="E918" authorId="0" shapeId="0">
      <text>
        <t>TETARTE — Eau
PV 65 · Att 65 · Déf 65
Att.Spé 50 · Déf.Spé 50 · Vit 90
Total 385
Talents : Absorbe-Eau, Moiteur (caché :
  Glissade)</t>
      </text>
    </comment>
    <comment ref="E919" authorId="0" shapeId="0">
      <text>
        <t>PTITARD — Eau
PV 40 · Att 50 · Déf 40
Att.Spé 40 · Déf.Spé 40 · Vit 90
Total 300
Talents : Absorbe-Eau, Moiteur (caché :
  Glissade)</t>
      </text>
    </comment>
    <comment ref="E920" authorId="0" shapeId="0">
      <text>
        <t>URSARING — Normal
PV 90 · Att 130 · Déf 75
Att.Spé 75 · Déf.Spé 75 · Vit 55
Total 500
Talents : Cran, Pied Véloce (caché : Tension)</t>
      </text>
    </comment>
    <comment ref="E921" authorId="0" shapeId="0">
      <text>
        <t>GROLEM — Roche / Sol
PV 80 · Att 120 · Déf 130
Att.Spé 55 · Déf.Spé 65 · Vit 45
Total 495
Talents : Tête de Roc, Fermeté (caché : Voile
  Sable)</t>
      </text>
    </comment>
    <comment ref="E922" authorId="0" shapeId="0">
      <text>
        <t>MACHOPEUR — Combat
PV 80 · Att 100 · Déf 70
Att.Spé 50 · Déf.Spé 60 · Vit 45
Total 405
Talents : Cran, Annule Garde (caché :
  Impassible)</t>
      </text>
    </comment>
    <comment ref="E923" authorId="0" shapeId="0">
      <text>
        <t>NOSTENFER — Poison / Vol
PV 85 · Att 90 · Déf 80
Att.Spé 70 · Déf.Spé 80 · Vit 130
Total 535
Talents : Attention (caché : Infiltration)</t>
      </text>
    </comment>
    <comment ref="E924" authorId="0" shapeId="0">
      <text>
        <t>ONIX — Roche / Sol
PV 35 · Att 45 · Déf 160
Att.Spé 30 · Déf.Spé 45 · Vit 70
Total 385
Talents : Tête de Roc, Fermeté (caché :
  Armurouillée)</t>
      </text>
    </comment>
    <comment ref="E925" authorId="0" shapeId="0">
      <text>
        <t>YMPHECT — Roche / Sol
PV 70 · Att 84 · Déf 70
Att.Spé 65 · Déf.Spé 70 · Vit 51
Total 410
Talents : Mue</t>
      </text>
    </comment>
    <comment ref="E926" authorId="0" shapeId="0">
      <text>
        <t>NOSFERALTO — Poison / Vol
PV 75 · Att 80 · Déf 70
Att.Spé 65 · Déf.Spé 75 · Vit 90
Total 455
Talents : Attention (caché : Infiltration)</t>
      </text>
    </comment>
    <comment ref="E927" authorId="0" shapeId="0">
      <text>
        <t>ONIX — Roche / Sol
PV 35 · Att 45 · Déf 160
Att.Spé 30 · Déf.Spé 45 · Vit 70
Total 385
Talents : Tête de Roc, Fermeté (caché :
  Armurouillée)</t>
      </text>
    </comment>
    <comment ref="E928" authorId="0" shapeId="0">
      <text>
        <t>URSARING — Normal
PV 90 · Att 130 · Déf 75
Att.Spé 75 · Déf.Spé 75 · Vit 55
Total 500
Talents : Cran, Pied Véloce (caché : Tension)</t>
      </text>
    </comment>
    <comment ref="E929" authorId="0" shapeId="0">
      <text>
        <t>GROLEM — Roche / Sol
PV 80 · Att 120 · Déf 130
Att.Spé 55 · Déf.Spé 65 · Vit 45
Total 495
Talents : Tête de Roc, Fermeté (caché : Voile
  Sable)</t>
      </text>
    </comment>
    <comment ref="E930" authorId="0" shapeId="0">
      <text>
        <t>AIRMURE — Acier / Vol
PV 65 · Att 80 · Déf 140
Att.Spé 40 · Déf.Spé 70 · Vit 70
Total 465
Talents : Regard Vif, Fermeté (caché :
  Armurouillée)</t>
      </text>
    </comment>
    <comment ref="E931" authorId="0" shapeId="0">
      <text>
        <t>DEMOLOSSE — Ténèbres / Feu
PV 75 · Att 90 · Déf 50
Att.Spé 110 · Déf.Spé 80 · Vit 95
Total 500
Talents : Matinal, Torche (caché : Tension)</t>
      </text>
    </comment>
    <comment ref="E932" authorId="0" shapeId="0">
      <text>
        <t>MACHOPEUR — Combat
PV 80 · Att 100 · Déf 70
Att.Spé 50 · Déf.Spé 60 · Vit 45
Total 405
Talents : Cran, Annule Garde (caché :
  Impassible)</t>
      </text>
    </comment>
    <comment ref="E933" authorId="0" shapeId="0">
      <text>
        <t>GALOPA — Feu
PV 65 · Att 100 · Déf 70
Att.Spé 80 · Déf.Spé 80 · Vit 105
Total 500
Talents : Fuite, Torche (caché : Corps Ardent)</t>
      </text>
    </comment>
    <comment ref="E934" authorId="0" shapeId="0">
      <text>
        <t>ONIX — Roche / Sol
PV 35 · Att 45 · Déf 160
Att.Spé 30 · Déf.Spé 45 · Vit 70
Total 385
Talents : Tête de Roc, Fermeté (caché :
  Armurouillée)</t>
      </text>
    </comment>
    <comment ref="E935" authorId="0" shapeId="0">
      <text>
        <t>URSARING — Normal
PV 90 · Att 130 · Déf 75
Att.Spé 75 · Déf.Spé 75 · Vit 55
Total 500
Talents : Cran, Pied Véloce (caché : Tension)</t>
      </text>
    </comment>
    <comment ref="E936" authorId="0" shapeId="0">
      <text>
        <t>GROLEM — Roche / Sol
PV 80 · Att 120 · Déf 130
Att.Spé 55 · Déf.Spé 65 · Vit 45
Total 495
Talents : Tête de Roc, Fermeté (caché : Voile
  Sable)</t>
      </text>
    </comment>
    <comment ref="E937" authorId="0" shapeId="0">
      <text>
        <t>AIRMURE — Acier / Vol
PV 65 · Att 80 · Déf 140
Att.Spé 40 · Déf.Spé 70 · Vit 70
Total 465
Talents : Regard Vif, Fermeté (caché :
  Armurouillée)</t>
      </text>
    </comment>
    <comment ref="E938" authorId="0" shapeId="0">
      <text>
        <t>DEMOLOSSE — Ténèbres / Feu
PV 75 · Att 90 · Déf 50
Att.Spé 110 · Déf.Spé 80 · Vit 95
Total 500
Talents : Matinal, Torche (caché : Tension)</t>
      </text>
    </comment>
    <comment ref="E939" authorId="0" shapeId="0">
      <text>
        <t>MAGIREVE — Spectre
PV 60 · Att 60 · Déf 60
Att.Spé 105 · Déf.Spé 105 · Vit 105
Total 495
Talents : Lévitation</t>
      </text>
    </comment>
    <comment ref="E940" authorId="0" shapeId="0">
      <text>
        <t>GALOPA — Feu
PV 65 · Att 100 · Déf 70
Att.Spé 80 · Déf.Spé 80 · Vit 105
Total 500
Talents : Fuite, Torche (caché : Corps Ardent)</t>
      </text>
    </comment>
    <comment ref="E941" authorId="0" shapeId="0">
      <text>
        <t>FORETRESS — Insecte / Acier
PV 75 · Att 90 · Déf 140
Att.Spé 60 · Déf.Spé 60 · Vit 40
Total 465
Talents : Fermeté (caché : Envelocape)</t>
      </text>
    </comment>
    <comment ref="E942" authorId="0" shapeId="0">
      <text>
        <t>CAPIDEXTRE — Normal
PV 75 · Att 100 · Déf 66
Att.Spé 60 · Déf.Spé 66 · Vit 115
Total 482
Talents : Technicien, Ramassage (caché :
  Multi-Coups)</t>
      </text>
    </comment>
    <comment ref="E943" authorId="0" shapeId="0">
      <text>
        <t>INSECATEUR — Insecte / Vol
PV 70 · Att 110 · Déf 80
Att.Spé 55 · Déf.Spé 80 · Vit 105
Total 500
Talents : Essaim, Technicien (caché :
  Impassible)</t>
      </text>
    </comment>
    <comment ref="E944" authorId="0" shapeId="0">
      <text>
        <t>SCARHINO — Insecte / Combat
PV 80 · Att 125 · Déf 75
Att.Spé 40 · Déf.Spé 95 · Vit 85
Total 500
Talents : Essaim, Cran (caché : Impudence)</t>
      </text>
    </comment>
    <comment ref="E945" authorId="0" shapeId="0">
      <text>
        <t>FORETRESS — Insecte / Acier
PV 75 · Att 90 · Déf 140
Att.Spé 60 · Déf.Spé 60 · Vit 40
Total 465
Talents : Fermeté (caché : Envelocape)</t>
      </text>
    </comment>
    <comment ref="E946" authorId="0" shapeId="0">
      <text>
        <t>CAPIDEXTRE — Normal
PV 75 · Att 100 · Déf 66
Att.Spé 60 · Déf.Spé 66 · Vit 115
Total 482
Talents : Technicien, Ramassage (caché :
  Multi-Coups)</t>
      </text>
    </comment>
    <comment ref="E947" authorId="0" shapeId="0">
      <text>
        <t>INSECATEUR — Insecte / Vol
PV 70 · Att 110 · Déf 80
Att.Spé 55 · Déf.Spé 80 · Vit 105
Total 500
Talents : Essaim, Technicien (caché :
  Impassible)</t>
      </text>
    </comment>
    <comment ref="E948" authorId="0" shapeId="0">
      <text>
        <t>SCARHINO — Insecte / Combat
PV 80 · Att 125 · Déf 75
Att.Spé 40 · Déf.Spé 95 · Vit 85
Total 500
Talents : Essaim, Cran (caché : Impudence)</t>
      </text>
    </comment>
    <comment ref="E949" authorId="0" shapeId="0">
      <text>
        <t>MAGICARPE — Eau
PV 20 · Att 10 · Déf 55
Att.Spé 15 · Déf.Spé 20 · Vit 80
Total 200
Talents : Glissade (caché : Phobique)</t>
      </text>
    </comment>
    <comment ref="E950" authorId="0" shapeId="0">
      <text>
        <t>PTITARD — Eau
PV 40 · Att 50 · Déf 40
Att.Spé 40 · Déf.Spé 40 · Vit 90
Total 300
Talents : Absorbe-Eau, Moiteur (caché :
  Glissade)</t>
      </text>
    </comment>
    <comment ref="E951" authorId="0" shapeId="0">
      <text>
        <t>PTITARD — Eau
PV 40 · Att 50 · Déf 40
Att.Spé 40 · Déf.Spé 40 · Vit 90
Total 300
Talents : Absorbe-Eau, Moiteur (caché :
  Glissade)</t>
      </text>
    </comment>
    <comment ref="E952" authorId="0" shapeId="0">
      <text>
        <t>MAGICARPE — Eau
PV 20 · Att 10 · Déf 55
Att.Spé 15 · Déf.Spé 20 · Vit 80
Total 200
Talents : Glissade (caché : Phobique)</t>
      </text>
    </comment>
    <comment ref="E953" authorId="0" shapeId="0">
      <text>
        <t>MAGICARPE — Eau
PV 20 · Att 10 · Déf 55
Att.Spé 15 · Déf.Spé 20 · Vit 80
Total 200
Talents : Glissade (caché : Phobique)</t>
      </text>
    </comment>
    <comment ref="E954" authorId="0" shapeId="0">
      <text>
        <t>TETARTE — Eau
PV 65 · Att 65 · Déf 65
Att.Spé 50 · Déf.Spé 50 · Vit 90
Total 385
Talents : Absorbe-Eau, Moiteur (caché :
  Glissade)</t>
      </text>
    </comment>
    <comment ref="E955" authorId="0" shapeId="0">
      <text>
        <t>PTITARD — Eau
PV 40 · Att 50 · Déf 40
Att.Spé 40 · Déf.Spé 40 · Vit 90
Total 300
Talents : Absorbe-Eau, Moiteur (caché :
  Glissade)</t>
      </text>
    </comment>
    <comment ref="E956" authorId="0" shapeId="0">
      <text>
        <t>GROLEM — Roche / Sol
PV 80 · Att 120 · Déf 130
Att.Spé 55 · Déf.Spé 65 · Vit 45
Total 495
Talents : Tête de Roc, Fermeté (caché : Voile
  Sable)</t>
      </text>
    </comment>
    <comment ref="E957" authorId="0" shapeId="0">
      <text>
        <t>URSARING — Normal
PV 90 · Att 130 · Déf 75
Att.Spé 75 · Déf.Spé 75 · Vit 55
Total 500
Talents : Cran, Pied Véloce (caché : Tension)</t>
      </text>
    </comment>
    <comment ref="E958" authorId="0" shapeId="0">
      <text>
        <t>AIRMURE — Acier / Vol
PV 65 · Att 80 · Déf 140
Att.Spé 40 · Déf.Spé 70 · Vit 70
Total 465
Talents : Regard Vif, Fermeté (caché :
  Armurouillée)</t>
      </text>
    </comment>
    <comment ref="E959" authorId="0" shapeId="0">
      <text>
        <t>GALOPA — Feu
PV 65 · Att 100 · Déf 70
Att.Spé 80 · Déf.Spé 80 · Vit 105
Total 500
Talents : Fuite, Torche (caché : Corps Ardent)</t>
      </text>
    </comment>
    <comment ref="E960" authorId="0" shapeId="0">
      <text>
        <t>DRACAUFEU — Feu / Vol
PV 78 · Att 84 · Déf 78
Att.Spé 109 · Déf.Spé 85 · Vit 100
Total 534
Talents : Brasier (caché : Force Soleil)</t>
      </text>
    </comment>
    <comment ref="E961" authorId="0" shapeId="0">
      <text>
        <t>FLORIZARRE — Plante / Poison
PV 80 · Att 82 · Déf 83
Att.Spé 100 · Déf.Spé 100 · Vit 80
Total 525
Talents : Engrais (caché : Chlorophylle)</t>
      </text>
    </comment>
    <comment ref="E962" authorId="0" shapeId="0">
      <text>
        <t>DONPHAN — Sol
PV 90 · Att 120 · Déf 120
Att.Spé 60 · Déf.Spé 60 · Vit 50
Total 500
Talents : Fermeté (caché : Voile Sable)</t>
      </text>
    </comment>
    <comment ref="E963" authorId="0" shapeId="0">
      <text>
        <t>MARAISTE — Eau / Sol
PV 95 · Att 85 · Déf 85
Att.Spé 65 · Déf.Spé 65 · Vit 35
Total 430
Talents : Moiteur, Absorbe-Eau (caché :
  Inconscient)</t>
      </text>
    </comment>
    <comment ref="E964" authorId="0" shapeId="0">
      <text>
        <t>URSARING — Normal
PV 90 · Att 130 · Déf 75
Att.Spé 75 · Déf.Spé 75 · Vit 55
Total 500
Talents : Cran, Pied Véloce (caché : Tension)</t>
      </text>
    </comment>
    <comment ref="E965" authorId="0" shapeId="0">
      <text>
        <t>DEMOLOSSE — Ténèbres / Feu
PV 75 · Att 90 · Déf 50
Att.Spé 110 · Déf.Spé 80 · Vit 95
Total 500
Talents : Matinal, Torche (caché : Tension)</t>
      </text>
    </comment>
    <comment ref="E966" authorId="0" shapeId="0">
      <text>
        <t>NOSTENFER — Poison / Vol
PV 85 · Att 90 · Déf 80
Att.Spé 70 · Déf.Spé 80 · Vit 130
Total 535
Talents : Attention (caché : Infiltration)</t>
      </text>
    </comment>
    <comment ref="E967" authorId="0" shapeId="0">
      <text>
        <t>FLORIZARRE — Plante / Poison
PV 80 · Att 82 · Déf 83
Att.Spé 100 · Déf.Spé 100 · Vit 80
Total 525
Talents : Engrais (caché : Chlorophylle)</t>
      </text>
    </comment>
    <comment ref="E968" authorId="0" shapeId="0">
      <text>
        <t>TORTANK — Eau
PV 79 · Att 83 · Déf 100
Att.Spé 85 · Déf.Spé 105 · Vit 78
Total 530
Talents : Torrent (caché : Cuvette)</t>
      </text>
    </comment>
    <comment ref="E969" authorId="0" shapeId="0">
      <text>
        <t>PTITARD — Eau
PV 40 · Att 50 · Déf 40
Att.Spé 40 · Déf.Spé 40 · Vit 90
Total 300
Talents : Absorbe-Eau, Moiteur (caché :
  Glissade)</t>
      </text>
    </comment>
    <comment ref="E970" authorId="0" shapeId="0">
      <text>
        <t>TETARTE — Eau
PV 65 · Att 65 · Déf 65
Att.Spé 50 · Déf.Spé 50 · Vit 90
Total 385
Talents : Absorbe-Eau, Moiteur (caché :
  Glissade)</t>
      </text>
    </comment>
    <comment ref="E971" authorId="0" shapeId="0">
      <text>
        <t>PTITARD — Eau
PV 40 · Att 50 · Déf 40
Att.Spé 40 · Déf.Spé 40 · Vit 90
Total 300
Talents : Absorbe-Eau, Moiteur (caché :
  Glissade)</t>
      </text>
    </comment>
    <comment ref="E972" authorId="0" shapeId="0">
      <text>
        <t>TETARTE — Eau
PV 65 · Att 65 · Déf 65
Att.Spé 50 · Déf.Spé 50 · Vit 90
Total 385
Talents : Absorbe-Eau, Moiteur (caché :
  Glissade)</t>
      </text>
    </comment>
    <comment ref="E973" authorId="0" shapeId="0">
      <text>
        <t>FORETRESS — Insecte / Acier
PV 75 · Att 90 · Déf 140
Att.Spé 60 · Déf.Spé 60 · Vit 40
Total 465
Talents : Fermeté (caché : Envelocape)</t>
      </text>
    </comment>
    <comment ref="E974" authorId="0" shapeId="0">
      <text>
        <t>CAPIDEXTRE — Normal
PV 75 · Att 100 · Déf 66
Att.Spé 60 · Déf.Spé 66 · Vit 115
Total 482
Talents : Technicien, Ramassage (caché :
  Multi-Coups)</t>
      </text>
    </comment>
    <comment ref="E975" authorId="0" shapeId="0">
      <text>
        <t>INSECATEUR — Insecte / Vol
PV 70 · Att 110 · Déf 80
Att.Spé 55 · Déf.Spé 80 · Vit 105
Total 500
Talents : Essaim, Technicien (caché :
  Impassible)</t>
      </text>
    </comment>
    <comment ref="E976" authorId="0" shapeId="0">
      <text>
        <t>SCARHINO — Insecte / Combat
PV 80 · Att 125 · Déf 75
Att.Spé 40 · Déf.Spé 95 · Vit 85
Total 500
Talents : Essaim, Cran (caché : Impudence)</t>
      </text>
    </comment>
    <comment ref="E977" authorId="0" shapeId="0">
      <text>
        <t>FORETRESS — Insecte / Acier
PV 75 · Att 90 · Déf 140
Att.Spé 60 · Déf.Spé 60 · Vit 40
Total 465
Talents : Fermeté (caché : Envelocape)</t>
      </text>
    </comment>
    <comment ref="E978" authorId="0" shapeId="0">
      <text>
        <t>CAPIDEXTRE — Normal
PV 75 · Att 100 · Déf 66
Att.Spé 60 · Déf.Spé 66 · Vit 115
Total 482
Talents : Technicien, Ramassage (caché :
  Multi-Coups)</t>
      </text>
    </comment>
    <comment ref="E979" authorId="0" shapeId="0">
      <text>
        <t>INSECATEUR — Insecte / Vol
PV 70 · Att 110 · Déf 80
Att.Spé 55 · Déf.Spé 80 · Vit 105
Total 500
Talents : Essaim, Technicien (caché :
  Impassible)</t>
      </text>
    </comment>
    <comment ref="E980" authorId="0" shapeId="0">
      <text>
        <t>SCARHINO — Insecte / Combat
PV 80 · Att 125 · Déf 75
Att.Spé 40 · Déf.Spé 95 · Vit 85
Total 500
Talents : Essaim, Cran (caché : Impudence)</t>
      </text>
    </comment>
    <comment ref="E981" authorId="0" shapeId="0">
      <text>
        <t>MAGICARPE — Eau
PV 20 · Att 10 · Déf 55
Att.Spé 15 · Déf.Spé 20 · Vit 80
Total 200
Talents : Glissade (caché : Phobique)</t>
      </text>
    </comment>
    <comment ref="E982" authorId="0" shapeId="0">
      <text>
        <t>PTITARD — Eau
PV 40 · Att 50 · Déf 40
Att.Spé 40 · Déf.Spé 40 · Vit 90
Total 300
Talents : Absorbe-Eau, Moiteur (caché :
  Glissade)</t>
      </text>
    </comment>
    <comment ref="E983" authorId="0" shapeId="0">
      <text>
        <t>MAGICARPE — Eau
PV 20 · Att 10 · Déf 55
Att.Spé 15 · Déf.Spé 20 · Vit 80
Total 200
Talents : Glissade (caché : Phobique)</t>
      </text>
    </comment>
    <comment ref="E984" authorId="0" shapeId="0">
      <text>
        <t>PTITARD — Eau
PV 40 · Att 50 · Déf 40
Att.Spé 40 · Déf.Spé 40 · Vit 90
Total 300
Talents : Absorbe-Eau, Moiteur (caché :
  Glissade)</t>
      </text>
    </comment>
    <comment ref="E985" authorId="0" shapeId="0">
      <text>
        <t>PTITARD — Eau
PV 40 · Att 50 · Déf 40
Att.Spé 40 · Déf.Spé 40 · Vit 90
Total 300
Talents : Absorbe-Eau, Moiteur (caché :
  Glissade)</t>
      </text>
    </comment>
    <comment ref="E986" authorId="0" shapeId="0">
      <text>
        <t>MAGICARPE — Eau
PV 20 · Att 10 · Déf 55
Att.Spé 15 · Déf.Spé 20 · Vit 80
Total 200
Talents : Glissade (caché : Phobique)</t>
      </text>
    </comment>
    <comment ref="E987" authorId="0" shapeId="0">
      <text>
        <t>PTITARD — Eau
PV 40 · Att 50 · Déf 40
Att.Spé 40 · Déf.Spé 40 · Vit 90
Total 300
Talents : Absorbe-Eau, Moiteur (caché :
  Glissade)</t>
      </text>
    </comment>
    <comment ref="E988" authorId="0" shapeId="0">
      <text>
        <t>MAGICARPE — Eau
PV 20 · Att 10 · Déf 55
Att.Spé 15 · Déf.Spé 20 · Vit 80
Total 200
Talents : Glissade (caché : Phobique)</t>
      </text>
    </comment>
    <comment ref="E989" authorId="0" shapeId="0">
      <text>
        <t>MAGICARPE — Eau
PV 20 · Att 10 · Déf 55
Att.Spé 15 · Déf.Spé 20 · Vit 80
Total 200
Talents : Glissade (caché : Phobique)</t>
      </text>
    </comment>
    <comment ref="E990" authorId="0" shapeId="0">
      <text>
        <t>TETARTE — Eau
PV 65 · Att 65 · Déf 65
Att.Spé 50 · Déf.Spé 50 · Vit 90
Total 385
Talents : Absorbe-Eau, Moiteur (caché :
  Glissade)</t>
      </text>
    </comment>
    <comment ref="E991" authorId="0" shapeId="0">
      <text>
        <t>PTITARD — Eau
PV 40 · Att 50 · Déf 40
Att.Spé 40 · Déf.Spé 40 · Vit 90
Total 300
Talents : Absorbe-Eau, Moiteur (caché :
  Glissade)</t>
      </text>
    </comment>
    <comment ref="E992" authorId="0" shapeId="0">
      <text>
        <t>MAGICARPE — Eau
PV 20 · Att 10 · Déf 55
Att.Spé 15 · Déf.Spé 20 · Vit 80
Total 200
Talents : Glissade (caché : Phobique)</t>
      </text>
    </comment>
    <comment ref="E993" authorId="0" shapeId="0">
      <text>
        <t>TETARTE — Eau
PV 65 · Att 65 · Déf 65
Att.Spé 50 · Déf.Spé 50 · Vit 90
Total 385
Talents : Absorbe-Eau, Moiteur (caché :
  Glissade)</t>
      </text>
    </comment>
    <comment ref="E994" authorId="0" shapeId="0">
      <text>
        <t>PTITARD — Eau
PV 40 · Att 50 · Déf 40
Att.Spé 40 · Déf.Spé 40 · Vit 90
Total 300
Talents : Absorbe-Eau, Moiteur (caché :
  Glissade)</t>
      </text>
    </comment>
    <comment ref="E995" authorId="0" shapeId="0">
      <text>
        <t>DIMORET — Ténèbres / Glace
PV 70 · Att 120 · Déf 65
Att.Spé 45 · Déf.Spé 85 · Vit 125
Total 510
Talents : Pression (caché : Pickpocket)</t>
      </text>
    </comment>
    <comment ref="E996" authorId="0" shapeId="0">
      <text>
        <t>URSARING — Normal
PV 90 · Att 130 · Déf 75
Att.Spé 75 · Déf.Spé 75 · Vit 55
Total 500
Talents : Cran, Pied Véloce (caché : Tension)</t>
      </text>
    </comment>
    <comment ref="E997" authorId="0" shapeId="0">
      <text>
        <t>AIRMURE — Acier / Vol
PV 65 · Att 80 · Déf 140
Att.Spé 40 · Déf.Spé 70 · Vit 70
Total 465
Talents : Regard Vif, Fermeté (caché :
  Armurouillée)</t>
      </text>
    </comment>
    <comment ref="E998" authorId="0" shapeId="0">
      <text>
        <t>DEMOLOSSE — Ténèbres / Feu
PV 75 · Att 90 · Déf 50
Att.Spé 110 · Déf.Spé 80 · Vit 95
Total 500
Talents : Matinal, Torche (caché : Tension)</t>
      </text>
    </comment>
    <comment ref="E999" authorId="0" shapeId="0">
      <text>
        <t>MACHOPEUR — Combat
PV 80 · Att 100 · Déf 70
Att.Spé 50 · Déf.Spé 60 · Vit 45
Total 405
Talents : Cran, Annule Garde (caché :
  Impassible)</t>
      </text>
    </comment>
    <comment ref="E1000" authorId="0" shapeId="0">
      <text>
        <t>MAGIREVE — Spectre
PV 60 · Att 60 · Déf 60
Att.Spé 105 · Déf.Spé 105 · Vit 105
Total 495
Talents : Lévitation</t>
      </text>
    </comment>
    <comment ref="E1001" authorId="0" shapeId="0">
      <text>
        <t>MAMMOCHON — Glace / Sol
PV 110 · Att 130 · Déf 80
Att.Spé 70 · Déf.Spé 60 · Vit 80
Total 530
Talents : Benêt, Rideau Neige (caché :
  Isograisse)</t>
      </text>
    </comment>
    <comment ref="E1002" authorId="0" shapeId="0">
      <text>
        <t>COCHIGNON — Glace / Sol
PV 100 · Att 100 · Déf 80
Att.Spé 60 · Déf.Spé 60 · Vit 50
Total 450
Talents : Benêt, Rideau Neige (caché :
  Isograisse)</t>
      </text>
    </comment>
    <comment ref="E1003" authorId="0" shapeId="0">
      <text>
        <t>GALOPA — Feu
PV 65 · Att 100 · Déf 70
Att.Spé 80 · Déf.Spé 80 · Vit 105
Total 500
Talents : Fuite, Torche (caché : Corps Ardent)</t>
      </text>
    </comment>
    <comment ref="E1004" authorId="0" shapeId="0">
      <text>
        <t>DIMORET — Ténèbres / Glace
PV 70 · Att 120 · Déf 65
Att.Spé 45 · Déf.Spé 85 · Vit 125
Total 510
Talents : Pression (caché : Pickpocket)</t>
      </text>
    </comment>
    <comment ref="E1005" authorId="0" shapeId="0">
      <text>
        <t>URSARING — Normal
PV 90 · Att 130 · Déf 75
Att.Spé 75 · Déf.Spé 75 · Vit 55
Total 500
Talents : Cran, Pied Véloce (caché : Tension)</t>
      </text>
    </comment>
    <comment ref="E1006" authorId="0" shapeId="0">
      <text>
        <t>AIRMURE — Acier / Vol
PV 65 · Att 80 · Déf 140
Att.Spé 40 · Déf.Spé 70 · Vit 70
Total 465
Talents : Regard Vif, Fermeté (caché :
  Armurouillée)</t>
      </text>
    </comment>
    <comment ref="E1007" authorId="0" shapeId="0">
      <text>
        <t>COURROUSINGE — Combat / Spectre
PV 110 · Att 115 · Déf 80
Att.Spé 50 · Déf.Spé 90 · Vit 90
Total 535
Talents : Esprit Vital, Attention (caché :
  Acharné)</t>
      </text>
    </comment>
    <comment ref="E1008" authorId="0" shapeId="0">
      <text>
        <t>DEMOLOSSE — Ténèbres / Feu
PV 75 · Att 90 · Déf 50
Att.Spé 110 · Déf.Spé 80 · Vit 95
Total 500
Talents : Matinal, Torche (caché : Tension)</t>
      </text>
    </comment>
    <comment ref="E1009" authorId="0" shapeId="0">
      <text>
        <t>MACHOPEUR — Combat
PV 80 · Att 100 · Déf 70
Att.Spé 50 · Déf.Spé 60 · Vit 45
Total 405
Talents : Cran, Annule Garde (caché :
  Impassible)</t>
      </text>
    </comment>
    <comment ref="E1010" authorId="0" shapeId="0">
      <text>
        <t>MAMMOCHON — Glace / Sol
PV 110 · Att 130 · Déf 80
Att.Spé 70 · Déf.Spé 60 · Vit 80
Total 530
Talents : Benêt, Rideau Neige (caché :
  Isograisse)</t>
      </text>
    </comment>
    <comment ref="E1011" authorId="0" shapeId="0">
      <text>
        <t>COCHIGNON — Glace / Sol
PV 100 · Att 100 · Déf 80
Att.Spé 60 · Déf.Spé 60 · Vit 50
Total 450
Talents : Benêt, Rideau Neige (caché :
  Isograisse)</t>
      </text>
    </comment>
    <comment ref="E1012" authorId="0" shapeId="0">
      <text>
        <t>GALOPA — Feu
PV 65 · Att 100 · Déf 70
Att.Spé 80 · Déf.Spé 80 · Vit 105
Total 500
Talents : Fuite, Torche (caché : Corps Ardent)</t>
      </text>
    </comment>
    <comment ref="E1013" authorId="0" shapeId="0">
      <text>
        <t>NOSFERAPTI — Poison / Vol
PV 40 · Att 45 · Déf 35
Att.Spé 30 · Déf.Spé 40 · Vit 55
Total 245
Talents : Attention (caché : Infiltration)</t>
      </text>
    </comment>
    <comment ref="E1014" authorId="0" shapeId="0">
      <text>
        <t>RACAILLOU — Roche / Sol
PV 40 · Att 80 · Déf 100
Att.Spé 30 · Déf.Spé 30 · Vit 20
Total 300
Talents : Tête de Roc, Fermeté (caché : Voile
  Sable)</t>
      </text>
    </comment>
    <comment ref="E1015" authorId="0" shapeId="0">
      <text>
        <t>MACHOC — Combat
PV 70 · Att 80 · Déf 50
Att.Spé 35 · Déf.Spé 35 · Vit 35
Total 305
Talents : Cran, Annule Garde (caché :
  Impassible)</t>
      </text>
    </comment>
    <comment ref="E1016" authorId="0" shapeId="0">
      <text>
        <t>NOSFERALTO — Poison / Vol
PV 75 · Att 80 · Déf 70
Att.Spé 65 · Déf.Spé 75 · Vit 90
Total 455
Talents : Attention (caché : Infiltration)</t>
      </text>
    </comment>
    <comment ref="E1017" authorId="0" shapeId="0">
      <text>
        <t>OSSELAIT — Sol
PV 50 · Att 50 · Déf 95
Att.Spé 40 · Déf.Spé 50 · Vit 35
Total 320
Talents : Tête de Roc, Paratonnerre (caché :
  Armurbaston)</t>
      </text>
    </comment>
    <comment ref="E1018" authorId="0" shapeId="0">
      <text>
        <t>RHINOCORNE — Sol / Roche
PV 80 · Att 85 · Déf 95
Att.Spé 30 · Déf.Spé 30 · Vit 25
Total 345
Talents : Paratonnerre, Tête de Roc (caché :
  Téméraire)</t>
      </text>
    </comment>
    <comment ref="E1019" authorId="0" shapeId="0">
      <text>
        <t>NOSFERAPTI — Poison / Vol
PV 40 · Att 45 · Déf 35
Att.Spé 30 · Déf.Spé 40 · Vit 55
Total 245
Talents : Attention (caché : Infiltration)</t>
      </text>
    </comment>
    <comment ref="E1020" authorId="0" shapeId="0">
      <text>
        <t>RACAILLOU — Roche / Sol
PV 40 · Att 80 · Déf 100
Att.Spé 30 · Déf.Spé 30 · Vit 20
Total 300
Talents : Tête de Roc, Fermeté (caché : Voile
  Sable)</t>
      </text>
    </comment>
    <comment ref="E1021" authorId="0" shapeId="0">
      <text>
        <t>MARILL — Eau / Fée
PV 70 · Att 20 · Déf 50
Att.Spé 20 · Déf.Spé 50 · Vit 40
Total 250
Talents : Isograisse, Coloforce (caché :
  Herbivore)</t>
      </text>
    </comment>
    <comment ref="E1022" authorId="0" shapeId="0">
      <text>
        <t>NOSFERALTO — Poison / Vol
PV 75 · Att 80 · Déf 70
Att.Spé 65 · Déf.Spé 75 · Vit 90
Total 455
Talents : Attention (caché : Infiltration)</t>
      </text>
    </comment>
    <comment ref="E1023" authorId="0" shapeId="0">
      <text>
        <t>OSSELAIT — Sol
PV 50 · Att 50 · Déf 95
Att.Spé 40 · Déf.Spé 50 · Vit 35
Total 320
Talents : Tête de Roc, Paratonnerre (caché :
  Armurbaston)</t>
      </text>
    </comment>
    <comment ref="E1024" authorId="0" shapeId="0">
      <text>
        <t>RHINOCORNE — Sol / Roche
PV 80 · Att 85 · Déf 95
Att.Spé 30 · Déf.Spé 30 · Vit 25
Total 345
Talents : Paratonnerre, Tête de Roc (caché :
  Téméraire)</t>
      </text>
    </comment>
    <comment ref="E1025" authorId="0" shapeId="0">
      <text>
        <t>POISSIRENE — Eau
PV 45 · Att 67 · Déf 60
Att.Spé 35 · Déf.Spé 50 · Vit 63
Total 320
Talents : Glissade, Ignifu-Voile (caché :
  Paratonnerre)</t>
      </text>
    </comment>
    <comment ref="E1026" authorId="0" shapeId="0">
      <text>
        <t>MARILL — Eau / Fée
PV 70 · Att 20 · Déf 50
Att.Spé 20 · Déf.Spé 50 · Vit 40
Total 250
Talents : Isograisse, Coloforce (caché :
  Herbivore)</t>
      </text>
    </comment>
    <comment ref="E1027" authorId="0" shapeId="0">
      <text>
        <t>POISSOROY — Eau
PV 80 · Att 92 · Déf 65
Att.Spé 65 · Déf.Spé 80 · Vit 68
Total 450
Talents : Glissade, Ignifu-Voile (caché :
  Paratonnerre)</t>
      </text>
    </comment>
    <comment ref="E1028" authorId="0" shapeId="0">
      <text>
        <t>POISSIRENE — Eau
PV 45 · Att 67 · Déf 60
Att.Spé 35 · Déf.Spé 50 · Vit 63
Total 320
Talents : Glissade, Ignifu-Voile (caché :
  Paratonnerre)</t>
      </text>
    </comment>
    <comment ref="E1029" authorId="0" shapeId="0">
      <text>
        <t>MARILL — Eau / Fée
PV 70 · Att 20 · Déf 50
Att.Spé 20 · Déf.Spé 50 · Vit 40
Total 250
Talents : Isograisse, Coloforce (caché :
  Herbivore)</t>
      </text>
    </comment>
    <comment ref="E1030" authorId="0" shapeId="0">
      <text>
        <t>POISSOROY — Eau
PV 80 · Att 92 · Déf 65
Att.Spé 65 · Déf.Spé 80 · Vit 68
Total 450
Talents : Glissade, Ignifu-Voile (caché :
  Paratonnerre)</t>
      </text>
    </comment>
    <comment ref="E1031" authorId="0" shapeId="0">
      <text>
        <t>MAGICARPE — Eau
PV 20 · Att 10 · Déf 55
Att.Spé 15 · Déf.Spé 20 · Vit 80
Total 200
Talents : Glissade (caché : Phobique)</t>
      </text>
    </comment>
    <comment ref="E1032" authorId="0" shapeId="0">
      <text>
        <t>POISSIRENE — Eau
PV 45 · Att 67 · Déf 60
Att.Spé 35 · Déf.Spé 50 · Vit 63
Total 320
Talents : Glissade, Ignifu-Voile (caché :
  Paratonnerre)</t>
      </text>
    </comment>
    <comment ref="E1033" authorId="0" shapeId="0">
      <text>
        <t>MAGICARPE — Eau
PV 20 · Att 10 · Déf 55
Att.Spé 15 · Déf.Spé 20 · Vit 80
Total 200
Talents : Glissade (caché : Phobique)</t>
      </text>
    </comment>
    <comment ref="E1034" authorId="0" shapeId="0">
      <text>
        <t>POISSIRENE — Eau
PV 45 · Att 67 · Déf 60
Att.Spé 35 · Déf.Spé 50 · Vit 63
Total 320
Talents : Glissade, Ignifu-Voile (caché :
  Paratonnerre)</t>
      </text>
    </comment>
    <comment ref="E1035" authorId="0" shapeId="0">
      <text>
        <t>POISSIRENE — Eau
PV 45 · Att 67 · Déf 60
Att.Spé 35 · Déf.Spé 50 · Vit 63
Total 320
Talents : Glissade, Ignifu-Voile (caché :
  Paratonnerre)</t>
      </text>
    </comment>
    <comment ref="E1036" authorId="0" shapeId="0">
      <text>
        <t>MAGICARPE — Eau
PV 20 · Att 10 · Déf 55
Att.Spé 15 · Déf.Spé 20 · Vit 80
Total 200
Talents : Glissade (caché : Phobique)</t>
      </text>
    </comment>
    <comment ref="E1037" authorId="0" shapeId="0">
      <text>
        <t>POISSIRENE — Eau
PV 45 · Att 67 · Déf 60
Att.Spé 35 · Déf.Spé 50 · Vit 63
Total 320
Talents : Glissade, Ignifu-Voile (caché :
  Paratonnerre)</t>
      </text>
    </comment>
    <comment ref="E1038" authorId="0" shapeId="0">
      <text>
        <t>MAGICARPE — Eau
PV 20 · Att 10 · Déf 55
Att.Spé 15 · Déf.Spé 20 · Vit 80
Total 200
Talents : Glissade (caché : Phobique)</t>
      </text>
    </comment>
    <comment ref="E1039" authorId="0" shapeId="0">
      <text>
        <t>POISSOROY — Eau
PV 80 · Att 92 · Déf 65
Att.Spé 65 · Déf.Spé 80 · Vit 68
Total 450
Talents : Glissade, Ignifu-Voile (caché :
  Paratonnerre)</t>
      </text>
    </comment>
    <comment ref="E1040" authorId="0" shapeId="0">
      <text>
        <t>MAGICARPE — Eau
PV 20 · Att 10 · Déf 55
Att.Spé 15 · Déf.Spé 20 · Vit 80
Total 200
Talents : Glissade (caché : Phobique)</t>
      </text>
    </comment>
    <comment ref="E1041" authorId="0" shapeId="0">
      <text>
        <t>POISSIRENE — Eau
PV 45 · Att 67 · Déf 60
Att.Spé 35 · Déf.Spé 50 · Vit 63
Total 320
Talents : Glissade, Ignifu-Voile (caché :
  Paratonnerre)</t>
      </text>
    </comment>
    <comment ref="E1042" authorId="0" shapeId="0">
      <text>
        <t>POISSOROY — Eau
PV 80 · Att 92 · Déf 65
Att.Spé 65 · Déf.Spé 80 · Vit 68
Total 450
Talents : Glissade, Ignifu-Voile (caché :
  Paratonnerre)</t>
      </text>
    </comment>
    <comment ref="E1043" authorId="0" shapeId="0">
      <text>
        <t>MAGICARPE — Eau
PV 20 · Att 10 · Déf 55
Att.Spé 15 · Déf.Spé 20 · Vit 80
Total 200
Talents : Glissade (caché : Phobique)</t>
      </text>
    </comment>
    <comment ref="E1044" authorId="0" shapeId="0">
      <text>
        <t>POISSIRENE — Eau
PV 45 · Att 67 · Déf 60
Att.Spé 35 · Déf.Spé 50 · Vit 63
Total 320
Talents : Glissade, Ignifu-Voile (caché :
  Paratonnerre)</t>
      </text>
    </comment>
    <comment ref="E1045" authorId="0" shapeId="0">
      <text>
        <t>NOSFERAPTI — Poison / Vol
PV 40 · Att 45 · Déf 35
Att.Spé 30 · Déf.Spé 40 · Vit 55
Total 245
Talents : Attention (caché : Infiltration)</t>
      </text>
    </comment>
    <comment ref="E1046" authorId="0" shapeId="0">
      <text>
        <t>RACAILLOU — Roche / Sol
PV 40 · Att 80 · Déf 100
Att.Spé 30 · Déf.Spé 30 · Vit 20
Total 300
Talents : Tête de Roc, Fermeté (caché : Voile
  Sable)</t>
      </text>
    </comment>
    <comment ref="E1047" authorId="0" shapeId="0">
      <text>
        <t>MACHOC — Combat
PV 70 · Att 80 · Déf 50
Att.Spé 35 · Déf.Spé 35 · Vit 35
Total 305
Talents : Cran, Annule Garde (caché :
  Impassible)</t>
      </text>
    </comment>
    <comment ref="E1048" authorId="0" shapeId="0">
      <text>
        <t>NOSFERALTO — Poison / Vol
PV 75 · Att 80 · Déf 70
Att.Spé 65 · Déf.Spé 75 · Vit 90
Total 455
Talents : Attention (caché : Infiltration)</t>
      </text>
    </comment>
    <comment ref="E1049" authorId="0" shapeId="0">
      <text>
        <t>OSSELAIT — Sol
PV 50 · Att 50 · Déf 95
Att.Spé 40 · Déf.Spé 50 · Vit 35
Total 320
Talents : Tête de Roc, Paratonnerre (caché :
  Armurbaston)</t>
      </text>
    </comment>
    <comment ref="E1050" authorId="0" shapeId="0">
      <text>
        <t>RHINOCORNE — Sol / Roche
PV 80 · Att 85 · Déf 95
Att.Spé 30 · Déf.Spé 30 · Vit 25
Total 345
Talents : Paratonnerre, Tête de Roc (caché :
  Téméraire)</t>
      </text>
    </comment>
    <comment ref="E1051" authorId="0" shapeId="0">
      <text>
        <t>NOSFERAPTI — Poison / Vol
PV 40 · Att 45 · Déf 35
Att.Spé 30 · Déf.Spé 40 · Vit 55
Total 245
Talents : Attention (caché : Infiltration)</t>
      </text>
    </comment>
    <comment ref="E1052" authorId="0" shapeId="0">
      <text>
        <t>RACAILLOU — Roche / Sol
PV 40 · Att 80 · Déf 100
Att.Spé 30 · Déf.Spé 30 · Vit 20
Total 300
Talents : Tête de Roc, Fermeté (caché : Voile
  Sable)</t>
      </text>
    </comment>
    <comment ref="E1053" authorId="0" shapeId="0">
      <text>
        <t>MARILL — Eau / Fée
PV 70 · Att 20 · Déf 50
Att.Spé 20 · Déf.Spé 50 · Vit 40
Total 250
Talents : Isograisse, Coloforce (caché :
  Herbivore)</t>
      </text>
    </comment>
    <comment ref="E1054" authorId="0" shapeId="0">
      <text>
        <t>NOSFERALTO — Poison / Vol
PV 75 · Att 80 · Déf 70
Att.Spé 65 · Déf.Spé 75 · Vit 90
Total 455
Talents : Attention (caché : Infiltration)</t>
      </text>
    </comment>
    <comment ref="E1055" authorId="0" shapeId="0">
      <text>
        <t>OSSELAIT — Sol
PV 50 · Att 50 · Déf 95
Att.Spé 40 · Déf.Spé 50 · Vit 35
Total 320
Talents : Tête de Roc, Paratonnerre (caché :
  Armurbaston)</t>
      </text>
    </comment>
    <comment ref="E1056" authorId="0" shapeId="0">
      <text>
        <t>RHINOCORNE — Sol / Roche
PV 80 · Att 85 · Déf 95
Att.Spé 30 · Déf.Spé 30 · Vit 25
Total 345
Talents : Paratonnerre, Tête de Roc (caché :
  Téméraire)</t>
      </text>
    </comment>
    <comment ref="E1057" authorId="0" shapeId="0">
      <text>
        <t>POISSIRENE — Eau
PV 45 · Att 67 · Déf 60
Att.Spé 35 · Déf.Spé 50 · Vit 63
Total 320
Talents : Glissade, Ignifu-Voile (caché :
  Paratonnerre)</t>
      </text>
    </comment>
    <comment ref="E1058" authorId="0" shapeId="0">
      <text>
        <t>MARILL — Eau / Fée
PV 70 · Att 20 · Déf 50
Att.Spé 20 · Déf.Spé 50 · Vit 40
Total 250
Talents : Isograisse, Coloforce (caché :
  Herbivore)</t>
      </text>
    </comment>
    <comment ref="E1059" authorId="0" shapeId="0">
      <text>
        <t>POISSOROY — Eau
PV 80 · Att 92 · Déf 65
Att.Spé 65 · Déf.Spé 80 · Vit 68
Total 450
Talents : Glissade, Ignifu-Voile (caché :
  Paratonnerre)</t>
      </text>
    </comment>
    <comment ref="E1060" authorId="0" shapeId="0">
      <text>
        <t>POISSIRENE — Eau
PV 45 · Att 67 · Déf 60
Att.Spé 35 · Déf.Spé 50 · Vit 63
Total 320
Talents : Glissade, Ignifu-Voile (caché :
  Paratonnerre)</t>
      </text>
    </comment>
    <comment ref="E1061" authorId="0" shapeId="0">
      <text>
        <t>MARILL — Eau / Fée
PV 70 · Att 20 · Déf 50
Att.Spé 20 · Déf.Spé 50 · Vit 40
Total 250
Talents : Isograisse, Coloforce (caché :
  Herbivore)</t>
      </text>
    </comment>
    <comment ref="E1062" authorId="0" shapeId="0">
      <text>
        <t>POISSOROY — Eau
PV 80 · Att 92 · Déf 65
Att.Spé 65 · Déf.Spé 80 · Vit 68
Total 450
Talents : Glissade, Ignifu-Voile (caché :
  Paratonnerre)</t>
      </text>
    </comment>
    <comment ref="E1063" authorId="0" shapeId="0">
      <text>
        <t>MAGICARPE — Eau
PV 20 · Att 10 · Déf 55
Att.Spé 15 · Déf.Spé 20 · Vit 80
Total 200
Talents : Glissade (caché : Phobique)</t>
      </text>
    </comment>
    <comment ref="E1064" authorId="0" shapeId="0">
      <text>
        <t>POISSIRENE — Eau
PV 45 · Att 67 · Déf 60
Att.Spé 35 · Déf.Spé 50 · Vit 63
Total 320
Talents : Glissade, Ignifu-Voile (caché :
  Paratonnerre)</t>
      </text>
    </comment>
    <comment ref="E1065" authorId="0" shapeId="0">
      <text>
        <t>MAGICARPE — Eau
PV 20 · Att 10 · Déf 55
Att.Spé 15 · Déf.Spé 20 · Vit 80
Total 200
Talents : Glissade (caché : Phobique)</t>
      </text>
    </comment>
    <comment ref="E1066" authorId="0" shapeId="0">
      <text>
        <t>POISSIRENE — Eau
PV 45 · Att 67 · Déf 60
Att.Spé 35 · Déf.Spé 50 · Vit 63
Total 320
Talents : Glissade, Ignifu-Voile (caché :
  Paratonnerre)</t>
      </text>
    </comment>
    <comment ref="E1067" authorId="0" shapeId="0">
      <text>
        <t>POISSIRENE — Eau
PV 45 · Att 67 · Déf 60
Att.Spé 35 · Déf.Spé 50 · Vit 63
Total 320
Talents : Glissade, Ignifu-Voile (caché :
  Paratonnerre)</t>
      </text>
    </comment>
    <comment ref="E1068" authorId="0" shapeId="0">
      <text>
        <t>MAGICARPE — Eau
PV 20 · Att 10 · Déf 55
Att.Spé 15 · Déf.Spé 20 · Vit 80
Total 200
Talents : Glissade (caché : Phobique)</t>
      </text>
    </comment>
    <comment ref="E1069" authorId="0" shapeId="0">
      <text>
        <t>POISSIRENE — Eau
PV 45 · Att 67 · Déf 60
Att.Spé 35 · Déf.Spé 50 · Vit 63
Total 320
Talents : Glissade, Ignifu-Voile (caché :
  Paratonnerre)</t>
      </text>
    </comment>
    <comment ref="E1070" authorId="0" shapeId="0">
      <text>
        <t>MAGICARPE — Eau
PV 20 · Att 10 · Déf 55
Att.Spé 15 · Déf.Spé 20 · Vit 80
Total 200
Talents : Glissade (caché : Phobique)</t>
      </text>
    </comment>
    <comment ref="E1071" authorId="0" shapeId="0">
      <text>
        <t>POISSOROY — Eau
PV 80 · Att 92 · Déf 65
Att.Spé 65 · Déf.Spé 80 · Vit 68
Total 450
Talents : Glissade, Ignifu-Voile (caché :
  Paratonnerre)</t>
      </text>
    </comment>
    <comment ref="E1072" authorId="0" shapeId="0">
      <text>
        <t>MAGICARPE — Eau
PV 20 · Att 10 · Déf 55
Att.Spé 15 · Déf.Spé 20 · Vit 80
Total 200
Talents : Glissade (caché : Phobique)</t>
      </text>
    </comment>
    <comment ref="E1073" authorId="0" shapeId="0">
      <text>
        <t>POISSIRENE — Eau
PV 45 · Att 67 · Déf 60
Att.Spé 35 · Déf.Spé 50 · Vit 63
Total 320
Talents : Glissade, Ignifu-Voile (caché :
  Paratonnerre)</t>
      </text>
    </comment>
    <comment ref="E1074" authorId="0" shapeId="0">
      <text>
        <t>POISSOROY — Eau
PV 80 · Att 92 · Déf 65
Att.Spé 65 · Déf.Spé 80 · Vit 68
Total 450
Talents : Glissade, Ignifu-Voile (caché :
  Paratonnerre)</t>
      </text>
    </comment>
    <comment ref="E1075" authorId="0" shapeId="0">
      <text>
        <t>MAGICARPE — Eau
PV 20 · Att 10 · Déf 55
Att.Spé 15 · Déf.Spé 20 · Vit 80
Total 200
Talents : Glissade (caché : Phobique)</t>
      </text>
    </comment>
    <comment ref="E1076" authorId="0" shapeId="0">
      <text>
        <t>POISSIRENE — Eau
PV 45 · Att 67 · Déf 60
Att.Spé 35 · Déf.Spé 50 · Vit 63
Total 320
Talents : Glissade, Ignifu-Voile (caché :
  Paratonnerre)</t>
      </text>
    </comment>
    <comment ref="E1077" authorId="0" shapeId="0">
      <text>
        <t>GRAVALANCH — Roche / Sol
PV 55 · Att 95 · Déf 115
Att.Spé 45 · Déf.Spé 45 · Vit 35
Total 390
Talents : Tête de Roc, Fermeté (caché : Voile
  Sable)</t>
      </text>
    </comment>
    <comment ref="E1078" authorId="0" shapeId="0">
      <text>
        <t>MACHOPEUR — Combat
PV 80 · Att 100 · Déf 70
Att.Spé 50 · Déf.Spé 60 · Vit 45
Total 405
Talents : Cran, Annule Garde (caché :
  Impassible)</t>
      </text>
    </comment>
    <comment ref="E1079" authorId="0" shapeId="0">
      <text>
        <t>RACAILLOU — Roche / Sol
PV 40 · Att 80 · Déf 100
Att.Spé 30 · Déf.Spé 30 · Vit 20
Total 300
Talents : Tête de Roc, Fermeté (caché : Voile
  Sable)</t>
      </text>
    </comment>
    <comment ref="E1080" authorId="0" shapeId="0">
      <text>
        <t>RATTATAC — Normal
PV 55 · Att 81 · Déf 60
Att.Spé 50 · Déf.Spé 70 · Vit 97
Total 413
Talents : Fuite, Cran (caché : Agitation)</t>
      </text>
    </comment>
    <comment ref="E1081" authorId="0" shapeId="0">
      <text>
        <t>MACHOC — Combat
PV 70 · Att 80 · Déf 50
Att.Spé 35 · Déf.Spé 35 · Vit 35
Total 305
Talents : Cran, Annule Garde (caché :
  Impassible)</t>
      </text>
    </comment>
    <comment ref="E1082" authorId="0" shapeId="0">
      <text>
        <t>NOSFERALTO — Poison / Vol
PV 75 · Att 80 · Déf 70
Att.Spé 65 · Déf.Spé 75 · Vit 90
Total 455
Talents : Attention (caché : Infiltration)</t>
      </text>
    </comment>
    <comment ref="E1083" authorId="0" shapeId="0">
      <text>
        <t>GRAVALANCH — Roche / Sol
PV 55 · Att 95 · Déf 115
Att.Spé 45 · Déf.Spé 45 · Vit 35
Total 390
Talents : Tête de Roc, Fermeté (caché : Voile
  Sable)</t>
      </text>
    </comment>
    <comment ref="E1084" authorId="0" shapeId="0">
      <text>
        <t>MACHOPEUR — Combat
PV 80 · Att 100 · Déf 70
Att.Spé 50 · Déf.Spé 60 · Vit 45
Total 405
Talents : Cran, Annule Garde (caché :
  Impassible)</t>
      </text>
    </comment>
    <comment ref="E1085" authorId="0" shapeId="0">
      <text>
        <t>RACAILLOU — Roche / Sol
PV 40 · Att 80 · Déf 100
Att.Spé 30 · Déf.Spé 30 · Vit 20
Total 300
Talents : Tête de Roc, Fermeté (caché : Voile
  Sable)</t>
      </text>
    </comment>
    <comment ref="E1086" authorId="0" shapeId="0">
      <text>
        <t>RATTATAC — Normal
PV 55 · Att 81 · Déf 60
Att.Spé 50 · Déf.Spé 70 · Vit 97
Total 413
Talents : Fuite, Cran (caché : Agitation)</t>
      </text>
    </comment>
    <comment ref="E1087" authorId="0" shapeId="0">
      <text>
        <t>MARILL — Eau / Fée
PV 70 · Att 20 · Déf 50
Att.Spé 20 · Déf.Spé 50 · Vit 40
Total 250
Talents : Isograisse, Coloforce (caché :
  Herbivore)</t>
      </text>
    </comment>
    <comment ref="E1088" authorId="0" shapeId="0">
      <text>
        <t>NOSFERALTO — Poison / Vol
PV 75 · Att 80 · Déf 70
Att.Spé 65 · Déf.Spé 75 · Vit 90
Total 455
Talents : Attention (caché : Infiltration)</t>
      </text>
    </comment>
    <comment ref="E1089" authorId="0" shapeId="0">
      <text>
        <t>POISSIRENE — Eau
PV 45 · Att 67 · Déf 60
Att.Spé 35 · Déf.Spé 50 · Vit 63
Total 320
Talents : Glissade, Ignifu-Voile (caché :
  Paratonnerre)</t>
      </text>
    </comment>
    <comment ref="E1090" authorId="0" shapeId="0">
      <text>
        <t>MARILL — Eau / Fée
PV 70 · Att 20 · Déf 50
Att.Spé 20 · Déf.Spé 50 · Vit 40
Total 250
Talents : Isograisse, Coloforce (caché :
  Herbivore)</t>
      </text>
    </comment>
    <comment ref="E1091" authorId="0" shapeId="0">
      <text>
        <t>POISSOROY — Eau
PV 80 · Att 92 · Déf 65
Att.Spé 65 · Déf.Spé 80 · Vit 68
Total 450
Talents : Glissade, Ignifu-Voile (caché :
  Paratonnerre)</t>
      </text>
    </comment>
    <comment ref="E1092" authorId="0" shapeId="0">
      <text>
        <t>POISSIRENE — Eau
PV 45 · Att 67 · Déf 60
Att.Spé 35 · Déf.Spé 50 · Vit 63
Total 320
Talents : Glissade, Ignifu-Voile (caché :
  Paratonnerre)</t>
      </text>
    </comment>
    <comment ref="E1093" authorId="0" shapeId="0">
      <text>
        <t>MARILL — Eau / Fée
PV 70 · Att 20 · Déf 50
Att.Spé 20 · Déf.Spé 50 · Vit 40
Total 250
Talents : Isograisse, Coloforce (caché :
  Herbivore)</t>
      </text>
    </comment>
    <comment ref="E1094" authorId="0" shapeId="0">
      <text>
        <t>POISSOROY — Eau
PV 80 · Att 92 · Déf 65
Att.Spé 65 · Déf.Spé 80 · Vit 68
Total 450
Talents : Glissade, Ignifu-Voile (caché :
  Paratonnerre)</t>
      </text>
    </comment>
    <comment ref="E1095" authorId="0" shapeId="0">
      <text>
        <t>MAGICARPE — Eau
PV 20 · Att 10 · Déf 55
Att.Spé 15 · Déf.Spé 20 · Vit 80
Total 200
Talents : Glissade (caché : Phobique)</t>
      </text>
    </comment>
    <comment ref="E1096" authorId="0" shapeId="0">
      <text>
        <t>POISSIRENE — Eau
PV 45 · Att 67 · Déf 60
Att.Spé 35 · Déf.Spé 50 · Vit 63
Total 320
Talents : Glissade, Ignifu-Voile (caché :
  Paratonnerre)</t>
      </text>
    </comment>
    <comment ref="E1097" authorId="0" shapeId="0">
      <text>
        <t>MAGICARPE — Eau
PV 20 · Att 10 · Déf 55
Att.Spé 15 · Déf.Spé 20 · Vit 80
Total 200
Talents : Glissade (caché : Phobique)</t>
      </text>
    </comment>
    <comment ref="E1098" authorId="0" shapeId="0">
      <text>
        <t>POISSIRENE — Eau
PV 45 · Att 67 · Déf 60
Att.Spé 35 · Déf.Spé 50 · Vit 63
Total 320
Talents : Glissade, Ignifu-Voile (caché :
  Paratonnerre)</t>
      </text>
    </comment>
    <comment ref="E1099" authorId="0" shapeId="0">
      <text>
        <t>POISSIRENE — Eau
PV 45 · Att 67 · Déf 60
Att.Spé 35 · Déf.Spé 50 · Vit 63
Total 320
Talents : Glissade, Ignifu-Voile (caché :
  Paratonnerre)</t>
      </text>
    </comment>
    <comment ref="E1100" authorId="0" shapeId="0">
      <text>
        <t>MAGICARPE — Eau
PV 20 · Att 10 · Déf 55
Att.Spé 15 · Déf.Spé 20 · Vit 80
Total 200
Talents : Glissade (caché : Phobique)</t>
      </text>
    </comment>
    <comment ref="E1101" authorId="0" shapeId="0">
      <text>
        <t>POISSIRENE — Eau
PV 45 · Att 67 · Déf 60
Att.Spé 35 · Déf.Spé 50 · Vit 63
Total 320
Talents : Glissade, Ignifu-Voile (caché :
  Paratonnerre)</t>
      </text>
    </comment>
    <comment ref="E1102" authorId="0" shapeId="0">
      <text>
        <t>MAGICARPE — Eau
PV 20 · Att 10 · Déf 55
Att.Spé 15 · Déf.Spé 20 · Vit 80
Total 200
Talents : Glissade (caché : Phobique)</t>
      </text>
    </comment>
    <comment ref="E1103" authorId="0" shapeId="0">
      <text>
        <t>POISSOROY — Eau
PV 80 · Att 92 · Déf 65
Att.Spé 65 · Déf.Spé 80 · Vit 68
Total 450
Talents : Glissade, Ignifu-Voile (caché :
  Paratonnerre)</t>
      </text>
    </comment>
    <comment ref="E1104" authorId="0" shapeId="0">
      <text>
        <t>MAGICARPE — Eau
PV 20 · Att 10 · Déf 55
Att.Spé 15 · Déf.Spé 20 · Vit 80
Total 200
Talents : Glissade (caché : Phobique)</t>
      </text>
    </comment>
    <comment ref="E1105" authorId="0" shapeId="0">
      <text>
        <t>POISSIRENE — Eau
PV 45 · Att 67 · Déf 60
Att.Spé 35 · Déf.Spé 50 · Vit 63
Total 320
Talents : Glissade, Ignifu-Voile (caché :
  Paratonnerre)</t>
      </text>
    </comment>
    <comment ref="E1106" authorId="0" shapeId="0">
      <text>
        <t>POISSOROY — Eau
PV 80 · Att 92 · Déf 65
Att.Spé 65 · Déf.Spé 80 · Vit 68
Total 450
Talents : Glissade, Ignifu-Voile (caché :
  Paratonnerre)</t>
      </text>
    </comment>
    <comment ref="E1107" authorId="0" shapeId="0">
      <text>
        <t>MAGICARPE — Eau
PV 20 · Att 10 · Déf 55
Att.Spé 15 · Déf.Spé 20 · Vit 80
Total 200
Talents : Glissade (caché : Phobique)</t>
      </text>
    </comment>
    <comment ref="E1108" authorId="0" shapeId="0">
      <text>
        <t>POISSIRENE — Eau
PV 45 · Att 67 · Déf 60
Att.Spé 35 · Déf.Spé 50 · Vit 63
Total 320
Talents : Glissade, Ignifu-Voile (caché :
  Paratonnerre)</t>
      </text>
    </comment>
    <comment ref="E1109" authorId="0" shapeId="0">
      <text>
        <t>NOSFERAPTI — Poison / Vol
PV 40 · Att 45 · Déf 35
Att.Spé 30 · Déf.Spé 40 · Vit 55
Total 245
Talents : Attention (caché : Infiltration)</t>
      </text>
    </comment>
    <comment ref="E1110" authorId="0" shapeId="0">
      <text>
        <t>RACAILLOU — Roche / Sol
PV 40 · Att 80 · Déf 100
Att.Spé 30 · Déf.Spé 30 · Vit 20
Total 300
Talents : Tête de Roc, Fermeté (caché : Voile
  Sable)</t>
      </text>
    </comment>
    <comment ref="E1111" authorId="0" shapeId="0">
      <text>
        <t>MACHOC — Combat
PV 70 · Att 80 · Déf 50
Att.Spé 35 · Déf.Spé 35 · Vit 35
Total 305
Talents : Cran, Annule Garde (caché :
  Impassible)</t>
      </text>
    </comment>
    <comment ref="E1112" authorId="0" shapeId="0">
      <text>
        <t>NOSFERALTO — Poison / Vol
PV 75 · Att 80 · Déf 70
Att.Spé 65 · Déf.Spé 75 · Vit 90
Total 455
Talents : Attention (caché : Infiltration)</t>
      </text>
    </comment>
    <comment ref="E1113" authorId="0" shapeId="0">
      <text>
        <t>OSSELAIT — Sol
PV 50 · Att 50 · Déf 95
Att.Spé 40 · Déf.Spé 50 · Vit 35
Total 320
Talents : Tête de Roc, Paratonnerre (caché :
  Armurbaston)</t>
      </text>
    </comment>
    <comment ref="E1114" authorId="0" shapeId="0">
      <text>
        <t>RHINOCORNE — Sol / Roche
PV 80 · Att 85 · Déf 95
Att.Spé 30 · Déf.Spé 30 · Vit 25
Total 345
Talents : Paratonnerre, Tête de Roc (caché :
  Téméraire)</t>
      </text>
    </comment>
    <comment ref="E1115" authorId="0" shapeId="0">
      <text>
        <t>NOSFERAPTI — Poison / Vol
PV 40 · Att 45 · Déf 35
Att.Spé 30 · Déf.Spé 40 · Vit 55
Total 245
Talents : Attention (caché : Infiltration)</t>
      </text>
    </comment>
    <comment ref="E1116" authorId="0" shapeId="0">
      <text>
        <t>RACAILLOU — Roche / Sol
PV 40 · Att 80 · Déf 100
Att.Spé 30 · Déf.Spé 30 · Vit 20
Total 300
Talents : Tête de Roc, Fermeté (caché : Voile
  Sable)</t>
      </text>
    </comment>
    <comment ref="E1117" authorId="0" shapeId="0">
      <text>
        <t>MARILL — Eau / Fée
PV 70 · Att 20 · Déf 50
Att.Spé 20 · Déf.Spé 50 · Vit 40
Total 250
Talents : Isograisse, Coloforce (caché :
  Herbivore)</t>
      </text>
    </comment>
    <comment ref="E1118" authorId="0" shapeId="0">
      <text>
        <t>NOSFERALTO — Poison / Vol
PV 75 · Att 80 · Déf 70
Att.Spé 65 · Déf.Spé 75 · Vit 90
Total 455
Talents : Attention (caché : Infiltration)</t>
      </text>
    </comment>
    <comment ref="E1119" authorId="0" shapeId="0">
      <text>
        <t>OSSELAIT — Sol
PV 50 · Att 50 · Déf 95
Att.Spé 40 · Déf.Spé 50 · Vit 35
Total 320
Talents : Tête de Roc, Paratonnerre (caché :
  Armurbaston)</t>
      </text>
    </comment>
    <comment ref="E1120" authorId="0" shapeId="0">
      <text>
        <t>RHINOCORNE — Sol / Roche
PV 80 · Att 85 · Déf 95
Att.Spé 30 · Déf.Spé 30 · Vit 25
Total 345
Talents : Paratonnerre, Tête de Roc (caché :
  Téméraire)</t>
      </text>
    </comment>
    <comment ref="E1121" authorId="0" shapeId="0">
      <text>
        <t>POISSIRENE — Eau
PV 45 · Att 67 · Déf 60
Att.Spé 35 · Déf.Spé 50 · Vit 63
Total 320
Talents : Glissade, Ignifu-Voile (caché :
  Paratonnerre)</t>
      </text>
    </comment>
    <comment ref="E1122" authorId="0" shapeId="0">
      <text>
        <t>MARILL — Eau / Fée
PV 70 · Att 20 · Déf 50
Att.Spé 20 · Déf.Spé 50 · Vit 40
Total 250
Talents : Isograisse, Coloforce (caché :
  Herbivore)</t>
      </text>
    </comment>
    <comment ref="E1123" authorId="0" shapeId="0">
      <text>
        <t>POISSOROY — Eau
PV 80 · Att 92 · Déf 65
Att.Spé 65 · Déf.Spé 80 · Vit 68
Total 450
Talents : Glissade, Ignifu-Voile (caché :
  Paratonnerre)</t>
      </text>
    </comment>
    <comment ref="E1124" authorId="0" shapeId="0">
      <text>
        <t>POISSIRENE — Eau
PV 45 · Att 67 · Déf 60
Att.Spé 35 · Déf.Spé 50 · Vit 63
Total 320
Talents : Glissade, Ignifu-Voile (caché :
  Paratonnerre)</t>
      </text>
    </comment>
    <comment ref="E1125" authorId="0" shapeId="0">
      <text>
        <t>MARILL — Eau / Fée
PV 70 · Att 20 · Déf 50
Att.Spé 20 · Déf.Spé 50 · Vit 40
Total 250
Talents : Isograisse, Coloforce (caché :
  Herbivore)</t>
      </text>
    </comment>
    <comment ref="E1126" authorId="0" shapeId="0">
      <text>
        <t>POISSOROY — Eau
PV 80 · Att 92 · Déf 65
Att.Spé 65 · Déf.Spé 80 · Vit 68
Total 450
Talents : Glissade, Ignifu-Voile (caché :
  Paratonnerre)</t>
      </text>
    </comment>
    <comment ref="E1127" authorId="0" shapeId="0">
      <text>
        <t>MAGICARPE — Eau
PV 20 · Att 10 · Déf 55
Att.Spé 15 · Déf.Spé 20 · Vit 80
Total 200
Talents : Glissade (caché : Phobique)</t>
      </text>
    </comment>
    <comment ref="E1128" authorId="0" shapeId="0">
      <text>
        <t>POISSIRENE — Eau
PV 45 · Att 67 · Déf 60
Att.Spé 35 · Déf.Spé 50 · Vit 63
Total 320
Talents : Glissade, Ignifu-Voile (caché :
  Paratonnerre)</t>
      </text>
    </comment>
    <comment ref="E1129" authorId="0" shapeId="0">
      <text>
        <t>MAGICARPE — Eau
PV 20 · Att 10 · Déf 55
Att.Spé 15 · Déf.Spé 20 · Vit 80
Total 200
Talents : Glissade (caché : Phobique)</t>
      </text>
    </comment>
    <comment ref="E1130" authorId="0" shapeId="0">
      <text>
        <t>POISSIRENE — Eau
PV 45 · Att 67 · Déf 60
Att.Spé 35 · Déf.Spé 50 · Vit 63
Total 320
Talents : Glissade, Ignifu-Voile (caché :
  Paratonnerre)</t>
      </text>
    </comment>
    <comment ref="E1131" authorId="0" shapeId="0">
      <text>
        <t>POISSIRENE — Eau
PV 45 · Att 67 · Déf 60
Att.Spé 35 · Déf.Spé 50 · Vit 63
Total 320
Talents : Glissade, Ignifu-Voile (caché :
  Paratonnerre)</t>
      </text>
    </comment>
    <comment ref="E1132" authorId="0" shapeId="0">
      <text>
        <t>MAGICARPE — Eau
PV 20 · Att 10 · Déf 55
Att.Spé 15 · Déf.Spé 20 · Vit 80
Total 200
Talents : Glissade (caché : Phobique)</t>
      </text>
    </comment>
    <comment ref="E1133" authorId="0" shapeId="0">
      <text>
        <t>POISSIRENE — Eau
PV 45 · Att 67 · Déf 60
Att.Spé 35 · Déf.Spé 50 · Vit 63
Total 320
Talents : Glissade, Ignifu-Voile (caché :
  Paratonnerre)</t>
      </text>
    </comment>
    <comment ref="E1134" authorId="0" shapeId="0">
      <text>
        <t>MAGICARPE — Eau
PV 20 · Att 10 · Déf 55
Att.Spé 15 · Déf.Spé 20 · Vit 80
Total 200
Talents : Glissade (caché : Phobique)</t>
      </text>
    </comment>
    <comment ref="E1135" authorId="0" shapeId="0">
      <text>
        <t>POISSOROY — Eau
PV 80 · Att 92 · Déf 65
Att.Spé 65 · Déf.Spé 80 · Vit 68
Total 450
Talents : Glissade, Ignifu-Voile (caché :
  Paratonnerre)</t>
      </text>
    </comment>
    <comment ref="E1136" authorId="0" shapeId="0">
      <text>
        <t>MAGICARPE — Eau
PV 20 · Att 10 · Déf 55
Att.Spé 15 · Déf.Spé 20 · Vit 80
Total 200
Talents : Glissade (caché : Phobique)</t>
      </text>
    </comment>
    <comment ref="E1137" authorId="0" shapeId="0">
      <text>
        <t>POISSIRENE — Eau
PV 45 · Att 67 · Déf 60
Att.Spé 35 · Déf.Spé 50 · Vit 63
Total 320
Talents : Glissade, Ignifu-Voile (caché :
  Paratonnerre)</t>
      </text>
    </comment>
    <comment ref="E1138" authorId="0" shapeId="0">
      <text>
        <t>POISSOROY — Eau
PV 80 · Att 92 · Déf 65
Att.Spé 65 · Déf.Spé 80 · Vit 68
Total 450
Talents : Glissade, Ignifu-Voile (caché :
  Paratonnerre)</t>
      </text>
    </comment>
    <comment ref="E1139" authorId="0" shapeId="0">
      <text>
        <t>MAGICARPE — Eau
PV 20 · Att 10 · Déf 55
Att.Spé 15 · Déf.Spé 20 · Vit 80
Total 200
Talents : Glissade (caché : Phobique)</t>
      </text>
    </comment>
    <comment ref="E1140" authorId="0" shapeId="0">
      <text>
        <t>POISSIRENE — Eau
PV 45 · Att 67 · Déf 60
Att.Spé 35 · Déf.Spé 50 · Vit 63
Total 320
Talents : Glissade, Ignifu-Voile (caché :
  Paratonnerre)</t>
      </text>
    </comment>
    <comment ref="E1141" authorId="0" shapeId="0">
      <text>
        <t>GOUPIX-A — Glace
PV 38 · Att 41 · Déf 40
Att.Spé 50 · Déf.Spé 65 · Vit 65
Total 299
Talents : Rideau Neige (caché : Alerte Neige)</t>
      </text>
    </comment>
    <comment ref="E1142" authorId="0" shapeId="0">
      <text>
        <t>SABELETTE-A — Glace / Acier
PV 50 · Att 75 · Déf 90
Att.Spé 10 · Déf.Spé 35 · Vit 40
Total 300
Talents : Rideau Neige (caché : Chasse-Neige)</t>
      </text>
    </comment>
    <comment ref="E1143" authorId="0" shapeId="0">
      <text>
        <t>CADOIZO — Glace / Vol
PV 45 · Att 55 · Déf 45
Att.Spé 65 · Déf.Spé 45 · Vit 75
Total 330
Talents : Esprit Vital, Agitation (caché :
  Insomnia)</t>
      </text>
    </comment>
    <comment ref="E1144" authorId="0" shapeId="0">
      <text>
        <t>FARFURET — Ténèbres / Glace
PV 55 · Att 95 · Déf 55
Att.Spé 35 · Déf.Spé 75 · Vit 115
Total 430
Talents : Attention, Regard Vif (caché :
  Pickpocket)</t>
      </text>
    </comment>
    <comment ref="E1145" authorId="0" shapeId="0">
      <text>
        <t>RAMBOUM — Normal
PV 84 · Att 71 · Déf 43
Att.Spé 71 · Déf.Spé 43 · Vit 48
Total 360
Talents : Anti-Bruit (caché : Querelleur)</t>
      </text>
    </comment>
    <comment ref="E1146" authorId="0" shapeId="0">
      <text>
        <t>STALGAMIN — Glace
PV 50 · Att 50 · Déf 50
Att.Spé 50 · Déf.Spé 50 · Vit 50
Total 300
Talents : Attention, Corps Gel (caché :
  Lunatique)</t>
      </text>
    </comment>
    <comment ref="E1147" authorId="0" shapeId="0">
      <text>
        <t>NOSFERAPTI — Poison / Vol
PV 40 · Att 45 · Déf 35
Att.Spé 30 · Déf.Spé 40 · Vit 55
Total 245
Talents : Attention (caché : Infiltration)</t>
      </text>
    </comment>
    <comment ref="E1148" authorId="0" shapeId="0">
      <text>
        <t>RACAILLOU — Roche / Sol
PV 40 · Att 80 · Déf 100
Att.Spé 30 · Déf.Spé 30 · Vit 20
Total 300
Talents : Tête de Roc, Fermeté (caché : Voile
  Sable)</t>
      </text>
    </comment>
    <comment ref="E1149" authorId="0" shapeId="0">
      <text>
        <t>PARAS — Insecte / Plante
PV 35 · Att 70 · Déf 55
Att.Spé 45 · Déf.Spé 55 · Vit 25
Total 285
Talents : Pose Spore, Peau Sèche (caché :
  Moiteur)</t>
      </text>
    </comment>
    <comment ref="E1150" authorId="0" shapeId="0">
      <text>
        <t>MELOFEE
PV 70 · Att 45 · Déf 48
Att.Spé 60 · Déf.Spé 65 · Vit 35
Total 323
Talents : Joli Sourire, Garde Magik (caché :
  Garde-Ami)</t>
      </text>
    </comment>
    <comment ref="E1151" authorId="0" shapeId="0">
      <text>
        <t>SABELETTE — Sol
PV 50 · Att 75 · Déf 85
Att.Spé 20 · Déf.Spé 30 · Vit 40
Total 300
Talents : Voile Sable (caché : Baigne Sable)</t>
      </text>
    </comment>
    <comment ref="E1152" authorId="0" shapeId="0">
      <text>
        <t>SOLAROC — Roche / Psy
PV 90 · Att 95 · Déf 85
Att.Spé 55 · Déf.Spé 65 · Vit 70
Total 460
Talents : Lévitation</t>
      </text>
    </comment>
    <comment ref="E1153" authorId="0" shapeId="0">
      <text>
        <t>NOSFERAPTI — Poison / Vol
PV 40 · Att 45 · Déf 35
Att.Spé 30 · Déf.Spé 40 · Vit 55
Total 245
Talents : Attention (caché : Infiltration)</t>
      </text>
    </comment>
    <comment ref="E1154" authorId="0" shapeId="0">
      <text>
        <t>RACAILLOU — Roche / Sol
PV 40 · Att 80 · Déf 100
Att.Spé 30 · Déf.Spé 30 · Vit 20
Total 300
Talents : Tête de Roc, Fermeté (caché : Voile
  Sable)</t>
      </text>
    </comment>
    <comment ref="E1155" authorId="0" shapeId="0">
      <text>
        <t>MELOFEE
PV 70 · Att 45 · Déf 48
Att.Spé 60 · Déf.Spé 65 · Vit 35
Total 323
Talents : Joli Sourire, Garde Magik (caché :
  Garde-Ami)</t>
      </text>
    </comment>
    <comment ref="E1156" authorId="0" shapeId="0">
      <text>
        <t>PARAS — Insecte / Plante
PV 35 · Att 70 · Déf 55
Att.Spé 45 · Déf.Spé 55 · Vit 25
Total 285
Talents : Pose Spore, Peau Sèche (caché :
  Moiteur)</t>
      </text>
    </comment>
    <comment ref="E1157" authorId="0" shapeId="0">
      <text>
        <t>SELEROC — Roche / Psy
PV 90 · Att 55 · Déf 65
Att.Spé 95 · Déf.Spé 85 · Vit 70
Total 460
Talents : Lévitation</t>
      </text>
    </comment>
    <comment ref="E1158" authorId="0" shapeId="0">
      <text>
        <t>CANINOS-H — Feu / Roche
PV 60 · Att 75 · Déf 45
Att.Spé 65 · Déf.Spé 50 · Vit 55
Total 350
Talents : Intimidation, Torche (caché : Tête
  de Roc)</t>
      </text>
    </comment>
    <comment ref="E1159" authorId="0" shapeId="0">
      <text>
        <t>MAGMAR — Feu
PV 65 · Att 95 · Déf 57
Att.Spé 100 · Déf.Spé 85 · Vit 93
Total 495
Talents : Corps Ardent (caché : Esprit Vital)</t>
      </text>
    </comment>
    <comment ref="E1160" authorId="0" shapeId="0">
      <text>
        <t>RHINOCORNE — Sol / Roche
PV 80 · Att 85 · Déf 95
Att.Spé 30 · Déf.Spé 30 · Vit 25
Total 345
Talents : Paratonnerre, Tête de Roc (caché :
  Téméraire)</t>
      </text>
    </comment>
    <comment ref="E1161" authorId="0" shapeId="0">
      <text>
        <t>VOLCAROPOD — Feu / Roche
PV 60 · Att 50 · Déf 120
Att.Spé 90 · Déf.Spé 80 · Vit 30
Total 430
Talents : Armumagma, Corps Ardent (caché :
  Armurouillée)</t>
      </text>
    </comment>
    <comment ref="E1162" authorId="0" shapeId="0">
      <text>
        <t>ARCANIN-H — Feu / Roche
PV 95 · Att 115 · Déf 80
Att.Spé 95 · Déf.Spé 80 · Vit 90
Total 555
Talents : Intimidation, Torche (caché : Tête
  de Roc)</t>
      </text>
    </comment>
    <comment ref="E1163" authorId="0" shapeId="0">
      <text>
        <t>CHARTOR — Feu
PV 70 · Att 85 · Déf 140
Att.Spé 85 · Déf.Spé 70 · Vit 20
Total 470
Talents : Écran Fumée, Sécheresse (caché :
  Coque Armure)</t>
      </text>
    </comment>
    <comment ref="E1164" authorId="0" shapeId="0">
      <text>
        <t>RHINOFEROS — Sol / Roche
PV 105 · Att 130 · Déf 120
Att.Spé 45 · Déf.Spé 45 · Vit 40
Total 485
Talents : Paratonnerre, Tête de Roc (caché :
  Téméraire)</t>
      </text>
    </comment>
    <comment ref="E1165" authorId="0" shapeId="0">
      <text>
        <t>URSAKING — Sol / Normal
PV 130 · Att 140 · Déf 105
Att.Spé 45 · Déf.Spé 80 · Vit 50
Total 550
Talents : Cran, Pare-Balles (caché : Tension)</t>
      </text>
    </comment>
    <comment ref="E1166" authorId="0" shapeId="0">
      <text>
        <t>TENTACOOL — Eau / Poison
PV 40 · Att 40 · Déf 35
Att.Spé 50 · Déf.Spé 100 · Vit 70
Total 335
Talents : Corps Sain, Suintement (caché :
  Cuvette)</t>
      </text>
    </comment>
    <comment ref="E1167" authorId="0" shapeId="0">
      <text>
        <t>TENTACRUEL — Eau / Poison
PV 80 · Att 70 · Déf 65
Att.Spé 80 · Déf.Spé 120 · Vit 100
Total 515
Talents : Corps Sain, Suintement (caché :
  Cuvette)</t>
      </text>
    </comment>
    <comment ref="E1168" authorId="0" shapeId="0">
      <text>
        <t>TENTACOOL — Eau / Poison
PV 40 · Att 40 · Déf 35
Att.Spé 50 · Déf.Spé 100 · Vit 70
Total 335
Talents : Corps Sain, Suintement (caché :
  Cuvette)</t>
      </text>
    </comment>
    <comment ref="E1169" authorId="0" shapeId="0">
      <text>
        <t>TENTACRUEL — Eau / Poison
PV 80 · Att 70 · Déf 65
Att.Spé 80 · Déf.Spé 120 · Vit 100
Total 515
Talents : Corps Sain, Suintement (caché :
  Cuvette)</t>
      </text>
    </comment>
    <comment ref="E1170" authorId="0" shapeId="0">
      <text>
        <t>MAGICARPE — Eau
PV 20 · Att 10 · Déf 55
Att.Spé 15 · Déf.Spé 20 · Vit 80
Total 200
Talents : Glissade (caché : Phobique)</t>
      </text>
    </comment>
    <comment ref="E1171" authorId="0" shapeId="0">
      <text>
        <t>TENTACOOL — Eau / Poison
PV 40 · Att 40 · Déf 35
Att.Spé 50 · Déf.Spé 100 · Vit 70
Total 335
Talents : Corps Sain, Suintement (caché :
  Cuvette)</t>
      </text>
    </comment>
    <comment ref="E1172" authorId="0" shapeId="0">
      <text>
        <t>MAGICARPE — Eau
PV 20 · Att 10 · Déf 55
Att.Spé 15 · Déf.Spé 20 · Vit 80
Total 200
Talents : Glissade (caché : Phobique)</t>
      </text>
    </comment>
    <comment ref="E1173" authorId="0" shapeId="0">
      <text>
        <t>TENTACOOL — Eau / Poison
PV 40 · Att 40 · Déf 35
Att.Spé 50 · Déf.Spé 100 · Vit 70
Total 335
Talents : Corps Sain, Suintement (caché :
  Cuvette)</t>
      </text>
    </comment>
    <comment ref="E1174" authorId="0" shapeId="0">
      <text>
        <t>MAGICARPE — Eau
PV 20 · Att 10 · Déf 55
Att.Spé 15 · Déf.Spé 20 · Vit 80
Total 200
Talents : Glissade (caché : Phobique)</t>
      </text>
    </comment>
    <comment ref="E1175" authorId="0" shapeId="0">
      <text>
        <t>LOUPIO — Eau / Électrik
PV 75 · Att 38 · Déf 38
Att.Spé 56 · Déf.Spé 56 · Vit 67
Total 330
Talents : Absorbe-Volt, Lumiattirance (caché :
  Absorbe-Eau)</t>
      </text>
    </comment>
    <comment ref="E1176" authorId="0" shapeId="0">
      <text>
        <t>TENTACOOL — Eau / Poison
PV 40 · Att 40 · Déf 35
Att.Spé 50 · Déf.Spé 100 · Vit 70
Total 335
Talents : Corps Sain, Suintement (caché :
  Cuvette)</t>
      </text>
    </comment>
    <comment ref="E1177" authorId="0" shapeId="0">
      <text>
        <t>MAGICARPE — Eau
PV 20 · Att 10 · Déf 55
Att.Spé 15 · Déf.Spé 20 · Vit 80
Total 200
Talents : Glissade (caché : Phobique)</t>
      </text>
    </comment>
    <comment ref="E1178" authorId="0" shapeId="0">
      <text>
        <t>LOUPIO — Eau / Électrik
PV 75 · Att 38 · Déf 38
Att.Spé 56 · Déf.Spé 56 · Vit 67
Total 330
Talents : Absorbe-Volt, Lumiattirance (caché :
  Absorbe-Eau)</t>
      </text>
    </comment>
    <comment ref="E1179" authorId="0" shapeId="0">
      <text>
        <t>TENTACOOL — Eau / Poison
PV 40 · Att 40 · Déf 35
Att.Spé 50 · Déf.Spé 100 · Vit 70
Total 335
Talents : Corps Sain, Suintement (caché :
  Cuvette)</t>
      </text>
    </comment>
    <comment ref="E1180" authorId="0" shapeId="0">
      <text>
        <t>KOKIYAS — Eau
PV 30 · Att 65 · Déf 100
Att.Spé 45 · Déf.Spé 25 · Vit 40
Total 305
Talents : Coque Armure, Multi-Coups (caché :
  Envelocape)</t>
      </text>
    </comment>
    <comment ref="E1181" authorId="0" shapeId="0">
      <text>
        <t>LOUPIO — Eau / Électrik
PV 75 · Att 38 · Déf 38
Att.Spé 56 · Déf.Spé 56 · Vit 67
Total 330
Talents : Absorbe-Volt, Lumiattirance (caché :
  Absorbe-Eau)</t>
      </text>
    </comment>
    <comment ref="E1182" authorId="0" shapeId="0">
      <text>
        <t>TENTACRUEL — Eau / Poison
PV 80 · Att 70 · Déf 65
Att.Spé 80 · Déf.Spé 120 · Vit 100
Total 515
Talents : Corps Sain, Suintement (caché :
  Cuvette)</t>
      </text>
    </comment>
    <comment ref="E1183" authorId="0" shapeId="0">
      <text>
        <t>LANTURN — Eau / Électrik
PV 125 · Att 58 · Déf 58
Att.Spé 76 · Déf.Spé 76 · Vit 67
Total 460
Talents : Absorbe-Volt, Lumiattirance (caché :
  Absorbe-Eau)</t>
      </text>
    </comment>
    <comment ref="E1184" authorId="0" shapeId="0">
      <text>
        <t>KOKIYAS — Eau
PV 30 · Att 65 · Déf 100
Att.Spé 45 · Déf.Spé 25 · Vit 40
Total 305
Talents : Coque Armure, Multi-Coups (caché :
  Envelocape)</t>
      </text>
    </comment>
    <comment ref="E1185" authorId="0" shapeId="0">
      <text>
        <t>LOUPIO — Eau / Électrik
PV 75 · Att 38 · Déf 38
Att.Spé 56 · Déf.Spé 56 · Vit 67
Total 330
Talents : Absorbe-Volt, Lumiattirance (caché :
  Absorbe-Eau)</t>
      </text>
    </comment>
    <comment ref="E1186" authorId="0" shapeId="0">
      <text>
        <t>TENTACRUEL — Eau / Poison
PV 80 · Att 70 · Déf 65
Att.Spé 80 · Déf.Spé 120 · Vit 100
Total 515
Talents : Corps Sain, Suintement (caché :
  Cuvette)</t>
      </text>
    </comment>
    <comment ref="E1187" authorId="0" shapeId="0">
      <text>
        <t>LANTURN — Eau / Électrik
PV 125 · Att 58 · Déf 58
Att.Spé 76 · Déf.Spé 76 · Vit 67
Total 460
Talents : Absorbe-Volt, Lumiattirance (caché :
  Absorbe-Eau)</t>
      </text>
    </comment>
    <comment ref="E1188" authorId="0" shapeId="0">
      <text>
        <t>TENTACOOL — Eau / Poison
PV 40 · Att 40 · Déf 35
Att.Spé 50 · Déf.Spé 100 · Vit 70
Total 335
Talents : Corps Sain, Suintement (caché :
  Cuvette)</t>
      </text>
    </comment>
    <comment ref="E1189" authorId="0" shapeId="0">
      <text>
        <t>TENTACRUEL — Eau / Poison
PV 80 · Att 70 · Déf 65
Att.Spé 80 · Déf.Spé 120 · Vit 100
Total 515
Talents : Corps Sain, Suintement (caché :
  Cuvette)</t>
      </text>
    </comment>
    <comment ref="E1190" authorId="0" shapeId="0">
      <text>
        <t>TENTACOOL — Eau / Poison
PV 40 · Att 40 · Déf 35
Att.Spé 50 · Déf.Spé 100 · Vit 70
Total 335
Talents : Corps Sain, Suintement (caché :
  Cuvette)</t>
      </text>
    </comment>
    <comment ref="E1191" authorId="0" shapeId="0">
      <text>
        <t>TENTACRUEL — Eau / Poison
PV 80 · Att 70 · Déf 65
Att.Spé 80 · Déf.Spé 120 · Vit 100
Total 515
Talents : Corps Sain, Suintement (caché :
  Cuvette)</t>
      </text>
    </comment>
    <comment ref="E1192" authorId="0" shapeId="0">
      <text>
        <t>POMDEPIK — Insecte
PV 50 · Att 65 · Déf 90
Att.Spé 35 · Déf.Spé 35 · Vit 15
Total 290
Talents : Fermeté (caché : Envelocape)</t>
      </text>
    </comment>
    <comment ref="E1193" authorId="0" shapeId="0">
      <text>
        <t>NOEUNOEUF — Plante / Psy
PV 60 · Att 40 · Déf 80
Att.Spé 60 · Déf.Spé 45 · Vit 40
Total 325
Talents : Chlorophylle (caché : Récolte)</t>
      </text>
    </comment>
    <comment ref="E1194" authorId="0" shapeId="0">
      <text>
        <t>COXY — Insecte / Vol
PV 40 · Att 20 · Déf 30
Att.Spé 40 · Déf.Spé 80 · Vit 55
Total 265
Talents : Essaim, Matinal (caché : Phobique)</t>
      </text>
    </comment>
    <comment ref="E1195" authorId="0" shapeId="0">
      <text>
        <t>MIMIGAL — Insecte / Poison
PV 40 · Att 60 · Déf 40
Att.Spé 40 · Déf.Spé 40 · Vit 30
Total 250
Talents : Essaim, Insomnia (caché : Sniper)</t>
      </text>
    </comment>
    <comment ref="E1196" authorId="0" shapeId="0">
      <text>
        <t>POMDEPIK — Insecte
PV 50 · Att 65 · Déf 90
Att.Spé 35 · Déf.Spé 35 · Vit 15
Total 290
Talents : Fermeté (caché : Envelocape)</t>
      </text>
    </comment>
    <comment ref="E1197" authorId="0" shapeId="0">
      <text>
        <t>NOEUNOEUF — Plante / Psy
PV 60 · Att 40 · Déf 80
Att.Spé 60 · Déf.Spé 45 · Vit 40
Total 325
Talents : Chlorophylle (caché : Récolte)</t>
      </text>
    </comment>
    <comment ref="E1198" authorId="0" shapeId="0">
      <text>
        <t>COXY — Insecte / Vol
PV 40 · Att 20 · Déf 30
Att.Spé 40 · Déf.Spé 80 · Vit 55
Total 265
Talents : Essaim, Matinal (caché : Phobique)</t>
      </text>
    </comment>
    <comment ref="E1199" authorId="0" shapeId="0">
      <text>
        <t>MIMIGAL — Insecte / Poison
PV 40 · Att 60 · Déf 40
Att.Spé 40 · Déf.Spé 40 · Vit 30
Total 250
Talents : Essaim, Insomnia (caché : Sniper)</t>
      </text>
    </comment>
    <comment ref="E1200" authorId="0" shapeId="0">
      <text>
        <t>MAGICARPE — Eau
PV 20 · Att 10 · Déf 55
Att.Spé 15 · Déf.Spé 20 · Vit 80
Total 200
Talents : Glissade (caché : Phobique)</t>
      </text>
    </comment>
    <comment ref="E1201" authorId="0" shapeId="0">
      <text>
        <t>KRABBY — Eau
PV 30 · Att 105 · Déf 90
Att.Spé 25 · Déf.Spé 25 · Vit 50
Total 325
Talents : Hyper Cutter, Coque Armure (caché :
  Sans Limite)</t>
      </text>
    </comment>
    <comment ref="E1202" authorId="0" shapeId="0">
      <text>
        <t>MAGICARPE — Eau
PV 20 · Att 10 · Déf 55
Att.Spé 15 · Déf.Spé 20 · Vit 80
Total 200
Talents : Glissade (caché : Phobique)</t>
      </text>
    </comment>
    <comment ref="E1203" authorId="0" shapeId="0">
      <text>
        <t>KRABBY — Eau
PV 30 · Att 105 · Déf 90
Att.Spé 25 · Déf.Spé 25 · Vit 50
Total 325
Talents : Hyper Cutter, Coque Armure (caché :
  Sans Limite)</t>
      </text>
    </comment>
    <comment ref="E1204" authorId="0" shapeId="0">
      <text>
        <t>KRABBY — Eau
PV 30 · Att 105 · Déf 90
Att.Spé 25 · Déf.Spé 25 · Vit 50
Total 325
Talents : Hyper Cutter, Coque Armure (caché :
  Sans Limite)</t>
      </text>
    </comment>
    <comment ref="E1205" authorId="0" shapeId="0">
      <text>
        <t>CORAYON — Eau / Roche
PV 65 · Att 55 · Déf 95
Att.Spé 65 · Déf.Spé 95 · Vit 35
Total 410
Talents : Agitation, Médic Nature (caché :
  Régé-Force)</t>
      </text>
    </comment>
    <comment ref="E1206" authorId="0" shapeId="0">
      <text>
        <t>MAGICARPE — Eau
PV 20 · Att 10 · Déf 55
Att.Spé 15 · Déf.Spé 20 · Vit 80
Total 200
Talents : Glissade (caché : Phobique)</t>
      </text>
    </comment>
    <comment ref="E1207" authorId="0" shapeId="0">
      <text>
        <t>KRABBY — Eau
PV 30 · Att 105 · Déf 90
Att.Spé 25 · Déf.Spé 25 · Vit 50
Total 325
Talents : Hyper Cutter, Coque Armure (caché :
  Sans Limite)</t>
      </text>
    </comment>
    <comment ref="E1208" authorId="0" shapeId="0">
      <text>
        <t>MAGICARPE — Eau
PV 20 · Att 10 · Déf 55
Att.Spé 15 · Déf.Spé 20 · Vit 80
Total 200
Talents : Glissade (caché : Phobique)</t>
      </text>
    </comment>
    <comment ref="E1209" authorId="0" shapeId="0">
      <text>
        <t>STARI — Eau
PV 30 · Att 45 · Déf 55
Att.Spé 70 · Déf.Spé 55 · Vit 85
Total 340
Talents : Lumiattirance, Médic Nature (caché :
  Analyste)</t>
      </text>
    </comment>
    <comment ref="E1210" authorId="0" shapeId="0">
      <text>
        <t>CORAYON — Eau / Roche
PV 65 · Att 55 · Déf 95
Att.Spé 65 · Déf.Spé 95 · Vit 35
Total 410
Talents : Agitation, Médic Nature (caché :
  Régé-Force)</t>
      </text>
    </comment>
    <comment ref="E1211" authorId="0" shapeId="0">
      <text>
        <t>KRABBY — Eau
PV 30 · Att 105 · Déf 90
Att.Spé 25 · Déf.Spé 25 · Vit 50
Total 325
Talents : Hyper Cutter, Coque Armure (caché :
  Sans Limite)</t>
      </text>
    </comment>
    <comment ref="E1212" authorId="0" shapeId="0">
      <text>
        <t>KRABBOSS — Eau
PV 55 · Att 130 · Déf 115
Att.Spé 50 · Déf.Spé 50 · Vit 75
Total 475
Talents : Hyper Cutter, Coque Armure (caché :
  Sans Limite)</t>
      </text>
    </comment>
    <comment ref="E1213" authorId="0" shapeId="0">
      <text>
        <t>STARI — Eau
PV 30 · Att 45 · Déf 55
Att.Spé 70 · Déf.Spé 55 · Vit 85
Total 340
Talents : Lumiattirance, Médic Nature (caché :
  Analyste)</t>
      </text>
    </comment>
    <comment ref="E1214" authorId="0" shapeId="0">
      <text>
        <t>KRABBY — Eau
PV 30 · Att 105 · Déf 90
Att.Spé 25 · Déf.Spé 25 · Vit 50
Total 325
Talents : Hyper Cutter, Coque Armure (caché :
  Sans Limite)</t>
      </text>
    </comment>
    <comment ref="E1215" authorId="0" shapeId="0">
      <text>
        <t>KRABBOSS — Eau
PV 55 · Att 130 · Déf 115
Att.Spé 50 · Déf.Spé 50 · Vit 75
Total 475
Talents : Hyper Cutter, Coque Armure (caché :
  Sans Limite)</t>
      </text>
    </comment>
    <comment ref="E1216" authorId="0" shapeId="0">
      <text>
        <t>ASPICOT — Insecte / Poison
PV 40 · Att 35 · Déf 30
Att.Spé 20 · Déf.Spé 20 · Vit 50
Total 195
Talents : Écran Poudre (caché : Fuite)</t>
      </text>
    </comment>
    <comment ref="E1217" authorId="0" shapeId="0">
      <text>
        <t>CHENIPAN — Insecte
PV 45 · Att 30 · Déf 35
Att.Spé 20 · Déf.Spé 20 · Vit 45
Total 195
Talents : Écran Poudre (caché : Fuite)</t>
      </text>
    </comment>
    <comment ref="E1218" authorId="0" shapeId="0">
      <text>
        <t>CHRYSACIER — Insecte
PV 50 · Att 20 · Déf 55
Att.Spé 25 · Déf.Spé 25 · Vit 30
Total 205
Talents : Mue</t>
      </text>
    </comment>
    <comment ref="E1219" authorId="0" shapeId="0">
      <text>
        <t>COCONFORT — Insecte / Poison
PV 45 · Att 25 · Déf 50
Att.Spé 25 · Déf.Spé 25 · Vit 35
Total 205
Talents : Mue</t>
      </text>
    </comment>
    <comment ref="E1220" authorId="0" shapeId="0">
      <text>
        <t>MIMITOSS — Insecte / Poison
PV 60 · Att 55 · Déf 50
Att.Spé 40 · Déf.Spé 55 · Vit 45
Total 305
Talents : Œil Composé, Lentiteintée (caché :
  Fuite)</t>
      </text>
    </comment>
    <comment ref="E1221" authorId="0" shapeId="0">
      <text>
        <t>PARAS — Insecte / Plante
PV 35 · Att 70 · Déf 55
Att.Spé 45 · Déf.Spé 55 · Vit 25
Total 285
Talents : Pose Spore, Peau Sèche (caché :
  Moiteur)</t>
      </text>
    </comment>
    <comment ref="E1222" authorId="0" shapeId="0">
      <text>
        <t>DARDARGNAN — Insecte / Poison
PV 65 · Att 90 · Déf 40
Att.Spé 45 · Déf.Spé 80 · Vit 75
Total 395
Talents : Essaim (caché : Sniper)</t>
      </text>
    </comment>
    <comment ref="E1223" authorId="0" shapeId="0">
      <text>
        <t>INSECATEUR — Insecte / Vol
PV 70 · Att 110 · Déf 80
Att.Spé 55 · Déf.Spé 80 · Vit 105
Total 500
Talents : Essaim, Technicien (caché :
  Impassible)</t>
      </text>
    </comment>
    <comment ref="E1224" authorId="0" shapeId="0">
      <text>
        <t>PAPILUSION — Insecte / Vol
PV 60 · Att 45 · Déf 50
Att.Spé 90 · Déf.Spé 80 · Vit 70
Total 395
Talents : Œil Composé (caché : Lentiteintée)</t>
      </text>
    </comment>
    <comment ref="E1225" authorId="0" shapeId="0">
      <text>
        <t>SCARABRUTE — Insecte
PV 65 · Att 125 · Déf 100
Att.Spé 55 · Déf.Spé 70 · Vit 85
Total 500
Talents : Hyper Cutter, Brise Moule (caché :
  Impudence)</t>
      </text>
    </comment>
    <comment ref="E1226" authorId="0" shapeId="0">
      <text>
        <t>NIDORAN♀ — Poison
PV 55 · Att 47 · Déf 52
Att.Spé 40 · Déf.Spé 40 · Vit 41
Total 275
Talents : Point Poison, Rivalité (caché :
  Agitation)</t>
      </text>
    </comment>
    <comment ref="E1227" authorId="0" shapeId="0">
      <text>
        <t>NIDORAN♂ — Poison
PV 46 · Att 57 · Déf 40
Att.Spé 40 · Déf.Spé 40 · Vit 50
Total 273
Talents : Point Poison, Rivalité (caché :
  Agitation)</t>
      </text>
    </comment>
    <comment ref="E1228" authorId="0" shapeId="0">
      <text>
        <t>ASPICOT — Insecte / Poison
PV 40 · Att 35 · Déf 30
Att.Spé 20 · Déf.Spé 20 · Vit 50
Total 195
Talents : Écran Poudre (caché : Fuite)</t>
      </text>
    </comment>
    <comment ref="E1229" authorId="0" shapeId="0">
      <text>
        <t>TOURNEGRIN — Plante
PV 30 · Att 30 · Déf 30
Att.Spé 30 · Déf.Spé 30 · Vit 30
Total 180
Talents : Chlorophylle, Force Soleil (caché :
  Matinal)</t>
      </text>
    </comment>
    <comment ref="E1230" authorId="0" shapeId="0">
      <text>
        <t>CHENIPAN — Insecte
PV 45 · Att 30 · Déf 35
Att.Spé 20 · Déf.Spé 20 · Vit 45
Total 195
Talents : Écran Poudre (caché : Fuite)</t>
      </text>
    </comment>
    <comment ref="E1231" authorId="0" shapeId="0">
      <text>
        <t>INSECATEUR — Insecte / Vol
PV 70 · Att 110 · Déf 80
Att.Spé 55 · Déf.Spé 80 · Vit 105
Total 500
Talents : Essaim, Technicien (caché :
  Impassible)</t>
      </text>
    </comment>
    <comment ref="E1232" authorId="0" shapeId="0">
      <text>
        <t>PSYKOKWAK — Eau
PV 50 · Att 52 · Déf 48
Att.Spé 65 · Déf.Spé 50 · Vit 55
Total 320
Talents : Moiteur, Ciel Gris (caché :
  Glissade)</t>
      </text>
    </comment>
    <comment ref="E1233" authorId="0" shapeId="0">
      <text>
        <t>CORNEBRE — Ténèbres / Vol
PV 60 · Att 85 · Déf 42
Att.Spé 85 · Déf.Spé 42 · Vit 91
Total 405
Talents : Insomnia, Chanceux (caché : Farceur)</t>
      </text>
    </comment>
    <comment ref="E1234" authorId="0" shapeId="0">
      <text>
        <t>MIMIGAL — Insecte / Poison
PV 40 · Att 60 · Déf 40
Att.Spé 40 · Déf.Spé 40 · Vit 30
Total 250
Talents : Essaim, Insomnia (caché : Sniper)</t>
      </text>
    </comment>
    <comment ref="E1235" authorId="0" shapeId="0">
      <text>
        <t>HOOTHOOT — Normal / Vol
PV 60 · Att 30 · Déf 30
Att.Spé 36 · Déf.Spé 56 · Vit 50
Total 262
Talents : Insomnia, Regard Vif (caché :
  Lentiteintée)</t>
      </text>
    </comment>
    <comment ref="E1236" authorId="0" shapeId="0">
      <text>
        <t>INSECATEUR — Insecte / Vol
PV 70 · Att 110 · Déf 80
Att.Spé 55 · Déf.Spé 80 · Vit 105
Total 500
Talents : Essaim, Technicien (caché :
  Impassible)</t>
      </text>
    </comment>
    <comment ref="E1237" authorId="0" shapeId="0">
      <text>
        <t>MIMITOSS — Insecte / Poison
PV 60 · Att 55 · Déf 50
Att.Spé 40 · Déf.Spé 55 · Vit 45
Total 305
Talents : Œil Composé, Lentiteintée (caché :
  Fuite)</t>
      </text>
    </comment>
    <comment ref="E1238" authorId="0" shapeId="0">
      <text>
        <t>CACNEA — Plante
PV 50 · Att 85 · Déf 40
Att.Spé 85 · Déf.Spé 40 · Vit 35
Total 335
Talents : Voile Sable (caché : Absorbe-Eau)</t>
      </text>
    </comment>
    <comment ref="E1239" authorId="0" shapeId="0">
      <text>
        <t>KRAKNOIX — Sol
PV 45 · Att 100 · Déf 45
Att.Spé 45 · Déf.Spé 45 · Vit 10
Total 290
Talents : Hyper Cutter, Piège Sable (caché :
  Sans Limite)</t>
      </text>
    </comment>
    <comment ref="E1240" authorId="0" shapeId="0">
      <text>
        <t>MAKUHITA — Combat
PV 72 · Att 60 · Déf 30
Att.Spé 20 · Déf.Spé 30 · Vit 25
Total 237
Talents : Isograisse, Cran (caché : Sans
  Limite)</t>
      </text>
    </comment>
    <comment ref="E1241" authorId="0" shapeId="0">
      <text>
        <t>NENUPIOT — Eau / Plante
PV 40 · Att 30 · Déf 30
Att.Spé 40 · Déf.Spé 50 · Vit 30
Total 220
Talents : Glissade, Cuvette (caché : Tempo
  Perso)</t>
      </text>
    </comment>
    <comment ref="E1242" authorId="0" shapeId="0">
      <text>
        <t>LOMBRE — Eau / Plante
PV 60 · Att 50 · Déf 50
Att.Spé 60 · Déf.Spé 70 · Vit 50
Total 340
Talents : Glissade, Cuvette (caché : Tempo
  Perso)</t>
      </text>
    </comment>
    <comment ref="E1243" authorId="0" shapeId="0">
      <text>
        <t>TERHAL — Acier / Psy
PV 40 · Att 55 · Déf 80
Att.Spé 35 · Déf.Spé 60 · Vit 30
Total 300
Talents : Corps Sain (caché : Light Metal)</t>
      </text>
    </comment>
    <comment ref="E1244" authorId="0" shapeId="0">
      <text>
        <t>VIBRANINF — Sol / Dragon
PV 50 · Att 70 · Déf 50
Att.Spé 50 · Déf.Spé 50 · Vit 70
Total 340
Talents : Lévitation, Lévitation (caché :
  Lévitation)</t>
      </text>
    </comment>
    <comment ref="E1245" authorId="0" shapeId="0">
      <text>
        <t>MAGICARPE — Eau
PV 20 · Att 10 · Déf 55
Att.Spé 15 · Déf.Spé 20 · Vit 80
Total 200
Talents : Glissade (caché : Phobique)</t>
      </text>
    </comment>
    <comment ref="E1246" authorId="0" shapeId="0">
      <text>
        <t>TENTACOOL — Eau / Poison
PV 40 · Att 40 · Déf 35
Att.Spé 50 · Déf.Spé 100 · Vit 70
Total 335
Talents : Corps Sain, Suintement (caché :
  Cuvette)</t>
      </text>
    </comment>
    <comment ref="E1247" authorId="0" shapeId="0">
      <text>
        <t>MAGICARPE — Eau
PV 20 · Att 10 · Déf 55
Att.Spé 15 · Déf.Spé 20 · Vit 80
Total 200
Talents : Glissade (caché : Phobique)</t>
      </text>
    </comment>
    <comment ref="E1248" authorId="0" shapeId="0">
      <text>
        <t>TENTACOOL — Eau / Poison
PV 40 · Att 40 · Déf 35
Att.Spé 50 · Déf.Spé 100 · Vit 70
Total 335
Talents : Corps Sain, Suintement (caché :
  Cuvette)</t>
      </text>
    </comment>
    <comment ref="E1249" authorId="0" shapeId="0">
      <text>
        <t>MAGICARPE — Eau
PV 20 · Att 10 · Déf 55
Att.Spé 15 · Déf.Spé 20 · Vit 80
Total 200
Talents : Glissade (caché : Phobique)</t>
      </text>
    </comment>
    <comment ref="E1250" authorId="0" shapeId="0">
      <text>
        <t>MARAISTE — Eau / Sol
PV 95 · Att 85 · Déf 85
Att.Spé 65 · Déf.Spé 65 · Vit 35
Total 430
Talents : Moiteur, Absorbe-Eau (caché :
  Inconscient)</t>
      </text>
    </comment>
    <comment ref="E1251" authorId="0" shapeId="0">
      <text>
        <t>TENTACOOL — Eau / Poison
PV 40 · Att 40 · Déf 35
Att.Spé 50 · Déf.Spé 100 · Vit 70
Total 335
Talents : Corps Sain, Suintement (caché :
  Cuvette)</t>
      </text>
    </comment>
    <comment ref="E1252" authorId="0" shapeId="0">
      <text>
        <t>MARAISTE — Eau / Sol
PV 95 · Att 85 · Déf 85
Att.Spé 65 · Déf.Spé 65 · Vit 35
Total 430
Talents : Moiteur, Absorbe-Eau (caché :
  Inconscient)</t>
      </text>
    </comment>
    <comment ref="E1253" authorId="0" shapeId="0">
      <text>
        <t>TENTACRUEL — Eau / Poison
PV 80 · Att 70 · Déf 65
Att.Spé 80 · Déf.Spé 120 · Vit 100
Total 515
Talents : Corps Sain, Suintement (caché :
  Cuvette)</t>
      </text>
    </comment>
    <comment ref="E1254" authorId="0" shapeId="0">
      <text>
        <t>MAGICARPE — Eau
PV 20 · Att 10 · Déf 55
Att.Spé 15 · Déf.Spé 20 · Vit 80
Total 200
Talents : Glissade (caché : Phobique)</t>
      </text>
    </comment>
    <comment ref="E1255" authorId="0" shapeId="0">
      <text>
        <t>TENTACOOL — Eau / Poison
PV 40 · Att 40 · Déf 35
Att.Spé 50 · Déf.Spé 100 · Vit 70
Total 335
Talents : Corps Sain, Suintement (caché :
  Cuvette)</t>
      </text>
    </comment>
    <comment ref="E1256" authorId="0" shapeId="0">
      <text>
        <t>TROPIUS — Plante / Vol
PV 99 · Att 68 · Déf 83
Att.Spé 72 · Déf.Spé 87 · Vit 51
Total 460
Talents : Chlorophylle, Force Soleil (caché :
  Récolte)</t>
      </text>
    </comment>
    <comment ref="E1257" authorId="0" shapeId="0">
      <text>
        <t>EOKO — Psy
PV 75 · Att 50 · Déf 80
Att.Spé 95 · Déf.Spé 90 · Vit 65
Total 455
Talents : Lévitation</t>
      </text>
    </comment>
    <comment ref="E1258" authorId="0" shapeId="0">
      <text>
        <t>ABSOL — Ténèbres
PV 65 · Att 130 · Déf 60
Att.Spé 75 · Déf.Spé 60 · Vit 75
Total 465
Talents : Pression, Chanceux (caché : Cœur
  Noble)</t>
      </text>
    </comment>
    <comment ref="E1259" authorId="0" shapeId="0">
      <text>
        <t>MORPHEO — Normal
PV 70 · Att 70 · Déf 70
Att.Spé 70 · Déf.Spé 70 · Vit 70
Total 420
Talents : Météo</t>
      </text>
    </comment>
    <comment ref="E1260" authorId="0" shapeId="0">
      <text>
        <t>CHUCHMUR — Normal
PV 64 · Att 51 · Déf 23
Att.Spé 51 · Déf.Spé 23 · Vit 28
Total 240
Talents : Anti-Bruit (caché : Phobique)</t>
      </text>
    </comment>
    <comment ref="E1261" authorId="0" shapeId="0">
      <text>
        <t>TARINOR — Roche
PV 30 · Att 45 · Déf 135
Att.Spé 45 · Déf.Spé 90 · Vit 30
Total 375
Talents : Fermeté, Magnépiège (caché : Force
  Sable)</t>
      </text>
    </comment>
    <comment ref="E1262" authorId="0" shapeId="0">
      <text>
        <t>RACAILLOU — Roche / Sol
PV 40 · Att 80 · Déf 100
Att.Spé 30 · Déf.Spé 30 · Vit 20
Total 300
Talents : Tête de Roc, Fermeté (caché : Voile
  Sable)</t>
      </text>
    </comment>
    <comment ref="E1263" authorId="0" shapeId="0">
      <text>
        <t>NOSFERAPTI — Poison / Vol
PV 40 · Att 45 · Déf 35
Att.Spé 30 · Déf.Spé 40 · Vit 55
Total 245
Talents : Attention (caché : Infiltration)</t>
      </text>
    </comment>
    <comment ref="E1264" authorId="0" shapeId="0">
      <text>
        <t>DRABY — Dragon
PV 45 · Att 75 · Déf 60
Att.Spé 40 · Déf.Spé 30 · Vit 50
Total 300
Talents : Tête de Roc (caché : Sans Limite)</t>
      </text>
    </comment>
    <comment ref="E1265" authorId="0" shapeId="0">
      <text>
        <t>RELICANTH — Eau / Roche
PV 100 · Att 90 · Déf 130
Att.Spé 45 · Déf.Spé 65 · Vit 55
Total 485
Talents : Glissade, Tête de Roc (caché :
  Fermeté)</t>
      </text>
    </comment>
    <comment ref="E1266" authorId="0" shapeId="0">
      <text>
        <t>AXOLOTO — Eau / Sol
PV 55 · Att 45 · Déf 45
Att.Spé 25 · Déf.Spé 25 · Vit 15
Total 210
Talents : Moiteur, Absorbe-Eau (caché :
  Inconscient)</t>
      </text>
    </comment>
    <comment ref="E1267" authorId="0" shapeId="0">
      <text>
        <t>MARAISTE — Eau / Sol
PV 95 · Att 85 · Déf 85
Att.Spé 65 · Déf.Spé 65 · Vit 35
Total 430
Talents : Moiteur, Absorbe-Eau (caché :
  Inconscient)</t>
      </text>
    </comment>
    <comment ref="E1268" authorId="0" shapeId="0">
      <text>
        <t>MAGICARPE — Eau
PV 20 · Att 10 · Déf 55
Att.Spé 15 · Déf.Spé 20 · Vit 80
Total 200
Talents : Glissade (caché : Phobique)</t>
      </text>
    </comment>
    <comment ref="E1269" authorId="0" shapeId="0">
      <text>
        <t>MAGICARPE — Eau
PV 20 · Att 10 · Déf 55
Att.Spé 15 · Déf.Spé 20 · Vit 80
Total 200
Talents : Glissade (caché : Phobique)</t>
      </text>
    </comment>
    <comment ref="E1270" authorId="0" shapeId="0">
      <text>
        <t>MAGICARPE — Eau
PV 20 · Att 10 · Déf 55
Att.Spé 15 · Déf.Spé 20 · Vit 80
Total 200
Talents : Glissade (caché : Phobique)</t>
      </text>
    </comment>
    <comment ref="E1271" authorId="0" shapeId="0">
      <text>
        <t>BARPAU — Eau
PV 20 · Att 15 · Déf 20
Att.Spé 10 · Déf.Spé 55 · Vit 80
Total 200
Talents : Glissade, Benêt (caché :
  Adaptabilité)</t>
      </text>
    </comment>
    <comment ref="E1272" authorId="0" shapeId="0">
      <text>
        <t>MEDITIKKA — Combat / Psy
PV 30 · Att 40 · Déf 55
Att.Spé 40 · Déf.Spé 55 · Vit 60
Total 280
Talents : Force Pure (caché : Télépathe)</t>
      </text>
    </comment>
    <comment ref="E1273" authorId="0" shapeId="0">
      <text>
        <t>BALBUTO — Sol / Psy
PV 40 · Att 40 · Déf 55
Att.Spé 40 · Déf.Spé 70 · Vit 55
Total 300
Talents : Lévitation</t>
      </text>
    </comment>
    <comment ref="E1274" authorId="0" shapeId="0">
      <text>
        <t>CHAMALLOT — Feu / Sol
PV 60 · Att 60 · Déf 40
Att.Spé 65 · Déf.Spé 45 · Vit 35
Total 305
Talents : Benêt, Simple (caché : Tempo Perso)</t>
      </text>
    </comment>
    <comment ref="E1275" authorId="0" shapeId="0">
      <text>
        <t>RACAILLOU — Roche / Sol
PV 40 · Att 80 · Déf 100
Att.Spé 30 · Déf.Spé 30 · Vit 20
Total 300
Talents : Tête de Roc, Fermeté (caché : Voile
  Sable)</t>
      </text>
    </comment>
    <comment ref="E1276" authorId="0" shapeId="0">
      <text>
        <t>ABSOL — Ténèbres
PV 65 · Att 130 · Déf 60
Att.Spé 75 · Déf.Spé 60 · Vit 75
Total 465
Talents : Pression, Chanceux (caché : Cœur
  Noble)</t>
      </text>
    </comment>
    <comment ref="E1277" authorId="0" shapeId="0">
      <text>
        <t>CAMERUPT — Feu / Sol
PV 70 · Att 100 · Déf 70
Att.Spé 105 · Déf.Spé 75 · Vit 40
Total 460
Talents : Armumagma, Solide Roc (caché :
  Colérique)</t>
      </text>
    </comment>
    <comment ref="E1278" authorId="0" shapeId="0">
      <text>
        <t>CHARMINA — Combat / Psy
PV 60 · Att 60 · Déf 75
Att.Spé 60 · Déf.Spé 75 · Vit 80
Total 410
Talents : Force Pure (caché : Télépathe)</t>
      </text>
    </comment>
    <comment ref="E1279" authorId="0" shapeId="0">
      <text>
        <t>BARLOCHE — Eau / Sol
PV 50 · Att 48 · Déf 43
Att.Spé 46 · Déf.Spé 41 · Vit 60
Total 288
Talents : Benêt, Anticipation (caché :
  Hydratation)</t>
      </text>
    </comment>
    <comment ref="E1280" authorId="0" shapeId="0">
      <text>
        <t>BARBICHA — Eau / Sol
PV 110 · Att 78 · Déf 73
Att.Spé 76 · Déf.Spé 71 · Vit 60
Total 468
Talents : Benêt, Anticipation (caché :
  Hydratation)</t>
      </text>
    </comment>
    <comment ref="E1281" authorId="0" shapeId="0">
      <text>
        <t>MAGICARPE — Eau
PV 20 · Att 10 · Déf 55
Att.Spé 15 · Déf.Spé 20 · Vit 80
Total 200
Talents : Glissade (caché : Phobique)</t>
      </text>
    </comment>
    <comment ref="E1282" authorId="0" shapeId="0">
      <text>
        <t>MAGICARPE — Eau
PV 20 · Att 10 · Déf 55
Att.Spé 15 · Déf.Spé 20 · Vit 80
Total 200
Talents : Glissade (caché : Phobique)</t>
      </text>
    </comment>
    <comment ref="E1283" authorId="0" shapeId="0">
      <text>
        <t>BARLOCHE — Eau / Sol
PV 50 · Att 48 · Déf 43
Att.Spé 46 · Déf.Spé 41 · Vit 60
Total 288
Talents : Benêt, Anticipation (caché :
  Hydratation)</t>
      </text>
    </comment>
    <comment ref="E1284" authorId="0" shapeId="0">
      <text>
        <t>BARLOCHE — Eau / Sol
PV 50 · Att 48 · Déf 43
Att.Spé 46 · Déf.Spé 41 · Vit 60
Total 288
Talents : Benêt, Anticipation (caché :
  Hydratation)</t>
      </text>
    </comment>
    <comment ref="E1285" authorId="0" shapeId="0">
      <text>
        <t>BARBICHA — Eau / Sol
PV 110 · Att 78 · Déf 73
Att.Spé 76 · Déf.Spé 71 · Vit 60
Total 468
Talents : Benêt, Anticipation (caché :
  Hydratation)</t>
      </text>
    </comment>
    <comment ref="E1286" authorId="0" shapeId="0">
      <text>
        <t>MAGICARPE — Eau
PV 20 · Att 10 · Déf 55
Att.Spé 15 · Déf.Spé 20 · Vit 80
Total 200
Talents : Glissade (caché : Phobique)</t>
      </text>
    </comment>
    <comment ref="E1287" authorId="0" shapeId="0">
      <text>
        <t>MAGICARPE — Eau
PV 20 · Att 10 · Déf 55
Att.Spé 15 · Déf.Spé 20 · Vit 80
Total 200
Talents : Glissade (caché : Phobique)</t>
      </text>
    </comment>
    <comment ref="E1288" authorId="0" shapeId="0">
      <text>
        <t>POMDEPIK — Insecte
PV 50 · Att 65 · Déf 90
Att.Spé 35 · Déf.Spé 35 · Vit 15
Total 290
Talents : Fermeté (caché : Envelocape)</t>
      </text>
    </comment>
    <comment ref="E1289" authorId="0" shapeId="0">
      <text>
        <t>NOEUNOEUF — Plante / Psy
PV 60 · Att 40 · Déf 80
Att.Spé 60 · Déf.Spé 45 · Vit 40
Total 325
Talents : Chlorophylle (caché : Récolte)</t>
      </text>
    </comment>
    <comment ref="E1290" authorId="0" shapeId="0">
      <text>
        <t>COXY — Insecte / Vol
PV 40 · Att 20 · Déf 30
Att.Spé 40 · Déf.Spé 80 · Vit 55
Total 265
Talents : Essaim, Matinal (caché : Phobique)</t>
      </text>
    </comment>
    <comment ref="E1291" authorId="0" shapeId="0">
      <text>
        <t>MIMIGAL — Insecte / Poison
PV 40 · Att 60 · Déf 40
Att.Spé 40 · Déf.Spé 40 · Vit 30
Total 250
Talents : Essaim, Insomnia (caché : Sniper)</t>
      </text>
    </comment>
    <comment ref="E1292" authorId="0" shapeId="0">
      <text>
        <t>POMDEPIK — Insecte
PV 50 · Att 65 · Déf 90
Att.Spé 35 · Déf.Spé 35 · Vit 15
Total 290
Talents : Fermeté (caché : Envelocape)</t>
      </text>
    </comment>
    <comment ref="E1293" authorId="0" shapeId="0">
      <text>
        <t>NOEUNOEUF — Plante / Psy
PV 60 · Att 40 · Déf 80
Att.Spé 60 · Déf.Spé 45 · Vit 40
Total 325
Talents : Chlorophylle (caché : Récolte)</t>
      </text>
    </comment>
    <comment ref="E1294" authorId="0" shapeId="0">
      <text>
        <t>COXY — Insecte / Vol
PV 40 · Att 20 · Déf 30
Att.Spé 40 · Déf.Spé 80 · Vit 55
Total 265
Talents : Essaim, Matinal (caché : Phobique)</t>
      </text>
    </comment>
    <comment ref="E1295" authorId="0" shapeId="0">
      <text>
        <t>MIMIGAL — Insecte / Poison
PV 40 · Att 60 · Déf 40
Att.Spé 40 · Déf.Spé 40 · Vit 30
Total 250
Talents : Essaim, Insomnia (caché : Sniper)</t>
      </text>
    </comment>
    <comment ref="E1296" authorId="0" shapeId="0">
      <text>
        <t>MAGICARPE — Eau
PV 20 · Att 10 · Déf 55
Att.Spé 15 · Déf.Spé 20 · Vit 80
Total 200
Talents : Glissade (caché : Phobique)</t>
      </text>
    </comment>
    <comment ref="E1297" authorId="0" shapeId="0">
      <text>
        <t>MAGICARPE — Eau
PV 20 · Att 10 · Déf 55
Att.Spé 15 · Déf.Spé 20 · Vit 80
Total 200
Talents : Glissade (caché : Phobique)</t>
      </text>
    </comment>
    <comment ref="E1298" authorId="0" shapeId="0">
      <text>
        <t>MAGICARPE — Eau
PV 20 · Att 10 · Déf 55
Att.Spé 15 · Déf.Spé 20 · Vit 80
Total 200
Talents : Glissade (caché : Phobique)</t>
      </text>
    </comment>
    <comment ref="E1299" authorId="0" shapeId="0">
      <text>
        <t>LEVIATOR — Eau / Vol
PV 95 · Att 125 · Déf 79
Att.Spé 60 · Déf.Spé 100 · Vit 81
Total 540
Talents : Intimidation (caché : Impudence)</t>
      </text>
    </comment>
    <comment ref="E1300" authorId="0" shapeId="0">
      <text>
        <t>MAGICARPE — Eau
PV 20 · Att 10 · Déf 55
Att.Spé 15 · Déf.Spé 20 · Vit 80
Total 200
Talents : Glissade (caché : Phobique)</t>
      </text>
    </comment>
    <comment ref="E1301" authorId="0" shapeId="0">
      <text>
        <t>LEVIATOR — Eau / Vol
PV 95 · Att 125 · Déf 79
Att.Spé 60 · Déf.Spé 100 · Vit 81
Total 540
Talents : Intimidation (caché : Impudence)</t>
      </text>
    </comment>
    <comment ref="E1302" authorId="0" shapeId="0">
      <text>
        <t>MAGICARPE — Eau
PV 20 · Att 10 · Déf 55
Att.Spé 15 · Déf.Spé 20 · Vit 80
Total 200
Talents : Glissade (caché : Phobique)</t>
      </text>
    </comment>
    <comment ref="E1303" authorId="0" shapeId="0">
      <text>
        <t>LEVIATOR — Eau / Vol
PV 95 · Att 125 · Déf 79
Att.Spé 60 · Déf.Spé 100 · Vit 81
Total 540
Talents : Intimidation (caché : Impudence)</t>
      </text>
    </comment>
    <comment ref="E1304" authorId="0" shapeId="0">
      <text>
        <t>MAGICARPE — Eau
PV 20 · Att 10 · Déf 55
Att.Spé 15 · Déf.Spé 20 · Vit 80
Total 200
Talents : Glissade (caché : Phobique)</t>
      </text>
    </comment>
    <comment ref="E1305" authorId="0" shapeId="0">
      <text>
        <t>LEVIATOR — Eau / Vol
PV 95 · Att 125 · Déf 79
Att.Spé 60 · Déf.Spé 100 · Vit 81
Total 540
Talents : Intimidation (caché : Impudence)</t>
      </text>
    </comment>
    <comment ref="E1306" authorId="0" shapeId="0">
      <text>
        <t>NOEUNOEUF — Plante / Psy
PV 60 · Att 40 · Déf 80
Att.Spé 60 · Déf.Spé 45 · Vit 40
Total 325
Talents : Chlorophylle (caché : Récolte)</t>
      </text>
    </comment>
    <comment ref="E1307" authorId="0" shapeId="0">
      <text>
        <t>ECREMEUH — Normal
PV 95 · Att 80 · Déf 105
Att.Spé 40 · Déf.Spé 70 · Vit 100
Total 490
Talents : Isograisse, Querelleur (caché :
  Herbivore)</t>
      </text>
    </comment>
    <comment ref="E1308" authorId="0" shapeId="0">
      <text>
        <t>TAUROS — Normal
PV 75 · Att 100 · Déf 95
Att.Spé 40 · Déf.Spé 70 · Vit 110
Total 490
Talents : Intimidation, Colérique (caché :
  Sans Limite)</t>
      </text>
    </comment>
    <comment ref="E1309" authorId="0" shapeId="0">
      <text>
        <t>AIRMURE — Acier / Vol
PV 65 · Att 80 · Déf 140
Att.Spé 40 · Déf.Spé 70 · Vit 70
Total 465
Talents : Regard Vif, Fermeté (caché :
  Armurouillée)</t>
      </text>
    </comment>
    <comment ref="E1310" authorId="0" shapeId="0">
      <text>
        <t>ARAKDO — Insecte / Eau
PV 40 · Att 30 · Déf 32
Att.Spé 50 · Déf.Spé 52 · Vit 65
Total 269
Talents : Glissade (caché : Cuvette)</t>
      </text>
    </comment>
    <comment ref="E1311" authorId="0" shapeId="0">
      <text>
        <t>SCARABRUTE — Insecte
PV 65 · Att 125 · Déf 100
Att.Spé 55 · Déf.Spé 70 · Vit 85
Total 500
Talents : Hyper Cutter, Brise Moule (caché :
  Impudence)</t>
      </text>
    </comment>
    <comment ref="E1312" authorId="0" shapeId="0">
      <text>
        <t>PSYKOKWAK — Eau
PV 50 · Att 52 · Déf 48
Att.Spé 65 · Déf.Spé 50 · Vit 55
Total 320
Talents : Moiteur, Ciel Gris (caché :
  Glissade)</t>
      </text>
    </comment>
    <comment ref="E1313" authorId="0" shapeId="0">
      <text>
        <t>AKWAKWAK — Eau
PV 80 · Att 82 · Déf 78
Att.Spé 95 · Déf.Spé 80 · Vit 85
Total 500
Talents : Moiteur, Ciel Gris (caché :
  Glissade)</t>
      </text>
    </comment>
    <comment ref="E1314" authorId="0" shapeId="0">
      <text>
        <t>BEKIPAN — Eau / Vol
PV 60 · Att 50 · Déf 100
Att.Spé 95 · Déf.Spé 70 · Vit 65
Total 440
Talents : Regard Vif, Crachin (caché :
  Cuvette)</t>
      </text>
    </comment>
    <comment ref="E1315" authorId="0" shapeId="0">
      <text>
        <t>GOELISE — Eau / Vol
PV 40 · Att 30 · Déf 30
Att.Spé 55 · Déf.Spé 30 · Vit 85
Total 270
Talents : Regard Vif, Hydratation (caché :
  Cuvette)</t>
      </text>
    </comment>
    <comment ref="E1316" authorId="0" shapeId="0">
      <text>
        <t>KRABBY — Eau
PV 30 · Att 105 · Déf 90
Att.Spé 25 · Déf.Spé 25 · Vit 50
Total 325
Talents : Hyper Cutter, Coque Armure (caché :
  Sans Limite)</t>
      </text>
    </comment>
    <comment ref="E1317" authorId="0" shapeId="0">
      <text>
        <t>ECRAPINCE — Eau
PV 43 · Att 80 · Déf 65
Att.Spé 50 · Déf.Spé 35 · Vit 35
Total 308
Talents : Hyper Cutter, Coque Armure (caché :
  Adaptabilité)</t>
      </text>
    </comment>
    <comment ref="E1318" authorId="0" shapeId="0">
      <text>
        <t>CORAYON — Eau / Roche
PV 65 · Att 55 · Déf 95
Att.Spé 65 · Déf.Spé 95 · Vit 35
Total 410
Talents : Agitation, Médic Nature (caché :
  Régé-Force)</t>
      </text>
    </comment>
    <comment ref="E1319" authorId="0" shapeId="0">
      <text>
        <t>KRABBOSS — Eau
PV 55 · Att 130 · Déf 115
Att.Spé 50 · Déf.Spé 50 · Vit 75
Total 475
Talents : Hyper Cutter, Coque Armure (caché :
  Sans Limite)</t>
      </text>
    </comment>
    <comment ref="E1320" authorId="0" shapeId="0">
      <text>
        <t>COLHOMARD — Eau / Ténèbres
PV 63 · Att 120 · Déf 85
Att.Spé 90 · Déf.Spé 55 · Vit 55
Total 468
Talents : Hyper Cutter, Coque Armure (caché :
  Adaptabilité)</t>
      </text>
    </comment>
    <comment ref="E1321" authorId="0" shapeId="0">
      <text>
        <t>POMDEPIK — Insecte
PV 50 · Att 65 · Déf 90
Att.Spé 35 · Déf.Spé 35 · Vit 15
Total 290
Talents : Fermeté (caché : Envelocape)</t>
      </text>
    </comment>
    <comment ref="E1322" authorId="0" shapeId="0">
      <text>
        <t>NOEUNOEUF — Plante / Psy
PV 60 · Att 40 · Déf 80
Att.Spé 60 · Déf.Spé 45 · Vit 40
Total 325
Talents : Chlorophylle (caché : Récolte)</t>
      </text>
    </comment>
    <comment ref="E1323" authorId="0" shapeId="0">
      <text>
        <t>COXY — Insecte / Vol
PV 40 · Att 20 · Déf 30
Att.Spé 40 · Déf.Spé 80 · Vit 55
Total 265
Talents : Essaim, Matinal (caché : Phobique)</t>
      </text>
    </comment>
    <comment ref="E1324" authorId="0" shapeId="0">
      <text>
        <t>MIMIGAL — Insecte / Poison
PV 40 · Att 60 · Déf 40
Att.Spé 40 · Déf.Spé 40 · Vit 30
Total 250
Talents : Essaim, Insomnia (caché : Sniper)</t>
      </text>
    </comment>
    <comment ref="E1325" authorId="0" shapeId="0">
      <text>
        <t>SABELETTE — Sol
PV 50 · Att 75 · Déf 85
Att.Spé 20 · Déf.Spé 30 · Vit 40
Total 300
Talents : Voile Sable (caché : Baigne Sable)</t>
      </text>
    </comment>
    <comment ref="E1326" authorId="0" shapeId="0">
      <text>
        <t>SABLAIREAU — Sol
PV 75 · Att 100 · Déf 110
Att.Spé 45 · Déf.Spé 55 · Vit 65
Total 450
Talents : Voile Sable (caché : Baigne Sable)</t>
      </text>
    </comment>
    <comment ref="E1327" authorId="0" shapeId="0">
      <text>
        <t>OSSELAIT — Sol
PV 50 · Att 50 · Déf 95
Att.Spé 40 · Déf.Spé 50 · Vit 35
Total 320
Talents : Tête de Roc, Paratonnerre (caché :
  Armurbaston)</t>
      </text>
    </comment>
    <comment ref="E1328" authorId="0" shapeId="0">
      <text>
        <t>RAPASDEPIC — Normal / Vol
PV 65 · Att 90 · Déf 65
Att.Spé 61 · Déf.Spé 61 · Vit 100
Total 442
Talents : Regard Vif (caché : Sniper)</t>
      </text>
    </comment>
    <comment ref="E1329" authorId="0" shapeId="0">
      <text>
        <t>RHINOCORNE — Sol / Roche
PV 80 · Att 85 · Déf 95
Att.Spé 30 · Déf.Spé 30 · Vit 25
Total 345
Talents : Paratonnerre, Tête de Roc (caché :
  Téméraire)</t>
      </text>
    </comment>
    <comment ref="E1330" authorId="0" shapeId="0">
      <text>
        <t>SCORPLANE — Sol / Vol
PV 65 · Att 75 · Déf 105
Att.Spé 35 · Déf.Spé 65 · Vit 85
Total 430
Talents : Hyper Cutter, Voile Sable (caché :
  Vaccin)</t>
      </text>
    </comment>
    <comment ref="E1331" authorId="0" shapeId="0">
      <text>
        <t>EMBRYLEX — Roche / Sol
PV 50 · Att 64 · Déf 50
Att.Spé 45 · Déf.Spé 50 · Vit 41
Total 300
Talents : Cran (caché : Voile Sable)</t>
      </text>
    </comment>
    <comment ref="E1332" authorId="0" shapeId="0">
      <text>
        <t>ONIX — Roche / Sol
PV 35 · Att 45 · Déf 160
Att.Spé 30 · Déf.Spé 45 · Vit 70
Total 385
Talents : Tête de Roc, Fermeté (caché :
  Armurouillée)</t>
      </text>
    </comment>
    <comment ref="E1333" authorId="0" shapeId="0">
      <text>
        <t>PHANPY — Sol
PV 90 · Att 60 · Déf 60
Att.Spé 40 · Déf.Spé 40 · Vit 40
Total 330
Talents : Ramassage (caché : Voile Sable)</t>
      </text>
    </comment>
    <comment ref="E1334" authorId="0" shapeId="0">
      <text>
        <t>GRAVALANCH — Roche / Sol
PV 55 · Att 95 · Déf 115
Att.Spé 45 · Déf.Spé 45 · Vit 35
Total 390
Talents : Tête de Roc, Fermeté (caché : Voile
  Sable)</t>
      </text>
    </comment>
    <comment ref="E1335" authorId="0" shapeId="0">
      <text>
        <t>RACAILLOU — Roche / Sol
PV 40 · Att 80 · Déf 100
Att.Spé 30 · Déf.Spé 30 · Vit 20
Total 300
Talents : Tête de Roc, Fermeté (caché : Voile
  Sable)</t>
      </text>
    </comment>
    <comment ref="E1336" authorId="0" shapeId="0">
      <text>
        <t>MAGNETI — Électrik
PV 25 · Att 35 · Déf 70
Att.Spé 95 · Déf.Spé 55 · Vit 45
Total 325
Talents : Magnépiège, Fermeté (caché :
  Analyste)</t>
      </text>
    </comment>
    <comment ref="E1337" authorId="0" shapeId="0">
      <text>
        <t>MAGNETON — Électrik
PV 50 · Att 60 · Déf 95
Att.Spé 120 · Déf.Spé 70 · Vit 70
Total 465
Talents : Magnépiège, Fermeté (caché :
  Analyste)</t>
      </text>
    </comment>
    <comment ref="E1338" authorId="0" shapeId="0">
      <text>
        <t>RHINOCORNE — Sol / Roche
PV 80 · Att 85 · Déf 95
Att.Spé 30 · Déf.Spé 30 · Vit 25
Total 345
Talents : Paratonnerre, Tête de Roc (caché :
  Téméraire)</t>
      </text>
    </comment>
    <comment ref="E1339" authorId="0" shapeId="0">
      <text>
        <t>TAUROS — Normal
PV 75 · Att 100 · Déf 95
Att.Spé 40 · Déf.Spé 70 · Vit 110
Total 490
Talents : Intimidation, Colérique (caché :
  Sans Limite)</t>
      </text>
    </comment>
    <comment ref="E1340" authorId="0" shapeId="0">
      <text>
        <t>TEDDIURSA — Normal
PV 60 · Att 80 · Déf 50
Att.Spé 50 · Déf.Spé 50 · Vit 40
Total 330
Talents : Ramassage, Pied Véloce (caché :
  Cherche Miel)</t>
      </text>
    </comment>
    <comment ref="E1341" authorId="0" shapeId="0">
      <text>
        <t>AIRMURE — Acier / Vol
PV 65 · Att 80 · Déf 140
Att.Spé 40 · Déf.Spé 70 · Vit 70
Total 465
Talents : Regard Vif, Fermeté (caché :
  Armurouillée)</t>
      </text>
    </comment>
    <comment ref="E1342" authorId="0" shapeId="0">
      <text>
        <t>CAPUMAIN — Normal
PV 55 · Att 70 · Déf 55
Att.Spé 40 · Déf.Spé 55 · Vit 85
Total 360
Talents : Fuite, Ramassage (caché : Multi-
  Coups)</t>
      </text>
    </comment>
    <comment ref="E1343" authorId="0" shapeId="0">
      <text>
        <t>PTITARD — Eau
PV 40 · Att 50 · Déf 40
Att.Spé 40 · Déf.Spé 40 · Vit 90
Total 300
Talents : Absorbe-Eau, Moiteur (caché :
  Glissade)</t>
      </text>
    </comment>
    <comment ref="E1344" authorId="0" shapeId="0">
      <text>
        <t>REMORAID — Eau
PV 35 · Att 65 · Déf 35
Att.Spé 65 · Déf.Spé 35 · Vit 65
Total 300
Talents : Agitation, Sniper (caché :
  Lunatique)</t>
      </text>
    </comment>
    <comment ref="E1345" authorId="0" shapeId="0">
      <text>
        <t>TETARTE — Eau
PV 65 · Att 65 · Déf 65
Att.Spé 50 · Déf.Spé 50 · Vit 90
Total 385
Talents : Absorbe-Eau, Moiteur (caché :
  Glissade)</t>
      </text>
    </comment>
    <comment ref="E1346" authorId="0" shapeId="0">
      <text>
        <t>MAGICARPE — Eau
PV 20 · Att 10 · Déf 55
Att.Spé 15 · Déf.Spé 20 · Vit 80
Total 200
Talents : Glissade (caché : Phobique)</t>
      </text>
    </comment>
    <comment ref="E1347" authorId="0" shapeId="0">
      <text>
        <t>MAGICARPE — Eau
PV 20 · Att 10 · Déf 55
Att.Spé 15 · Déf.Spé 20 · Vit 80
Total 200
Talents : Glissade (caché : Phobique)</t>
      </text>
    </comment>
    <comment ref="E1348" authorId="0" shapeId="0">
      <text>
        <t>KRABBY — Eau
PV 30 · Att 105 · Déf 90
Att.Spé 25 · Déf.Spé 25 · Vit 50
Total 325
Talents : Hyper Cutter, Coque Armure (caché :
  Sans Limite)</t>
      </text>
    </comment>
    <comment ref="E1349" authorId="0" shapeId="0">
      <text>
        <t>POISSIRENE — Eau
PV 45 · Att 67 · Déf 60
Att.Spé 35 · Déf.Spé 50 · Vit 63
Total 320
Talents : Glissade, Ignifu-Voile (caché :
  Paratonnerre)</t>
      </text>
    </comment>
    <comment ref="E1350" authorId="0" shapeId="0">
      <text>
        <t>KRABBOSS — Eau
PV 55 · Att 130 · Déf 115
Att.Spé 50 · Déf.Spé 50 · Vit 75
Total 475
Talents : Hyper Cutter, Coque Armure (caché :
  Sans Limite)</t>
      </text>
    </comment>
    <comment ref="E1351" authorId="0" shapeId="0">
      <text>
        <t>POISSOROY — Eau
PV 80 · Att 92 · Déf 65
Att.Spé 65 · Déf.Spé 80 · Vit 68
Total 450
Talents : Glissade, Ignifu-Voile (caché :
  Paratonnerre)</t>
      </text>
    </comment>
    <comment ref="E1352" authorId="0" shapeId="0">
      <text>
        <t>REMORAID — Eau
PV 35 · Att 65 · Déf 35
Att.Spé 65 · Déf.Spé 35 · Vit 65
Total 300
Talents : Agitation, Sniper (caché :
  Lunatique)</t>
      </text>
    </comment>
    <comment ref="E1353" authorId="0" shapeId="0">
      <text>
        <t>AXOLOTO — Eau / Sol
PV 55 · Att 45 · Déf 45
Att.Spé 25 · Déf.Spé 25 · Vit 15
Total 210
Talents : Moiteur, Absorbe-Eau (caché :
  Inconscient)</t>
      </text>
    </comment>
    <comment ref="E1354" authorId="0" shapeId="0">
      <text>
        <t>MINIDRACO — Dragon
PV 41 · Att 64 · Déf 45
Att.Spé 50 · Déf.Spé 50 · Vit 50
Total 300
Talents : Mue (caché : Écaille Spéciale)</t>
      </text>
    </comment>
    <comment ref="E1355" authorId="0" shapeId="0">
      <text>
        <t>INSOLOURDO — Normal
PV 100 · Att 70 · Déf 70
Att.Spé 65 · Déf.Spé 65 · Vit 45
Total 415
Talents : Sérénité, Fuite (caché : Phobique)</t>
      </text>
    </comment>
    <comment ref="E1356" authorId="0" shapeId="0">
      <text>
        <t>DRACO — Dragon
PV 61 · Att 84 · Déf 65
Att.Spé 70 · Déf.Spé 70 · Vit 70
Total 420
Talents : Mue (caché : Écaille Spéciale)</t>
      </text>
    </comment>
    <comment ref="E1357" authorId="0" shapeId="0">
      <text>
        <t>YMPHECT — Roche / Sol
PV 70 · Att 84 · Déf 70
Att.Spé 65 · Déf.Spé 70 · Vit 51
Total 410
Talents : Mue</t>
      </text>
    </comment>
    <comment ref="E1358" authorId="0" shapeId="0">
      <text>
        <t>COCHIGNON — Glace / Sol
PV 100 · Att 100 · Déf 80
Att.Spé 60 · Déf.Spé 60 · Vit 50
Total 450
Talents : Benêt, Rideau Neige (caché :
  Isograisse)</t>
      </text>
    </comment>
    <comment ref="E1359" authorId="0" shapeId="0">
      <text>
        <t>FARFURET — Ténèbres / Glace
PV 55 · Att 95 · Déf 55
Att.Spé 35 · Déf.Spé 75 · Vit 115
Total 430
Talents : Attention, Regard Vif (caché :
  Pickpocket)</t>
      </text>
    </comment>
    <comment ref="E1360" authorId="0" shapeId="0">
      <text>
        <t>DEUSOLOURDO — Normal
PV 125 · Att 100 · Déf 80
Att.Spé 85 · Déf.Spé 75 · Vit 55
Total 520
Talents : Sérénité, Fuite (caché : Phobique)</t>
      </text>
    </comment>
    <comment ref="E1361" authorId="0" shapeId="0">
      <text>
        <t>AXOLOTO — Eau / Sol
PV 55 · Att 45 · Déf 45
Att.Spé 25 · Déf.Spé 25 · Vit 15
Total 210
Talents : Moiteur, Absorbe-Eau (caché :
  Inconscient)</t>
      </text>
    </comment>
    <comment ref="E1362" authorId="0" shapeId="0">
      <text>
        <t>AKWAKWAK — Eau
PV 80 · Att 82 · Déf 78
Att.Spé 95 · Déf.Spé 80 · Vit 85
Total 500
Talents : Moiteur, Ciel Gris (caché :
  Glissade)</t>
      </text>
    </comment>
    <comment ref="E1363" authorId="0" shapeId="0">
      <text>
        <t>MARAISTE — Eau / Sol
PV 95 · Att 85 · Déf 85
Att.Spé 65 · Déf.Spé 65 · Vit 35
Total 430
Talents : Moiteur, Absorbe-Eau (caché :
  Inconscient)</t>
      </text>
    </comment>
    <comment ref="E1364" authorId="0" shapeId="0">
      <text>
        <t>MAGICARPE — Eau
PV 20 · Att 10 · Déf 55
Att.Spé 15 · Déf.Spé 20 · Vit 80
Total 200
Talents : Glissade (caché : Phobique)</t>
      </text>
    </comment>
    <comment ref="E1365" authorId="0" shapeId="0">
      <text>
        <t>MAGICARPE — Eau
PV 20 · Att 10 · Déf 55
Att.Spé 15 · Déf.Spé 20 · Vit 80
Total 200
Talents : Glissade (caché : Phobique)</t>
      </text>
    </comment>
    <comment ref="E1366" authorId="0" shapeId="0">
      <text>
        <t>MINIDRACO — Dragon
PV 41 · Att 64 · Déf 45
Att.Spé 50 · Déf.Spé 50 · Vit 50
Total 300
Talents : Mue (caché : Écaille Spéciale)</t>
      </text>
    </comment>
    <comment ref="E1367" authorId="0" shapeId="0">
      <text>
        <t>MARAISTE — Eau / Sol
PV 95 · Att 85 · Déf 85
Att.Spé 65 · Déf.Spé 65 · Vit 35
Total 430
Talents : Moiteur, Absorbe-Eau (caché :
  Inconscient)</t>
      </text>
    </comment>
    <comment ref="E1368" authorId="0" shapeId="0">
      <text>
        <t>DRACO — Dragon
PV 61 · Att 84 · Déf 65
Att.Spé 70 · Déf.Spé 70 · Vit 70
Total 420
Talents : Mue (caché : Écaille Spéciale)</t>
      </text>
    </comment>
    <comment ref="E1369" authorId="0" shapeId="0">
      <text>
        <t>DODUO — Normal / Vol
PV 35 · Att 85 · Déf 45
Att.Spé 35 · Déf.Spé 35 · Vit 75
Total 310
Talents : Fuite, Matinal (caché : Pieds
  Confus)</t>
      </text>
    </comment>
    <comment ref="E1370" authorId="0" shapeId="0">
      <text>
        <t>ECREMEUH — Normal
PV 95 · Att 80 · Déf 105
Att.Spé 40 · Déf.Spé 70 · Vit 100
Total 490
Talents : Isograisse, Querelleur (caché :
  Herbivore)</t>
      </text>
    </comment>
    <comment ref="E1371" authorId="0" shapeId="0">
      <text>
        <t>INSECATEUR — Insecte / Vol
PV 70 · Att 110 · Déf 80
Att.Spé 55 · Déf.Spé 80 · Vit 105
Total 500
Talents : Essaim, Technicien (caché :
  Impassible)</t>
      </text>
    </comment>
    <comment ref="E1372" authorId="0" shapeId="0">
      <text>
        <t>KANGOUREX — Normal
PV 105 · Att 95 · Déf 80
Att.Spé 40 · Déf.Spé 80 · Vit 90
Total 490
Talents : Matinal, Querelleur (caché :
  Attention)</t>
      </text>
    </comment>
    <comment ref="E1373" authorId="0" shapeId="0">
      <text>
        <t>SCARABRUTE — Insecte
PV 65 · Att 125 · Déf 100
Att.Spé 55 · Déf.Spé 70 · Vit 85
Total 500
Talents : Hyper Cutter, Brise Moule (caché :
  Impudence)</t>
      </text>
    </comment>
    <comment ref="E1374" authorId="0" shapeId="0">
      <text>
        <t>YANMA — Insecte / Vol
PV 65 · Att 65 · Déf 45
Att.Spé 75 · Déf.Spé 45 · Vit 95
Total 390
Talents : Turbo, Œil Composé (caché : Fouille)</t>
      </text>
    </comment>
    <comment ref="E1375" authorId="0" shapeId="0">
      <text>
        <t>LEVEINARD — Normal
PV 250 · Att 5 · Déf 5
Att.Spé 35 · Déf.Spé 105 · Vit 50
Total 450
Talents : Médic Nature, Sérénité (caché : Cœur
  Soin)</t>
      </text>
    </comment>
    <comment ref="E1376" authorId="0" shapeId="0">
      <text>
        <t>METAMORPH — Normal
PV 48 · Att 48 · Déf 48
Att.Spé 48 · Déf.Spé 48 · Vit 48
Total 288
Talents : Échauffement (caché : Imposteur)</t>
      </text>
    </comment>
    <comment ref="E1377" authorId="0" shapeId="0">
      <text>
        <t>POMDEPIK — Insecte
PV 50 · Att 65 · Déf 90
Att.Spé 35 · Déf.Spé 35 · Vit 15
Total 290
Talents : Fermeté (caché : Envelocape)</t>
      </text>
    </comment>
    <comment ref="E1378" authorId="0" shapeId="0">
      <text>
        <t>SCARHINO — Insecte / Combat
PV 80 · Att 125 · Déf 75
Att.Spé 40 · Déf.Spé 95 · Vit 85
Total 500
Talents : Essaim, Cran (caché : Impudence)</t>
      </text>
    </comment>
    <comment ref="E1379" authorId="0" shapeId="0">
      <text>
        <t>PARAS — Insecte / Plante
PV 35 · Att 70 · Déf 55
Att.Spé 45 · Déf.Spé 55 · Vit 25
Total 285
Talents : Pose Spore, Peau Sèche (caché :
  Moiteur)</t>
      </text>
    </comment>
    <comment ref="E1380" authorId="0" shapeId="0">
      <text>
        <t>SPECTRUM — Spectre / Poison
PV 45 · Att 50 · Déf 45
Att.Spé 115 · Déf.Spé 55 · Vit 95
Total 405
Talents : Lévitation</t>
      </text>
    </comment>
    <comment ref="E1381" authorId="0" shapeId="0">
      <text>
        <t>ABRA — Psy
PV 25 · Att 20 · Déf 15
Att.Spé 105 · Déf.Spé 55 · Vit 90
Total 310
Talents : Synchro, Attention (caché : Garde
  Magik)</t>
      </text>
    </comment>
    <comment ref="E1382" authorId="0" shapeId="0">
      <text>
        <t>GIRAFARIG — Normal / Psy
PV 70 · Att 80 · Déf 65
Att.Spé 90 · Déf.Spé 65 · Vit 85
Total 455
Talents : Attention, Matinal (caché :
  Herbivore)</t>
      </text>
    </comment>
    <comment ref="E1383" authorId="0" shapeId="0">
      <text>
        <t>HOOTHOOT — Normal / Vol
PV 60 · Att 30 · Déf 30
Att.Spé 36 · Déf.Spé 56 · Vit 50
Total 262
Talents : Insomnia, Regard Vif (caché :
  Lentiteintée)</t>
      </text>
    </comment>
    <comment ref="E1384" authorId="0" shapeId="0">
      <text>
        <t>ROUCOUPS — Normal / Vol
PV 63 · Att 60 · Déf 55
Att.Spé 50 · Déf.Spé 50 · Vit 71
Total 349
Talents : Regard Vif, Pieds Confus (caché :
  Cœur de Coq)</t>
      </text>
    </comment>
    <comment ref="E1385" authorId="0" shapeId="0">
      <text>
        <t>CORNEBRE — Ténèbres / Vol
PV 60 · Att 85 · Déf 42
Att.Spé 85 · Déf.Spé 42 · Vit 91
Total 405
Talents : Insomnia, Chanceux (caché : Farceur)</t>
      </text>
    </comment>
    <comment ref="E1386" authorId="0" shapeId="0">
      <text>
        <t>EVOLI — Normal
PV 55 · Att 55 · Déf 50
Att.Spé 45 · Déf.Spé 65 · Vit 55
Total 325
Talents : Fuite, Adaptabilité (caché :
  Anticipation)</t>
      </text>
    </comment>
    <comment ref="E1387" authorId="0" shapeId="0">
      <text>
        <t>M. MIME — Psy / Fée
PV 40 · Att 45 · Déf 65
Att.Spé 100 · Déf.Spé 120 · Vit 90
Total 460
Talents : Anti-Bruit, Filtre (caché :
  Technicien)</t>
      </text>
    </comment>
    <comment ref="E1388" authorId="0" shapeId="0">
      <text>
        <t>SAQUEDENEU — Plante
PV 65 · Att 55 · Déf 115
Att.Spé 100 · Déf.Spé 40 · Vit 60
Total 435
Talents : Chlorophylle, Feuille Garde (caché :
  Régé-Force)</t>
      </text>
    </comment>
    <comment ref="E1389" authorId="0" shapeId="0">
      <text>
        <t>PTITARD — Eau
PV 40 · Att 50 · Déf 40
Att.Spé 40 · Déf.Spé 40 · Vit 90
Total 300
Talents : Absorbe-Eau, Moiteur (caché :
  Glissade)</t>
      </text>
    </comment>
    <comment ref="E1390" authorId="0" shapeId="0">
      <text>
        <t>REMORAID — Eau
PV 35 · Att 65 · Déf 35
Att.Spé 65 · Déf.Spé 35 · Vit 65
Total 300
Talents : Agitation, Sniper (caché :
  Lunatique)</t>
      </text>
    </comment>
    <comment ref="E1391" authorId="0" shapeId="0">
      <text>
        <t>TETARTE — Eau
PV 65 · Att 65 · Déf 65
Att.Spé 50 · Déf.Spé 50 · Vit 90
Total 385
Talents : Absorbe-Eau, Moiteur (caché :
  Glissade)</t>
      </text>
    </comment>
    <comment ref="E1392" authorId="0" shapeId="0">
      <text>
        <t>MAGICARPE — Eau
PV 20 · Att 10 · Déf 55
Att.Spé 15 · Déf.Spé 20 · Vit 80
Total 200
Talents : Glissade (caché : Phobique)</t>
      </text>
    </comment>
    <comment ref="E1393" authorId="0" shapeId="0">
      <text>
        <t>MAGICARPE — Eau
PV 20 · Att 10 · Déf 55
Att.Spé 15 · Déf.Spé 20 · Vit 80
Total 200
Talents : Glissade (caché : Phobique)</t>
      </text>
    </comment>
    <comment ref="E1394" authorId="0" shapeId="0">
      <text>
        <t>KRABBY — Eau
PV 30 · Att 105 · Déf 90
Att.Spé 25 · Déf.Spé 25 · Vit 50
Total 325
Talents : Hyper Cutter, Coque Armure (caché :
  Sans Limite)</t>
      </text>
    </comment>
    <comment ref="E1395" authorId="0" shapeId="0">
      <text>
        <t>POISSIRENE — Eau
PV 45 · Att 67 · Déf 60
Att.Spé 35 · Déf.Spé 50 · Vit 63
Total 320
Talents : Glissade, Ignifu-Voile (caché :
  Paratonnerre)</t>
      </text>
    </comment>
    <comment ref="E1396" authorId="0" shapeId="0">
      <text>
        <t>KRABBOSS — Eau
PV 55 · Att 130 · Déf 115
Att.Spé 50 · Déf.Spé 50 · Vit 75
Total 475
Talents : Hyper Cutter, Coque Armure (caché :
  Sans Limite)</t>
      </text>
    </comment>
    <comment ref="E1397" authorId="0" shapeId="0">
      <text>
        <t>POISSOROY — Eau
PV 80 · Att 92 · Déf 65
Att.Spé 65 · Déf.Spé 80 · Vit 68
Total 450
Talents : Glissade, Ignifu-Voile (caché :
  Paratonnerre)</t>
      </text>
    </comment>
    <comment ref="E1398" authorId="0" shapeId="0">
      <text>
        <t>REMORAID — Eau
PV 35 · Att 65 · Déf 35
Att.Spé 65 · Déf.Spé 35 · Vit 65
Total 300
Talents : Agitation, Sniper (caché :
  Lunatique)</t>
      </text>
    </comment>
    <comment ref="E1399" authorId="0" shapeId="0">
      <text>
        <t>PSYKOKWAK — Eau
PV 50 · Att 52 · Déf 48
Att.Spé 65 · Déf.Spé 50 · Vit 55
Total 320
Talents : Moiteur, Ciel Gris (caché :
  Glissade)</t>
      </text>
    </comment>
    <comment ref="E1400" authorId="0" shapeId="0">
      <text>
        <t>AXOLOTO — Eau / Sol
PV 55 · Att 45 · Déf 45
Att.Spé 25 · Déf.Spé 25 · Vit 15
Total 210
Talents : Moiteur, Absorbe-Eau (caché :
  Inconscient)</t>
      </text>
    </comment>
    <comment ref="E1401" authorId="0" shapeId="0">
      <text>
        <t>KRABBY — Eau
PV 30 · Att 105 · Déf 90
Att.Spé 25 · Déf.Spé 25 · Vit 50
Total 325
Talents : Hyper Cutter, Coque Armure (caché :
  Sans Limite)</t>
      </text>
    </comment>
    <comment ref="E1402" authorId="0" shapeId="0">
      <text>
        <t>NOEUNOEUF — Plante / Psy
PV 60 · Att 40 · Déf 80
Att.Spé 60 · Déf.Spé 45 · Vit 40
Total 325
Talents : Chlorophylle (caché : Récolte)</t>
      </text>
    </comment>
    <comment ref="E1403" authorId="0" shapeId="0">
      <text>
        <t>FLORAVOL — Plante / Vol
PV 55 · Att 45 · Déf 50
Att.Spé 45 · Déf.Spé 65 · Vit 80
Total 340
Talents : Chlorophylle, Feuille Garde (caché :
  Infiltration)</t>
      </text>
    </comment>
    <comment ref="E1404" authorId="0" shapeId="0">
      <text>
        <t>CARATROC — Insecte / Roche
PV 20 · Att 10 · Déf 230
Att.Spé 10 · Déf.Spé 230 · Vit 5
Total 505
Talents : Fermeté, Gloutonnerie (caché :
  Contestation)</t>
      </text>
    </comment>
    <comment ref="E1405" authorId="0" shapeId="0">
      <text>
        <t>KRABBOSS — Eau
PV 55 · Att 130 · Déf 115
Att.Spé 50 · Déf.Spé 50 · Vit 75
Total 475
Talents : Hyper Cutter, Coque Armure (caché :
  Sans Limite)</t>
      </text>
    </comment>
    <comment ref="E1406" authorId="0" shapeId="0">
      <text>
        <t>HYPOTREMPE — Eau
PV 30 · Att 40 · Déf 70
Att.Spé 70 · Déf.Spé 25 · Vit 60
Total 295
Talents : Glissade, Sniper (caché : Moiteur)</t>
      </text>
    </comment>
    <comment ref="E1407" authorId="0" shapeId="0">
      <text>
        <t>STARI — Eau
PV 30 · Att 45 · Déf 55
Att.Spé 70 · Déf.Spé 55 · Vit 85
Total 340
Talents : Lumiattirance, Médic Nature (caché :
  Analyste)</t>
      </text>
    </comment>
    <comment ref="E1408" authorId="0" shapeId="0">
      <text>
        <t>CORAYON — Eau / Roche
PV 65 · Att 55 · Déf 95
Att.Spé 65 · Déf.Spé 95 · Vit 35
Total 410
Talents : Agitation, Médic Nature (caché :
  Régé-Force)</t>
      </text>
    </comment>
    <comment ref="E1409" authorId="0" shapeId="0">
      <text>
        <t>MINIDRACO — Dragon
PV 41 · Att 64 · Déf 45
Att.Spé 50 · Déf.Spé 50 · Vit 50
Total 300
Talents : Mue (caché : Écaille Spéciale)</t>
      </text>
    </comment>
    <comment ref="E1410" authorId="0" shapeId="0">
      <text>
        <t>MAGICARPE — Eau
PV 20 · Att 10 · Déf 55
Att.Spé 15 · Déf.Spé 20 · Vit 80
Total 200
Talents : Glissade (caché : Phobique)</t>
      </text>
    </comment>
    <comment ref="E1411" authorId="0" shapeId="0">
      <text>
        <t>QWILFISH — Eau / Poison
PV 65 · Att 95 · Déf 85
Att.Spé 55 · Déf.Spé 55 · Vit 85
Total 440
Talents : Point Poison, Glissade (caché :
  Intimidation)</t>
      </text>
    </comment>
    <comment ref="E1412" authorId="0" shapeId="0">
      <text>
        <t>KOKIYAS — Eau
PV 30 · Att 65 · Déf 100
Att.Spé 45 · Déf.Spé 25 · Vit 40
Total 305
Talents : Coque Armure, Multi-Coups (caché :
  Envelocape)</t>
      </text>
    </comment>
    <comment ref="E1413" authorId="0" shapeId="0">
      <text>
        <t>LOUPIO — Eau / Électrik
PV 75 · Att 38 · Déf 38
Att.Spé 56 · Déf.Spé 56 · Vit 67
Total 330
Talents : Absorbe-Volt, Lumiattirance (caché :
  Absorbe-Eau)</t>
      </text>
    </comment>
    <comment ref="E1414" authorId="0" shapeId="0">
      <text>
        <t>KRABBOSS — Eau
PV 55 · Att 130 · Déf 115
Att.Spé 50 · Déf.Spé 50 · Vit 75
Total 475
Talents : Hyper Cutter, Coque Armure (caché :
  Sans Limite)</t>
      </text>
    </comment>
    <comment ref="E1415" authorId="0" shapeId="0">
      <text>
        <t>QWILFISH — Eau / Poison
PV 65 · Att 95 · Déf 85
Att.Spé 55 · Déf.Spé 55 · Vit 85
Total 440
Talents : Point Poison, Glissade (caché :
  Intimidation)</t>
      </text>
    </comment>
    <comment ref="E1416" authorId="0" shapeId="0">
      <text>
        <t>KOKIYAS — Eau
PV 30 · Att 65 · Déf 100
Att.Spé 45 · Déf.Spé 25 · Vit 40
Total 305
Talents : Coque Armure, Multi-Coups (caché :
  Envelocape)</t>
      </text>
    </comment>
    <comment ref="E1417" authorId="0" shapeId="0">
      <text>
        <t>LOUPIO — Eau / Électrik
PV 75 · Att 38 · Déf 38
Att.Spé 56 · Déf.Spé 56 · Vit 67
Total 330
Talents : Absorbe-Volt, Lumiattirance (caché :
  Absorbe-Eau)</t>
      </text>
    </comment>
    <comment ref="E1418" authorId="0" shapeId="0">
      <text>
        <t>NOSFERAPTI — Poison / Vol
PV 40 · Att 45 · Déf 35
Att.Spé 30 · Déf.Spé 40 · Vit 55
Total 245
Talents : Attention (caché : Infiltration)</t>
      </text>
    </comment>
    <comment ref="E1419" authorId="0" shapeId="0">
      <text>
        <t>RAMOLOSS — Eau / Psy
PV 90 · Att 65 · Déf 65
Att.Spé 40 · Déf.Spé 40 · Vit 15
Total 315
Talents : Benêt, Tempo Perso (caché : Régé-
  Force)</t>
      </text>
    </comment>
    <comment ref="E1420" authorId="0" shapeId="0">
      <text>
        <t>RAMOLOSS — Eau / Psy
PV 90 · Att 65 · Déf 65
Att.Spé 40 · Déf.Spé 40 · Vit 15
Total 315
Talents : Benêt, Tempo Perso (caché : Régé-
  Force)</t>
      </text>
    </comment>
    <comment ref="E1421" authorId="0" shapeId="0">
      <text>
        <t>FLAGADOSS — Eau / Psy
PV 95 · Att 75 · Déf 110
Att.Spé 100 · Déf.Spé 80 · Vit 30
Total 490
Talents : Benêt, Tempo Perso (caché : Régé-
  Force)</t>
      </text>
    </comment>
    <comment ref="E1422" authorId="0" shapeId="0">
      <text>
        <t>MAGICARPE — Eau
PV 20 · Att 10 · Déf 55
Att.Spé 15 · Déf.Spé 20 · Vit 80
Total 200
Talents : Glissade (caché : Phobique)</t>
      </text>
    </comment>
    <comment ref="E1423" authorId="0" shapeId="0">
      <text>
        <t>POISSIRENE — Eau
PV 45 · Att 67 · Déf 60
Att.Spé 35 · Déf.Spé 50 · Vit 63
Total 320
Talents : Glissade, Ignifu-Voile (caché :
  Paratonnerre)</t>
      </text>
    </comment>
    <comment ref="E1424" authorId="0" shapeId="0">
      <text>
        <t>POISSIRENE — Eau
PV 45 · Att 67 · Déf 60
Att.Spé 35 · Déf.Spé 50 · Vit 63
Total 320
Talents : Glissade, Ignifu-Voile (caché :
  Paratonnerre)</t>
      </text>
    </comment>
    <comment ref="E1425" authorId="0" shapeId="0">
      <text>
        <t>MAGICARPE — Eau
PV 20 · Att 10 · Déf 55
Att.Spé 15 · Déf.Spé 20 · Vit 80
Total 200
Talents : Glissade (caché : Phobique)</t>
      </text>
    </comment>
    <comment ref="E1426" authorId="0" shapeId="0">
      <text>
        <t>MAGICARPE — Eau
PV 20 · Att 10 · Déf 55
Att.Spé 15 · Déf.Spé 20 · Vit 80
Total 200
Talents : Glissade (caché : Phobique)</t>
      </text>
    </comment>
    <comment ref="E1427" authorId="0" shapeId="0">
      <text>
        <t>POISSOROY — Eau
PV 80 · Att 92 · Déf 65
Att.Spé 65 · Déf.Spé 80 · Vit 68
Total 450
Talents : Glissade, Ignifu-Voile (caché :
  Paratonnerre)</t>
      </text>
    </comment>
    <comment ref="E1428" authorId="0" shapeId="0">
      <text>
        <t>POISSIRENE — Eau
PV 45 · Att 67 · Déf 60
Att.Spé 35 · Déf.Spé 50 · Vit 63
Total 320
Talents : Glissade, Ignifu-Voile (caché :
  Paratonnerre)</t>
      </text>
    </comment>
    <comment ref="E1429" authorId="0" shapeId="0">
      <text>
        <t>NOSFERAPTI — Poison / Vol
PV 40 · Att 45 · Déf 35
Att.Spé 30 · Déf.Spé 40 · Vit 55
Total 245
Talents : Attention (caché : Infiltration)</t>
      </text>
    </comment>
    <comment ref="E1430" authorId="0" shapeId="0">
      <text>
        <t>RAMOLOSS — Eau / Psy
PV 90 · Att 65 · Déf 65
Att.Spé 40 · Déf.Spé 40 · Vit 15
Total 315
Talents : Benêt, Tempo Perso (caché : Régé-
  Force)</t>
      </text>
    </comment>
    <comment ref="E1431" authorId="0" shapeId="0">
      <text>
        <t>NOSFERALTO — Poison / Vol
PV 75 · Att 80 · Déf 70
Att.Spé 65 · Déf.Spé 75 · Vit 90
Total 455
Talents : Attention (caché : Infiltration)</t>
      </text>
    </comment>
    <comment ref="E1432" authorId="0" shapeId="0">
      <text>
        <t>RAMOLOSS — Eau / Psy
PV 90 · Att 65 · Déf 65
Att.Spé 40 · Déf.Spé 40 · Vit 15
Total 315
Talents : Benêt, Tempo Perso (caché : Régé-
  Force)</t>
      </text>
    </comment>
    <comment ref="E1433" authorId="0" shapeId="0">
      <text>
        <t>FLAGADOSS — Eau / Psy
PV 95 · Att 75 · Déf 110
Att.Spé 100 · Déf.Spé 80 · Vit 30
Total 490
Talents : Benêt, Tempo Perso (caché : Régé-
  Force)</t>
      </text>
    </comment>
    <comment ref="E1434" authorId="0" shapeId="0">
      <text>
        <t>MAGICARPE — Eau
PV 20 · Att 10 · Déf 55
Att.Spé 15 · Déf.Spé 20 · Vit 80
Total 200
Talents : Glissade (caché : Phobique)</t>
      </text>
    </comment>
    <comment ref="E1435" authorId="0" shapeId="0">
      <text>
        <t>POISSIRENE — Eau
PV 45 · Att 67 · Déf 60
Att.Spé 35 · Déf.Spé 50 · Vit 63
Total 320
Talents : Glissade, Ignifu-Voile (caché :
  Paratonnerre)</t>
      </text>
    </comment>
    <comment ref="E1436" authorId="0" shapeId="0">
      <text>
        <t>POISSIRENE — Eau
PV 45 · Att 67 · Déf 60
Att.Spé 35 · Déf.Spé 50 · Vit 63
Total 320
Talents : Glissade, Ignifu-Voile (caché :
  Paratonnerre)</t>
      </text>
    </comment>
    <comment ref="E1437" authorId="0" shapeId="0">
      <text>
        <t>MAGICARPE — Eau
PV 20 · Att 10 · Déf 55
Att.Spé 15 · Déf.Spé 20 · Vit 80
Total 200
Talents : Glissade (caché : Phobique)</t>
      </text>
    </comment>
    <comment ref="E1438" authorId="0" shapeId="0">
      <text>
        <t>MAGICARPE — Eau
PV 20 · Att 10 · Déf 55
Att.Spé 15 · Déf.Spé 20 · Vit 80
Total 200
Talents : Glissade (caché : Phobique)</t>
      </text>
    </comment>
    <comment ref="E1439" authorId="0" shapeId="0">
      <text>
        <t>POISSOROY — Eau
PV 80 · Att 92 · Déf 65
Att.Spé 65 · Déf.Spé 80 · Vit 68
Total 450
Talents : Glissade, Ignifu-Voile (caché :
  Paratonnerre)</t>
      </text>
    </comment>
    <comment ref="E1440" authorId="0" shapeId="0">
      <text>
        <t>POISSIRENE — Eau
PV 45 · Att 67 · Déf 60
Att.Spé 35 · Déf.Spé 50 · Vit 63
Total 320
Talents : Glissade, Ignifu-Voile (caché :
  Paratonnerre)</t>
      </text>
    </comment>
    <comment ref="E1441" authorId="0" shapeId="0">
      <text>
        <t>VOLTORBE — Électrik
PV 40 · Att 30 · Déf 50
Att.Spé 55 · Déf.Spé 55 · Vit 100
Total 330
Talents : Anti-Bruit, Statik (caché : Boom
  Final)</t>
      </text>
    </comment>
    <comment ref="E1442" authorId="0" shapeId="0">
      <text>
        <t>RACAILLOU — Roche / Sol
PV 40 · Att 80 · Déf 100
Att.Spé 30 · Déf.Spé 30 · Vit 20
Total 300
Talents : Tête de Roc, Fermeté (caché : Voile
  Sable)</t>
      </text>
    </comment>
    <comment ref="E1443" authorId="0" shapeId="0">
      <text>
        <t>SMOGO — Poison
PV 40 · Att 65 · Déf 95
Att.Spé 60 · Déf.Spé 45 · Vit 35
Total 340
Talents : Lévitation, Gaz Inhibiteur (caché :
  Puanteur)</t>
      </text>
    </comment>
    <comment ref="E1444" authorId="0" shapeId="0">
      <text>
        <t>PTITARD — Eau
PV 40 · Att 50 · Déf 40
Att.Spé 40 · Déf.Spé 40 · Vit 90
Total 300
Talents : Absorbe-Eau, Moiteur (caché :
  Glissade)</t>
      </text>
    </comment>
    <comment ref="E1445" authorId="0" shapeId="0">
      <text>
        <t>TETARTE — Eau
PV 65 · Att 65 · Déf 65
Att.Spé 50 · Déf.Spé 50 · Vit 90
Total 385
Talents : Absorbe-Eau, Moiteur (caché :
  Glissade)</t>
      </text>
    </comment>
    <comment ref="E1446" authorId="0" shapeId="0">
      <text>
        <t>PTITARD — Eau
PV 40 · Att 50 · Déf 40
Att.Spé 40 · Déf.Spé 40 · Vit 90
Total 300
Talents : Absorbe-Eau, Moiteur (caché :
  Glissade)</t>
      </text>
    </comment>
    <comment ref="E1447" authorId="0" shapeId="0">
      <text>
        <t>TETARTE — Eau
PV 65 · Att 65 · Déf 65
Att.Spé 50 · Déf.Spé 50 · Vit 90
Total 385
Talents : Absorbe-Eau, Moiteur (caché :
  Glissade)</t>
      </text>
    </comment>
    <comment ref="E1448" authorId="0" shapeId="0">
      <text>
        <t>POMDEPIK — Insecte
PV 50 · Att 65 · Déf 90
Att.Spé 35 · Déf.Spé 35 · Vit 15
Total 290
Talents : Fermeté (caché : Envelocape)</t>
      </text>
    </comment>
    <comment ref="E1449" authorId="0" shapeId="0">
      <text>
        <t>NOEUNOEUF — Plante / Psy
PV 60 · Att 40 · Déf 80
Att.Spé 60 · Déf.Spé 45 · Vit 40
Total 325
Talents : Chlorophylle (caché : Récolte)</t>
      </text>
    </comment>
    <comment ref="E1450" authorId="0" shapeId="0">
      <text>
        <t>COXY — Insecte / Vol
PV 40 · Att 20 · Déf 30
Att.Spé 40 · Déf.Spé 80 · Vit 55
Total 265
Talents : Essaim, Matinal (caché : Phobique)</t>
      </text>
    </comment>
    <comment ref="E1451" authorId="0" shapeId="0">
      <text>
        <t>MIMIGAL — Insecte / Poison
PV 40 · Att 60 · Déf 40
Att.Spé 40 · Déf.Spé 40 · Vit 30
Total 250
Talents : Essaim, Insomnia (caché : Sniper)</t>
      </text>
    </comment>
    <comment ref="E1452" authorId="0" shapeId="0">
      <text>
        <t>POMDEPIK — Insecte
PV 50 · Att 65 · Déf 90
Att.Spé 35 · Déf.Spé 35 · Vit 15
Total 290
Talents : Fermeté (caché : Envelocape)</t>
      </text>
    </comment>
    <comment ref="E1453" authorId="0" shapeId="0">
      <text>
        <t>NOEUNOEUF — Plante / Psy
PV 60 · Att 40 · Déf 80
Att.Spé 60 · Déf.Spé 45 · Vit 40
Total 325
Talents : Chlorophylle (caché : Récolte)</t>
      </text>
    </comment>
    <comment ref="E1454" authorId="0" shapeId="0">
      <text>
        <t>COXY — Insecte / Vol
PV 40 · Att 20 · Déf 30
Att.Spé 40 · Déf.Spé 80 · Vit 55
Total 265
Talents : Essaim, Matinal (caché : Phobique)</t>
      </text>
    </comment>
    <comment ref="E1455" authorId="0" shapeId="0">
      <text>
        <t>MIMIGAL — Insecte / Poison
PV 40 · Att 60 · Déf 40
Att.Spé 40 · Déf.Spé 40 · Vit 30
Total 250
Talents : Essaim, Insomnia (caché : Sniper)</t>
      </text>
    </comment>
    <comment ref="E1456" authorId="0" shapeId="0">
      <text>
        <t>MAGICARPE — Eau
PV 20 · Att 10 · Déf 55
Att.Spé 15 · Déf.Spé 20 · Vit 80
Total 200
Talents : Glissade (caché : Phobique)</t>
      </text>
    </comment>
    <comment ref="E1457" authorId="0" shapeId="0">
      <text>
        <t>PTITARD — Eau
PV 40 · Att 50 · Déf 40
Att.Spé 40 · Déf.Spé 40 · Vit 90
Total 300
Talents : Absorbe-Eau, Moiteur (caché :
  Glissade)</t>
      </text>
    </comment>
    <comment ref="E1458" authorId="0" shapeId="0">
      <text>
        <t>MAGICARPE — Eau
PV 20 · Att 10 · Déf 55
Att.Spé 15 · Déf.Spé 20 · Vit 80
Total 200
Talents : Glissade (caché : Phobique)</t>
      </text>
    </comment>
    <comment ref="E1459" authorId="0" shapeId="0">
      <text>
        <t>PTITARD — Eau
PV 40 · Att 50 · Déf 40
Att.Spé 40 · Déf.Spé 40 · Vit 90
Total 300
Talents : Absorbe-Eau, Moiteur (caché :
  Glissade)</t>
      </text>
    </comment>
    <comment ref="E1460" authorId="0" shapeId="0">
      <text>
        <t>PTITARD — Eau
PV 40 · Att 50 · Déf 40
Att.Spé 40 · Déf.Spé 40 · Vit 90
Total 300
Talents : Absorbe-Eau, Moiteur (caché :
  Glissade)</t>
      </text>
    </comment>
    <comment ref="E1461" authorId="0" shapeId="0">
      <text>
        <t>MAGICARPE — Eau
PV 20 · Att 10 · Déf 55
Att.Spé 15 · Déf.Spé 20 · Vit 80
Total 200
Talents : Glissade (caché : Phobique)</t>
      </text>
    </comment>
    <comment ref="E1462" authorId="0" shapeId="0">
      <text>
        <t>PTITARD — Eau
PV 40 · Att 50 · Déf 40
Att.Spé 40 · Déf.Spé 40 · Vit 90
Total 300
Talents : Absorbe-Eau, Moiteur (caché :
  Glissade)</t>
      </text>
    </comment>
    <comment ref="E1463" authorId="0" shapeId="0">
      <text>
        <t>MAGICARPE — Eau
PV 20 · Att 10 · Déf 55
Att.Spé 15 · Déf.Spé 20 · Vit 80
Total 200
Talents : Glissade (caché : Phobique)</t>
      </text>
    </comment>
    <comment ref="E1464" authorId="0" shapeId="0">
      <text>
        <t>PTITARD — Eau
PV 40 · Att 50 · Déf 40
Att.Spé 40 · Déf.Spé 40 · Vit 90
Total 300
Talents : Absorbe-Eau, Moiteur (caché :
  Glissade)</t>
      </text>
    </comment>
    <comment ref="E1465" authorId="0" shapeId="0">
      <text>
        <t>MAGICARPE — Eau
PV 20 · Att 10 · Déf 55
Att.Spé 15 · Déf.Spé 20 · Vit 80
Total 200
Talents : Glissade (caché : Phobique)</t>
      </text>
    </comment>
    <comment ref="E1466" authorId="0" shapeId="0">
      <text>
        <t>TETARTE — Eau
PV 65 · Att 65 · Déf 65
Att.Spé 50 · Déf.Spé 50 · Vit 90
Total 385
Talents : Absorbe-Eau, Moiteur (caché :
  Glissade)</t>
      </text>
    </comment>
    <comment ref="E1467" authorId="0" shapeId="0">
      <text>
        <t>PTITARD — Eau
PV 40 · Att 50 · Déf 40
Att.Spé 40 · Déf.Spé 40 · Vit 90
Total 300
Talents : Absorbe-Eau, Moiteur (caché :
  Glissade)</t>
      </text>
    </comment>
    <comment ref="E1468" authorId="0" shapeId="0">
      <text>
        <t>MAGICARPE — Eau
PV 20 · Att 10 · Déf 55
Att.Spé 15 · Déf.Spé 20 · Vit 80
Total 200
Talents : Glissade (caché : Phobique)</t>
      </text>
    </comment>
    <comment ref="E1469" authorId="0" shapeId="0">
      <text>
        <t>TETARTE — Eau
PV 65 · Att 65 · Déf 65
Att.Spé 50 · Déf.Spé 50 · Vit 90
Total 385
Talents : Absorbe-Eau, Moiteur (caché :
  Glissade)</t>
      </text>
    </comment>
    <comment ref="E1470" authorId="0" shapeId="0">
      <text>
        <t>ROUCOOL — Normal / Vol
PV 40 · Att 45 · Déf 40
Att.Spé 35 · Déf.Spé 35 · Vit 56
Total 251
Talents : Regard Vif, Pieds Confus (caché :
  Cœur de Coq)</t>
      </text>
    </comment>
    <comment ref="E1471" authorId="0" shapeId="0">
      <text>
        <t>RATTATA — Normal
PV 30 · Att 56 · Déf 35
Att.Spé 25 · Déf.Spé 35 · Vit 72
Total 253
Talents : Fuite, Cran (caché : Agitation)</t>
      </text>
    </comment>
    <comment ref="E1472" authorId="0" shapeId="0">
      <text>
        <t>FOUINAR — Normal
PV 85 · Att 76 · Déf 64
Att.Spé 45 · Déf.Spé 55 · Vit 90
Total 415
Talents : Fuite, Regard Vif (caché : Fouille)</t>
      </text>
    </comment>
    <comment ref="E1473" authorId="0" shapeId="0">
      <text>
        <t>FOUINETTE — Normal
PV 35 · Att 46 · Déf 34
Att.Spé 35 · Déf.Spé 45 · Vit 20
Total 215
Talents : Fuite, Regard Vif (caché : Fouille)</t>
      </text>
    </comment>
    <comment ref="E1474" authorId="0" shapeId="0">
      <text>
        <t>MEDHYENA — Ténèbres
PV 35 · Att 55 · Déf 35
Att.Spé 30 · Déf.Spé 30 · Vit 35
Total 220
Talents : Fuite, Pied Véloce (caché :
  Phobique)</t>
      </text>
    </comment>
    <comment ref="E1475" authorId="0" shapeId="0">
      <text>
        <t>HOOTHOOT — Normal / Vol
PV 60 · Att 30 · Déf 30
Att.Spé 36 · Déf.Spé 56 · Vit 50
Total 262
Talents : Insomnia, Regard Vif (caché :
  Lentiteintée)</t>
      </text>
    </comment>
    <comment ref="E1476" authorId="0" shapeId="0">
      <text>
        <t>RATTATA — Normal
PV 30 · Att 56 · Déf 35
Att.Spé 25 · Déf.Spé 35 · Vit 72
Total 253
Talents : Fuite, Cran (caché : Agitation)</t>
      </text>
    </comment>
    <comment ref="E1477" authorId="0" shapeId="0">
      <text>
        <t>RATTATAC — Normal
PV 55 · Att 81 · Déf 60
Att.Spé 50 · Déf.Spé 70 · Vit 97
Total 413
Talents : Fuite, Cran (caché : Agitation)</t>
      </text>
    </comment>
    <comment ref="E1478" authorId="0" shapeId="0">
      <text>
        <t>FOUINETTE — Normal
PV 35 · Att 46 · Déf 34
Att.Spé 35 · Déf.Spé 45 · Vit 20
Total 215
Talents : Fuite, Regard Vif (caché : Fouille)</t>
      </text>
    </comment>
    <comment ref="E1479" authorId="0" shapeId="0">
      <text>
        <t>MEDHYENA — Ténèbres
PV 35 · Att 55 · Déf 35
Att.Spé 30 · Déf.Spé 30 · Vit 35
Total 220
Talents : Fuite, Pied Véloce (caché :
  Phobique)</t>
      </text>
    </comment>
    <comment ref="E1480" authorId="0" shapeId="0">
      <text>
        <t>PTITARD — Eau
PV 40 · Att 50 · Déf 40
Att.Spé 40 · Déf.Spé 40 · Vit 90
Total 300
Talents : Absorbe-Eau, Moiteur (caché :
  Glissade)</t>
      </text>
    </comment>
    <comment ref="E1481" authorId="0" shapeId="0">
      <text>
        <t>TETARTE — Eau
PV 65 · Att 65 · Déf 65
Att.Spé 50 · Déf.Spé 50 · Vit 90
Total 385
Talents : Absorbe-Eau, Moiteur (caché :
  Glissade)</t>
      </text>
    </comment>
    <comment ref="E1482" authorId="0" shapeId="0">
      <text>
        <t>PTITARD — Eau
PV 40 · Att 50 · Déf 40
Att.Spé 40 · Déf.Spé 40 · Vit 90
Total 300
Talents : Absorbe-Eau, Moiteur (caché :
  Glissade)</t>
      </text>
    </comment>
    <comment ref="E1483" authorId="0" shapeId="0">
      <text>
        <t>TETARTE — Eau
PV 65 · Att 65 · Déf 65
Att.Spé 50 · Déf.Spé 50 · Vit 90
Total 385
Talents : Absorbe-Eau, Moiteur (caché :
  Glissade)</t>
      </text>
    </comment>
    <comment ref="E1484" authorId="0" shapeId="0">
      <text>
        <t>POMDEPIK — Insecte
PV 50 · Att 65 · Déf 90
Att.Spé 35 · Déf.Spé 35 · Vit 15
Total 290
Talents : Fermeté (caché : Envelocape)</t>
      </text>
    </comment>
    <comment ref="E1485" authorId="0" shapeId="0">
      <text>
        <t>NOEUNOEUF — Plante / Psy
PV 60 · Att 40 · Déf 80
Att.Spé 60 · Déf.Spé 45 · Vit 40
Total 325
Talents : Chlorophylle (caché : Récolte)</t>
      </text>
    </comment>
    <comment ref="E1486" authorId="0" shapeId="0">
      <text>
        <t>COXY — Insecte / Vol
PV 40 · Att 20 · Déf 30
Att.Spé 40 · Déf.Spé 80 · Vit 55
Total 265
Talents : Essaim, Matinal (caché : Phobique)</t>
      </text>
    </comment>
    <comment ref="E1487" authorId="0" shapeId="0">
      <text>
        <t>MIMIGAL — Insecte / Poison
PV 40 · Att 60 · Déf 40
Att.Spé 40 · Déf.Spé 40 · Vit 30
Total 250
Talents : Essaim, Insomnia (caché : Sniper)</t>
      </text>
    </comment>
    <comment ref="E1488" authorId="0" shapeId="0">
      <text>
        <t>POMDEPIK — Insecte
PV 50 · Att 65 · Déf 90
Att.Spé 35 · Déf.Spé 35 · Vit 15
Total 290
Talents : Fermeté (caché : Envelocape)</t>
      </text>
    </comment>
    <comment ref="E1489" authorId="0" shapeId="0">
      <text>
        <t>NOEUNOEUF — Plante / Psy
PV 60 · Att 40 · Déf 80
Att.Spé 60 · Déf.Spé 45 · Vit 40
Total 325
Talents : Chlorophylle (caché : Récolte)</t>
      </text>
    </comment>
    <comment ref="E1490" authorId="0" shapeId="0">
      <text>
        <t>COXY — Insecte / Vol
PV 40 · Att 20 · Déf 30
Att.Spé 40 · Déf.Spé 80 · Vit 55
Total 265
Talents : Essaim, Matinal (caché : Phobique)</t>
      </text>
    </comment>
    <comment ref="E1491" authorId="0" shapeId="0">
      <text>
        <t>MIMIGAL — Insecte / Poison
PV 40 · Att 60 · Déf 40
Att.Spé 40 · Déf.Spé 40 · Vit 30
Total 250
Talents : Essaim, Insomnia (caché : Sniper)</t>
      </text>
    </comment>
    <comment ref="E1492" authorId="0" shapeId="0">
      <text>
        <t>MAGICARPE — Eau
PV 20 · Att 10 · Déf 55
Att.Spé 15 · Déf.Spé 20 · Vit 80
Total 200
Talents : Glissade (caché : Phobique)</t>
      </text>
    </comment>
    <comment ref="E1493" authorId="0" shapeId="0">
      <text>
        <t>PTITARD — Eau
PV 40 · Att 50 · Déf 40
Att.Spé 40 · Déf.Spé 40 · Vit 90
Total 300
Talents : Absorbe-Eau, Moiteur (caché :
  Glissade)</t>
      </text>
    </comment>
    <comment ref="E1494" authorId="0" shapeId="0">
      <text>
        <t>MAGICARPE — Eau
PV 20 · Att 10 · Déf 55
Att.Spé 15 · Déf.Spé 20 · Vit 80
Total 200
Talents : Glissade (caché : Phobique)</t>
      </text>
    </comment>
    <comment ref="E1495" authorId="0" shapeId="0">
      <text>
        <t>PTITARD — Eau
PV 40 · Att 50 · Déf 40
Att.Spé 40 · Déf.Spé 40 · Vit 90
Total 300
Talents : Absorbe-Eau, Moiteur (caché :
  Glissade)</t>
      </text>
    </comment>
    <comment ref="E1496" authorId="0" shapeId="0">
      <text>
        <t>PTITARD — Eau
PV 40 · Att 50 · Déf 40
Att.Spé 40 · Déf.Spé 40 · Vit 90
Total 300
Talents : Absorbe-Eau, Moiteur (caché :
  Glissade)</t>
      </text>
    </comment>
    <comment ref="E1497" authorId="0" shapeId="0">
      <text>
        <t>MAGICARPE — Eau
PV 20 · Att 10 · Déf 55
Att.Spé 15 · Déf.Spé 20 · Vit 80
Total 200
Talents : Glissade (caché : Phobique)</t>
      </text>
    </comment>
    <comment ref="E1498" authorId="0" shapeId="0">
      <text>
        <t>PTITARD — Eau
PV 40 · Att 50 · Déf 40
Att.Spé 40 · Déf.Spé 40 · Vit 90
Total 300
Talents : Absorbe-Eau, Moiteur (caché :
  Glissade)</t>
      </text>
    </comment>
    <comment ref="E1499" authorId="0" shapeId="0">
      <text>
        <t>MAGICARPE — Eau
PV 20 · Att 10 · Déf 55
Att.Spé 15 · Déf.Spé 20 · Vit 80
Total 200
Talents : Glissade (caché : Phobique)</t>
      </text>
    </comment>
    <comment ref="E1500" authorId="0" shapeId="0">
      <text>
        <t>PTITARD — Eau
PV 40 · Att 50 · Déf 40
Att.Spé 40 · Déf.Spé 40 · Vit 90
Total 300
Talents : Absorbe-Eau, Moiteur (caché :
  Glissade)</t>
      </text>
    </comment>
    <comment ref="E1501" authorId="0" shapeId="0">
      <text>
        <t>MAGICARPE — Eau
PV 20 · Att 10 · Déf 55
Att.Spé 15 · Déf.Spé 20 · Vit 80
Total 200
Talents : Glissade (caché : Phobique)</t>
      </text>
    </comment>
    <comment ref="E1502" authorId="0" shapeId="0">
      <text>
        <t>TETARTE — Eau
PV 65 · Att 65 · Déf 65
Att.Spé 50 · Déf.Spé 50 · Vit 90
Total 385
Talents : Absorbe-Eau, Moiteur (caché :
  Glissade)</t>
      </text>
    </comment>
    <comment ref="E1503" authorId="0" shapeId="0">
      <text>
        <t>PTITARD — Eau
PV 40 · Att 50 · Déf 40
Att.Spé 40 · Déf.Spé 40 · Vit 90
Total 300
Talents : Absorbe-Eau, Moiteur (caché :
  Glissade)</t>
      </text>
    </comment>
    <comment ref="E1504" authorId="0" shapeId="0">
      <text>
        <t>MAGICARPE — Eau
PV 20 · Att 10 · Déf 55
Att.Spé 15 · Déf.Spé 20 · Vit 80
Total 200
Talents : Glissade (caché : Phobique)</t>
      </text>
    </comment>
    <comment ref="E1505" authorId="0" shapeId="0">
      <text>
        <t>TETARTE — Eau
PV 65 · Att 65 · Déf 65
Att.Spé 50 · Déf.Spé 50 · Vit 90
Total 385
Talents : Absorbe-Eau, Moiteur (caché :
  Glissade)</t>
      </text>
    </comment>
    <comment ref="E1506" authorId="0" shapeId="0">
      <text>
        <t>VOLTORBE — Électrik
PV 40 · Att 30 · Déf 50
Att.Spé 55 · Déf.Spé 55 · Vit 100
Total 330
Talents : Anti-Bruit, Statik (caché : Boom
  Final)</t>
      </text>
    </comment>
    <comment ref="E1507" authorId="0" shapeId="0">
      <text>
        <t>PIAFABEC — Normal / Vol
PV 40 · Att 60 · Déf 30
Att.Spé 31 · Déf.Spé 31 · Vit 70
Total 262
Talents : Regard Vif (caché : Sniper)</t>
      </text>
    </comment>
    <comment ref="E1508" authorId="0" shapeId="0">
      <text>
        <t>RATTATAC — Normal
PV 55 · Att 81 · Déf 60
Att.Spé 50 · Déf.Spé 70 · Vit 97
Total 413
Talents : Fuite, Cran (caché : Agitation)</t>
      </text>
    </comment>
    <comment ref="E1509" authorId="0" shapeId="0">
      <text>
        <t>RAPASDEPIC — Normal / Vol
PV 65 · Att 90 · Déf 65
Att.Spé 61 · Déf.Spé 61 · Vit 100
Total 442
Talents : Regard Vif (caché : Sniper)</t>
      </text>
    </comment>
    <comment ref="E1510" authorId="0" shapeId="0">
      <text>
        <t>OSSATUEUR — Sol
PV 60 · Att 80 · Déf 110
Att.Spé 50 · Déf.Spé 80 · Vit 45
Total 425
Talents : Tête de Roc, Paratonnerre (caché :
  Armurbaston)</t>
      </text>
    </comment>
    <comment ref="E1511" authorId="0" shapeId="0">
      <text>
        <t>ELEKTEK — Électrik
PV 65 · Att 83 · Déf 57
Att.Spé 95 · Déf.Spé 85 · Vit 105
Total 490
Talents : Statik (caché : Esprit Vital)</t>
      </text>
    </comment>
    <comment ref="E1512" authorId="0" shapeId="0">
      <text>
        <t>DYNAVOLT — Électrik
PV 40 · Att 45 · Déf 40
Att.Spé 65 · Déf.Spé 40 · Vit 65
Total 295
Talents : Statik, Paratonnerre (caché : Moins)</t>
      </text>
    </comment>
    <comment ref="E1513" authorId="0" shapeId="0">
      <text>
        <t>VOLTORBE — Électrik
PV 40 · Att 30 · Déf 50
Att.Spé 55 · Déf.Spé 55 · Vit 100
Total 330
Talents : Anti-Bruit, Statik (caché : Boom
  Final)</t>
      </text>
    </comment>
    <comment ref="E1514" authorId="0" shapeId="0">
      <text>
        <t>MIMITOSS — Insecte / Poison
PV 60 · Att 55 · Déf 50
Att.Spé 40 · Déf.Spé 55 · Vit 45
Total 305
Talents : Œil Composé, Lentiteintée (caché :
  Fuite)</t>
      </text>
    </comment>
    <comment ref="E1515" authorId="0" shapeId="0">
      <text>
        <t>RATTATAC — Normal
PV 55 · Att 81 · Déf 60
Att.Spé 50 · Déf.Spé 70 · Vit 97
Total 413
Talents : Fuite, Cran (caché : Agitation)</t>
      </text>
    </comment>
    <comment ref="E1516" authorId="0" shapeId="0">
      <text>
        <t>AEROMITE — Insecte / Poison
PV 70 · Att 65 · Déf 60
Att.Spé 90 · Déf.Spé 75 · Vit 90
Total 450
Talents : Écran Poudre, Lentiteintée (caché :
  Peau Miracle)</t>
      </text>
    </comment>
    <comment ref="E1517" authorId="0" shapeId="0">
      <text>
        <t>NOSFERAPTI — Poison / Vol
PV 40 · Att 45 · Déf 35
Att.Spé 30 · Déf.Spé 40 · Vit 55
Total 245
Talents : Attention (caché : Infiltration)</t>
      </text>
    </comment>
    <comment ref="E1518" authorId="0" shapeId="0">
      <text>
        <t>ELEKTEK — Électrik
PV 65 · Att 83 · Déf 57
Att.Spé 95 · Déf.Spé 85 · Vit 105
Total 490
Talents : Statik (caché : Esprit Vital)</t>
      </text>
    </comment>
    <comment ref="E1519" authorId="0" shapeId="0">
      <text>
        <t>DYNAVOLT — Électrik
PV 40 · Att 45 · Déf 40
Att.Spé 65 · Déf.Spé 40 · Vit 65
Total 295
Talents : Statik, Paratonnerre (caché : Moins)</t>
      </text>
    </comment>
    <comment ref="E1520" authorId="0" shapeId="0">
      <text>
        <t>POISSIRENE — Eau
PV 45 · Att 67 · Déf 60
Att.Spé 35 · Déf.Spé 50 · Vit 63
Total 320
Talents : Glissade, Ignifu-Voile (caché :
  Paratonnerre)</t>
      </text>
    </comment>
    <comment ref="E1521" authorId="0" shapeId="0">
      <text>
        <t>POISSOROY — Eau
PV 80 · Att 92 · Déf 65
Att.Spé 65 · Déf.Spé 80 · Vit 68
Total 450
Talents : Glissade, Ignifu-Voile (caché :
  Paratonnerre)</t>
      </text>
    </comment>
    <comment ref="E1522" authorId="0" shapeId="0">
      <text>
        <t>POISSIRENE — Eau
PV 45 · Att 67 · Déf 60
Att.Spé 35 · Déf.Spé 50 · Vit 63
Total 320
Talents : Glissade, Ignifu-Voile (caché :
  Paratonnerre)</t>
      </text>
    </comment>
    <comment ref="E1523" authorId="0" shapeId="0">
      <text>
        <t>POISSOROY — Eau
PV 80 · Att 92 · Déf 65
Att.Spé 65 · Déf.Spé 80 · Vit 68
Total 450
Talents : Glissade, Ignifu-Voile (caché :
  Paratonnerre)</t>
      </text>
    </comment>
    <comment ref="E1524" authorId="0" shapeId="0">
      <text>
        <t>POMDEPIK — Insecte
PV 50 · Att 65 · Déf 90
Att.Spé 35 · Déf.Spé 35 · Vit 15
Total 290
Talents : Fermeté (caché : Envelocape)</t>
      </text>
    </comment>
    <comment ref="E1525" authorId="0" shapeId="0">
      <text>
        <t>NOEUNOEUF — Plante / Psy
PV 60 · Att 40 · Déf 80
Att.Spé 60 · Déf.Spé 45 · Vit 40
Total 325
Talents : Chlorophylle (caché : Récolte)</t>
      </text>
    </comment>
    <comment ref="E1526" authorId="0" shapeId="0">
      <text>
        <t>COXY — Insecte / Vol
PV 40 · Att 20 · Déf 30
Att.Spé 40 · Déf.Spé 80 · Vit 55
Total 265
Talents : Essaim, Matinal (caché : Phobique)</t>
      </text>
    </comment>
    <comment ref="E1527" authorId="0" shapeId="0">
      <text>
        <t>MIMIGAL — Insecte / Poison
PV 40 · Att 60 · Déf 40
Att.Spé 40 · Déf.Spé 40 · Vit 30
Total 250
Talents : Essaim, Insomnia (caché : Sniper)</t>
      </text>
    </comment>
    <comment ref="E1528" authorId="0" shapeId="0">
      <text>
        <t>POMDEPIK — Insecte
PV 50 · Att 65 · Déf 90
Att.Spé 35 · Déf.Spé 35 · Vit 15
Total 290
Talents : Fermeté (caché : Envelocape)</t>
      </text>
    </comment>
    <comment ref="E1529" authorId="0" shapeId="0">
      <text>
        <t>NOEUNOEUF — Plante / Psy
PV 60 · Att 40 · Déf 80
Att.Spé 60 · Déf.Spé 45 · Vit 40
Total 325
Talents : Chlorophylle (caché : Récolte)</t>
      </text>
    </comment>
    <comment ref="E1530" authorId="0" shapeId="0">
      <text>
        <t>COXY — Insecte / Vol
PV 40 · Att 20 · Déf 30
Att.Spé 40 · Déf.Spé 80 · Vit 55
Total 265
Talents : Essaim, Matinal (caché : Phobique)</t>
      </text>
    </comment>
    <comment ref="E1531" authorId="0" shapeId="0">
      <text>
        <t>MIMIGAL — Insecte / Poison
PV 40 · Att 60 · Déf 40
Att.Spé 40 · Déf.Spé 40 · Vit 30
Total 250
Talents : Essaim, Insomnia (caché : Sniper)</t>
      </text>
    </comment>
    <comment ref="E1532" authorId="0" shapeId="0">
      <text>
        <t>MAGICARPE — Eau
PV 20 · Att 10 · Déf 55
Att.Spé 15 · Déf.Spé 20 · Vit 80
Total 200
Talents : Glissade (caché : Phobique)</t>
      </text>
    </comment>
    <comment ref="E1533" authorId="0" shapeId="0">
      <text>
        <t>POISSIRENE — Eau
PV 45 · Att 67 · Déf 60
Att.Spé 35 · Déf.Spé 50 · Vit 63
Total 320
Talents : Glissade, Ignifu-Voile (caché :
  Paratonnerre)</t>
      </text>
    </comment>
    <comment ref="E1534" authorId="0" shapeId="0">
      <text>
        <t>MAGICARPE — Eau
PV 20 · Att 10 · Déf 55
Att.Spé 15 · Déf.Spé 20 · Vit 80
Total 200
Talents : Glissade (caché : Phobique)</t>
      </text>
    </comment>
    <comment ref="E1535" authorId="0" shapeId="0">
      <text>
        <t>POISSIRENE — Eau
PV 45 · Att 67 · Déf 60
Att.Spé 35 · Déf.Spé 50 · Vit 63
Total 320
Talents : Glissade, Ignifu-Voile (caché :
  Paratonnerre)</t>
      </text>
    </comment>
    <comment ref="E1536" authorId="0" shapeId="0">
      <text>
        <t>MAGICARPE — Eau
PV 20 · Att 10 · Déf 55
Att.Spé 15 · Déf.Spé 20 · Vit 80
Total 200
Talents : Glissade (caché : Phobique)</t>
      </text>
    </comment>
    <comment ref="E1537" authorId="0" shapeId="0">
      <text>
        <t>POISSIRENE — Eau
PV 45 · Att 67 · Déf 60
Att.Spé 35 · Déf.Spé 50 · Vit 63
Total 320
Talents : Glissade, Ignifu-Voile (caché :
  Paratonnerre)</t>
      </text>
    </comment>
    <comment ref="E1538" authorId="0" shapeId="0">
      <text>
        <t>MAGICARPE — Eau
PV 20 · Att 10 · Déf 55
Att.Spé 15 · Déf.Spé 20 · Vit 80
Total 200
Talents : Glissade (caché : Phobique)</t>
      </text>
    </comment>
    <comment ref="E1539" authorId="0" shapeId="0">
      <text>
        <t>POISSIRENE — Eau
PV 45 · Att 67 · Déf 60
Att.Spé 35 · Déf.Spé 50 · Vit 63
Total 320
Talents : Glissade, Ignifu-Voile (caché :
  Paratonnerre)</t>
      </text>
    </comment>
    <comment ref="E1540" authorId="0" shapeId="0">
      <text>
        <t>MAGICARPE — Eau
PV 20 · Att 10 · Déf 55
Att.Spé 15 · Déf.Spé 20 · Vit 80
Total 200
Talents : Glissade (caché : Phobique)</t>
      </text>
    </comment>
    <comment ref="E1541" authorId="0" shapeId="0">
      <text>
        <t>POISSOROY — Eau
PV 80 · Att 92 · Déf 65
Att.Spé 65 · Déf.Spé 80 · Vit 68
Total 450
Talents : Glissade, Ignifu-Voile (caché :
  Paratonnerre)</t>
      </text>
    </comment>
    <comment ref="E1542" authorId="0" shapeId="0">
      <text>
        <t>POISSIRENE — Eau
PV 45 · Att 67 · Déf 60
Att.Spé 35 · Déf.Spé 50 · Vit 63
Total 320
Talents : Glissade, Ignifu-Voile (caché :
  Paratonnerre)</t>
      </text>
    </comment>
    <comment ref="E1543" authorId="0" shapeId="0">
      <text>
        <t>MAGICARPE — Eau
PV 20 · Att 10 · Déf 55
Att.Spé 15 · Déf.Spé 20 · Vit 80
Total 200
Talents : Glissade (caché : Phobique)</t>
      </text>
    </comment>
    <comment ref="E1544" authorId="0" shapeId="0">
      <text>
        <t>POISSOROY — Eau
PV 80 · Att 92 · Déf 65
Att.Spé 65 · Déf.Spé 80 · Vit 68
Total 450
Talents : Glissade, Ignifu-Voile (caché :
  Paratonnerre)</t>
      </text>
    </comment>
    <comment ref="E1545" authorId="0" shapeId="0">
      <text>
        <t>POISSIRENE — Eau
PV 45 · Att 67 · Déf 60
Att.Spé 35 · Déf.Spé 50 · Vit 63
Total 320
Talents : Glissade, Ignifu-Voile (caché :
  Paratonnerre)</t>
      </text>
    </comment>
    <comment ref="E1546" authorId="0" shapeId="0">
      <text>
        <t>RATTATAC — Normal
PV 55 · Att 81 · Déf 60
Att.Spé 50 · Déf.Spé 70 · Vit 97
Total 413
Talents : Fuite, Cran (caché : Agitation)</t>
      </text>
    </comment>
    <comment ref="E1547" authorId="0" shapeId="0">
      <text>
        <t>GRANIVOL — Plante / Vol
PV 35 · Att 35 · Déf 40
Att.Spé 35 · Déf.Spé 55 · Vit 50
Total 250
Talents : Chlorophylle, Feuille Garde (caché :
  Infiltration)</t>
      </text>
    </comment>
    <comment ref="E1548" authorId="0" shapeId="0">
      <text>
        <t>MAGNETI — Électrik
PV 25 · Att 35 · Déf 70
Att.Spé 95 · Déf.Spé 55 · Vit 45
Total 325
Talents : Magnépiège, Fermeté (caché :
  Analyste)</t>
      </text>
    </comment>
    <comment ref="E1549" authorId="0" shapeId="0">
      <text>
        <t>RATTATA — Normal
PV 30 · Att 56 · Déf 35
Att.Spé 25 · Déf.Spé 35 · Vit 72
Total 253
Talents : Fuite, Cran (caché : Agitation)</t>
      </text>
    </comment>
    <comment ref="E1550" authorId="0" shapeId="0">
      <text>
        <t>ROUCOUPS — Normal / Vol
PV 63 · Att 60 · Déf 55
Att.Spé 50 · Déf.Spé 50 · Vit 71
Total 349
Talents : Regard Vif, Pieds Confus (caché :
  Cœur de Coq)</t>
      </text>
    </comment>
    <comment ref="E1551" authorId="0" shapeId="0">
      <text>
        <t>PARECOOL — Normal
PV 60 · Att 60 · Déf 60
Att.Spé 35 · Déf.Spé 35 · Vit 30
Total 280
Talents : Absentéisme</t>
      </text>
    </comment>
    <comment ref="E1552" authorId="0" shapeId="0">
      <text>
        <t>MIAOUSS — Normal
PV 40 · Att 45 · Déf 35
Att.Spé 40 · Déf.Spé 40 · Vit 90
Total 290
Talents : Ramassage, Technicien (caché :
  Tension)</t>
      </text>
    </comment>
    <comment ref="E1553" authorId="0" shapeId="0">
      <text>
        <t>SOPORIFIK — Psy
PV 60 · Att 48 · Déf 45
Att.Spé 43 · Déf.Spé 90 · Vit 42
Total 328
Talents : Insomnia, Prédiction (caché :
  Attention)</t>
      </text>
    </comment>
    <comment ref="E1554" authorId="0" shapeId="0">
      <text>
        <t>MAGNETI — Électrik
PV 25 · Att 35 · Déf 70
Att.Spé 95 · Déf.Spé 55 · Vit 45
Total 325
Talents : Magnépiège, Fermeté (caché :
  Analyste)</t>
      </text>
    </comment>
    <comment ref="E1555" authorId="0" shapeId="0">
      <text>
        <t>RATTATAC — Normal
PV 55 · Att 81 · Déf 60
Att.Spé 50 · Déf.Spé 70 · Vit 97
Total 413
Talents : Fuite, Cran (caché : Agitation)</t>
      </text>
    </comment>
    <comment ref="E1556" authorId="0" shapeId="0">
      <text>
        <t>PARECOOL — Normal
PV 60 · Att 60 · Déf 60
Att.Spé 35 · Déf.Spé 35 · Vit 30
Total 280
Talents : Absentéisme</t>
      </text>
    </comment>
    <comment ref="E1557" authorId="0" shapeId="0">
      <text>
        <t>NOARFANG — Normal / Vol
PV 100 · Att 50 · Déf 50
Att.Spé 86 · Déf.Spé 96 · Vit 70
Total 452
Talents : Insomnia, Regard Vif (caché :
  Lentiteintée)</t>
      </text>
    </comment>
    <comment ref="E1558" authorId="0" shapeId="0">
      <text>
        <t>HYPNOMADE — Psy
PV 85 · Att 73 · Déf 70
Att.Spé 73 · Déf.Spé 115 · Vit 67
Total 483
Talents : Insomnia, Prédiction (caché :
  Attention)</t>
      </text>
    </comment>
    <comment ref="E1559" authorId="0" shapeId="0">
      <text>
        <t>POMDEPIK — Insecte
PV 50 · Att 65 · Déf 90
Att.Spé 35 · Déf.Spé 35 · Vit 15
Total 290
Talents : Fermeté (caché : Envelocape)</t>
      </text>
    </comment>
    <comment ref="E1560" authorId="0" shapeId="0">
      <text>
        <t>NOEUNOEUF — Plante / Psy
PV 60 · Att 40 · Déf 80
Att.Spé 60 · Déf.Spé 45 · Vit 40
Total 325
Talents : Chlorophylle (caché : Récolte)</t>
      </text>
    </comment>
    <comment ref="E1561" authorId="0" shapeId="0">
      <text>
        <t>COXY — Insecte / Vol
PV 40 · Att 20 · Déf 30
Att.Spé 40 · Déf.Spé 80 · Vit 55
Total 265
Talents : Essaim, Matinal (caché : Phobique)</t>
      </text>
    </comment>
    <comment ref="E1562" authorId="0" shapeId="0">
      <text>
        <t>MIMIGAL — Insecte / Poison
PV 40 · Att 60 · Déf 40
Att.Spé 40 · Déf.Spé 40 · Vit 30
Total 250
Talents : Essaim, Insomnia (caché : Sniper)</t>
      </text>
    </comment>
    <comment ref="E1563" authorId="0" shapeId="0">
      <text>
        <t>POMDEPIK — Insecte
PV 50 · Att 65 · Déf 90
Att.Spé 35 · Déf.Spé 35 · Vit 15
Total 290
Talents : Fermeté (caché : Envelocape)</t>
      </text>
    </comment>
    <comment ref="E1564" authorId="0" shapeId="0">
      <text>
        <t>NOEUNOEUF — Plante / Psy
PV 60 · Att 40 · Déf 80
Att.Spé 60 · Déf.Spé 45 · Vit 40
Total 325
Talents : Chlorophylle (caché : Récolte)</t>
      </text>
    </comment>
    <comment ref="E1565" authorId="0" shapeId="0">
      <text>
        <t>COXY — Insecte / Vol
PV 40 · Att 20 · Déf 30
Att.Spé 40 · Déf.Spé 80 · Vit 55
Total 265
Talents : Essaim, Matinal (caché : Phobique)</t>
      </text>
    </comment>
    <comment ref="E1566" authorId="0" shapeId="0">
      <text>
        <t>MIMIGAL — Insecte / Poison
PV 40 · Att 60 · Déf 40
Att.Spé 40 · Déf.Spé 40 · Vit 30
Total 250
Talents : Essaim, Insomnia (caché : Sniper)</t>
      </text>
    </comment>
    <comment ref="E1567" authorId="0" shapeId="0">
      <text>
        <t>NIDORINA — Poison
PV 70 · Att 62 · Déf 67
Att.Spé 55 · Déf.Spé 55 · Vit 56
Total 365
Talents : Point Poison, Rivalité (caché :
  Agitation)</t>
      </text>
    </comment>
    <comment ref="E1568" authorId="0" shapeId="0">
      <text>
        <t>NIDORINO — Poison
PV 61 · Att 72 · Déf 57
Att.Spé 55 · Déf.Spé 55 · Vit 65
Total 365
Talents : Point Poison, Rivalité (caché :
  Agitation)</t>
      </text>
    </comment>
    <comment ref="E1569" authorId="0" shapeId="0">
      <text>
        <t>GRANIVOL — Plante / Vol
PV 35 · Att 35 · Déf 40
Att.Spé 35 · Déf.Spé 55 · Vit 50
Total 250
Talents : Chlorophylle, Feuille Garde (caché :
  Infiltration)</t>
      </text>
    </comment>
    <comment ref="E1570" authorId="0" shapeId="0">
      <text>
        <t>ROUCOUPS — Normal / Vol
PV 63 · Att 60 · Déf 55
Att.Spé 50 · Déf.Spé 50 · Vit 71
Total 349
Talents : Regard Vif, Pieds Confus (caché :
  Cœur de Coq)</t>
      </text>
    </comment>
    <comment ref="E1571" authorId="0" shapeId="0">
      <text>
        <t>GRAINIPIOT — Plante
PV 40 · Att 40 · Déf 50
Att.Spé 30 · Déf.Spé 30 · Vit 30
Total 220
Talents : Chlorophylle, Matinal (caché :
  Pickpocket)</t>
      </text>
    </comment>
    <comment ref="E1572" authorId="0" shapeId="0">
      <text>
        <t>LEVEINARD — Normal
PV 250 · Att 5 · Déf 5
Att.Spé 35 · Déf.Spé 105 · Vit 50
Total 450
Talents : Médic Nature, Sérénité (caché : Cœur
  Soin)</t>
      </text>
    </comment>
    <comment ref="E1573" authorId="0" shapeId="0">
      <text>
        <t>MARAISTE — Eau / Sol
PV 95 · Att 85 · Déf 85
Att.Spé 65 · Déf.Spé 65 · Vit 35
Total 430
Talents : Moiteur, Absorbe-Eau (caché :
  Inconscient)</t>
      </text>
    </comment>
    <comment ref="E1574" authorId="0" shapeId="0">
      <text>
        <t>MIMITOSS — Insecte / Poison
PV 60 · Att 55 · Déf 50
Att.Spé 40 · Déf.Spé 55 · Vit 45
Total 305
Talents : Œil Composé, Lentiteintée (caché :
  Fuite)</t>
      </text>
    </comment>
    <comment ref="E1575" authorId="0" shapeId="0">
      <text>
        <t>NOARFANG — Normal / Vol
PV 100 · Att 50 · Déf 50
Att.Spé 86 · Déf.Spé 96 · Vit 70
Total 452
Talents : Insomnia, Regard Vif (caché :
  Lentiteintée)</t>
      </text>
    </comment>
    <comment ref="E1576" authorId="0" shapeId="0">
      <text>
        <t>AEROMITE — Insecte / Poison
PV 70 · Att 65 · Déf 60
Att.Spé 90 · Déf.Spé 75 · Vit 90
Total 450
Talents : Écran Poudre, Lentiteintée (caché :
  Peau Miracle)</t>
      </text>
    </comment>
    <comment ref="E1577" authorId="0" shapeId="0">
      <text>
        <t>GRAINIPIOT — Plante
PV 40 · Att 40 · Déf 50
Att.Spé 30 · Déf.Spé 30 · Vit 30
Total 220
Talents : Chlorophylle, Matinal (caché :
  Pickpocket)</t>
      </text>
    </comment>
    <comment ref="E1578" authorId="0" shapeId="0">
      <text>
        <t>LEVEINARD — Normal
PV 250 · Att 5 · Déf 5
Att.Spé 35 · Déf.Spé 105 · Vit 50
Total 450
Talents : Médic Nature, Sérénité (caché : Cœur
  Soin)</t>
      </text>
    </comment>
    <comment ref="E1579" authorId="0" shapeId="0">
      <text>
        <t>TENTACOOL — Eau / Poison
PV 40 · Att 40 · Déf 35
Att.Spé 50 · Déf.Spé 100 · Vit 70
Total 335
Talents : Corps Sain, Suintement (caché :
  Cuvette)</t>
      </text>
    </comment>
    <comment ref="E1580" authorId="0" shapeId="0">
      <text>
        <t>CARVANHA — Eau / Ténèbres
PV 45 · Att 90 · Déf 20
Att.Spé 65 · Déf.Spé 20 · Vit 65
Total 305
Talents : Peau Dure (caché : Turbo)</t>
      </text>
    </comment>
    <comment ref="E1581" authorId="0" shapeId="0">
      <text>
        <t>TENTACOOL — Eau / Poison
PV 40 · Att 40 · Déf 35
Att.Spé 50 · Déf.Spé 100 · Vit 70
Total 335
Talents : Corps Sain, Suintement (caché :
  Cuvette)</t>
      </text>
    </comment>
    <comment ref="E1582" authorId="0" shapeId="0">
      <text>
        <t>CARVANHA — Eau / Ténèbres
PV 45 · Att 90 · Déf 20
Att.Spé 65 · Déf.Spé 20 · Vit 65
Total 305
Talents : Peau Dure (caché : Turbo)</t>
      </text>
    </comment>
    <comment ref="E1583" authorId="0" shapeId="0">
      <text>
        <t>POMDEPIK — Insecte
PV 50 · Att 65 · Déf 90
Att.Spé 35 · Déf.Spé 35 · Vit 15
Total 290
Talents : Fermeté (caché : Envelocape)</t>
      </text>
    </comment>
    <comment ref="E1584" authorId="0" shapeId="0">
      <text>
        <t>NOEUNOEUF — Plante / Psy
PV 60 · Att 40 · Déf 80
Att.Spé 60 · Déf.Spé 45 · Vit 40
Total 325
Talents : Chlorophylle (caché : Récolte)</t>
      </text>
    </comment>
    <comment ref="E1585" authorId="0" shapeId="0">
      <text>
        <t>COXY — Insecte / Vol
PV 40 · Att 20 · Déf 30
Att.Spé 40 · Déf.Spé 80 · Vit 55
Total 265
Talents : Essaim, Matinal (caché : Phobique)</t>
      </text>
    </comment>
    <comment ref="E1586" authorId="0" shapeId="0">
      <text>
        <t>MIMIGAL — Insecte / Poison
PV 40 · Att 60 · Déf 40
Att.Spé 40 · Déf.Spé 40 · Vit 30
Total 250
Talents : Essaim, Insomnia (caché : Sniper)</t>
      </text>
    </comment>
    <comment ref="E1587" authorId="0" shapeId="0">
      <text>
        <t>POMDEPIK — Insecte
PV 50 · Att 65 · Déf 90
Att.Spé 35 · Déf.Spé 35 · Vit 15
Total 290
Talents : Fermeté (caché : Envelocape)</t>
      </text>
    </comment>
    <comment ref="E1588" authorId="0" shapeId="0">
      <text>
        <t>NOEUNOEUF — Plante / Psy
PV 60 · Att 40 · Déf 80
Att.Spé 60 · Déf.Spé 45 · Vit 40
Total 325
Talents : Chlorophylle (caché : Récolte)</t>
      </text>
    </comment>
    <comment ref="E1589" authorId="0" shapeId="0">
      <text>
        <t>COXY — Insecte / Vol
PV 40 · Att 20 · Déf 30
Att.Spé 40 · Déf.Spé 80 · Vit 55
Total 265
Talents : Essaim, Matinal (caché : Phobique)</t>
      </text>
    </comment>
    <comment ref="E1590" authorId="0" shapeId="0">
      <text>
        <t>MIMIGAL — Insecte / Poison
PV 40 · Att 60 · Déf 40
Att.Spé 40 · Déf.Spé 40 · Vit 30
Total 250
Talents : Essaim, Insomnia (caché : Sniper)</t>
      </text>
    </comment>
    <comment ref="E1591" authorId="0" shapeId="0">
      <text>
        <t>MAGICARPE — Eau
PV 20 · Att 10 · Déf 55
Att.Spé 15 · Déf.Spé 20 · Vit 80
Total 200
Talents : Glissade (caché : Phobique)</t>
      </text>
    </comment>
    <comment ref="E1592" authorId="0" shapeId="0">
      <text>
        <t>TENTACOOL — Eau / Poison
PV 40 · Att 40 · Déf 35
Att.Spé 50 · Déf.Spé 100 · Vit 70
Total 335
Talents : Corps Sain, Suintement (caché :
  Cuvette)</t>
      </text>
    </comment>
    <comment ref="E1593" authorId="0" shapeId="0">
      <text>
        <t>MAGICARPE — Eau
PV 20 · Att 10 · Déf 55
Att.Spé 15 · Déf.Spé 20 · Vit 80
Total 200
Talents : Glissade (caché : Phobique)</t>
      </text>
    </comment>
    <comment ref="E1594" authorId="0" shapeId="0">
      <text>
        <t>TENTACOOL — Eau / Poison
PV 40 · Att 40 · Déf 35
Att.Spé 50 · Déf.Spé 100 · Vit 70
Total 335
Talents : Corps Sain, Suintement (caché :
  Cuvette)</t>
      </text>
    </comment>
    <comment ref="E1595" authorId="0" shapeId="0">
      <text>
        <t>MAGICARPE — Eau
PV 20 · Att 10 · Déf 55
Att.Spé 15 · Déf.Spé 20 · Vit 80
Total 200
Talents : Glissade (caché : Phobique)</t>
      </text>
    </comment>
    <comment ref="E1596" authorId="0" shapeId="0">
      <text>
        <t>MARAISTE — Eau / Sol
PV 95 · Att 85 · Déf 85
Att.Spé 65 · Déf.Spé 65 · Vit 35
Total 430
Talents : Moiteur, Absorbe-Eau (caché :
  Inconscient)</t>
      </text>
    </comment>
    <comment ref="E1597" authorId="0" shapeId="0">
      <text>
        <t>TENTACOOL — Eau / Poison
PV 40 · Att 40 · Déf 35
Att.Spé 50 · Déf.Spé 100 · Vit 70
Total 335
Talents : Corps Sain, Suintement (caché :
  Cuvette)</t>
      </text>
    </comment>
    <comment ref="E1598" authorId="0" shapeId="0">
      <text>
        <t>MAGICARPE — Eau
PV 20 · Att 10 · Déf 55
Att.Spé 15 · Déf.Spé 20 · Vit 80
Total 200
Talents : Glissade (caché : Phobique)</t>
      </text>
    </comment>
    <comment ref="E1599" authorId="0" shapeId="0">
      <text>
        <t>MARAISTE — Eau / Sol
PV 95 · Att 85 · Déf 85
Att.Spé 65 · Déf.Spé 65 · Vit 35
Total 430
Talents : Moiteur, Absorbe-Eau (caché :
  Inconscient)</t>
      </text>
    </comment>
    <comment ref="E1600" authorId="0" shapeId="0">
      <text>
        <t>TENTACOOL — Eau / Poison
PV 40 · Att 40 · Déf 35
Att.Spé 50 · Déf.Spé 100 · Vit 70
Total 335
Talents : Corps Sain, Suintement (caché :
  Cuvette)</t>
      </text>
    </comment>
    <comment ref="E1601" authorId="0" shapeId="0">
      <text>
        <t>MARAISTE — Eau / Sol
PV 95 · Att 85 · Déf 85
Att.Spé 65 · Déf.Spé 65 · Vit 35
Total 430
Talents : Moiteur, Absorbe-Eau (caché :
  Inconscient)</t>
      </text>
    </comment>
    <comment ref="E1602" authorId="0" shapeId="0">
      <text>
        <t>TENTACRUEL — Eau / Poison
PV 80 · Att 70 · Déf 65
Att.Spé 80 · Déf.Spé 120 · Vit 100
Total 515
Talents : Corps Sain, Suintement (caché :
  Cuvette)</t>
      </text>
    </comment>
    <comment ref="E1603" authorId="0" shapeId="0">
      <text>
        <t>MAGICARPE — Eau
PV 20 · Att 10 · Déf 55
Att.Spé 15 · Déf.Spé 20 · Vit 80
Total 200
Talents : Glissade (caché : Phobique)</t>
      </text>
    </comment>
    <comment ref="E1604" authorId="0" shapeId="0">
      <text>
        <t>TENTACOOL — Eau / Poison
PV 40 · Att 40 · Déf 35
Att.Spé 50 · Déf.Spé 100 · Vit 70
Total 335
Talents : Corps Sain, Suintement (caché :
  Cuvette)</t>
      </text>
    </comment>
    <comment ref="E1605" authorId="0" shapeId="0">
      <text>
        <t>MARAISTE — Eau / Sol
PV 95 · Att 85 · Déf 85
Att.Spé 65 · Déf.Spé 65 · Vit 35
Total 430
Talents : Moiteur, Absorbe-Eau (caché :
  Inconscient)</t>
      </text>
    </comment>
    <comment ref="E1606" authorId="0" shapeId="0">
      <text>
        <t>TENTACRUEL — Eau / Poison
PV 80 · Att 70 · Déf 65
Att.Spé 80 · Déf.Spé 120 · Vit 100
Total 515
Talents : Corps Sain, Suintement (caché :
  Cuvette)</t>
      </text>
    </comment>
    <comment ref="E1607" authorId="0" shapeId="0">
      <text>
        <t>MAGICARPE — Eau
PV 20 · Att 10 · Déf 55
Att.Spé 15 · Déf.Spé 20 · Vit 80
Total 200
Talents : Glissade (caché : Phobique)</t>
      </text>
    </comment>
    <comment ref="E1608" authorId="0" shapeId="0">
      <text>
        <t>TENTACOOL — Eau / Poison
PV 40 · Att 40 · Déf 35
Att.Spé 50 · Déf.Spé 100 · Vit 70
Total 335
Talents : Corps Sain, Suintement (caché :
  Cuvette)</t>
      </text>
    </comment>
    <comment ref="E1609" authorId="0" shapeId="0">
      <text>
        <t>NIDORINA — Poison
PV 70 · Att 62 · Déf 67
Att.Spé 55 · Déf.Spé 55 · Vit 56
Total 365
Talents : Point Poison, Rivalité (caché :
  Agitation)</t>
      </text>
    </comment>
    <comment ref="E1610" authorId="0" shapeId="0">
      <text>
        <t>NIDORINO — Poison
PV 61 · Att 72 · Déf 57
Att.Spé 55 · Déf.Spé 55 · Vit 65
Total 365
Talents : Point Poison, Rivalité (caché :
  Agitation)</t>
      </text>
    </comment>
    <comment ref="E1611" authorId="0" shapeId="0">
      <text>
        <t>GRANIVOL — Plante / Vol
PV 35 · Att 35 · Déf 40
Att.Spé 35 · Déf.Spé 55 · Vit 50
Total 250
Talents : Chlorophylle, Feuille Garde (caché :
  Infiltration)</t>
      </text>
    </comment>
    <comment ref="E1612" authorId="0" shapeId="0">
      <text>
        <t>ROUCOUPS — Normal / Vol
PV 63 · Att 60 · Déf 55
Att.Spé 50 · Déf.Spé 50 · Vit 71
Total 349
Talents : Regard Vif, Pieds Confus (caché :
  Cœur de Coq)</t>
      </text>
    </comment>
    <comment ref="E1613" authorId="0" shapeId="0">
      <text>
        <t>GRAINIPIOT — Plante
PV 40 · Att 40 · Déf 50
Att.Spé 30 · Déf.Spé 30 · Vit 30
Total 220
Talents : Chlorophylle, Matinal (caché :
  Pickpocket)</t>
      </text>
    </comment>
    <comment ref="E1614" authorId="0" shapeId="0">
      <text>
        <t>LEVEINARD — Normal
PV 250 · Att 5 · Déf 5
Att.Spé 35 · Déf.Spé 105 · Vit 50
Total 450
Talents : Médic Nature, Sérénité (caché : Cœur
  Soin)</t>
      </text>
    </comment>
    <comment ref="E1615" authorId="0" shapeId="0">
      <text>
        <t>MARAISTE — Eau / Sol
PV 95 · Att 85 · Déf 85
Att.Spé 65 · Déf.Spé 65 · Vit 35
Total 430
Talents : Moiteur, Absorbe-Eau (caché :
  Inconscient)</t>
      </text>
    </comment>
    <comment ref="E1616" authorId="0" shapeId="0">
      <text>
        <t>MIMITOSS — Insecte / Poison
PV 60 · Att 55 · Déf 50
Att.Spé 40 · Déf.Spé 55 · Vit 45
Total 305
Talents : Œil Composé, Lentiteintée (caché :
  Fuite)</t>
      </text>
    </comment>
    <comment ref="E1617" authorId="0" shapeId="0">
      <text>
        <t>NOARFANG — Normal / Vol
PV 100 · Att 50 · Déf 50
Att.Spé 86 · Déf.Spé 96 · Vit 70
Total 452
Talents : Insomnia, Regard Vif (caché :
  Lentiteintée)</t>
      </text>
    </comment>
    <comment ref="E1618" authorId="0" shapeId="0">
      <text>
        <t>AEROMITE — Insecte / Poison
PV 70 · Att 65 · Déf 60
Att.Spé 90 · Déf.Spé 75 · Vit 90
Total 450
Talents : Écran Poudre, Lentiteintée (caché :
  Peau Miracle)</t>
      </text>
    </comment>
    <comment ref="E1619" authorId="0" shapeId="0">
      <text>
        <t>GRAINIPIOT — Plante
PV 40 · Att 40 · Déf 50
Att.Spé 30 · Déf.Spé 30 · Vit 30
Total 220
Talents : Chlorophylle, Matinal (caché :
  Pickpocket)</t>
      </text>
    </comment>
    <comment ref="E1620" authorId="0" shapeId="0">
      <text>
        <t>LEVEINARD — Normal
PV 250 · Att 5 · Déf 5
Att.Spé 35 · Déf.Spé 105 · Vit 50
Total 450
Talents : Médic Nature, Sérénité (caché : Cœur
  Soin)</t>
      </text>
    </comment>
    <comment ref="E1621" authorId="0" shapeId="0">
      <text>
        <t>TENTACOOL — Eau / Poison
PV 40 · Att 40 · Déf 35
Att.Spé 50 · Déf.Spé 100 · Vit 70
Total 335
Talents : Corps Sain, Suintement (caché :
  Cuvette)</t>
      </text>
    </comment>
    <comment ref="E1622" authorId="0" shapeId="0">
      <text>
        <t>MARAISTE — Eau / Sol
PV 95 · Att 85 · Déf 85
Att.Spé 65 · Déf.Spé 65 · Vit 35
Total 430
Talents : Moiteur, Absorbe-Eau (caché :
  Inconscient)</t>
      </text>
    </comment>
    <comment ref="E1623" authorId="0" shapeId="0">
      <text>
        <t>TENTACOOL — Eau / Poison
PV 40 · Att 40 · Déf 35
Att.Spé 50 · Déf.Spé 100 · Vit 70
Total 335
Talents : Corps Sain, Suintement (caché :
  Cuvette)</t>
      </text>
    </comment>
    <comment ref="E1624" authorId="0" shapeId="0">
      <text>
        <t>MARAISTE — Eau / Sol
PV 95 · Att 85 · Déf 85
Att.Spé 65 · Déf.Spé 65 · Vit 35
Total 430
Talents : Moiteur, Absorbe-Eau (caché :
  Inconscient)</t>
      </text>
    </comment>
    <comment ref="E1625" authorId="0" shapeId="0">
      <text>
        <t>POMDEPIK — Insecte
PV 50 · Att 65 · Déf 90
Att.Spé 35 · Déf.Spé 35 · Vit 15
Total 290
Talents : Fermeté (caché : Envelocape)</t>
      </text>
    </comment>
    <comment ref="E1626" authorId="0" shapeId="0">
      <text>
        <t>NOEUNOEUF — Plante / Psy
PV 60 · Att 40 · Déf 80
Att.Spé 60 · Déf.Spé 45 · Vit 40
Total 325
Talents : Chlorophylle (caché : Récolte)</t>
      </text>
    </comment>
    <comment ref="E1627" authorId="0" shapeId="0">
      <text>
        <t>COXY — Insecte / Vol
PV 40 · Att 20 · Déf 30
Att.Spé 40 · Déf.Spé 80 · Vit 55
Total 265
Talents : Essaim, Matinal (caché : Phobique)</t>
      </text>
    </comment>
    <comment ref="E1628" authorId="0" shapeId="0">
      <text>
        <t>GRAINIPIOT — Plante
PV 40 · Att 40 · Déf 50
Att.Spé 30 · Déf.Spé 30 · Vit 30
Total 220
Talents : Chlorophylle, Matinal (caché :
  Pickpocket)</t>
      </text>
    </comment>
    <comment ref="E1629" authorId="0" shapeId="0">
      <text>
        <t>POMDEPIK — Insecte
PV 50 · Att 65 · Déf 90
Att.Spé 35 · Déf.Spé 35 · Vit 15
Total 290
Talents : Fermeté (caché : Envelocape)</t>
      </text>
    </comment>
    <comment ref="E1630" authorId="0" shapeId="0">
      <text>
        <t>NOEUNOEUF — Plante / Psy
PV 60 · Att 40 · Déf 80
Att.Spé 60 · Déf.Spé 45 · Vit 40
Total 325
Talents : Chlorophylle (caché : Récolte)</t>
      </text>
    </comment>
    <comment ref="E1631" authorId="0" shapeId="0">
      <text>
        <t>COXY — Insecte / Vol
PV 40 · Att 20 · Déf 30
Att.Spé 40 · Déf.Spé 80 · Vit 55
Total 265
Talents : Essaim, Matinal (caché : Phobique)</t>
      </text>
    </comment>
    <comment ref="E1632" authorId="0" shapeId="0">
      <text>
        <t>GRAINIPIOT — Plante
PV 40 · Att 40 · Déf 50
Att.Spé 30 · Déf.Spé 30 · Vit 30
Total 220
Talents : Chlorophylle, Matinal (caché :
  Pickpocket)</t>
      </text>
    </comment>
    <comment ref="E1633" authorId="0" shapeId="0">
      <text>
        <t>MAGICARPE — Eau
PV 20 · Att 10 · Déf 55
Att.Spé 15 · Déf.Spé 20 · Vit 80
Total 200
Talents : Glissade (caché : Phobique)</t>
      </text>
    </comment>
    <comment ref="E1634" authorId="0" shapeId="0">
      <text>
        <t>TENTACOOL — Eau / Poison
PV 40 · Att 40 · Déf 35
Att.Spé 50 · Déf.Spé 100 · Vit 70
Total 335
Talents : Corps Sain, Suintement (caché :
  Cuvette)</t>
      </text>
    </comment>
    <comment ref="E1635" authorId="0" shapeId="0">
      <text>
        <t>MAGICARPE — Eau
PV 20 · Att 10 · Déf 55
Att.Spé 15 · Déf.Spé 20 · Vit 80
Total 200
Talents : Glissade (caché : Phobique)</t>
      </text>
    </comment>
    <comment ref="E1636" authorId="0" shapeId="0">
      <text>
        <t>TENTACOOL — Eau / Poison
PV 40 · Att 40 · Déf 35
Att.Spé 50 · Déf.Spé 100 · Vit 70
Total 335
Talents : Corps Sain, Suintement (caché :
  Cuvette)</t>
      </text>
    </comment>
    <comment ref="E1637" authorId="0" shapeId="0">
      <text>
        <t>MAGICARPE — Eau
PV 20 · Att 10 · Déf 55
Att.Spé 15 · Déf.Spé 20 · Vit 80
Total 200
Talents : Glissade (caché : Phobique)</t>
      </text>
    </comment>
    <comment ref="E1638" authorId="0" shapeId="0">
      <text>
        <t>MARAISTE — Eau / Sol
PV 95 · Att 85 · Déf 85
Att.Spé 65 · Déf.Spé 65 · Vit 35
Total 430
Talents : Moiteur, Absorbe-Eau (caché :
  Inconscient)</t>
      </text>
    </comment>
    <comment ref="E1639" authorId="0" shapeId="0">
      <text>
        <t>TENTACOOL — Eau / Poison
PV 40 · Att 40 · Déf 35
Att.Spé 50 · Déf.Spé 100 · Vit 70
Total 335
Talents : Corps Sain, Suintement (caché :
  Cuvette)</t>
      </text>
    </comment>
    <comment ref="E1640" authorId="0" shapeId="0">
      <text>
        <t>MAGICARPE — Eau
PV 20 · Att 10 · Déf 55
Att.Spé 15 · Déf.Spé 20 · Vit 80
Total 200
Talents : Glissade (caché : Phobique)</t>
      </text>
    </comment>
    <comment ref="E1641" authorId="0" shapeId="0">
      <text>
        <t>MARAISTE — Eau / Sol
PV 95 · Att 85 · Déf 85
Att.Spé 65 · Déf.Spé 65 · Vit 35
Total 430
Talents : Moiteur, Absorbe-Eau (caché :
  Inconscient)</t>
      </text>
    </comment>
    <comment ref="E1642" authorId="0" shapeId="0">
      <text>
        <t>TENTACOOL — Eau / Poison
PV 40 · Att 40 · Déf 35
Att.Spé 50 · Déf.Spé 100 · Vit 70
Total 335
Talents : Corps Sain, Suintement (caché :
  Cuvette)</t>
      </text>
    </comment>
    <comment ref="E1643" authorId="0" shapeId="0">
      <text>
        <t>MARAISTE — Eau / Sol
PV 95 · Att 85 · Déf 85
Att.Spé 65 · Déf.Spé 65 · Vit 35
Total 430
Talents : Moiteur, Absorbe-Eau (caché :
  Inconscient)</t>
      </text>
    </comment>
    <comment ref="E1644" authorId="0" shapeId="0">
      <text>
        <t>TENTACRUEL — Eau / Poison
PV 80 · Att 70 · Déf 65
Att.Spé 80 · Déf.Spé 120 · Vit 100
Total 515
Talents : Corps Sain, Suintement (caché :
  Cuvette)</t>
      </text>
    </comment>
    <comment ref="E1645" authorId="0" shapeId="0">
      <text>
        <t>MAGICARPE — Eau
PV 20 · Att 10 · Déf 55
Att.Spé 15 · Déf.Spé 20 · Vit 80
Total 200
Talents : Glissade (caché : Phobique)</t>
      </text>
    </comment>
    <comment ref="E1646" authorId="0" shapeId="0">
      <text>
        <t>TENTACOOL — Eau / Poison
PV 40 · Att 40 · Déf 35
Att.Spé 50 · Déf.Spé 100 · Vit 70
Total 335
Talents : Corps Sain, Suintement (caché :
  Cuvette)</t>
      </text>
    </comment>
    <comment ref="E1647" authorId="0" shapeId="0">
      <text>
        <t>MARAISTE — Eau / Sol
PV 95 · Att 85 · Déf 85
Att.Spé 65 · Déf.Spé 65 · Vit 35
Total 430
Talents : Moiteur, Absorbe-Eau (caché :
  Inconscient)</t>
      </text>
    </comment>
    <comment ref="E1648" authorId="0" shapeId="0">
      <text>
        <t>TENTACRUEL — Eau / Poison
PV 80 · Att 70 · Déf 65
Att.Spé 80 · Déf.Spé 120 · Vit 100
Total 515
Talents : Corps Sain, Suintement (caché :
  Cuvette)</t>
      </text>
    </comment>
    <comment ref="E1649" authorId="0" shapeId="0">
      <text>
        <t>MAGICARPE — Eau
PV 20 · Att 10 · Déf 55
Att.Spé 15 · Déf.Spé 20 · Vit 80
Total 200
Talents : Glissade (caché : Phobique)</t>
      </text>
    </comment>
    <comment ref="E1650" authorId="0" shapeId="0">
      <text>
        <t>TENTACOOL — Eau / Poison
PV 40 · Att 40 · Déf 35
Att.Spé 50 · Déf.Spé 100 · Vit 70
Total 335
Talents : Corps Sain, Suintement (caché :
  Cuvette)</t>
      </text>
    </comment>
    <comment ref="E1651" authorId="0" shapeId="0">
      <text>
        <t>NIDORINA — Poison
PV 70 · Att 62 · Déf 67
Att.Spé 55 · Déf.Spé 55 · Vit 56
Total 365
Talents : Point Poison, Rivalité (caché :
  Agitation)</t>
      </text>
    </comment>
    <comment ref="E1652" authorId="0" shapeId="0">
      <text>
        <t>NIDORINO — Poison
PV 61 · Att 72 · Déf 57
Att.Spé 55 · Déf.Spé 55 · Vit 65
Total 365
Talents : Point Poison, Rivalité (caché :
  Agitation)</t>
      </text>
    </comment>
    <comment ref="E1653" authorId="0" shapeId="0">
      <text>
        <t>GRANIVOL — Plante / Vol
PV 35 · Att 35 · Déf 40
Att.Spé 35 · Déf.Spé 55 · Vit 50
Total 250
Talents : Chlorophylle, Feuille Garde (caché :
  Infiltration)</t>
      </text>
    </comment>
    <comment ref="E1654" authorId="0" shapeId="0">
      <text>
        <t>ROUCOUPS — Normal / Vol
PV 63 · Att 60 · Déf 55
Att.Spé 50 · Déf.Spé 50 · Vit 71
Total 349
Talents : Regard Vif, Pieds Confus (caché :
  Cœur de Coq)</t>
      </text>
    </comment>
    <comment ref="E1655" authorId="0" shapeId="0">
      <text>
        <t>FLORAVOL — Plante / Vol
PV 55 · Att 45 · Déf 50
Att.Spé 45 · Déf.Spé 65 · Vit 80
Total 340
Talents : Chlorophylle, Feuille Garde (caché :
  Infiltration)</t>
      </text>
    </comment>
    <comment ref="E1656" authorId="0" shapeId="0">
      <text>
        <t>BALIGNON — Plante
PV 60 · Att 40 · Déf 60
Att.Spé 40 · Déf.Spé 60 · Vit 35
Total 295
Talents : Pose Spore, Soin Poison (caché :
  Pied Véloce)</t>
      </text>
    </comment>
    <comment ref="E1657" authorId="0" shapeId="0">
      <text>
        <t>LEVEINARD — Normal
PV 250 · Att 5 · Déf 5
Att.Spé 35 · Déf.Spé 105 · Vit 50
Total 450
Talents : Médic Nature, Sérénité (caché : Cœur
  Soin)</t>
      </text>
    </comment>
    <comment ref="E1658" authorId="0" shapeId="0">
      <text>
        <t>LEVEINARD — Normal
PV 250 · Att 5 · Déf 5
Att.Spé 35 · Déf.Spé 105 · Vit 50
Total 450
Talents : Médic Nature, Sérénité (caché : Cœur
  Soin)</t>
      </text>
    </comment>
    <comment ref="E1659" authorId="0" shapeId="0">
      <text>
        <t>MIMITOSS — Insecte / Poison
PV 60 · Att 55 · Déf 50
Att.Spé 40 · Déf.Spé 55 · Vit 45
Total 305
Talents : Œil Composé, Lentiteintée (caché :
  Fuite)</t>
      </text>
    </comment>
    <comment ref="E1660" authorId="0" shapeId="0">
      <text>
        <t>NOARFANG — Normal / Vol
PV 100 · Att 50 · Déf 50
Att.Spé 86 · Déf.Spé 96 · Vit 70
Total 452
Talents : Insomnia, Regard Vif (caché :
  Lentiteintée)</t>
      </text>
    </comment>
    <comment ref="E1661" authorId="0" shapeId="0">
      <text>
        <t>AEROMITE — Insecte / Poison
PV 70 · Att 65 · Déf 60
Att.Spé 90 · Déf.Spé 75 · Vit 90
Total 450
Talents : Écran Poudre, Lentiteintée (caché :
  Peau Miracle)</t>
      </text>
    </comment>
    <comment ref="E1662" authorId="0" shapeId="0">
      <text>
        <t>BALIGNON — Plante
PV 60 · Att 40 · Déf 60
Att.Spé 40 · Déf.Spé 60 · Vit 35
Total 295
Talents : Pose Spore, Soin Poison (caché :
  Pied Véloce)</t>
      </text>
    </comment>
    <comment ref="E1663" authorId="0" shapeId="0">
      <text>
        <t>MARAISTE — Eau / Sol
PV 95 · Att 85 · Déf 85
Att.Spé 65 · Déf.Spé 65 · Vit 35
Total 430
Talents : Moiteur, Absorbe-Eau (caché :
  Inconscient)</t>
      </text>
    </comment>
    <comment ref="E1664" authorId="0" shapeId="0">
      <text>
        <t>TENTACOOL — Eau / Poison
PV 40 · Att 40 · Déf 35
Att.Spé 50 · Déf.Spé 100 · Vit 70
Total 335
Talents : Corps Sain, Suintement (caché :
  Cuvette)</t>
      </text>
    </comment>
    <comment ref="E1665" authorId="0" shapeId="0">
      <text>
        <t>MARAISTE — Eau / Sol
PV 95 · Att 85 · Déf 85
Att.Spé 65 · Déf.Spé 65 · Vit 35
Total 430
Talents : Moiteur, Absorbe-Eau (caché :
  Inconscient)</t>
      </text>
    </comment>
    <comment ref="E1666" authorId="0" shapeId="0">
      <text>
        <t>TENTACOOL — Eau / Poison
PV 40 · Att 40 · Déf 35
Att.Spé 50 · Déf.Spé 100 · Vit 70
Total 335
Talents : Corps Sain, Suintement (caché :
  Cuvette)</t>
      </text>
    </comment>
    <comment ref="E1667" authorId="0" shapeId="0">
      <text>
        <t>MARAISTE — Eau / Sol
PV 95 · Att 85 · Déf 85
Att.Spé 65 · Déf.Spé 65 · Vit 35
Total 430
Talents : Moiteur, Absorbe-Eau (caché :
  Inconscient)</t>
      </text>
    </comment>
    <comment ref="E1668" authorId="0" shapeId="0">
      <text>
        <t>MAGICARPE — Eau
PV 20 · Att 10 · Déf 55
Att.Spé 15 · Déf.Spé 20 · Vit 80
Total 200
Talents : Glissade (caché : Phobique)</t>
      </text>
    </comment>
    <comment ref="E1669" authorId="0" shapeId="0">
      <text>
        <t>TENTACOOL — Eau / Poison
PV 40 · Att 40 · Déf 35
Att.Spé 50 · Déf.Spé 100 · Vit 70
Total 335
Talents : Corps Sain, Suintement (caché :
  Cuvette)</t>
      </text>
    </comment>
    <comment ref="E1670" authorId="0" shapeId="0">
      <text>
        <t>MAGICARPE — Eau
PV 20 · Att 10 · Déf 55
Att.Spé 15 · Déf.Spé 20 · Vit 80
Total 200
Talents : Glissade (caché : Phobique)</t>
      </text>
    </comment>
    <comment ref="E1671" authorId="0" shapeId="0">
      <text>
        <t>TENTACOOL — Eau / Poison
PV 40 · Att 40 · Déf 35
Att.Spé 50 · Déf.Spé 100 · Vit 70
Total 335
Talents : Corps Sain, Suintement (caché :
  Cuvette)</t>
      </text>
    </comment>
    <comment ref="E1672" authorId="0" shapeId="0">
      <text>
        <t>MAGICARPE — Eau
PV 20 · Att 10 · Déf 55
Att.Spé 15 · Déf.Spé 20 · Vit 80
Total 200
Talents : Glissade (caché : Phobique)</t>
      </text>
    </comment>
    <comment ref="E1673" authorId="0" shapeId="0">
      <text>
        <t>MARAISTE — Eau / Sol
PV 95 · Att 85 · Déf 85
Att.Spé 65 · Déf.Spé 65 · Vit 35
Total 430
Talents : Moiteur, Absorbe-Eau (caché :
  Inconscient)</t>
      </text>
    </comment>
    <comment ref="E1674" authorId="0" shapeId="0">
      <text>
        <t>TENTACOOL — Eau / Poison
PV 40 · Att 40 · Déf 35
Att.Spé 50 · Déf.Spé 100 · Vit 70
Total 335
Talents : Corps Sain, Suintement (caché :
  Cuvette)</t>
      </text>
    </comment>
    <comment ref="E1675" authorId="0" shapeId="0">
      <text>
        <t>MAGICARPE — Eau
PV 20 · Att 10 · Déf 55
Att.Spé 15 · Déf.Spé 20 · Vit 80
Total 200
Talents : Glissade (caché : Phobique)</t>
      </text>
    </comment>
    <comment ref="E1676" authorId="0" shapeId="0">
      <text>
        <t>MARAISTE — Eau / Sol
PV 95 · Att 85 · Déf 85
Att.Spé 65 · Déf.Spé 65 · Vit 35
Total 430
Talents : Moiteur, Absorbe-Eau (caché :
  Inconscient)</t>
      </text>
    </comment>
    <comment ref="E1677" authorId="0" shapeId="0">
      <text>
        <t>TENTACOOL — Eau / Poison
PV 40 · Att 40 · Déf 35
Att.Spé 50 · Déf.Spé 100 · Vit 70
Total 335
Talents : Corps Sain, Suintement (caché :
  Cuvette)</t>
      </text>
    </comment>
    <comment ref="E1678" authorId="0" shapeId="0">
      <text>
        <t>MARAISTE — Eau / Sol
PV 95 · Att 85 · Déf 85
Att.Spé 65 · Déf.Spé 65 · Vit 35
Total 430
Talents : Moiteur, Absorbe-Eau (caché :
  Inconscient)</t>
      </text>
    </comment>
    <comment ref="E1679" authorId="0" shapeId="0">
      <text>
        <t>TENTACRUEL — Eau / Poison
PV 80 · Att 70 · Déf 65
Att.Spé 80 · Déf.Spé 120 · Vit 100
Total 515
Talents : Corps Sain, Suintement (caché :
  Cuvette)</t>
      </text>
    </comment>
    <comment ref="E1680" authorId="0" shapeId="0">
      <text>
        <t>MAGICARPE — Eau
PV 20 · Att 10 · Déf 55
Att.Spé 15 · Déf.Spé 20 · Vit 80
Total 200
Talents : Glissade (caché : Phobique)</t>
      </text>
    </comment>
    <comment ref="E1681" authorId="0" shapeId="0">
      <text>
        <t>TENTACOOL — Eau / Poison
PV 40 · Att 40 · Déf 35
Att.Spé 50 · Déf.Spé 100 · Vit 70
Total 335
Talents : Corps Sain, Suintement (caché :
  Cuvette)</t>
      </text>
    </comment>
    <comment ref="E1682" authorId="0" shapeId="0">
      <text>
        <t>MARAISTE — Eau / Sol
PV 95 · Att 85 · Déf 85
Att.Spé 65 · Déf.Spé 65 · Vit 35
Total 430
Talents : Moiteur, Absorbe-Eau (caché :
  Inconscient)</t>
      </text>
    </comment>
    <comment ref="E1683" authorId="0" shapeId="0">
      <text>
        <t>TENTACRUEL — Eau / Poison
PV 80 · Att 70 · Déf 65
Att.Spé 80 · Déf.Spé 120 · Vit 100
Total 515
Talents : Corps Sain, Suintement (caché :
  Cuvette)</t>
      </text>
    </comment>
    <comment ref="E1684" authorId="0" shapeId="0">
      <text>
        <t>MAGICARPE — Eau
PV 20 · Att 10 · Déf 55
Att.Spé 15 · Déf.Spé 20 · Vit 80
Total 200
Talents : Glissade (caché : Phobique)</t>
      </text>
    </comment>
    <comment ref="E1685" authorId="0" shapeId="0">
      <text>
        <t>TENTACOOL — Eau / Poison
PV 40 · Att 40 · Déf 35
Att.Spé 50 · Déf.Spé 100 · Vit 70
Total 335
Talents : Corps Sain, Suintement (caché :
  Cuvette)</t>
      </text>
    </comment>
    <comment ref="E1686" authorId="0" shapeId="0">
      <text>
        <t>NIDORINA — Poison
PV 70 · Att 62 · Déf 67
Att.Spé 55 · Déf.Spé 55 · Vit 56
Total 365
Talents : Point Poison, Rivalité (caché :
  Agitation)</t>
      </text>
    </comment>
    <comment ref="E1687" authorId="0" shapeId="0">
      <text>
        <t>NIDORINO — Poison
PV 61 · Att 72 · Déf 57
Att.Spé 55 · Déf.Spé 55 · Vit 65
Total 365
Talents : Point Poison, Rivalité (caché :
  Agitation)</t>
      </text>
    </comment>
    <comment ref="E1688" authorId="0" shapeId="0">
      <text>
        <t>GRANIVOL — Plante / Vol
PV 35 · Att 35 · Déf 40
Att.Spé 35 · Déf.Spé 55 · Vit 50
Total 250
Talents : Chlorophylle, Feuille Garde (caché :
  Infiltration)</t>
      </text>
    </comment>
    <comment ref="E1689" authorId="0" shapeId="0">
      <text>
        <t>ROUCOUPS — Normal / Vol
PV 63 · Att 60 · Déf 55
Att.Spé 50 · Déf.Spé 50 · Vit 71
Total 349
Talents : Regard Vif, Pieds Confus (caché :
  Cœur de Coq)</t>
      </text>
    </comment>
    <comment ref="E1690" authorId="0" shapeId="0">
      <text>
        <t>MUCIOLE — Insecte
PV 65 · Att 73 · Déf 75
Att.Spé 47 · Déf.Spé 85 · Vit 85
Total 430
Talents : Lumiattirance, Essaim (caché :
  Farceur)</t>
      </text>
    </comment>
    <comment ref="E1691" authorId="0" shapeId="0">
      <text>
        <t>LEVEINARD — Normal
PV 250 · Att 5 · Déf 5
Att.Spé 35 · Déf.Spé 105 · Vit 50
Total 450
Talents : Médic Nature, Sérénité (caché : Cœur
  Soin)</t>
      </text>
    </comment>
    <comment ref="E1692" authorId="0" shapeId="0">
      <text>
        <t>MARAISTE — Eau / Sol
PV 95 · Att 85 · Déf 85
Att.Spé 65 · Déf.Spé 65 · Vit 35
Total 430
Talents : Moiteur, Absorbe-Eau (caché :
  Inconscient)</t>
      </text>
    </comment>
    <comment ref="E1693" authorId="0" shapeId="0">
      <text>
        <t>MIMITOSS — Insecte / Poison
PV 60 · Att 55 · Déf 50
Att.Spé 40 · Déf.Spé 55 · Vit 45
Total 305
Talents : Œil Composé, Lentiteintée (caché :
  Fuite)</t>
      </text>
    </comment>
    <comment ref="E1694" authorId="0" shapeId="0">
      <text>
        <t>NOARFANG — Normal / Vol
PV 100 · Att 50 · Déf 50
Att.Spé 86 · Déf.Spé 96 · Vit 70
Total 452
Talents : Insomnia, Regard Vif (caché :
  Lentiteintée)</t>
      </text>
    </comment>
    <comment ref="E1695" authorId="0" shapeId="0">
      <text>
        <t>AEROMITE — Insecte / Poison
PV 70 · Att 65 · Déf 60
Att.Spé 90 · Déf.Spé 75 · Vit 90
Total 450
Talents : Écran Poudre, Lentiteintée (caché :
  Peau Miracle)</t>
      </text>
    </comment>
    <comment ref="E1696" authorId="0" shapeId="0">
      <text>
        <t>LUMIVOLE — Insecte
PV 65 · Att 47 · Déf 75
Att.Spé 73 · Déf.Spé 85 · Vit 85
Total 430
Talents : Benêt, Lentiteintée (caché :
  Farceur)</t>
      </text>
    </comment>
    <comment ref="E1697" authorId="0" shapeId="0">
      <text>
        <t>LEVEINARD — Normal
PV 250 · Att 5 · Déf 5
Att.Spé 35 · Déf.Spé 105 · Vit 50
Total 450
Talents : Médic Nature, Sérénité (caché : Cœur
  Soin)</t>
      </text>
    </comment>
    <comment ref="E1698" authorId="0" shapeId="0">
      <text>
        <t>TENTACOOL — Eau / Poison
PV 40 · Att 40 · Déf 35
Att.Spé 50 · Déf.Spé 100 · Vit 70
Total 335
Talents : Corps Sain, Suintement (caché :
  Cuvette)</t>
      </text>
    </comment>
    <comment ref="E1699" authorId="0" shapeId="0">
      <text>
        <t>MARAISTE — Eau / Sol
PV 95 · Att 85 · Déf 85
Att.Spé 65 · Déf.Spé 65 · Vit 35
Total 430
Talents : Moiteur, Absorbe-Eau (caché :
  Inconscient)</t>
      </text>
    </comment>
    <comment ref="E1700" authorId="0" shapeId="0">
      <text>
        <t>TENTACOOL — Eau / Poison
PV 40 · Att 40 · Déf 35
Att.Spé 50 · Déf.Spé 100 · Vit 70
Total 335
Talents : Corps Sain, Suintement (caché :
  Cuvette)</t>
      </text>
    </comment>
    <comment ref="E1701" authorId="0" shapeId="0">
      <text>
        <t>MARAISTE — Eau / Sol
PV 95 · Att 85 · Déf 85
Att.Spé 65 · Déf.Spé 65 · Vit 35
Total 430
Talents : Moiteur, Absorbe-Eau (caché :
  Inconscient)</t>
      </text>
    </comment>
    <comment ref="E1702" authorId="0" shapeId="0">
      <text>
        <t>MAGICARPE — Eau
PV 20 · Att 10 · Déf 55
Att.Spé 15 · Déf.Spé 20 · Vit 80
Total 200
Talents : Glissade (caché : Phobique)</t>
      </text>
    </comment>
    <comment ref="E1703" authorId="0" shapeId="0">
      <text>
        <t>TENTACOOL — Eau / Poison
PV 40 · Att 40 · Déf 35
Att.Spé 50 · Déf.Spé 100 · Vit 70
Total 335
Talents : Corps Sain, Suintement (caché :
  Cuvette)</t>
      </text>
    </comment>
    <comment ref="E1704" authorId="0" shapeId="0">
      <text>
        <t>MAGICARPE — Eau
PV 20 · Att 10 · Déf 55
Att.Spé 15 · Déf.Spé 20 · Vit 80
Total 200
Talents : Glissade (caché : Phobique)</t>
      </text>
    </comment>
    <comment ref="E1705" authorId="0" shapeId="0">
      <text>
        <t>TENTACOOL — Eau / Poison
PV 40 · Att 40 · Déf 35
Att.Spé 50 · Déf.Spé 100 · Vit 70
Total 335
Talents : Corps Sain, Suintement (caché :
  Cuvette)</t>
      </text>
    </comment>
    <comment ref="E1706" authorId="0" shapeId="0">
      <text>
        <t>MAGICARPE — Eau
PV 20 · Att 10 · Déf 55
Att.Spé 15 · Déf.Spé 20 · Vit 80
Total 200
Talents : Glissade (caché : Phobique)</t>
      </text>
    </comment>
    <comment ref="E1707" authorId="0" shapeId="0">
      <text>
        <t>MARAISTE — Eau / Sol
PV 95 · Att 85 · Déf 85
Att.Spé 65 · Déf.Spé 65 · Vit 35
Total 430
Talents : Moiteur, Absorbe-Eau (caché :
  Inconscient)</t>
      </text>
    </comment>
    <comment ref="E1708" authorId="0" shapeId="0">
      <text>
        <t>TENTACOOL — Eau / Poison
PV 40 · Att 40 · Déf 35
Att.Spé 50 · Déf.Spé 100 · Vit 70
Total 335
Talents : Corps Sain, Suintement (caché :
  Cuvette)</t>
      </text>
    </comment>
    <comment ref="E1709" authorId="0" shapeId="0">
      <text>
        <t>MAGICARPE — Eau
PV 20 · Att 10 · Déf 55
Att.Spé 15 · Déf.Spé 20 · Vit 80
Total 200
Talents : Glissade (caché : Phobique)</t>
      </text>
    </comment>
    <comment ref="E1710" authorId="0" shapeId="0">
      <text>
        <t>MARAISTE — Eau / Sol
PV 95 · Att 85 · Déf 85
Att.Spé 65 · Déf.Spé 65 · Vit 35
Total 430
Talents : Moiteur, Absorbe-Eau (caché :
  Inconscient)</t>
      </text>
    </comment>
    <comment ref="E1711" authorId="0" shapeId="0">
      <text>
        <t>TENTACOOL — Eau / Poison
PV 40 · Att 40 · Déf 35
Att.Spé 50 · Déf.Spé 100 · Vit 70
Total 335
Talents : Corps Sain, Suintement (caché :
  Cuvette)</t>
      </text>
    </comment>
    <comment ref="E1712" authorId="0" shapeId="0">
      <text>
        <t>MARAISTE — Eau / Sol
PV 95 · Att 85 · Déf 85
Att.Spé 65 · Déf.Spé 65 · Vit 35
Total 430
Talents : Moiteur, Absorbe-Eau (caché :
  Inconscient)</t>
      </text>
    </comment>
    <comment ref="E1713" authorId="0" shapeId="0">
      <text>
        <t>TENTACRUEL — Eau / Poison
PV 80 · Att 70 · Déf 65
Att.Spé 80 · Déf.Spé 120 · Vit 100
Total 515
Talents : Corps Sain, Suintement (caché :
  Cuvette)</t>
      </text>
    </comment>
    <comment ref="E1714" authorId="0" shapeId="0">
      <text>
        <t>MAGICARPE — Eau
PV 20 · Att 10 · Déf 55
Att.Spé 15 · Déf.Spé 20 · Vit 80
Total 200
Talents : Glissade (caché : Phobique)</t>
      </text>
    </comment>
    <comment ref="E1715" authorId="0" shapeId="0">
      <text>
        <t>TENTACOOL — Eau / Poison
PV 40 · Att 40 · Déf 35
Att.Spé 50 · Déf.Spé 100 · Vit 70
Total 335
Talents : Corps Sain, Suintement (caché :
  Cuvette)</t>
      </text>
    </comment>
    <comment ref="E1716" authorId="0" shapeId="0">
      <text>
        <t>MARAISTE — Eau / Sol
PV 95 · Att 85 · Déf 85
Att.Spé 65 · Déf.Spé 65 · Vit 35
Total 430
Talents : Moiteur, Absorbe-Eau (caché :
  Inconscient)</t>
      </text>
    </comment>
    <comment ref="E1717" authorId="0" shapeId="0">
      <text>
        <t>TENTACRUEL — Eau / Poison
PV 80 · Att 70 · Déf 65
Att.Spé 80 · Déf.Spé 120 · Vit 100
Total 515
Talents : Corps Sain, Suintement (caché :
  Cuvette)</t>
      </text>
    </comment>
    <comment ref="E1718" authorId="0" shapeId="0">
      <text>
        <t>MAGICARPE — Eau
PV 20 · Att 10 · Déf 55
Att.Spé 15 · Déf.Spé 20 · Vit 80
Total 200
Talents : Glissade (caché : Phobique)</t>
      </text>
    </comment>
    <comment ref="E1719" authorId="0" shapeId="0">
      <text>
        <t>TENTACOOL — Eau / Poison
PV 40 · Att 40 · Déf 35
Att.Spé 50 · Déf.Spé 100 · Vit 70
Total 335
Talents : Corps Sain, Suintement (caché :
  Cuvette)</t>
      </text>
    </comment>
    <comment ref="E1720" authorId="0" shapeId="0">
      <text>
        <t>RAPASDEPIC — Normal / Vol
PV 65 · Att 90 · Déf 65
Att.Spé 61 · Déf.Spé 61 · Vit 100
Total 442
Talents : Regard Vif (caché : Sniper)</t>
      </text>
    </comment>
    <comment ref="E1721" authorId="0" shapeId="0">
      <text>
        <t>TADMORV — Poison
PV 80 · Att 80 · Déf 50
Att.Spé 40 · Déf.Spé 50 · Vit 25
Total 325
Talents : Puanteur, Glu (caché : Toxitouche)</t>
      </text>
    </comment>
    <comment ref="E1722" authorId="0" shapeId="0">
      <text>
        <t>GROTADMORV — Poison
PV 105 · Att 105 · Déf 75
Att.Spé 65 · Déf.Spé 100 · Vit 50
Total 500
Talents : Puanteur, Glu (caché : Toxitouche)</t>
      </text>
    </comment>
    <comment ref="E1723" authorId="0" shapeId="0">
      <text>
        <t>LIMAGMA — Feu
PV 40 · Att 40 · Déf 40
Att.Spé 70 · Déf.Spé 40 · Vit 20
Total 250
Talents : Armumagma, Corps Ardent (caché :
  Armurouillée)</t>
      </text>
    </comment>
    <comment ref="E1724" authorId="0" shapeId="0">
      <text>
        <t>ROSELIA — Plante / Poison
PV 50 · Att 60 · Déf 45
Att.Spé 100 · Déf.Spé 80 · Vit 65
Total 400
Talents : Médic Nature, Point Poison (caché :
  Feuille Garde)</t>
      </text>
    </comment>
    <comment ref="E1725" authorId="0" shapeId="0">
      <text>
        <t>TADMORV — Poison
PV 80 · Att 80 · Déf 50
Att.Spé 40 · Déf.Spé 50 · Vit 25
Total 325
Talents : Puanteur, Glu (caché : Toxitouche)</t>
      </text>
    </comment>
    <comment ref="E1726" authorId="0" shapeId="0">
      <text>
        <t>CORNEBRE — Ténèbres / Vol
PV 60 · Att 85 · Déf 42
Att.Spé 85 · Déf.Spé 42 · Vit 91
Total 405
Talents : Insomnia, Chanceux (caché : Farceur)</t>
      </text>
    </comment>
    <comment ref="E1727" authorId="0" shapeId="0">
      <text>
        <t>POLICHOMBR — Spectre
PV 44 · Att 75 · Déf 35
Att.Spé 63 · Déf.Spé 33 · Vit 45
Total 295
Talents : Insomnia, Fouille (caché : Corps
  Maudit)</t>
      </text>
    </comment>
    <comment ref="E1728" authorId="0" shapeId="0">
      <text>
        <t>GROTADMORV — Poison
PV 105 · Att 105 · Déf 75
Att.Spé 65 · Déf.Spé 100 · Vit 50
Total 500
Talents : Puanteur, Glu (caché : Toxitouche)</t>
      </text>
    </comment>
    <comment ref="E1729" authorId="0" shapeId="0">
      <text>
        <t>TADMORV — Poison
PV 80 · Att 80 · Déf 50
Att.Spé 40 · Déf.Spé 50 · Vit 25
Total 325
Talents : Puanteur, Glu (caché : Toxitouche)</t>
      </text>
    </comment>
    <comment ref="E1730" authorId="0" shapeId="0">
      <text>
        <t>RAPASDEPIC — Normal / Vol
PV 65 · Att 90 · Déf 65
Att.Spé 61 · Déf.Spé 61 · Vit 100
Total 442
Talents : Regard Vif (caché : Sniper)</t>
      </text>
    </comment>
    <comment ref="E1731" authorId="0" shapeId="0">
      <text>
        <t>GROTADMORV — Poison
PV 105 · Att 105 · Déf 75
Att.Spé 65 · Déf.Spé 100 · Vit 50
Total 500
Talents : Puanteur, Glu (caché : Toxitouche)</t>
      </text>
    </comment>
    <comment ref="E1732" authorId="0" shapeId="0">
      <text>
        <t>MALOSSE — Ténèbres / Feu
PV 45 · Att 60 · Déf 30
Att.Spé 80 · Déf.Spé 50 · Vit 65
Total 330
Talents : Matinal, Torche (caché : Tension)</t>
      </text>
    </comment>
    <comment ref="E1733" authorId="0" shapeId="0">
      <text>
        <t>GLOUPTI — Poison
PV 70 · Att 43 · Déf 53
Att.Spé 43 · Déf.Spé 53 · Vit 40
Total 302
Talents : Suintement, Glu (caché :
  Gloutonnerie)</t>
      </text>
    </comment>
    <comment ref="E1734" authorId="0" shapeId="0">
      <text>
        <t>TADMORV — Poison
PV 80 · Att 80 · Déf 50
Att.Spé 40 · Déf.Spé 50 · Vit 25
Total 325
Talents : Puanteur, Glu (caché : Toxitouche)</t>
      </text>
    </comment>
    <comment ref="E1735" authorId="0" shapeId="0">
      <text>
        <t>GROTADMORV — Poison
PV 105 · Att 105 · Déf 75
Att.Spé 65 · Déf.Spé 100 · Vit 50
Total 500
Talents : Puanteur, Glu (caché : Toxitouche)</t>
      </text>
    </comment>
    <comment ref="E1736" authorId="0" shapeId="0">
      <text>
        <t>MALOSSE — Ténèbres / Feu
PV 45 · Att 60 · Déf 30
Att.Spé 80 · Déf.Spé 50 · Vit 65
Total 330
Talents : Matinal, Torche (caché : Tension)</t>
      </text>
    </comment>
    <comment ref="E1737" authorId="0" shapeId="0">
      <text>
        <t>GLOUPTI — Poison
PV 70 · Att 43 · Déf 53
Att.Spé 43 · Déf.Spé 53 · Vit 40
Total 302
Talents : Suintement, Glu (caché :
  Gloutonnerie)</t>
      </text>
    </comment>
    <comment ref="E1738" authorId="0" shapeId="0">
      <text>
        <t>RAPASDEPIC — Normal / Vol
PV 65 · Att 90 · Déf 65
Att.Spé 61 · Déf.Spé 61 · Vit 100
Total 442
Talents : Regard Vif (caché : Sniper)</t>
      </text>
    </comment>
    <comment ref="E1739" authorId="0" shapeId="0">
      <text>
        <t>DODUO — Normal / Vol
PV 35 · Att 85 · Déf 45
Att.Spé 35 · Déf.Spé 35 · Vit 75
Total 310
Talents : Fuite, Matinal (caché : Pieds
  Confus)</t>
      </text>
    </comment>
    <comment ref="E1740" authorId="0" shapeId="0">
      <text>
        <t>RATTATAC — Normal
PV 55 · Att 81 · Déf 60
Att.Spé 50 · Déf.Spé 70 · Vit 97
Total 413
Talents : Fuite, Cran (caché : Agitation)</t>
      </text>
    </comment>
    <comment ref="E1741" authorId="0" shapeId="0">
      <text>
        <t>RATTATA — Normal
PV 30 · Att 56 · Déf 35
Att.Spé 25 · Déf.Spé 35 · Vit 72
Total 253
Talents : Fuite, Cran (caché : Agitation)</t>
      </text>
    </comment>
    <comment ref="E1742" authorId="0" shapeId="0">
      <text>
        <t>KECLEON — Normal
PV 60 · Att 90 · Déf 70
Att.Spé 60 · Déf.Spé 120 · Vit 40
Total 440
Talents : Homochromie (caché : Protéen)</t>
      </text>
    </comment>
    <comment ref="E1743" authorId="0" shapeId="0">
      <text>
        <t>DODUO — Normal / Vol
PV 35 · Att 85 · Déf 45
Att.Spé 35 · Déf.Spé 35 · Vit 75
Total 310
Talents : Fuite, Matinal (caché : Pieds
  Confus)</t>
      </text>
    </comment>
    <comment ref="E1744" authorId="0" shapeId="0">
      <text>
        <t>NOARFANG — Normal / Vol
PV 100 · Att 50 · Déf 50
Att.Spé 86 · Déf.Spé 96 · Vit 70
Total 452
Talents : Insomnia, Regard Vif (caché :
  Lentiteintée)</t>
      </text>
    </comment>
    <comment ref="E1745" authorId="0" shapeId="0">
      <text>
        <t>SPECTRUM — Spectre / Poison
PV 45 · Att 50 · Déf 45
Att.Spé 115 · Déf.Spé 55 · Vit 95
Total 405
Talents : Lévitation</t>
      </text>
    </comment>
    <comment ref="E1746" authorId="0" shapeId="0">
      <text>
        <t>FANTOMINUS — Spectre / Poison
PV 30 · Att 35 · Déf 30
Att.Spé 100 · Déf.Spé 35 · Vit 80
Total 310
Talents : Lévitation</t>
      </text>
    </comment>
    <comment ref="E1747" authorId="0" shapeId="0">
      <text>
        <t>RATTATA — Normal
PV 30 · Att 56 · Déf 35
Att.Spé 25 · Déf.Spé 35 · Vit 72
Total 253
Talents : Fuite, Cran (caché : Agitation)</t>
      </text>
    </comment>
    <comment ref="E1748" authorId="0" shapeId="0">
      <text>
        <t>KECLEON — Normal
PV 60 · Att 90 · Déf 70
Att.Spé 60 · Déf.Spé 120 · Vit 40
Total 440
Talents : Homochromie (caché : Protéen)</t>
      </text>
    </comment>
    <comment ref="E1749" authorId="0" shapeId="0">
      <text>
        <t>RATTATAC — Normal
PV 55 · Att 81 · Déf 60
Att.Spé 50 · Déf.Spé 70 · Vit 97
Total 413
Talents : Fuite, Cran (caché : Agitation)</t>
      </text>
    </comment>
    <comment ref="E1750" authorId="0" shapeId="0">
      <text>
        <t>CHENIPAN — Insecte
PV 45 · Att 30 · Déf 35
Att.Spé 20 · Déf.Spé 20 · Vit 45
Total 195
Talents : Écran Poudre (caché : Fuite)</t>
      </text>
    </comment>
    <comment ref="E1751" authorId="0" shapeId="0">
      <text>
        <t>ROUCOOL — Normal / Vol
PV 40 · Att 45 · Déf 40
Att.Spé 35 · Déf.Spé 35 · Vit 56
Total 251
Talents : Regard Vif, Pieds Confus (caché :
  Cœur de Coq)</t>
      </text>
    </comment>
    <comment ref="E1752" authorId="0" shapeId="0">
      <text>
        <t>ROUCOUPS — Normal / Vol
PV 63 · Att 60 · Déf 55
Att.Spé 50 · Déf.Spé 50 · Vit 71
Total 349
Talents : Regard Vif, Pieds Confus (caché :
  Cœur de Coq)</t>
      </text>
    </comment>
    <comment ref="E1753" authorId="0" shapeId="0">
      <text>
        <t>COXY — Insecte / Vol
PV 40 · Att 20 · Déf 30
Att.Spé 40 · Déf.Spé 80 · Vit 55
Total 265
Talents : Essaim, Matinal (caché : Phobique)</t>
      </text>
    </comment>
    <comment ref="E1754" authorId="0" shapeId="0">
      <text>
        <t>PAPILUSION — Insecte / Vol
PV 60 · Att 45 · Déf 50
Att.Spé 90 · Déf.Spé 80 · Vit 70
Total 395
Talents : Œil Composé (caché : Lentiteintée)</t>
      </text>
    </comment>
    <comment ref="E1755" authorId="0" shapeId="0">
      <text>
        <t>ZIGZATON — Normal
PV 38 · Att 30 · Déf 41
Att.Spé 30 · Déf.Spé 41 · Vit 60
Total 240
Talents : Ramassage, Gloutonnerie (caché :
  Pied Véloce)</t>
      </text>
    </comment>
    <comment ref="E1756" authorId="0" shapeId="0">
      <text>
        <t>COXYCLAQUE — Insecte / Vol
PV 55 · Att 35 · Déf 50
Att.Spé 55 · Déf.Spé 110 · Vit 85
Total 390
Talents : Essaim, Matinal (caché : Poing de
  Fer)</t>
      </text>
    </comment>
    <comment ref="E1757" authorId="0" shapeId="0">
      <text>
        <t>HOOTHOOT — Normal / Vol
PV 60 · Att 30 · Déf 30
Att.Spé 36 · Déf.Spé 56 · Vit 50
Total 262
Talents : Insomnia, Regard Vif (caché :
  Lentiteintée)</t>
      </text>
    </comment>
    <comment ref="E1758" authorId="0" shapeId="0">
      <text>
        <t>MIMIGAL — Insecte / Poison
PV 40 · Att 60 · Déf 40
Att.Spé 40 · Déf.Spé 40 · Vit 30
Total 250
Talents : Essaim, Insomnia (caché : Sniper)</t>
      </text>
    </comment>
    <comment ref="E1759" authorId="0" shapeId="0">
      <text>
        <t>NOARFANG — Normal / Vol
PV 100 · Att 50 · Déf 50
Att.Spé 86 · Déf.Spé 96 · Vit 70
Total 452
Talents : Insomnia, Regard Vif (caché :
  Lentiteintée)</t>
      </text>
    </comment>
    <comment ref="E1760" authorId="0" shapeId="0">
      <text>
        <t>MIGALOS — Insecte / Poison
PV 70 · Att 90 · Déf 70
Att.Spé 60 · Déf.Spé 70 · Vit 40
Total 400
Talents : Essaim, Insomnia (caché : Sniper)</t>
      </text>
    </comment>
    <comment ref="E1761" authorId="0" shapeId="0">
      <text>
        <t>ZIGZATON — Normal
PV 38 · Att 30 · Déf 41
Att.Spé 30 · Déf.Spé 41 · Vit 60
Total 240
Talents : Ramassage, Gloutonnerie (caché :
  Pied Véloce)</t>
      </text>
    </comment>
    <comment ref="E1762" authorId="0" shapeId="0">
      <text>
        <t>PTITARD — Eau
PV 40 · Att 50 · Déf 40
Att.Spé 40 · Déf.Spé 40 · Vit 90
Total 300
Talents : Absorbe-Eau, Moiteur (caché :
  Glissade)</t>
      </text>
    </comment>
    <comment ref="E1763" authorId="0" shapeId="0">
      <text>
        <t>TETARTE — Eau
PV 65 · Att 65 · Déf 65
Att.Spé 50 · Déf.Spé 50 · Vit 90
Total 385
Talents : Absorbe-Eau, Moiteur (caché :
  Glissade)</t>
      </text>
    </comment>
    <comment ref="E1764" authorId="0" shapeId="0">
      <text>
        <t>PTITARD — Eau
PV 40 · Att 50 · Déf 40
Att.Spé 40 · Déf.Spé 40 · Vit 90
Total 300
Talents : Absorbe-Eau, Moiteur (caché :
  Glissade)</t>
      </text>
    </comment>
    <comment ref="E1765" authorId="0" shapeId="0">
      <text>
        <t>TETARTE — Eau
PV 65 · Att 65 · Déf 65
Att.Spé 50 · Déf.Spé 50 · Vit 90
Total 385
Talents : Absorbe-Eau, Moiteur (caché :
  Glissade)</t>
      </text>
    </comment>
    <comment ref="E1766" authorId="0" shapeId="0">
      <text>
        <t>POMDEPIK — Insecte
PV 50 · Att 65 · Déf 90
Att.Spé 35 · Déf.Spé 35 · Vit 15
Total 290
Talents : Fermeté (caché : Envelocape)</t>
      </text>
    </comment>
    <comment ref="E1767" authorId="0" shapeId="0">
      <text>
        <t>NOEUNOEUF — Plante / Psy
PV 60 · Att 40 · Déf 80
Att.Spé 60 · Déf.Spé 45 · Vit 40
Total 325
Talents : Chlorophylle (caché : Récolte)</t>
      </text>
    </comment>
    <comment ref="E1768" authorId="0" shapeId="0">
      <text>
        <t>COXY — Insecte / Vol
PV 40 · Att 20 · Déf 30
Att.Spé 40 · Déf.Spé 80 · Vit 55
Total 265
Talents : Essaim, Matinal (caché : Phobique)</t>
      </text>
    </comment>
    <comment ref="E1769" authorId="0" shapeId="0">
      <text>
        <t>MIMIGAL — Insecte / Poison
PV 40 · Att 60 · Déf 40
Att.Spé 40 · Déf.Spé 40 · Vit 30
Total 250
Talents : Essaim, Insomnia (caché : Sniper)</t>
      </text>
    </comment>
    <comment ref="E1770" authorId="0" shapeId="0">
      <text>
        <t>POMDEPIK — Insecte
PV 50 · Att 65 · Déf 90
Att.Spé 35 · Déf.Spé 35 · Vit 15
Total 290
Talents : Fermeté (caché : Envelocape)</t>
      </text>
    </comment>
    <comment ref="E1771" authorId="0" shapeId="0">
      <text>
        <t>NOEUNOEUF — Plante / Psy
PV 60 · Att 40 · Déf 80
Att.Spé 60 · Déf.Spé 45 · Vit 40
Total 325
Talents : Chlorophylle (caché : Récolte)</t>
      </text>
    </comment>
    <comment ref="E1772" authorId="0" shapeId="0">
      <text>
        <t>COXY — Insecte / Vol
PV 40 · Att 20 · Déf 30
Att.Spé 40 · Déf.Spé 80 · Vit 55
Total 265
Talents : Essaim, Matinal (caché : Phobique)</t>
      </text>
    </comment>
    <comment ref="E1773" authorId="0" shapeId="0">
      <text>
        <t>MIMIGAL — Insecte / Poison
PV 40 · Att 60 · Déf 40
Att.Spé 40 · Déf.Spé 40 · Vit 30
Total 250
Talents : Essaim, Insomnia (caché : Sniper)</t>
      </text>
    </comment>
    <comment ref="E1774" authorId="0" shapeId="0">
      <text>
        <t>MAGICARPE — Eau
PV 20 · Att 10 · Déf 55
Att.Spé 15 · Déf.Spé 20 · Vit 80
Total 200
Talents : Glissade (caché : Phobique)</t>
      </text>
    </comment>
    <comment ref="E1775" authorId="0" shapeId="0">
      <text>
        <t>PTITARD — Eau
PV 40 · Att 50 · Déf 40
Att.Spé 40 · Déf.Spé 40 · Vit 90
Total 300
Talents : Absorbe-Eau, Moiteur (caché :
  Glissade)</t>
      </text>
    </comment>
    <comment ref="E1776" authorId="0" shapeId="0">
      <text>
        <t>MAGICARPE — Eau
PV 20 · Att 10 · Déf 55
Att.Spé 15 · Déf.Spé 20 · Vit 80
Total 200
Talents : Glissade (caché : Phobique)</t>
      </text>
    </comment>
    <comment ref="E1777" authorId="0" shapeId="0">
      <text>
        <t>PTITARD — Eau
PV 40 · Att 50 · Déf 40
Att.Spé 40 · Déf.Spé 40 · Vit 90
Total 300
Talents : Absorbe-Eau, Moiteur (caché :
  Glissade)</t>
      </text>
    </comment>
    <comment ref="E1778" authorId="0" shapeId="0">
      <text>
        <t>PTITARD — Eau
PV 40 · Att 50 · Déf 40
Att.Spé 40 · Déf.Spé 40 · Vit 90
Total 300
Talents : Absorbe-Eau, Moiteur (caché :
  Glissade)</t>
      </text>
    </comment>
    <comment ref="E1779" authorId="0" shapeId="0">
      <text>
        <t>MAGICARPE — Eau
PV 20 · Att 10 · Déf 55
Att.Spé 15 · Déf.Spé 20 · Vit 80
Total 200
Talents : Glissade (caché : Phobique)</t>
      </text>
    </comment>
    <comment ref="E1780" authorId="0" shapeId="0">
      <text>
        <t>PTITARD — Eau
PV 40 · Att 50 · Déf 40
Att.Spé 40 · Déf.Spé 40 · Vit 90
Total 300
Talents : Absorbe-Eau, Moiteur (caché :
  Glissade)</t>
      </text>
    </comment>
    <comment ref="E1781" authorId="0" shapeId="0">
      <text>
        <t>MAGICARPE — Eau
PV 20 · Att 10 · Déf 55
Att.Spé 15 · Déf.Spé 20 · Vit 80
Total 200
Talents : Glissade (caché : Phobique)</t>
      </text>
    </comment>
    <comment ref="E1782" authorId="0" shapeId="0">
      <text>
        <t>PTITARD — Eau
PV 40 · Att 50 · Déf 40
Att.Spé 40 · Déf.Spé 40 · Vit 90
Total 300
Talents : Absorbe-Eau, Moiteur (caché :
  Glissade)</t>
      </text>
    </comment>
    <comment ref="E1783" authorId="0" shapeId="0">
      <text>
        <t>MAGICARPE — Eau
PV 20 · Att 10 · Déf 55
Att.Spé 15 · Déf.Spé 20 · Vit 80
Total 200
Talents : Glissade (caché : Phobique)</t>
      </text>
    </comment>
    <comment ref="E1784" authorId="0" shapeId="0">
      <text>
        <t>TETARTE — Eau
PV 65 · Att 65 · Déf 65
Att.Spé 50 · Déf.Spé 50 · Vit 90
Total 385
Talents : Absorbe-Eau, Moiteur (caché :
  Glissade)</t>
      </text>
    </comment>
    <comment ref="E1785" authorId="0" shapeId="0">
      <text>
        <t>PTITARD — Eau
PV 40 · Att 50 · Déf 40
Att.Spé 40 · Déf.Spé 40 · Vit 90
Total 300
Talents : Absorbe-Eau, Moiteur (caché :
  Glissade)</t>
      </text>
    </comment>
    <comment ref="E1786" authorId="0" shapeId="0">
      <text>
        <t>MAGICARPE — Eau
PV 20 · Att 10 · Déf 55
Att.Spé 15 · Déf.Spé 20 · Vit 80
Total 200
Talents : Glissade (caché : Phobique)</t>
      </text>
    </comment>
    <comment ref="E1787" authorId="0" shapeId="0">
      <text>
        <t>TETARTE — Eau
PV 65 · Att 65 · Déf 65
Att.Spé 50 · Déf.Spé 50 · Vit 90
Total 385
Talents : Absorbe-Eau, Moiteur (caché :
  Glissade)</t>
      </text>
    </comment>
    <comment ref="E1788" authorId="0" shapeId="0">
      <text>
        <t>PIAFABEC — Normal / Vol
PV 40 · Att 60 · Déf 30
Att.Spé 31 · Déf.Spé 31 · Vit 70
Total 262
Talents : Regard Vif (caché : Sniper)</t>
      </text>
    </comment>
    <comment ref="E1789" authorId="0" shapeId="0">
      <text>
        <t>RATTATA — Normal
PV 30 · Att 56 · Déf 35
Att.Spé 25 · Déf.Spé 35 · Vit 72
Total 253
Talents : Fuite, Cran (caché : Agitation)</t>
      </text>
    </comment>
    <comment ref="E1790" authorId="0" shapeId="0">
      <text>
        <t>DODUO — Normal / Vol
PV 35 · Att 85 · Déf 45
Att.Spé 35 · Déf.Spé 35 · Vit 75
Total 310
Talents : Fuite, Matinal (caché : Pieds
  Confus)</t>
      </text>
    </comment>
    <comment ref="E1791" authorId="0" shapeId="0">
      <text>
        <t>PONYTA — Feu
PV 50 · Att 85 · Déf 55
Att.Spé 65 · Déf.Spé 65 · Vit 90
Total 410
Talents : Fuite, Torche (caché : Corps Ardent)</t>
      </text>
    </comment>
    <comment ref="E1792" authorId="0" shapeId="0">
      <text>
        <t>NIRONDELLE — Normal / Vol
PV 40 · Att 55 · Déf 30
Att.Spé 30 · Déf.Spé 30 · Vit 85
Total 270
Talents : Cran (caché : Querelleur)</t>
      </text>
    </comment>
    <comment ref="E1793" authorId="0" shapeId="0">
      <text>
        <t>RATTATA — Normal
PV 30 · Att 56 · Déf 35
Att.Spé 25 · Déf.Spé 35 · Vit 72
Total 253
Talents : Fuite, Cran (caché : Agitation)</t>
      </text>
    </comment>
    <comment ref="E1794" authorId="0" shapeId="0">
      <text>
        <t>PTITARD — Eau
PV 40 · Att 50 · Déf 40
Att.Spé 40 · Déf.Spé 40 · Vit 90
Total 300
Talents : Absorbe-Eau, Moiteur (caché :
  Glissade)</t>
      </text>
    </comment>
    <comment ref="E1795" authorId="0" shapeId="0">
      <text>
        <t>NIRONDELLE — Normal / Vol
PV 40 · Att 55 · Déf 30
Att.Spé 30 · Déf.Spé 30 · Vit 85
Total 270
Talents : Cran (caché : Querelleur)</t>
      </text>
    </comment>
    <comment ref="E1796" authorId="0" shapeId="0">
      <text>
        <t>PTITARD — Eau
PV 40 · Att 50 · Déf 40
Att.Spé 40 · Déf.Spé 40 · Vit 90
Total 300
Talents : Absorbe-Eau, Moiteur (caché :
  Glissade)</t>
      </text>
    </comment>
    <comment ref="E1797" authorId="0" shapeId="0">
      <text>
        <t>TETARTE — Eau
PV 65 · Att 65 · Déf 65
Att.Spé 50 · Déf.Spé 50 · Vit 90
Total 385
Talents : Absorbe-Eau, Moiteur (caché :
  Glissade)</t>
      </text>
    </comment>
    <comment ref="E1798" authorId="0" shapeId="0">
      <text>
        <t>PTITARD — Eau
PV 40 · Att 50 · Déf 40
Att.Spé 40 · Déf.Spé 40 · Vit 90
Total 300
Talents : Absorbe-Eau, Moiteur (caché :
  Glissade)</t>
      </text>
    </comment>
    <comment ref="E1799" authorId="0" shapeId="0">
      <text>
        <t>TETARTE — Eau
PV 65 · Att 65 · Déf 65
Att.Spé 50 · Déf.Spé 50 · Vit 90
Total 385
Talents : Absorbe-Eau, Moiteur (caché :
  Glissade)</t>
      </text>
    </comment>
    <comment ref="E1800" authorId="0" shapeId="0">
      <text>
        <t>MAGICARPE — Eau
PV 20 · Att 10 · Déf 55
Att.Spé 15 · Déf.Spé 20 · Vit 80
Total 200
Talents : Glissade (caché : Phobique)</t>
      </text>
    </comment>
    <comment ref="E1801" authorId="0" shapeId="0">
      <text>
        <t>PTITARD — Eau
PV 40 · Att 50 · Déf 40
Att.Spé 40 · Déf.Spé 40 · Vit 90
Total 300
Talents : Absorbe-Eau, Moiteur (caché :
  Glissade)</t>
      </text>
    </comment>
    <comment ref="E1802" authorId="0" shapeId="0">
      <text>
        <t>MAGICARPE — Eau
PV 20 · Att 10 · Déf 55
Att.Spé 15 · Déf.Spé 20 · Vit 80
Total 200
Talents : Glissade (caché : Phobique)</t>
      </text>
    </comment>
    <comment ref="E1803" authorId="0" shapeId="0">
      <text>
        <t>PTITARD — Eau
PV 40 · Att 50 · Déf 40
Att.Spé 40 · Déf.Spé 40 · Vit 90
Total 300
Talents : Absorbe-Eau, Moiteur (caché :
  Glissade)</t>
      </text>
    </comment>
    <comment ref="E1804" authorId="0" shapeId="0">
      <text>
        <t>PTITARD — Eau
PV 40 · Att 50 · Déf 40
Att.Spé 40 · Déf.Spé 40 · Vit 90
Total 300
Talents : Absorbe-Eau, Moiteur (caché :
  Glissade)</t>
      </text>
    </comment>
    <comment ref="E1805" authorId="0" shapeId="0">
      <text>
        <t>MAGICARPE — Eau
PV 20 · Att 10 · Déf 55
Att.Spé 15 · Déf.Spé 20 · Vit 80
Total 200
Talents : Glissade (caché : Phobique)</t>
      </text>
    </comment>
    <comment ref="E1806" authorId="0" shapeId="0">
      <text>
        <t>PTITARD — Eau
PV 40 · Att 50 · Déf 40
Att.Spé 40 · Déf.Spé 40 · Vit 90
Total 300
Talents : Absorbe-Eau, Moiteur (caché :
  Glissade)</t>
      </text>
    </comment>
    <comment ref="E1807" authorId="0" shapeId="0">
      <text>
        <t>MAGICARPE — Eau
PV 20 · Att 10 · Déf 55
Att.Spé 15 · Déf.Spé 20 · Vit 80
Total 200
Talents : Glissade (caché : Phobique)</t>
      </text>
    </comment>
    <comment ref="E1808" authorId="0" shapeId="0">
      <text>
        <t>PTITARD — Eau
PV 40 · Att 50 · Déf 40
Att.Spé 40 · Déf.Spé 40 · Vit 90
Total 300
Talents : Absorbe-Eau, Moiteur (caché :
  Glissade)</t>
      </text>
    </comment>
    <comment ref="E1809" authorId="0" shapeId="0">
      <text>
        <t>MAGICARPE — Eau
PV 20 · Att 10 · Déf 55
Att.Spé 15 · Déf.Spé 20 · Vit 80
Total 200
Talents : Glissade (caché : Phobique)</t>
      </text>
    </comment>
    <comment ref="E1810" authorId="0" shapeId="0">
      <text>
        <t>TETARTE — Eau
PV 65 · Att 65 · Déf 65
Att.Spé 50 · Déf.Spé 50 · Vit 90
Total 385
Talents : Absorbe-Eau, Moiteur (caché :
  Glissade)</t>
      </text>
    </comment>
    <comment ref="E1811" authorId="0" shapeId="0">
      <text>
        <t>PTITARD — Eau
PV 40 · Att 50 · Déf 40
Att.Spé 40 · Déf.Spé 40 · Vit 90
Total 300
Talents : Absorbe-Eau, Moiteur (caché :
  Glissade)</t>
      </text>
    </comment>
    <comment ref="E1812" authorId="0" shapeId="0">
      <text>
        <t>MAGICARPE — Eau
PV 20 · Att 10 · Déf 55
Att.Spé 15 · Déf.Spé 20 · Vit 80
Total 200
Talents : Glissade (caché : Phobique)</t>
      </text>
    </comment>
    <comment ref="E1813" authorId="0" shapeId="0">
      <text>
        <t>TETARTE — Eau
PV 65 · Att 65 · Déf 65
Att.Spé 50 · Déf.Spé 50 · Vit 90
Total 385
Talents : Absorbe-Eau, Moiteur (caché :
  Glissade)</t>
      </text>
    </comment>
    <comment ref="E1814" authorId="0" shapeId="0">
      <text>
        <t>CHENIPAN — Insecte
PV 45 · Att 30 · Déf 35
Att.Spé 20 · Déf.Spé 20 · Vit 45
Total 195
Talents : Écran Poudre (caché : Fuite)</t>
      </text>
    </comment>
    <comment ref="E1815" authorId="0" shapeId="0">
      <text>
        <t>TOURNEGRIN — Plante
PV 30 · Att 30 · Déf 30
Att.Spé 30 · Déf.Spé 30 · Vit 30
Total 180
Talents : Chlorophylle, Force Soleil (caché :
  Matinal)</t>
      </text>
    </comment>
    <comment ref="E1816" authorId="0" shapeId="0">
      <text>
        <t>ABRA — Psy
PV 25 · Att 20 · Déf 15
Att.Spé 105 · Déf.Spé 55 · Vit 90
Total 310
Talents : Synchro, Attention (caché : Garde
  Magik)</t>
      </text>
    </comment>
    <comment ref="E1817" authorId="0" shapeId="0">
      <text>
        <t>CHETIFLOR — Plante / Poison
PV 50 · Att 75 · Déf 35
Att.Spé 70 · Déf.Spé 30 · Vit 40
Total 300
Talents : Chlorophylle (caché : Gloutonnerie)</t>
      </text>
    </comment>
    <comment ref="E1818" authorId="0" shapeId="0">
      <text>
        <t>ARAKDO — Insecte / Eau
PV 40 · Att 30 · Déf 32
Att.Spé 50 · Déf.Spé 52 · Vit 65
Total 269
Talents : Glissade (caché : Cuvette)</t>
      </text>
    </comment>
    <comment ref="E1819" authorId="0" shapeId="0">
      <text>
        <t>CHRYSACIER — Insecte
PV 50 · Att 20 · Déf 55
Att.Spé 25 · Déf.Spé 25 · Vit 30
Total 205
Talents : Mue</t>
      </text>
    </comment>
    <comment ref="E1820" authorId="0" shapeId="0">
      <text>
        <t>PAPILUSION — Insecte / Vol
PV 60 · Att 45 · Déf 50
Att.Spé 90 · Déf.Spé 80 · Vit 70
Total 395
Talents : Œil Composé (caché : Lentiteintée)</t>
      </text>
    </comment>
    <comment ref="E1821" authorId="0" shapeId="0">
      <text>
        <t>MIMITOSS — Insecte / Poison
PV 60 · Att 55 · Déf 50
Att.Spé 40 · Déf.Spé 55 · Vit 45
Total 305
Talents : Œil Composé, Lentiteintée (caché :
  Fuite)</t>
      </text>
    </comment>
    <comment ref="E1822" authorId="0" shapeId="0">
      <text>
        <t>MYSTHERBE — Plante / Poison
PV 45 · Att 50 · Déf 55
Att.Spé 75 · Déf.Spé 65 · Vit 30
Total 320
Talents : Chlorophylle (caché : Fuite)</t>
      </text>
    </comment>
    <comment ref="E1823" authorId="0" shapeId="0">
      <text>
        <t>ABRA — Psy
PV 25 · Att 20 · Déf 15
Att.Spé 105 · Déf.Spé 55 · Vit 90
Total 310
Talents : Synchro, Attention (caché : Garde
  Magik)</t>
      </text>
    </comment>
    <comment ref="E1824" authorId="0" shapeId="0">
      <text>
        <t>CHETIFLOR — Plante / Poison
PV 50 · Att 75 · Déf 35
Att.Spé 70 · Déf.Spé 30 · Vit 40
Total 300
Talents : Chlorophylle (caché : Gloutonnerie)</t>
      </text>
    </comment>
    <comment ref="E1825" authorId="0" shapeId="0">
      <text>
        <t>SPOINK — Psy
PV 60 · Att 25 · Déf 35
Att.Spé 70 · Déf.Spé 80 · Vit 60
Total 330
Talents : Isograisse, Tempo Perso (caché :
  Gloutonnerie)</t>
      </text>
    </comment>
    <comment ref="E1826" authorId="0" shapeId="0">
      <text>
        <t>ORTIDE — Plante / Poison
PV 60 · Att 65 · Déf 70
Att.Spé 85 · Déf.Spé 75 · Vit 40
Total 395
Talents : Chlorophylle (caché : Puanteur)</t>
      </text>
    </comment>
    <comment ref="E1827" authorId="0" shapeId="0">
      <text>
        <t>POISSIRENE — Eau
PV 45 · Att 67 · Déf 60
Att.Spé 35 · Déf.Spé 50 · Vit 63
Total 320
Talents : Glissade, Ignifu-Voile (caché :
  Paratonnerre)</t>
      </text>
    </comment>
    <comment ref="E1828" authorId="0" shapeId="0">
      <text>
        <t>POISSOROY — Eau
PV 80 · Att 92 · Déf 65
Att.Spé 65 · Déf.Spé 80 · Vit 68
Total 450
Talents : Glissade, Ignifu-Voile (caché :
  Paratonnerre)</t>
      </text>
    </comment>
    <comment ref="E1829" authorId="0" shapeId="0">
      <text>
        <t>POISSIRENE — Eau
PV 45 · Att 67 · Déf 60
Att.Spé 35 · Déf.Spé 50 · Vit 63
Total 320
Talents : Glissade, Ignifu-Voile (caché :
  Paratonnerre)</t>
      </text>
    </comment>
    <comment ref="E1830" authorId="0" shapeId="0">
      <text>
        <t>POISSOROY — Eau
PV 80 · Att 92 · Déf 65
Att.Spé 65 · Déf.Spé 80 · Vit 68
Total 450
Talents : Glissade, Ignifu-Voile (caché :
  Paratonnerre)</t>
      </text>
    </comment>
    <comment ref="E1831" authorId="0" shapeId="0">
      <text>
        <t>MAGICARPE — Eau
PV 20 · Att 10 · Déf 55
Att.Spé 15 · Déf.Spé 20 · Vit 80
Total 200
Talents : Glissade (caché : Phobique)</t>
      </text>
    </comment>
    <comment ref="E1832" authorId="0" shapeId="0">
      <text>
        <t>PTITARD — Eau
PV 40 · Att 50 · Déf 40
Att.Spé 40 · Déf.Spé 40 · Vit 90
Total 300
Talents : Absorbe-Eau, Moiteur (caché :
  Glissade)</t>
      </text>
    </comment>
    <comment ref="E1833" authorId="0" shapeId="0">
      <text>
        <t>MAGICARPE — Eau
PV 20 · Att 10 · Déf 55
Att.Spé 15 · Déf.Spé 20 · Vit 80
Total 200
Talents : Glissade (caché : Phobique)</t>
      </text>
    </comment>
    <comment ref="E1834" authorId="0" shapeId="0">
      <text>
        <t>PTITARD — Eau
PV 40 · Att 50 · Déf 40
Att.Spé 40 · Déf.Spé 40 · Vit 90
Total 300
Talents : Absorbe-Eau, Moiteur (caché :
  Glissade)</t>
      </text>
    </comment>
    <comment ref="E1835" authorId="0" shapeId="0">
      <text>
        <t>PTITARD — Eau
PV 40 · Att 50 · Déf 40
Att.Spé 40 · Déf.Spé 40 · Vit 90
Total 300
Talents : Absorbe-Eau, Moiteur (caché :
  Glissade)</t>
      </text>
    </comment>
    <comment ref="E1836" authorId="0" shapeId="0">
      <text>
        <t>MAGICARPE — Eau
PV 20 · Att 10 · Déf 55
Att.Spé 15 · Déf.Spé 20 · Vit 80
Total 200
Talents : Glissade (caché : Phobique)</t>
      </text>
    </comment>
    <comment ref="E1837" authorId="0" shapeId="0">
      <text>
        <t>PTITARD — Eau
PV 40 · Att 50 · Déf 40
Att.Spé 40 · Déf.Spé 40 · Vit 90
Total 300
Talents : Absorbe-Eau, Moiteur (caché :
  Glissade)</t>
      </text>
    </comment>
    <comment ref="E1838" authorId="0" shapeId="0">
      <text>
        <t>MAGICARPE — Eau
PV 20 · Att 10 · Déf 55
Att.Spé 15 · Déf.Spé 20 · Vit 80
Total 200
Talents : Glissade (caché : Phobique)</t>
      </text>
    </comment>
    <comment ref="E1839" authorId="0" shapeId="0">
      <text>
        <t>PTITARD — Eau
PV 40 · Att 50 · Déf 40
Att.Spé 40 · Déf.Spé 40 · Vit 90
Total 300
Talents : Absorbe-Eau, Moiteur (caché :
  Glissade)</t>
      </text>
    </comment>
    <comment ref="E1840" authorId="0" shapeId="0">
      <text>
        <t>MAGICARPE — Eau
PV 20 · Att 10 · Déf 55
Att.Spé 15 · Déf.Spé 20 · Vit 80
Total 200
Talents : Glissade (caché : Phobique)</t>
      </text>
    </comment>
    <comment ref="E1841" authorId="0" shapeId="0">
      <text>
        <t>TETARTE — Eau
PV 65 · Att 65 · Déf 65
Att.Spé 50 · Déf.Spé 50 · Vit 90
Total 385
Talents : Absorbe-Eau, Moiteur (caché :
  Glissade)</t>
      </text>
    </comment>
    <comment ref="E1842" authorId="0" shapeId="0">
      <text>
        <t>PTITARD — Eau
PV 40 · Att 50 · Déf 40
Att.Spé 40 · Déf.Spé 40 · Vit 90
Total 300
Talents : Absorbe-Eau, Moiteur (caché :
  Glissade)</t>
      </text>
    </comment>
    <comment ref="E1843" authorId="0" shapeId="0">
      <text>
        <t>MAGICARPE — Eau
PV 20 · Att 10 · Déf 55
Att.Spé 15 · Déf.Spé 20 · Vit 80
Total 200
Talents : Glissade (caché : Phobique)</t>
      </text>
    </comment>
    <comment ref="E1844" authorId="0" shapeId="0">
      <text>
        <t>TETARTE — Eau
PV 65 · Att 65 · Déf 65
Att.Spé 50 · Déf.Spé 50 · Vit 90
Total 385
Talents : Absorbe-Eau, Moiteur (caché :
  Glissade)</t>
      </text>
    </comment>
    <comment ref="E1845" authorId="0" shapeId="0">
      <text>
        <t>ROUCOOL — Normal / Vol
PV 40 · Att 45 · Déf 40
Att.Spé 35 · Déf.Spé 35 · Vit 56
Total 251
Talents : Regard Vif, Pieds Confus (caché :
  Cœur de Coq)</t>
      </text>
    </comment>
    <comment ref="E1846" authorId="0" shapeId="0">
      <text>
        <t>CHENIPAN — Insecte
PV 45 · Att 30 · Déf 35
Att.Spé 20 · Déf.Spé 20 · Vit 45
Total 195
Talents : Écran Poudre (caché : Fuite)</t>
      </text>
    </comment>
    <comment ref="E1847" authorId="0" shapeId="0">
      <text>
        <t>ROUCOUPS — Normal / Vol
PV 63 · Att 60 · Déf 55
Att.Spé 50 · Déf.Spé 50 · Vit 71
Total 349
Talents : Regard Vif, Pieds Confus (caché :
  Cœur de Coq)</t>
      </text>
    </comment>
    <comment ref="E1848" authorId="0" shapeId="0">
      <text>
        <t>CHETIFLOR — Plante / Poison
PV 50 · Att 75 · Déf 35
Att.Spé 70 · Déf.Spé 30 · Vit 40
Total 300
Talents : Chlorophylle (caché : Gloutonnerie)</t>
      </text>
    </comment>
    <comment ref="E1849" authorId="0" shapeId="0">
      <text>
        <t>CHRYSACIER — Insecte
PV 50 · Att 20 · Déf 55
Att.Spé 25 · Déf.Spé 25 · Vit 30
Total 205
Talents : Mue</t>
      </text>
    </comment>
    <comment ref="E1850" authorId="0" shapeId="0">
      <text>
        <t>PAPILUSION — Insecte / Vol
PV 60 · Att 45 · Déf 50
Att.Spé 90 · Déf.Spé 80 · Vit 70
Total 395
Talents : Œil Composé (caché : Lentiteintée)</t>
      </text>
    </comment>
    <comment ref="E1851" authorId="0" shapeId="0">
      <text>
        <t>TYLTON — Normal / Vol
PV 45 · Att 40 · Déf 60
Att.Spé 40 · Déf.Spé 75 · Vit 50
Total 310
Talents : Médic Nature (caché : Ciel Gris)</t>
      </text>
    </comment>
    <comment ref="E1852" authorId="0" shapeId="0">
      <text>
        <t>MYSTHERBE — Plante / Poison
PV 45 · Att 50 · Déf 55
Att.Spé 75 · Déf.Spé 65 · Vit 30
Total 320
Talents : Chlorophylle (caché : Fuite)</t>
      </text>
    </comment>
    <comment ref="E1853" authorId="0" shapeId="0">
      <text>
        <t>HOOTHOOT — Normal / Vol
PV 60 · Att 30 · Déf 30
Att.Spé 36 · Déf.Spé 56 · Vit 50
Total 262
Talents : Insomnia, Regard Vif (caché :
  Lentiteintée)</t>
      </text>
    </comment>
    <comment ref="E1854" authorId="0" shapeId="0">
      <text>
        <t>MIMITOSS — Insecte / Poison
PV 60 · Att 55 · Déf 50
Att.Spé 40 · Déf.Spé 55 · Vit 45
Total 305
Talents : Œil Composé, Lentiteintée (caché :
  Fuite)</t>
      </text>
    </comment>
    <comment ref="E1855" authorId="0" shapeId="0">
      <text>
        <t>NOARFANG — Normal / Vol
PV 100 · Att 50 · Déf 50
Att.Spé 86 · Déf.Spé 96 · Vit 70
Total 452
Talents : Insomnia, Regard Vif (caché :
  Lentiteintée)</t>
      </text>
    </comment>
    <comment ref="E1856" authorId="0" shapeId="0">
      <text>
        <t>TYLTON — Normal / Vol
PV 45 · Att 40 · Déf 60
Att.Spé 40 · Déf.Spé 75 · Vit 50
Total 310
Talents : Médic Nature (caché : Ciel Gris)</t>
      </text>
    </comment>
    <comment ref="E1857" authorId="0" shapeId="0">
      <text>
        <t>CHETIFLOR — Plante / Poison
PV 50 · Att 75 · Déf 35
Att.Spé 70 · Déf.Spé 30 · Vit 40
Total 300
Talents : Chlorophylle (caché : Gloutonnerie)</t>
      </text>
    </comment>
    <comment ref="E1858" authorId="0" shapeId="0">
      <text>
        <t>POISSIRENE — Eau
PV 45 · Att 67 · Déf 60
Att.Spé 35 · Déf.Spé 50 · Vit 63
Total 320
Talents : Glissade, Ignifu-Voile (caché :
  Paratonnerre)</t>
      </text>
    </comment>
    <comment ref="E1859" authorId="0" shapeId="0">
      <text>
        <t>POISSOROY — Eau
PV 80 · Att 92 · Déf 65
Att.Spé 65 · Déf.Spé 80 · Vit 68
Total 450
Talents : Glissade, Ignifu-Voile (caché :
  Paratonnerre)</t>
      </text>
    </comment>
    <comment ref="E1860" authorId="0" shapeId="0">
      <text>
        <t>POISSIRENE — Eau
PV 45 · Att 67 · Déf 60
Att.Spé 35 · Déf.Spé 50 · Vit 63
Total 320
Talents : Glissade, Ignifu-Voile (caché :
  Paratonnerre)</t>
      </text>
    </comment>
    <comment ref="E1861" authorId="0" shapeId="0">
      <text>
        <t>POISSOROY — Eau
PV 80 · Att 92 · Déf 65
Att.Spé 65 · Déf.Spé 80 · Vit 68
Total 450
Talents : Glissade, Ignifu-Voile (caché :
  Paratonnerre)</t>
      </text>
    </comment>
    <comment ref="E1862" authorId="0" shapeId="0">
      <text>
        <t>MAGICARPE — Eau
PV 20 · Att 10 · Déf 55
Att.Spé 15 · Déf.Spé 20 · Vit 80
Total 200
Talents : Glissade (caché : Phobique)</t>
      </text>
    </comment>
    <comment ref="E1863" authorId="0" shapeId="0">
      <text>
        <t>PTITARD — Eau
PV 40 · Att 50 · Déf 40
Att.Spé 40 · Déf.Spé 40 · Vit 90
Total 300
Talents : Absorbe-Eau, Moiteur (caché :
  Glissade)</t>
      </text>
    </comment>
    <comment ref="E1864" authorId="0" shapeId="0">
      <text>
        <t>MAGICARPE — Eau
PV 20 · Att 10 · Déf 55
Att.Spé 15 · Déf.Spé 20 · Vit 80
Total 200
Talents : Glissade (caché : Phobique)</t>
      </text>
    </comment>
    <comment ref="E1865" authorId="0" shapeId="0">
      <text>
        <t>PTITARD — Eau
PV 40 · Att 50 · Déf 40
Att.Spé 40 · Déf.Spé 40 · Vit 90
Total 300
Talents : Absorbe-Eau, Moiteur (caché :
  Glissade)</t>
      </text>
    </comment>
    <comment ref="E1866" authorId="0" shapeId="0">
      <text>
        <t>PTITARD — Eau
PV 40 · Att 50 · Déf 40
Att.Spé 40 · Déf.Spé 40 · Vit 90
Total 300
Talents : Absorbe-Eau, Moiteur (caché :
  Glissade)</t>
      </text>
    </comment>
    <comment ref="E1867" authorId="0" shapeId="0">
      <text>
        <t>LOVDISC — Eau
PV 43 · Att 30 · Déf 55
Att.Spé 40 · Déf.Spé 65 · Vit 97
Total 330
Talents : Glissade (caché : Hydratation)</t>
      </text>
    </comment>
    <comment ref="E1868" authorId="0" shapeId="0">
      <text>
        <t>MAGICARPE — Eau
PV 20 · Att 10 · Déf 55
Att.Spé 15 · Déf.Spé 20 · Vit 80
Total 200
Talents : Glissade (caché : Phobique)</t>
      </text>
    </comment>
    <comment ref="E1869" authorId="0" shapeId="0">
      <text>
        <t>PTITARD — Eau
PV 40 · Att 50 · Déf 40
Att.Spé 40 · Déf.Spé 40 · Vit 90
Total 300
Talents : Absorbe-Eau, Moiteur (caché :
  Glissade)</t>
      </text>
    </comment>
    <comment ref="E1870" authorId="0" shapeId="0">
      <text>
        <t>LOVDISC — Eau
PV 43 · Att 30 · Déf 55
Att.Spé 40 · Déf.Spé 65 · Vit 97
Total 330
Talents : Glissade (caché : Hydratation)</t>
      </text>
    </comment>
    <comment ref="E1871" authorId="0" shapeId="0">
      <text>
        <t>MAGICARPE — Eau
PV 20 · Att 10 · Déf 55
Att.Spé 15 · Déf.Spé 20 · Vit 80
Total 200
Talents : Glissade (caché : Phobique)</t>
      </text>
    </comment>
    <comment ref="E1872" authorId="0" shapeId="0">
      <text>
        <t>LOVDISC — Eau
PV 43 · Att 30 · Déf 55
Att.Spé 40 · Déf.Spé 65 · Vit 97
Total 330
Talents : Glissade (caché : Hydratation)</t>
      </text>
    </comment>
    <comment ref="E1873" authorId="0" shapeId="0">
      <text>
        <t>LOVDISC — Eau
PV 43 · Att 30 · Déf 55
Att.Spé 40 · Déf.Spé 65 · Vit 97
Total 330
Talents : Glissade (caché : Hydratation)</t>
      </text>
    </comment>
    <comment ref="E1874" authorId="0" shapeId="0">
      <text>
        <t>DODRIO — Normal / Vol
PV 60 · Att 110 · Déf 70
Att.Spé 60 · Déf.Spé 60 · Vit 110
Total 470
Talents : Fuite, Matinal (caché : Pieds
  Confus)</t>
      </text>
    </comment>
    <comment ref="E1875" authorId="0" shapeId="0">
      <text>
        <t>ARBOK — Poison
PV 60 · Att 95 · Déf 69
Att.Spé 65 · Déf.Spé 79 · Vit 80
Total 448
Talents : Intimidation, Mue (caché : Tension)</t>
      </text>
    </comment>
    <comment ref="E1876" authorId="0" shapeId="0">
      <text>
        <t>GALOPA — Feu
PV 65 · Att 100 · Déf 70
Att.Spé 80 · Déf.Spé 80 · Vit 105
Total 500
Talents : Fuite, Torche (caché : Corps Ardent)</t>
      </text>
    </comment>
    <comment ref="E1877" authorId="0" shapeId="0">
      <text>
        <t>PONYTA — Feu
PV 50 · Att 85 · Déf 55
Att.Spé 65 · Déf.Spé 65 · Vit 90
Total 410
Talents : Fuite, Torche (caché : Corps Ardent)</t>
      </text>
    </comment>
    <comment ref="E1878" authorId="0" shapeId="0">
      <text>
        <t>SALAMECHE — Feu
PV 39 · Att 52 · Déf 43
Att.Spé 60 · Déf.Spé 50 · Vit 65
Total 309
Talents : Brasier (caché : Force Soleil)</t>
      </text>
    </comment>
    <comment ref="E1879" authorId="0" shapeId="0">
      <text>
        <t>BULBIZARRE — Plante / Poison
PV 45 · Att 49 · Déf 49
Att.Spé 65 · Déf.Spé 65 · Vit 45
Total 318
Talents : Engrais (caché : Chlorophylle)</t>
      </text>
    </comment>
    <comment ref="E1880" authorId="0" shapeId="0">
      <text>
        <t>ARBOK — Poison
PV 60 · Att 95 · Déf 69
Att.Spé 65 · Déf.Spé 79 · Vit 80
Total 448
Talents : Intimidation, Mue (caché : Tension)</t>
      </text>
    </comment>
    <comment ref="E1881" authorId="0" shapeId="0">
      <text>
        <t>CORNEBRE — Ténèbres / Vol
PV 60 · Att 85 · Déf 42
Att.Spé 85 · Déf.Spé 42 · Vit 91
Total 405
Talents : Insomnia, Chanceux (caché : Farceur)</t>
      </text>
    </comment>
    <comment ref="E1882" authorId="0" shapeId="0">
      <text>
        <t>GALOPA — Feu
PV 65 · Att 100 · Déf 70
Att.Spé 80 · Déf.Spé 80 · Vit 105
Total 500
Talents : Fuite, Torche (caché : Corps Ardent)</t>
      </text>
    </comment>
    <comment ref="E1883" authorId="0" shapeId="0">
      <text>
        <t>PONYTA — Feu
PV 50 · Att 85 · Déf 55
Att.Spé 65 · Déf.Spé 65 · Vit 90
Total 410
Talents : Fuite, Torche (caché : Corps Ardent)</t>
      </text>
    </comment>
    <comment ref="E1884" authorId="0" shapeId="0">
      <text>
        <t>DODRIO — Normal / Vol
PV 60 · Att 110 · Déf 70
Att.Spé 60 · Déf.Spé 60 · Vit 110
Total 470
Talents : Fuite, Matinal (caché : Pieds
  Confus)</t>
      </text>
    </comment>
    <comment ref="E1885" authorId="0" shapeId="0">
      <text>
        <t>BULBIZARRE — Plante / Poison
PV 45 · Att 49 · Déf 49
Att.Spé 65 · Déf.Spé 65 · Vit 45
Total 318
Talents : Engrais (caché : Chlorophylle)</t>
      </text>
    </comment>
    <comment ref="E1886" authorId="0" shapeId="0">
      <text>
        <t>CARAPUCE — Eau
PV 44 · Att 48 · Déf 65
Att.Spé 50 · Déf.Spé 64 · Vit 43
Total 314
Talents : Torrent (caché : Cuvette)</t>
      </text>
    </comment>
    <comment ref="E1887" authorId="0" shapeId="0">
      <text>
        <t>TENTACOOL — Eau / Poison
PV 40 · Att 40 · Déf 35
Att.Spé 50 · Déf.Spé 100 · Vit 70
Total 335
Talents : Corps Sain, Suintement (caché :
  Cuvette)</t>
      </text>
    </comment>
    <comment ref="E1888" authorId="0" shapeId="0">
      <text>
        <t>TENTACRUEL — Eau / Poison
PV 80 · Att 70 · Déf 65
Att.Spé 80 · Déf.Spé 120 · Vit 100
Total 515
Talents : Corps Sain, Suintement (caché :
  Cuvette)</t>
      </text>
    </comment>
    <comment ref="E1889" authorId="0" shapeId="0">
      <text>
        <t>TENTACOOL — Eau / Poison
PV 40 · Att 40 · Déf 35
Att.Spé 50 · Déf.Spé 100 · Vit 70
Total 335
Talents : Corps Sain, Suintement (caché :
  Cuvette)</t>
      </text>
    </comment>
    <comment ref="E1890" authorId="0" shapeId="0">
      <text>
        <t>TENTACRUEL — Eau / Poison
PV 80 · Att 70 · Déf 65
Att.Spé 80 · Déf.Spé 120 · Vit 100
Total 515
Talents : Corps Sain, Suintement (caché :
  Cuvette)</t>
      </text>
    </comment>
    <comment ref="E1891" authorId="0" shapeId="0">
      <text>
        <t>POMDEPIK — Insecte
PV 50 · Att 65 · Déf 90
Att.Spé 35 · Déf.Spé 35 · Vit 15
Total 290
Talents : Fermeté (caché : Envelocape)</t>
      </text>
    </comment>
    <comment ref="E1892" authorId="0" shapeId="0">
      <text>
        <t>CAPUMAIN — Normal
PV 55 · Att 70 · Déf 55
Att.Spé 40 · Déf.Spé 55 · Vit 85
Total 360
Talents : Fuite, Ramassage (caché : Multi-
  Coups)</t>
      </text>
    </comment>
    <comment ref="E1893" authorId="0" shapeId="0">
      <text>
        <t>SCARHINO — Insecte / Combat
PV 80 · Att 125 · Déf 75
Att.Spé 40 · Déf.Spé 95 · Vit 85
Total 500
Talents : Essaim, Cran (caché : Impudence)</t>
      </text>
    </comment>
    <comment ref="E1894" authorId="0" shapeId="0">
      <text>
        <t>MAGICARPE — Eau
PV 20 · Att 10 · Déf 55
Att.Spé 15 · Déf.Spé 20 · Vit 80
Total 200
Talents : Glissade (caché : Phobique)</t>
      </text>
    </comment>
    <comment ref="E1895" authorId="0" shapeId="0">
      <text>
        <t>TENTACOOL — Eau / Poison
PV 40 · Att 40 · Déf 35
Att.Spé 50 · Déf.Spé 100 · Vit 70
Total 335
Talents : Corps Sain, Suintement (caché :
  Cuvette)</t>
      </text>
    </comment>
    <comment ref="E1896" authorId="0" shapeId="0">
      <text>
        <t>MAGICARPE — Eau
PV 20 · Att 10 · Déf 55
Att.Spé 15 · Déf.Spé 20 · Vit 80
Total 200
Talents : Glissade (caché : Phobique)</t>
      </text>
    </comment>
    <comment ref="E1897" authorId="0" shapeId="0">
      <text>
        <t>TENTACOOL — Eau / Poison
PV 40 · Att 40 · Déf 35
Att.Spé 50 · Déf.Spé 100 · Vit 70
Total 335
Talents : Corps Sain, Suintement (caché :
  Cuvette)</t>
      </text>
    </comment>
    <comment ref="E1898" authorId="0" shapeId="0">
      <text>
        <t>MAGICARPE — Eau
PV 20 · Att 10 · Déf 55
Att.Spé 15 · Déf.Spé 20 · Vit 80
Total 200
Talents : Glissade (caché : Phobique)</t>
      </text>
    </comment>
    <comment ref="E1899" authorId="0" shapeId="0">
      <text>
        <t>TENTACOOL — Eau / Poison
PV 40 · Att 40 · Déf 35
Att.Spé 50 · Déf.Spé 100 · Vit 70
Total 335
Talents : Corps Sain, Suintement (caché :
  Cuvette)</t>
      </text>
    </comment>
    <comment ref="E1900" authorId="0" shapeId="0">
      <text>
        <t>MAGICARPE — Eau
PV 20 · Att 10 · Déf 55
Att.Spé 15 · Déf.Spé 20 · Vit 80
Total 200
Talents : Glissade (caché : Phobique)</t>
      </text>
    </comment>
    <comment ref="E1901" authorId="0" shapeId="0">
      <text>
        <t>TENTACOOL — Eau / Poison
PV 40 · Att 40 · Déf 35
Att.Spé 50 · Déf.Spé 100 · Vit 70
Total 335
Talents : Corps Sain, Suintement (caché :
  Cuvette)</t>
      </text>
    </comment>
    <comment ref="E1902" authorId="0" shapeId="0">
      <text>
        <t>MAGICARPE — Eau
PV 20 · Att 10 · Déf 55
Att.Spé 15 · Déf.Spé 20 · Vit 80
Total 200
Talents : Glissade (caché : Phobique)</t>
      </text>
    </comment>
    <comment ref="E1903" authorId="0" shapeId="0">
      <text>
        <t>TENTACRUEL — Eau / Poison
PV 80 · Att 70 · Déf 65
Att.Spé 80 · Déf.Spé 120 · Vit 100
Total 515
Talents : Corps Sain, Suintement (caché :
  Cuvette)</t>
      </text>
    </comment>
    <comment ref="E1904" authorId="0" shapeId="0">
      <text>
        <t>TENTACOOL — Eau / Poison
PV 40 · Att 40 · Déf 35
Att.Spé 50 · Déf.Spé 100 · Vit 70
Total 335
Talents : Corps Sain, Suintement (caché :
  Cuvette)</t>
      </text>
    </comment>
    <comment ref="E1905" authorId="0" shapeId="0">
      <text>
        <t>MAGICARPE — Eau
PV 20 · Att 10 · Déf 55
Att.Spé 15 · Déf.Spé 20 · Vit 80
Total 200
Talents : Glissade (caché : Phobique)</t>
      </text>
    </comment>
    <comment ref="E1906" authorId="0" shapeId="0">
      <text>
        <t>TENTACRUEL — Eau / Poison
PV 80 · Att 70 · Déf 65
Att.Spé 80 · Déf.Spé 120 · Vit 100
Total 515
Talents : Corps Sain, Suintement (caché :
  Cuvette)</t>
      </text>
    </comment>
    <comment ref="E1907" authorId="0" shapeId="0">
      <text>
        <t>TENTACOOL — Eau / Poison
PV 40 · Att 40 · Déf 35
Att.Spé 50 · Déf.Spé 100 · Vit 70
Total 335
Talents : Corps Sain, Suintement (caché :
  Cuvette)</t>
      </text>
    </comment>
    <comment ref="E1908" authorId="0" shapeId="0">
      <text>
        <t>DODRIO — Normal / Vol
PV 60 · Att 110 · Déf 70
Att.Spé 60 · Déf.Spé 60 · Vit 110
Total 470
Talents : Fuite, Matinal (caché : Pieds
  Confus)</t>
      </text>
    </comment>
    <comment ref="E1909" authorId="0" shapeId="0">
      <text>
        <t>ARBOK — Poison
PV 60 · Att 95 · Déf 69
Att.Spé 65 · Déf.Spé 79 · Vit 80
Total 448
Talents : Intimidation, Mue (caché : Tension)</t>
      </text>
    </comment>
    <comment ref="E1910" authorId="0" shapeId="0">
      <text>
        <t>GALOPA — Feu
PV 65 · Att 100 · Déf 70
Att.Spé 80 · Déf.Spé 80 · Vit 105
Total 500
Talents : Fuite, Torche (caché : Corps Ardent)</t>
      </text>
    </comment>
    <comment ref="E1911" authorId="0" shapeId="0">
      <text>
        <t>PONYTA — Feu
PV 50 · Att 85 · Déf 55
Att.Spé 65 · Déf.Spé 65 · Vit 90
Total 410
Talents : Fuite, Torche (caché : Corps Ardent)</t>
      </text>
    </comment>
    <comment ref="E1912" authorId="0" shapeId="0">
      <text>
        <t>HERICENDRE — Feu
PV 39 · Att 52 · Déf 43
Att.Spé 60 · Déf.Spé 50 · Vit 65
Total 309
Talents : Brasier (caché : Torche)</t>
      </text>
    </comment>
    <comment ref="E1913" authorId="0" shapeId="0">
      <text>
        <t>GERMIGNON — Plante
PV 45 · Att 49 · Déf 65
Att.Spé 49 · Déf.Spé 65 · Vit 45
Total 318
Talents : Engrais (caché : Feuille Garde)</t>
      </text>
    </comment>
    <comment ref="E1914" authorId="0" shapeId="0">
      <text>
        <t>ARBOK — Poison
PV 60 · Att 95 · Déf 69
Att.Spé 65 · Déf.Spé 79 · Vit 80
Total 448
Talents : Intimidation, Mue (caché : Tension)</t>
      </text>
    </comment>
    <comment ref="E1915" authorId="0" shapeId="0">
      <text>
        <t>CORNEBRE — Ténèbres / Vol
PV 60 · Att 85 · Déf 42
Att.Spé 85 · Déf.Spé 42 · Vit 91
Total 405
Talents : Insomnia, Chanceux (caché : Farceur)</t>
      </text>
    </comment>
    <comment ref="E1916" authorId="0" shapeId="0">
      <text>
        <t>GALOPA — Feu
PV 65 · Att 100 · Déf 70
Att.Spé 80 · Déf.Spé 80 · Vit 105
Total 500
Talents : Fuite, Torche (caché : Corps Ardent)</t>
      </text>
    </comment>
    <comment ref="E1917" authorId="0" shapeId="0">
      <text>
        <t>PONYTA — Feu
PV 50 · Att 85 · Déf 55
Att.Spé 65 · Déf.Spé 65 · Vit 90
Total 410
Talents : Fuite, Torche (caché : Corps Ardent)</t>
      </text>
    </comment>
    <comment ref="E1918" authorId="0" shapeId="0">
      <text>
        <t>KAIMINUS — Eau
PV 50 · Att 65 · Déf 64
Att.Spé 44 · Déf.Spé 48 · Vit 43
Total 314
Talents : Torrent (caché : Sans Limite)</t>
      </text>
    </comment>
    <comment ref="E1919" authorId="0" shapeId="0">
      <text>
        <t>DODRIO — Normal / Vol
PV 60 · Att 110 · Déf 70
Att.Spé 60 · Déf.Spé 60 · Vit 110
Total 470
Talents : Fuite, Matinal (caché : Pieds
  Confus)</t>
      </text>
    </comment>
    <comment ref="E1920" authorId="0" shapeId="0">
      <text>
        <t>GERMIGNON — Plante
PV 45 · Att 49 · Déf 65
Att.Spé 49 · Déf.Spé 65 · Vit 45
Total 318
Talents : Engrais (caché : Feuille Garde)</t>
      </text>
    </comment>
    <comment ref="E1921" authorId="0" shapeId="0">
      <text>
        <t>TENTACOOL — Eau / Poison
PV 40 · Att 40 · Déf 35
Att.Spé 50 · Déf.Spé 100 · Vit 70
Total 335
Talents : Corps Sain, Suintement (caché :
  Cuvette)</t>
      </text>
    </comment>
    <comment ref="E1922" authorId="0" shapeId="0">
      <text>
        <t>TENTACRUEL — Eau / Poison
PV 80 · Att 70 · Déf 65
Att.Spé 80 · Déf.Spé 120 · Vit 100
Total 515
Talents : Corps Sain, Suintement (caché :
  Cuvette)</t>
      </text>
    </comment>
    <comment ref="E1923" authorId="0" shapeId="0">
      <text>
        <t>TENTACOOL — Eau / Poison
PV 40 · Att 40 · Déf 35
Att.Spé 50 · Déf.Spé 100 · Vit 70
Total 335
Talents : Corps Sain, Suintement (caché :
  Cuvette)</t>
      </text>
    </comment>
    <comment ref="E1924" authorId="0" shapeId="0">
      <text>
        <t>TENTACRUEL — Eau / Poison
PV 80 · Att 70 · Déf 65
Att.Spé 80 · Déf.Spé 120 · Vit 100
Total 515
Talents : Corps Sain, Suintement (caché :
  Cuvette)</t>
      </text>
    </comment>
    <comment ref="E1925" authorId="0" shapeId="0">
      <text>
        <t>POMDEPIK — Insecte
PV 50 · Att 65 · Déf 90
Att.Spé 35 · Déf.Spé 35 · Vit 15
Total 290
Talents : Fermeté (caché : Envelocape)</t>
      </text>
    </comment>
    <comment ref="E1926" authorId="0" shapeId="0">
      <text>
        <t>NOEUNOEUF — Plante / Psy
PV 60 · Att 40 · Déf 80
Att.Spé 60 · Déf.Spé 45 · Vit 40
Total 325
Talents : Chlorophylle (caché : Récolte)</t>
      </text>
    </comment>
    <comment ref="E1927" authorId="0" shapeId="0">
      <text>
        <t>ABO — Poison
PV 35 · Att 60 · Déf 44
Att.Spé 40 · Déf.Spé 54 · Vit 55
Total 288
Talents : Intimidation, Mue (caché : Tension)</t>
      </text>
    </comment>
    <comment ref="E1928" authorId="0" shapeId="0">
      <text>
        <t>POMDEPIK — Insecte
PV 50 · Att 65 · Déf 90
Att.Spé 35 · Déf.Spé 35 · Vit 15
Total 290
Talents : Fermeté (caché : Envelocape)</t>
      </text>
    </comment>
    <comment ref="E1929" authorId="0" shapeId="0">
      <text>
        <t>NOEUNOEUF — Plante / Psy
PV 60 · Att 40 · Déf 80
Att.Spé 60 · Déf.Spé 45 · Vit 40
Total 325
Talents : Chlorophylle (caché : Récolte)</t>
      </text>
    </comment>
    <comment ref="E1930" authorId="0" shapeId="0">
      <text>
        <t>ABO — Poison
PV 35 · Att 60 · Déf 44
Att.Spé 40 · Déf.Spé 54 · Vit 55
Total 288
Talents : Intimidation, Mue (caché : Tension)</t>
      </text>
    </comment>
    <comment ref="E1931" authorId="0" shapeId="0">
      <text>
        <t>MAGICARPE — Eau
PV 20 · Att 10 · Déf 55
Att.Spé 15 · Déf.Spé 20 · Vit 80
Total 200
Talents : Glissade (caché : Phobique)</t>
      </text>
    </comment>
    <comment ref="E1932" authorId="0" shapeId="0">
      <text>
        <t>TENTACOOL — Eau / Poison
PV 40 · Att 40 · Déf 35
Att.Spé 50 · Déf.Spé 100 · Vit 70
Total 335
Talents : Corps Sain, Suintement (caché :
  Cuvette)</t>
      </text>
    </comment>
    <comment ref="E1933" authorId="0" shapeId="0">
      <text>
        <t>MAGICARPE — Eau
PV 20 · Att 10 · Déf 55
Att.Spé 15 · Déf.Spé 20 · Vit 80
Total 200
Talents : Glissade (caché : Phobique)</t>
      </text>
    </comment>
    <comment ref="E1934" authorId="0" shapeId="0">
      <text>
        <t>TENTACOOL — Eau / Poison
PV 40 · Att 40 · Déf 35
Att.Spé 50 · Déf.Spé 100 · Vit 70
Total 335
Talents : Corps Sain, Suintement (caché :
  Cuvette)</t>
      </text>
    </comment>
    <comment ref="E1935" authorId="0" shapeId="0">
      <text>
        <t>MAGICARPE — Eau
PV 20 · Att 10 · Déf 55
Att.Spé 15 · Déf.Spé 20 · Vit 80
Total 200
Talents : Glissade (caché : Phobique)</t>
      </text>
    </comment>
    <comment ref="E1936" authorId="0" shapeId="0">
      <text>
        <t>TENTACOOL — Eau / Poison
PV 40 · Att 40 · Déf 35
Att.Spé 50 · Déf.Spé 100 · Vit 70
Total 335
Talents : Corps Sain, Suintement (caché :
  Cuvette)</t>
      </text>
    </comment>
    <comment ref="E1937" authorId="0" shapeId="0">
      <text>
        <t>MAGICARPE — Eau
PV 20 · Att 10 · Déf 55
Att.Spé 15 · Déf.Spé 20 · Vit 80
Total 200
Talents : Glissade (caché : Phobique)</t>
      </text>
    </comment>
    <comment ref="E1938" authorId="0" shapeId="0">
      <text>
        <t>TENTACOOL — Eau / Poison
PV 40 · Att 40 · Déf 35
Att.Spé 50 · Déf.Spé 100 · Vit 70
Total 335
Talents : Corps Sain, Suintement (caché :
  Cuvette)</t>
      </text>
    </comment>
    <comment ref="E1939" authorId="0" shapeId="0">
      <text>
        <t>MAGICARPE — Eau
PV 20 · Att 10 · Déf 55
Att.Spé 15 · Déf.Spé 20 · Vit 80
Total 200
Talents : Glissade (caché : Phobique)</t>
      </text>
    </comment>
    <comment ref="E1940" authorId="0" shapeId="0">
      <text>
        <t>TENTACRUEL — Eau / Poison
PV 80 · Att 70 · Déf 65
Att.Spé 80 · Déf.Spé 120 · Vit 100
Total 515
Talents : Corps Sain, Suintement (caché :
  Cuvette)</t>
      </text>
    </comment>
    <comment ref="E1941" authorId="0" shapeId="0">
      <text>
        <t>TENTACOOL — Eau / Poison
PV 40 · Att 40 · Déf 35
Att.Spé 50 · Déf.Spé 100 · Vit 70
Total 335
Talents : Corps Sain, Suintement (caché :
  Cuvette)</t>
      </text>
    </comment>
    <comment ref="E1942" authorId="0" shapeId="0">
      <text>
        <t>MAGICARPE — Eau
PV 20 · Att 10 · Déf 55
Att.Spé 15 · Déf.Spé 20 · Vit 80
Total 200
Talents : Glissade (caché : Phobique)</t>
      </text>
    </comment>
    <comment ref="E1943" authorId="0" shapeId="0">
      <text>
        <t>TENTACRUEL — Eau / Poison
PV 80 · Att 70 · Déf 65
Att.Spé 80 · Déf.Spé 120 · Vit 100
Total 515
Talents : Corps Sain, Suintement (caché :
  Cuvette)</t>
      </text>
    </comment>
    <comment ref="E1944" authorId="0" shapeId="0">
      <text>
        <t>TENTACOOL — Eau / Poison
PV 40 · Att 40 · Déf 35
Att.Spé 50 · Déf.Spé 100 · Vit 70
Total 335
Talents : Corps Sain, Suintement (caché :
  Cuvette)</t>
      </text>
    </comment>
    <comment ref="E1945" authorId="0" shapeId="0">
      <text>
        <t>PONYTA — Feu
PV 50 · Att 85 · Déf 55
Att.Spé 65 · Déf.Spé 65 · Vit 90
Total 410
Talents : Fuite, Torche (caché : Corps Ardent)</t>
      </text>
    </comment>
    <comment ref="E1946" authorId="0" shapeId="0">
      <text>
        <t>SAQUEDENEU — Plante
PV 65 · Att 55 · Déf 115
Att.Spé 100 · Déf.Spé 40 · Vit 60
Total 435
Talents : Chlorophylle, Feuille Garde (caché :
  Régé-Force)</t>
      </text>
    </comment>
    <comment ref="E1947" authorId="0" shapeId="0">
      <text>
        <t>GALOPA — Feu
PV 65 · Att 100 · Déf 70
Att.Spé 80 · Déf.Spé 80 · Vit 105
Total 500
Talents : Fuite, Torche (caché : Corps Ardent)</t>
      </text>
    </comment>
    <comment ref="E1948" authorId="0" shapeId="0">
      <text>
        <t>ARBOK — Poison
PV 60 · Att 95 · Déf 69
Att.Spé 65 · Déf.Spé 79 · Vit 80
Total 448
Talents : Intimidation, Mue (caché : Tension)</t>
      </text>
    </comment>
    <comment ref="E1949" authorId="0" shapeId="0">
      <text>
        <t>DODUO — Normal / Vol
PV 35 · Att 85 · Déf 45
Att.Spé 35 · Déf.Spé 35 · Vit 75
Total 310
Talents : Fuite, Matinal (caché : Pieds
  Confus)</t>
      </text>
    </comment>
    <comment ref="E1950" authorId="0" shapeId="0">
      <text>
        <t>DODRIO — Normal / Vol
PV 60 · Att 110 · Déf 70
Att.Spé 60 · Déf.Spé 60 · Vit 110
Total 470
Talents : Fuite, Matinal (caché : Pieds
  Confus)</t>
      </text>
    </comment>
    <comment ref="E1951" authorId="0" shapeId="0">
      <text>
        <t>TETARTE — Eau
PV 65 · Att 65 · Déf 65
Att.Spé 50 · Déf.Spé 50 · Vit 90
Total 385
Talents : Absorbe-Eau, Moiteur (caché :
  Glissade)</t>
      </text>
    </comment>
    <comment ref="E1952" authorId="0" shapeId="0">
      <text>
        <t>SAQUEDENEU — Plante
PV 65 · Att 55 · Déf 115
Att.Spé 100 · Déf.Spé 40 · Vit 60
Total 435
Talents : Chlorophylle, Feuille Garde (caché :
  Régé-Force)</t>
      </text>
    </comment>
    <comment ref="E1953" authorId="0" shapeId="0">
      <text>
        <t>NOSFERALTO — Poison / Vol
PV 75 · Att 80 · Déf 70
Att.Spé 65 · Déf.Spé 75 · Vit 90
Total 455
Talents : Attention (caché : Infiltration)</t>
      </text>
    </comment>
    <comment ref="E1954" authorId="0" shapeId="0">
      <text>
        <t>PTITARD — Eau
PV 40 · Att 50 · Déf 40
Att.Spé 40 · Déf.Spé 40 · Vit 90
Total 300
Talents : Absorbe-Eau, Moiteur (caché :
  Glissade)</t>
      </text>
    </comment>
    <comment ref="E1955" authorId="0" shapeId="0">
      <text>
        <t>TETARTE — Eau
PV 65 · Att 65 · Déf 65
Att.Spé 50 · Déf.Spé 50 · Vit 90
Total 385
Talents : Absorbe-Eau, Moiteur (caché :
  Glissade)</t>
      </text>
    </comment>
    <comment ref="E1956" authorId="0" shapeId="0">
      <text>
        <t>PTITARD — Eau
PV 40 · Att 50 · Déf 40
Att.Spé 40 · Déf.Spé 40 · Vit 90
Total 300
Talents : Absorbe-Eau, Moiteur (caché :
  Glissade)</t>
      </text>
    </comment>
    <comment ref="E1957" authorId="0" shapeId="0">
      <text>
        <t>TETARTE — Eau
PV 65 · Att 65 · Déf 65
Att.Spé 50 · Déf.Spé 50 · Vit 90
Total 385
Talents : Absorbe-Eau, Moiteur (caché :
  Glissade)</t>
      </text>
    </comment>
    <comment ref="E1958" authorId="0" shapeId="0">
      <text>
        <t>FORETRESS — Insecte / Acier
PV 75 · Att 90 · Déf 140
Att.Spé 60 · Déf.Spé 60 · Vit 40
Total 465
Talents : Fermeté (caché : Envelocape)</t>
      </text>
    </comment>
    <comment ref="E1959" authorId="0" shapeId="0">
      <text>
        <t>CAPIDEXTRE — Normal
PV 75 · Att 100 · Déf 66
Att.Spé 60 · Déf.Spé 66 · Vit 115
Total 482
Talents : Technicien, Ramassage (caché :
  Multi-Coups)</t>
      </text>
    </comment>
    <comment ref="E1960" authorId="0" shapeId="0">
      <text>
        <t>INSECATEUR — Insecte / Vol
PV 70 · Att 110 · Déf 80
Att.Spé 55 · Déf.Spé 80 · Vit 105
Total 500
Talents : Essaim, Technicien (caché :
  Impassible)</t>
      </text>
    </comment>
    <comment ref="E1961" authorId="0" shapeId="0">
      <text>
        <t>SCARHINO — Insecte / Combat
PV 80 · Att 125 · Déf 75
Att.Spé 40 · Déf.Spé 95 · Vit 85
Total 500
Talents : Essaim, Cran (caché : Impudence)</t>
      </text>
    </comment>
    <comment ref="E1962" authorId="0" shapeId="0">
      <text>
        <t>FORETRESS — Insecte / Acier
PV 75 · Att 90 · Déf 140
Att.Spé 60 · Déf.Spé 60 · Vit 40
Total 465
Talents : Fermeté (caché : Envelocape)</t>
      </text>
    </comment>
    <comment ref="E1963" authorId="0" shapeId="0">
      <text>
        <t>CAPIDEXTRE — Normal
PV 75 · Att 100 · Déf 66
Att.Spé 60 · Déf.Spé 66 · Vit 115
Total 482
Talents : Technicien, Ramassage (caché :
  Multi-Coups)</t>
      </text>
    </comment>
    <comment ref="E1964" authorId="0" shapeId="0">
      <text>
        <t>INSECATEUR — Insecte / Vol
PV 70 · Att 110 · Déf 80
Att.Spé 55 · Déf.Spé 80 · Vit 105
Total 500
Talents : Essaim, Technicien (caché :
  Impassible)</t>
      </text>
    </comment>
    <comment ref="E1965" authorId="0" shapeId="0">
      <text>
        <t>SCARHINO — Insecte / Combat
PV 80 · Att 125 · Déf 75
Att.Spé 40 · Déf.Spé 95 · Vit 85
Total 500
Talents : Essaim, Cran (caché : Impudence)</t>
      </text>
    </comment>
    <comment ref="E1966" authorId="0" shapeId="0">
      <text>
        <t>MAGICARPE — Eau
PV 20 · Att 10 · Déf 55
Att.Spé 15 · Déf.Spé 20 · Vit 80
Total 200
Talents : Glissade (caché : Phobique)</t>
      </text>
    </comment>
    <comment ref="E1967" authorId="0" shapeId="0">
      <text>
        <t>PTITARD — Eau
PV 40 · Att 50 · Déf 40
Att.Spé 40 · Déf.Spé 40 · Vit 90
Total 300
Talents : Absorbe-Eau, Moiteur (caché :
  Glissade)</t>
      </text>
    </comment>
    <comment ref="E1968" authorId="0" shapeId="0">
      <text>
        <t>MAGICARPE — Eau
PV 20 · Att 10 · Déf 55
Att.Spé 15 · Déf.Spé 20 · Vit 80
Total 200
Talents : Glissade (caché : Phobique)</t>
      </text>
    </comment>
    <comment ref="E1969" authorId="0" shapeId="0">
      <text>
        <t>PTITARD — Eau
PV 40 · Att 50 · Déf 40
Att.Spé 40 · Déf.Spé 40 · Vit 90
Total 300
Talents : Absorbe-Eau, Moiteur (caché :
  Glissade)</t>
      </text>
    </comment>
    <comment ref="E1970" authorId="0" shapeId="0">
      <text>
        <t>PTITARD — Eau
PV 40 · Att 50 · Déf 40
Att.Spé 40 · Déf.Spé 40 · Vit 90
Total 300
Talents : Absorbe-Eau, Moiteur (caché :
  Glissade)</t>
      </text>
    </comment>
    <comment ref="E1971" authorId="0" shapeId="0">
      <text>
        <t>MAGICARPE — Eau
PV 20 · Att 10 · Déf 55
Att.Spé 15 · Déf.Spé 20 · Vit 80
Total 200
Talents : Glissade (caché : Phobique)</t>
      </text>
    </comment>
    <comment ref="E1972" authorId="0" shapeId="0">
      <text>
        <t>PTITARD — Eau
PV 40 · Att 50 · Déf 40
Att.Spé 40 · Déf.Spé 40 · Vit 90
Total 300
Talents : Absorbe-Eau, Moiteur (caché :
  Glissade)</t>
      </text>
    </comment>
    <comment ref="E1973" authorId="0" shapeId="0">
      <text>
        <t>MAGICARPE — Eau
PV 20 · Att 10 · Déf 55
Att.Spé 15 · Déf.Spé 20 · Vit 80
Total 200
Talents : Glissade (caché : Phobique)</t>
      </text>
    </comment>
    <comment ref="E1974" authorId="0" shapeId="0">
      <text>
        <t>PTITARD — Eau
PV 40 · Att 50 · Déf 40
Att.Spé 40 · Déf.Spé 40 · Vit 90
Total 300
Talents : Absorbe-Eau, Moiteur (caché :
  Glissade)</t>
      </text>
    </comment>
    <comment ref="E1975" authorId="0" shapeId="0">
      <text>
        <t>MAGICARPE — Eau
PV 20 · Att 10 · Déf 55
Att.Spé 15 · Déf.Spé 20 · Vit 80
Total 200
Talents : Glissade (caché : Phobique)</t>
      </text>
    </comment>
    <comment ref="E1976" authorId="0" shapeId="0">
      <text>
        <t>TETARTE — Eau
PV 65 · Att 65 · Déf 65
Att.Spé 50 · Déf.Spé 50 · Vit 90
Total 385
Talents : Absorbe-Eau, Moiteur (caché :
  Glissade)</t>
      </text>
    </comment>
    <comment ref="E1977" authorId="0" shapeId="0">
      <text>
        <t>PTITARD — Eau
PV 40 · Att 50 · Déf 40
Att.Spé 40 · Déf.Spé 40 · Vit 90
Total 300
Talents : Absorbe-Eau, Moiteur (caché :
  Glissade)</t>
      </text>
    </comment>
    <comment ref="E1978" authorId="0" shapeId="0">
      <text>
        <t>MAGICARPE — Eau
PV 20 · Att 10 · Déf 55
Att.Spé 15 · Déf.Spé 20 · Vit 80
Total 200
Talents : Glissade (caché : Phobique)</t>
      </text>
    </comment>
    <comment ref="E1979" authorId="0" shapeId="0">
      <text>
        <t>TETARTE — Eau
PV 65 · Att 65 · Déf 65
Att.Spé 50 · Déf.Spé 50 · Vit 90
Total 385
Talents : Absorbe-Eau, Moiteur (caché :
  Glissade)</t>
      </text>
    </comment>
    <comment ref="E1980" authorId="0" shapeId="0">
      <text>
        <t>ROUCOOL — Normal / Vol
PV 40 · Att 45 · Déf 40
Att.Spé 35 · Déf.Spé 35 · Vit 56
Total 251
Talents : Regard Vif, Pieds Confus (caché :
  Cœur de Coq)</t>
      </text>
    </comment>
    <comment ref="E1981" authorId="0" shapeId="0">
      <text>
        <t>FOUINETTE — Normal
PV 35 · Att 46 · Déf 34
Att.Spé 35 · Déf.Spé 45 · Vit 20
Total 215
Talents : Fuite, Regard Vif (caché : Fouille)</t>
      </text>
    </comment>
    <comment ref="E1982" authorId="0" shapeId="0">
      <text>
        <t>GRANIVOL — Plante / Vol
PV 35 · Att 35 · Déf 40
Att.Spé 35 · Déf.Spé 55 · Vit 50
Total 250
Talents : Chlorophylle, Feuille Garde (caché :
  Infiltration)</t>
      </text>
    </comment>
    <comment ref="E1983" authorId="0" shapeId="0">
      <text>
        <t>RATTATA — Normal
PV 30 · Att 56 · Déf 35
Att.Spé 25 · Déf.Spé 35 · Vit 72
Total 253
Talents : Fuite, Cran (caché : Agitation)</t>
      </text>
    </comment>
    <comment ref="E1984" authorId="0" shapeId="0">
      <text>
        <t>HOOTHOOT — Normal / Vol
PV 60 · Att 30 · Déf 30
Att.Spé 36 · Déf.Spé 56 · Vit 50
Total 262
Talents : Insomnia, Regard Vif (caché :
  Lentiteintée)</t>
      </text>
    </comment>
    <comment ref="E1985" authorId="0" shapeId="0">
      <text>
        <t>HOOTHOOT — Normal / Vol
PV 60 · Att 30 · Déf 30
Att.Spé 36 · Déf.Spé 56 · Vit 50
Total 262
Talents : Insomnia, Regard Vif (caché :
  Lentiteintée)</t>
      </text>
    </comment>
    <comment ref="E1986" authorId="0" shapeId="0">
      <text>
        <t>RATTATA — Normal
PV 30 · Att 56 · Déf 35
Att.Spé 25 · Déf.Spé 35 · Vit 72
Total 253
Talents : Fuite, Cran (caché : Agitation)</t>
      </text>
    </comment>
    <comment ref="E1987" authorId="0" shapeId="0">
      <text>
        <t>POMDEPIK — Insecte
PV 50 · Att 65 · Déf 90
Att.Spé 35 · Déf.Spé 35 · Vit 15
Total 290
Talents : Fermeté (caché : Envelocape)</t>
      </text>
    </comment>
    <comment ref="E1988" authorId="0" shapeId="0">
      <text>
        <t>NOEUNOEUF — Plante / Psy
PV 60 · Att 40 · Déf 80
Att.Spé 60 · Déf.Spé 45 · Vit 40
Total 325
Talents : Chlorophylle (caché : Récolte)</t>
      </text>
    </comment>
    <comment ref="E1989" authorId="0" shapeId="0">
      <text>
        <t>COXY — Insecte / Vol
PV 40 · Att 20 · Déf 30
Att.Spé 40 · Déf.Spé 80 · Vit 55
Total 265
Talents : Essaim, Matinal (caché : Phobique)</t>
      </text>
    </comment>
    <comment ref="E1990" authorId="0" shapeId="0">
      <text>
        <t>MIMIGAL — Insecte / Poison
PV 40 · Att 60 · Déf 40
Att.Spé 40 · Déf.Spé 40 · Vit 30
Total 250
Talents : Essaim, Insomnia (caché : Sniper)</t>
      </text>
    </comment>
    <comment ref="E1991" authorId="0" shapeId="0">
      <text>
        <t>POMDEPIK — Insecte
PV 50 · Att 65 · Déf 90
Att.Spé 35 · Déf.Spé 35 · Vit 15
Total 290
Talents : Fermeté (caché : Envelocape)</t>
      </text>
    </comment>
    <comment ref="E1992" authorId="0" shapeId="0">
      <text>
        <t>NOEUNOEUF — Plante / Psy
PV 60 · Att 40 · Déf 80
Att.Spé 60 · Déf.Spé 45 · Vit 40
Total 325
Talents : Chlorophylle (caché : Récolte)</t>
      </text>
    </comment>
    <comment ref="E1993" authorId="0" shapeId="0">
      <text>
        <t>COXY — Insecte / Vol
PV 40 · Att 20 · Déf 30
Att.Spé 40 · Déf.Spé 80 · Vit 55
Total 265
Talents : Essaim, Matinal (caché : Phobique)</t>
      </text>
    </comment>
    <comment ref="E1994" authorId="0" shapeId="0">
      <text>
        <t>MIMIGAL — Insecte / Poison
PV 40 · Att 60 · Déf 40
Att.Spé 40 · Déf.Spé 40 · Vit 30
Total 250
Talents : Essaim, Insomnia (caché : Sniper)</t>
      </text>
    </comment>
    <comment ref="E1995" authorId="0" shapeId="0">
      <text>
        <t>RATTATA — Normal
PV 30 · Att 56 · Déf 35
Att.Spé 25 · Déf.Spé 35 · Vit 72
Total 253
Talents : Fuite, Cran (caché : Agitation)</t>
      </text>
    </comment>
    <comment ref="E1996" authorId="0" shapeId="0">
      <text>
        <t>RONDOUDOU
PV 115 · Att 45 · Déf 20
Att.Spé 45 · Déf.Spé 25 · Vit 20
Total 270
Talents : Joli Sourire, Battant (caché :
  Garde-Ami)</t>
      </text>
    </comment>
    <comment ref="E1997" authorId="0" shapeId="0">
      <text>
        <t>PIAFABEC — Normal / Vol
PV 40 · Att 60 · Déf 30
Att.Spé 31 · Déf.Spé 31 · Vit 70
Total 262
Talents : Regard Vif (caché : Sniper)</t>
      </text>
    </comment>
    <comment ref="E1998" authorId="0" shapeId="0">
      <text>
        <t>SABELETTE — Sol
PV 50 · Att 75 · Déf 85
Att.Spé 20 · Déf.Spé 30 · Vit 40
Total 300
Talents : Voile Sable (caché : Baigne Sable)</t>
      </text>
    </comment>
    <comment ref="E1999" authorId="0" shapeId="0">
      <text>
        <t>ARBOK — Poison
PV 60 · Att 95 · Déf 69
Att.Spé 65 · Déf.Spé 79 · Vit 80
Total 448
Talents : Intimidation, Mue (caché : Tension)</t>
      </text>
    </comment>
    <comment ref="E2000" authorId="0" shapeId="0">
      <text>
        <t>SKITTY — Normal
PV 50 · Att 45 · Déf 45
Att.Spé 35 · Déf.Spé 35 · Vit 50
Total 260
Talents : Joli Sourire, Normalise (caché :
  Peau Miracle)</t>
      </text>
    </comment>
    <comment ref="E2001" authorId="0" shapeId="0">
      <text>
        <t>RATTATAC — Normal
PV 55 · Att 81 · Déf 60
Att.Spé 50 · Déf.Spé 70 · Vit 97
Total 413
Talents : Fuite, Cran (caché : Agitation)</t>
      </text>
    </comment>
    <comment ref="E2002" authorId="0" shapeId="0">
      <text>
        <t>RATTATA — Normal
PV 30 · Att 56 · Déf 35
Att.Spé 25 · Déf.Spé 35 · Vit 72
Total 253
Talents : Fuite, Cran (caché : Agitation)</t>
      </text>
    </comment>
    <comment ref="E2003" authorId="0" shapeId="0">
      <text>
        <t>RATTATAC — Normal
PV 55 · Att 81 · Déf 60
Att.Spé 50 · Déf.Spé 70 · Vit 97
Total 413
Talents : Fuite, Cran (caché : Agitation)</t>
      </text>
    </comment>
    <comment ref="E2004" authorId="0" shapeId="0">
      <text>
        <t>NOSFERAPTI — Poison / Vol
PV 40 · Att 45 · Déf 35
Att.Spé 30 · Déf.Spé 40 · Vit 55
Total 245
Talents : Attention (caché : Infiltration)</t>
      </text>
    </comment>
    <comment ref="E2005" authorId="0" shapeId="0">
      <text>
        <t>MELOFEE
PV 70 · Att 45 · Déf 48
Att.Spé 60 · Déf.Spé 65 · Vit 35
Total 323
Talents : Joli Sourire, Garde Magik (caché :
  Garde-Ami)</t>
      </text>
    </comment>
    <comment ref="E2006" authorId="0" shapeId="0">
      <text>
        <t>NINGALE — Insecte / Sol
PV 31 · Att 45 · Déf 90
Att.Spé 30 · Déf.Spé 30 · Vit 40
Total 266
Talents : Œil Composé (caché : Fuite)</t>
      </text>
    </comment>
    <comment ref="E2007" authorId="0" shapeId="0">
      <text>
        <t>POMDEPIK — Insecte
PV 50 · Att 65 · Déf 90
Att.Spé 35 · Déf.Spé 35 · Vit 15
Total 290
Talents : Fermeté (caché : Envelocape)</t>
      </text>
    </comment>
    <comment ref="E2008" authorId="0" shapeId="0">
      <text>
        <t>NOEUNOEUF — Plante / Psy
PV 60 · Att 40 · Déf 80
Att.Spé 60 · Déf.Spé 45 · Vit 40
Total 325
Talents : Chlorophylle (caché : Récolte)</t>
      </text>
    </comment>
    <comment ref="E2009" authorId="0" shapeId="0">
      <text>
        <t>COXY — Insecte / Vol
PV 40 · Att 20 · Déf 30
Att.Spé 40 · Déf.Spé 80 · Vit 55
Total 265
Talents : Essaim, Matinal (caché : Phobique)</t>
      </text>
    </comment>
    <comment ref="E2010" authorId="0" shapeId="0">
      <text>
        <t>MIMIGAL — Insecte / Poison
PV 40 · Att 60 · Déf 40
Att.Spé 40 · Déf.Spé 40 · Vit 30
Total 250
Talents : Essaim, Insomnia (caché : Sniper)</t>
      </text>
    </comment>
    <comment ref="E2011" authorId="0" shapeId="0">
      <text>
        <t>POMDEPIK — Insecte
PV 50 · Att 65 · Déf 90
Att.Spé 35 · Déf.Spé 35 · Vit 15
Total 290
Talents : Fermeté (caché : Envelocape)</t>
      </text>
    </comment>
    <comment ref="E2012" authorId="0" shapeId="0">
      <text>
        <t>NOEUNOEUF — Plante / Psy
PV 60 · Att 40 · Déf 80
Att.Spé 60 · Déf.Spé 45 · Vit 40
Total 325
Talents : Chlorophylle (caché : Récolte)</t>
      </text>
    </comment>
    <comment ref="E2013" authorId="0" shapeId="0">
      <text>
        <t>COXY — Insecte / Vol
PV 40 · Att 20 · Déf 30
Att.Spé 40 · Déf.Spé 80 · Vit 55
Total 265
Talents : Essaim, Matinal (caché : Phobique)</t>
      </text>
    </comment>
    <comment ref="E2014" authorId="0" shapeId="0">
      <text>
        <t>MIMIGAL — Insecte / Poison
PV 40 · Att 60 · Déf 40
Att.Spé 40 · Déf.Spé 40 · Vit 30
Total 250
Talents : Essaim, Insomnia (caché : Sniper)</t>
      </text>
    </comment>
    <comment ref="E2015" authorId="0" shapeId="0">
      <text>
        <t>CHENIPAN — Insecte
PV 45 · Att 30 · Déf 35
Att.Spé 20 · Déf.Spé 20 · Vit 45
Total 195
Talents : Écran Poudre (caché : Fuite)</t>
      </text>
    </comment>
    <comment ref="E2016" authorId="0" shapeId="0">
      <text>
        <t>ROUCOOL — Normal / Vol
PV 40 · Att 45 · Déf 40
Att.Spé 35 · Déf.Spé 35 · Vit 56
Total 251
Talents : Regard Vif, Pieds Confus (caché :
  Cœur de Coq)</t>
      </text>
    </comment>
    <comment ref="E2017" authorId="0" shapeId="0">
      <text>
        <t>ASPICOT — Insecte / Poison
PV 40 · Att 35 · Déf 30
Att.Spé 20 · Déf.Spé 20 · Vit 50
Total 195
Talents : Écran Poudre (caché : Fuite)</t>
      </text>
    </comment>
    <comment ref="E2018" authorId="0" shapeId="0">
      <text>
        <t>COXY — Insecte / Vol
PV 40 · Att 20 · Déf 30
Att.Spé 40 · Déf.Spé 80 · Vit 55
Total 265
Talents : Essaim, Matinal (caché : Phobique)</t>
      </text>
    </comment>
    <comment ref="E2019" authorId="0" shapeId="0">
      <text>
        <t>HOOTHOOT — Normal / Vol
PV 60 · Att 30 · Déf 30
Att.Spé 36 · Déf.Spé 56 · Vit 50
Total 262
Talents : Insomnia, Regard Vif (caché :
  Lentiteintée)</t>
      </text>
    </comment>
    <comment ref="E2020" authorId="0" shapeId="0">
      <text>
        <t>MIMIGAL — Insecte / Poison
PV 40 · Att 60 · Déf 40
Att.Spé 40 · Déf.Spé 40 · Vit 30
Total 250
Talents : Essaim, Insomnia (caché : Sniper)</t>
      </text>
    </comment>
    <comment ref="E2021" authorId="0" shapeId="0">
      <text>
        <t>PTITARD — Eau
PV 40 · Att 50 · Déf 40
Att.Spé 40 · Déf.Spé 40 · Vit 90
Total 300
Talents : Absorbe-Eau, Moiteur (caché :
  Glissade)</t>
      </text>
    </comment>
    <comment ref="E2022" authorId="0" shapeId="0">
      <text>
        <t>NOSFERAPTI — Poison / Vol
PV 40 · Att 45 · Déf 35
Att.Spé 30 · Déf.Spé 40 · Vit 55
Total 245
Talents : Attention (caché : Infiltration)</t>
      </text>
    </comment>
    <comment ref="E2023" authorId="0" shapeId="0">
      <text>
        <t>PTITARD — Eau
PV 40 · Att 50 · Déf 40
Att.Spé 40 · Déf.Spé 40 · Vit 90
Total 300
Talents : Absorbe-Eau, Moiteur (caché :
  Glissade)</t>
      </text>
    </comment>
    <comment ref="E2024" authorId="0" shapeId="0">
      <text>
        <t>TETARTE — Eau
PV 65 · Att 65 · Déf 65
Att.Spé 50 · Déf.Spé 50 · Vit 90
Total 385
Talents : Absorbe-Eau, Moiteur (caché :
  Glissade)</t>
      </text>
    </comment>
    <comment ref="E2025" authorId="0" shapeId="0">
      <text>
        <t>PTITARD — Eau
PV 40 · Att 50 · Déf 40
Att.Spé 40 · Déf.Spé 40 · Vit 90
Total 300
Talents : Absorbe-Eau, Moiteur (caché :
  Glissade)</t>
      </text>
    </comment>
    <comment ref="E2026" authorId="0" shapeId="0">
      <text>
        <t>TETARTE — Eau
PV 65 · Att 65 · Déf 65
Att.Spé 50 · Déf.Spé 50 · Vit 90
Total 385
Talents : Absorbe-Eau, Moiteur (caché :
  Glissade)</t>
      </text>
    </comment>
    <comment ref="E2027" authorId="0" shapeId="0">
      <text>
        <t>POMDEPIK — Insecte
PV 50 · Att 65 · Déf 90
Att.Spé 35 · Déf.Spé 35 · Vit 15
Total 290
Talents : Fermeté (caché : Envelocape)</t>
      </text>
    </comment>
    <comment ref="E2028" authorId="0" shapeId="0">
      <text>
        <t>NOEUNOEUF — Plante / Psy
PV 60 · Att 40 · Déf 80
Att.Spé 60 · Déf.Spé 45 · Vit 40
Total 325
Talents : Chlorophylle (caché : Récolte)</t>
      </text>
    </comment>
    <comment ref="E2029" authorId="0" shapeId="0">
      <text>
        <t>COXY — Insecte / Vol
PV 40 · Att 20 · Déf 30
Att.Spé 40 · Déf.Spé 80 · Vit 55
Total 265
Talents : Essaim, Matinal (caché : Phobique)</t>
      </text>
    </comment>
    <comment ref="E2030" authorId="0" shapeId="0">
      <text>
        <t>MIMIGAL — Insecte / Poison
PV 40 · Att 60 · Déf 40
Att.Spé 40 · Déf.Spé 40 · Vit 30
Total 250
Talents : Essaim, Insomnia (caché : Sniper)</t>
      </text>
    </comment>
    <comment ref="E2031" authorId="0" shapeId="0">
      <text>
        <t>POMDEPIK — Insecte
PV 50 · Att 65 · Déf 90
Att.Spé 35 · Déf.Spé 35 · Vit 15
Total 290
Talents : Fermeté (caché : Envelocape)</t>
      </text>
    </comment>
    <comment ref="E2032" authorId="0" shapeId="0">
      <text>
        <t>NOEUNOEUF — Plante / Psy
PV 60 · Att 40 · Déf 80
Att.Spé 60 · Déf.Spé 45 · Vit 40
Total 325
Talents : Chlorophylle (caché : Récolte)</t>
      </text>
    </comment>
    <comment ref="E2033" authorId="0" shapeId="0">
      <text>
        <t>COXY — Insecte / Vol
PV 40 · Att 20 · Déf 30
Att.Spé 40 · Déf.Spé 80 · Vit 55
Total 265
Talents : Essaim, Matinal (caché : Phobique)</t>
      </text>
    </comment>
    <comment ref="E2034" authorId="0" shapeId="0">
      <text>
        <t>MIMIGAL — Insecte / Poison
PV 40 · Att 60 · Déf 40
Att.Spé 40 · Déf.Spé 40 · Vit 30
Total 250
Talents : Essaim, Insomnia (caché : Sniper)</t>
      </text>
    </comment>
    <comment ref="E2035" authorId="0" shapeId="0">
      <text>
        <t>MAGICARPE — Eau
PV 20 · Att 10 · Déf 55
Att.Spé 15 · Déf.Spé 20 · Vit 80
Total 200
Talents : Glissade (caché : Phobique)</t>
      </text>
    </comment>
    <comment ref="E2036" authorId="0" shapeId="0">
      <text>
        <t>PTITARD — Eau
PV 40 · Att 50 · Déf 40
Att.Spé 40 · Déf.Spé 40 · Vit 90
Total 300
Talents : Absorbe-Eau, Moiteur (caché :
  Glissade)</t>
      </text>
    </comment>
    <comment ref="E2037" authorId="0" shapeId="0">
      <text>
        <t>MAGICARPE — Eau
PV 20 · Att 10 · Déf 55
Att.Spé 15 · Déf.Spé 20 · Vit 80
Total 200
Talents : Glissade (caché : Phobique)</t>
      </text>
    </comment>
    <comment ref="E2038" authorId="0" shapeId="0">
      <text>
        <t>PTITARD — Eau
PV 40 · Att 50 · Déf 40
Att.Spé 40 · Déf.Spé 40 · Vit 90
Total 300
Talents : Absorbe-Eau, Moiteur (caché :
  Glissade)</t>
      </text>
    </comment>
    <comment ref="E2039" authorId="0" shapeId="0">
      <text>
        <t>PTITARD — Eau
PV 40 · Att 50 · Déf 40
Att.Spé 40 · Déf.Spé 40 · Vit 90
Total 300
Talents : Absorbe-Eau, Moiteur (caché :
  Glissade)</t>
      </text>
    </comment>
    <comment ref="E2040" authorId="0" shapeId="0">
      <text>
        <t>MAGICARPE — Eau
PV 20 · Att 10 · Déf 55
Att.Spé 15 · Déf.Spé 20 · Vit 80
Total 200
Talents : Glissade (caché : Phobique)</t>
      </text>
    </comment>
    <comment ref="E2041" authorId="0" shapeId="0">
      <text>
        <t>PTITARD — Eau
PV 40 · Att 50 · Déf 40
Att.Spé 40 · Déf.Spé 40 · Vit 90
Total 300
Talents : Absorbe-Eau, Moiteur (caché :
  Glissade)</t>
      </text>
    </comment>
    <comment ref="E2042" authorId="0" shapeId="0">
      <text>
        <t>MAGICARPE — Eau
PV 20 · Att 10 · Déf 55
Att.Spé 15 · Déf.Spé 20 · Vit 80
Total 200
Talents : Glissade (caché : Phobique)</t>
      </text>
    </comment>
    <comment ref="E2043" authorId="0" shapeId="0">
      <text>
        <t>MAGICARPE — Eau
PV 20 · Att 10 · Déf 55
Att.Spé 15 · Déf.Spé 20 · Vit 80
Total 200
Talents : Glissade (caché : Phobique)</t>
      </text>
    </comment>
    <comment ref="E2044" authorId="0" shapeId="0">
      <text>
        <t>TETARTE — Eau
PV 65 · Att 65 · Déf 65
Att.Spé 50 · Déf.Spé 50 · Vit 90
Total 385
Talents : Absorbe-Eau, Moiteur (caché :
  Glissade)</t>
      </text>
    </comment>
    <comment ref="E2045" authorId="0" shapeId="0">
      <text>
        <t>PTITARD — Eau
PV 40 · Att 50 · Déf 40
Att.Spé 40 · Déf.Spé 40 · Vit 90
Total 300
Talents : Absorbe-Eau, Moiteur (caché :
  Glissade)</t>
      </text>
    </comment>
    <comment ref="E2046" authorId="0" shapeId="0">
      <text>
        <t>MAGICARPE — Eau
PV 20 · Att 10 · Déf 55
Att.Spé 15 · Déf.Spé 20 · Vit 80
Total 200
Talents : Glissade (caché : Phobique)</t>
      </text>
    </comment>
    <comment ref="E2047" authorId="0" shapeId="0">
      <text>
        <t>TETARTE — Eau
PV 65 · Att 65 · Déf 65
Att.Spé 50 · Déf.Spé 50 · Vit 90
Total 385
Talents : Absorbe-Eau, Moiteur (caché :
  Glissade)</t>
      </text>
    </comment>
    <comment ref="E2048" authorId="0" shapeId="0">
      <text>
        <t>PTITARD — Eau
PV 40 · Att 50 · Déf 40
Att.Spé 40 · Déf.Spé 40 · Vit 90
Total 300
Talents : Absorbe-Eau, Moiteur (caché :
  Glissade)</t>
      </text>
    </comment>
    <comment ref="E2049" authorId="0" shapeId="0">
      <text>
        <t>CHETIFLOR — Plante / Poison
PV 50 · Att 75 · Déf 35
Att.Spé 70 · Déf.Spé 30 · Vit 40
Total 300
Talents : Chlorophylle (caché : Gloutonnerie)</t>
      </text>
    </comment>
    <comment ref="E2050" authorId="0" shapeId="0">
      <text>
        <t>COXY — Insecte / Vol
PV 40 · Att 20 · Déf 30
Att.Spé 40 · Déf.Spé 80 · Vit 55
Total 265
Talents : Essaim, Matinal (caché : Phobique)</t>
      </text>
    </comment>
    <comment ref="E2051" authorId="0" shapeId="0">
      <text>
        <t>CHENIPAN — Insecte
PV 45 · Att 30 · Déf 35
Att.Spé 20 · Déf.Spé 20 · Vit 45
Total 195
Talents : Écran Poudre (caché : Fuite)</t>
      </text>
    </comment>
    <comment ref="E2052" authorId="0" shapeId="0">
      <text>
        <t>WATTOUAT — Électrik
PV 55 · Att 40 · Déf 40
Att.Spé 65 · Déf.Spé 45 · Vit 35
Total 280
Talents : Statik (caché : Plus)</t>
      </text>
    </comment>
    <comment ref="E2053" authorId="0" shapeId="0">
      <text>
        <t>ASPICOT — Insecte / Poison
PV 40 · Att 35 · Déf 30
Att.Spé 20 · Déf.Spé 20 · Vit 50
Total 195
Talents : Écran Poudre (caché : Fuite)</t>
      </text>
    </comment>
    <comment ref="E2054" authorId="0" shapeId="0">
      <text>
        <t>PICHU — Électrik
PV 20 · Att 40 · Déf 15
Att.Spé 35 · Déf.Spé 35 · Vit 60
Total 205
Talents : Statik (caché : Paratonnerre)</t>
      </text>
    </comment>
    <comment ref="E2055" authorId="0" shapeId="0">
      <text>
        <t>PTITARD — Eau
PV 40 · Att 50 · Déf 40
Att.Spé 40 · Déf.Spé 40 · Vit 90
Total 300
Talents : Absorbe-Eau, Moiteur (caché :
  Glissade)</t>
      </text>
    </comment>
    <comment ref="E2056" authorId="0" shapeId="0">
      <text>
        <t>MIMIGAL — Insecte / Poison
PV 40 · Att 60 · Déf 40
Att.Spé 40 · Déf.Spé 40 · Vit 30
Total 250
Talents : Essaim, Insomnia (caché : Sniper)</t>
      </text>
    </comment>
    <comment ref="E2057" authorId="0" shapeId="0">
      <text>
        <t>CHETIFLOR — Plante / Poison
PV 50 · Att 75 · Déf 35
Att.Spé 70 · Déf.Spé 30 · Vit 40
Total 300
Talents : Chlorophylle (caché : Gloutonnerie)</t>
      </text>
    </comment>
    <comment ref="E2058" authorId="0" shapeId="0">
      <text>
        <t>HOOTHOOT — Normal / Vol
PV 60 · Att 30 · Déf 30
Att.Spé 36 · Déf.Spé 56 · Vit 50
Total 262
Talents : Insomnia, Regard Vif (caché :
  Lentiteintée)</t>
      </text>
    </comment>
    <comment ref="E2059" authorId="0" shapeId="0">
      <text>
        <t>FANTOMINUS — Spectre / Poison
PV 30 · Att 35 · Déf 30
Att.Spé 100 · Déf.Spé 35 · Vit 80
Total 310
Talents : Lévitation</t>
      </text>
    </comment>
    <comment ref="E2060" authorId="0" shapeId="0">
      <text>
        <t>NOSFERAPTI — Poison / Vol
PV 40 · Att 45 · Déf 35
Att.Spé 30 · Déf.Spé 40 · Vit 55
Total 245
Talents : Attention (caché : Infiltration)</t>
      </text>
    </comment>
    <comment ref="E2061" authorId="0" shapeId="0">
      <text>
        <t>PTITARD — Eau
PV 40 · Att 50 · Déf 40
Att.Spé 40 · Déf.Spé 40 · Vit 90
Total 300
Talents : Absorbe-Eau, Moiteur (caché :
  Glissade)</t>
      </text>
    </comment>
    <comment ref="E2062" authorId="0" shapeId="0">
      <text>
        <t>TETARTE — Eau
PV 65 · Att 65 · Déf 65
Att.Spé 50 · Déf.Spé 50 · Vit 90
Total 385
Talents : Absorbe-Eau, Moiteur (caché :
  Glissade)</t>
      </text>
    </comment>
    <comment ref="E2063" authorId="0" shapeId="0">
      <text>
        <t>PTITARD — Eau
PV 40 · Att 50 · Déf 40
Att.Spé 40 · Déf.Spé 40 · Vit 90
Total 300
Talents : Absorbe-Eau, Moiteur (caché :
  Glissade)</t>
      </text>
    </comment>
    <comment ref="E2064" authorId="0" shapeId="0">
      <text>
        <t>TETARTE — Eau
PV 65 · Att 65 · Déf 65
Att.Spé 50 · Déf.Spé 50 · Vit 90
Total 385
Talents : Absorbe-Eau, Moiteur (caché :
  Glissade)</t>
      </text>
    </comment>
    <comment ref="E2065" authorId="0" shapeId="0">
      <text>
        <t>POMDEPIK — Insecte
PV 50 · Att 65 · Déf 90
Att.Spé 35 · Déf.Spé 35 · Vit 15
Total 290
Talents : Fermeté (caché : Envelocape)</t>
      </text>
    </comment>
    <comment ref="E2066" authorId="0" shapeId="0">
      <text>
        <t>NOEUNOEUF — Plante / Psy
PV 60 · Att 40 · Déf 80
Att.Spé 60 · Déf.Spé 45 · Vit 40
Total 325
Talents : Chlorophylle (caché : Récolte)</t>
      </text>
    </comment>
    <comment ref="E2067" authorId="0" shapeId="0">
      <text>
        <t>COXY — Insecte / Vol
PV 40 · Att 20 · Déf 30
Att.Spé 40 · Déf.Spé 80 · Vit 55
Total 265
Talents : Essaim, Matinal (caché : Phobique)</t>
      </text>
    </comment>
    <comment ref="E2068" authorId="0" shapeId="0">
      <text>
        <t>MIMIGAL — Insecte / Poison
PV 40 · Att 60 · Déf 40
Att.Spé 40 · Déf.Spé 40 · Vit 30
Total 250
Talents : Essaim, Insomnia (caché : Sniper)</t>
      </text>
    </comment>
    <comment ref="E2069" authorId="0" shapeId="0">
      <text>
        <t>POMDEPIK — Insecte
PV 50 · Att 65 · Déf 90
Att.Spé 35 · Déf.Spé 35 · Vit 15
Total 290
Talents : Fermeté (caché : Envelocape)</t>
      </text>
    </comment>
    <comment ref="E2070" authorId="0" shapeId="0">
      <text>
        <t>NOEUNOEUF — Plante / Psy
PV 60 · Att 40 · Déf 80
Att.Spé 60 · Déf.Spé 45 · Vit 40
Total 325
Talents : Chlorophylle (caché : Récolte)</t>
      </text>
    </comment>
    <comment ref="E2071" authorId="0" shapeId="0">
      <text>
        <t>COXY — Insecte / Vol
PV 40 · Att 20 · Déf 30
Att.Spé 40 · Déf.Spé 80 · Vit 55
Total 265
Talents : Essaim, Matinal (caché : Phobique)</t>
      </text>
    </comment>
    <comment ref="E2072" authorId="0" shapeId="0">
      <text>
        <t>MIMIGAL — Insecte / Poison
PV 40 · Att 60 · Déf 40
Att.Spé 40 · Déf.Spé 40 · Vit 30
Total 250
Talents : Essaim, Insomnia (caché : Sniper)</t>
      </text>
    </comment>
    <comment ref="E2073" authorId="0" shapeId="0">
      <text>
        <t>MAGICARPE — Eau
PV 20 · Att 10 · Déf 55
Att.Spé 15 · Déf.Spé 20 · Vit 80
Total 200
Talents : Glissade (caché : Phobique)</t>
      </text>
    </comment>
    <comment ref="E2074" authorId="0" shapeId="0">
      <text>
        <t>PTITARD — Eau
PV 40 · Att 50 · Déf 40
Att.Spé 40 · Déf.Spé 40 · Vit 90
Total 300
Talents : Absorbe-Eau, Moiteur (caché :
  Glissade)</t>
      </text>
    </comment>
    <comment ref="E2075" authorId="0" shapeId="0">
      <text>
        <t>MAGICARPE — Eau
PV 20 · Att 10 · Déf 55
Att.Spé 15 · Déf.Spé 20 · Vit 80
Total 200
Talents : Glissade (caché : Phobique)</t>
      </text>
    </comment>
    <comment ref="E2076" authorId="0" shapeId="0">
      <text>
        <t>PTITARD — Eau
PV 40 · Att 50 · Déf 40
Att.Spé 40 · Déf.Spé 40 · Vit 90
Total 300
Talents : Absorbe-Eau, Moiteur (caché :
  Glissade)</t>
      </text>
    </comment>
    <comment ref="E2077" authorId="0" shapeId="0">
      <text>
        <t>PTITARD — Eau
PV 40 · Att 50 · Déf 40
Att.Spé 40 · Déf.Spé 40 · Vit 90
Total 300
Talents : Absorbe-Eau, Moiteur (caché :
  Glissade)</t>
      </text>
    </comment>
    <comment ref="E2078" authorId="0" shapeId="0">
      <text>
        <t>MAGICARPE — Eau
PV 20 · Att 10 · Déf 55
Att.Spé 15 · Déf.Spé 20 · Vit 80
Total 200
Talents : Glissade (caché : Phobique)</t>
      </text>
    </comment>
    <comment ref="E2079" authorId="0" shapeId="0">
      <text>
        <t>PTITARD — Eau
PV 40 · Att 50 · Déf 40
Att.Spé 40 · Déf.Spé 40 · Vit 90
Total 300
Talents : Absorbe-Eau, Moiteur (caché :
  Glissade)</t>
      </text>
    </comment>
    <comment ref="E2080" authorId="0" shapeId="0">
      <text>
        <t>MAGICARPE — Eau
PV 20 · Att 10 · Déf 55
Att.Spé 15 · Déf.Spé 20 · Vit 80
Total 200
Talents : Glissade (caché : Phobique)</t>
      </text>
    </comment>
    <comment ref="E2081" authorId="0" shapeId="0">
      <text>
        <t>MAGICARPE — Eau
PV 20 · Att 10 · Déf 55
Att.Spé 15 · Déf.Spé 20 · Vit 80
Total 200
Talents : Glissade (caché : Phobique)</t>
      </text>
    </comment>
    <comment ref="E2082" authorId="0" shapeId="0">
      <text>
        <t>TETARTE — Eau
PV 65 · Att 65 · Déf 65
Att.Spé 50 · Déf.Spé 50 · Vit 90
Total 385
Talents : Absorbe-Eau, Moiteur (caché :
  Glissade)</t>
      </text>
    </comment>
    <comment ref="E2083" authorId="0" shapeId="0">
      <text>
        <t>PTITARD — Eau
PV 40 · Att 50 · Déf 40
Att.Spé 40 · Déf.Spé 40 · Vit 90
Total 300
Talents : Absorbe-Eau, Moiteur (caché :
  Glissade)</t>
      </text>
    </comment>
    <comment ref="E2084" authorId="0" shapeId="0">
      <text>
        <t>MAGICARPE — Eau
PV 20 · Att 10 · Déf 55
Att.Spé 15 · Déf.Spé 20 · Vit 80
Total 200
Talents : Glissade (caché : Phobique)</t>
      </text>
    </comment>
    <comment ref="E2085" authorId="0" shapeId="0">
      <text>
        <t>TETARTE — Eau
PV 65 · Att 65 · Déf 65
Att.Spé 50 · Déf.Spé 50 · Vit 90
Total 385
Talents : Absorbe-Eau, Moiteur (caché :
  Glissade)</t>
      </text>
    </comment>
    <comment ref="E2086" authorId="0" shapeId="0">
      <text>
        <t>PTITARD — Eau
PV 40 · Att 50 · Déf 40
Att.Spé 40 · Déf.Spé 40 · Vit 90
Total 300
Talents : Absorbe-Eau, Moiteur (caché :
  Glissade)</t>
      </text>
    </comment>
    <comment ref="E2087" authorId="0" shapeId="0">
      <text>
        <t>WATTOUAT — Électrik
PV 55 · Att 40 · Déf 40
Att.Spé 65 · Déf.Spé 45 · Vit 35
Total 280
Talents : Statik (caché : Plus)</t>
      </text>
    </comment>
    <comment ref="E2088" authorId="0" shapeId="0">
      <text>
        <t>AXOLOTO — Eau / Sol
PV 55 · Att 45 · Déf 45
Att.Spé 25 · Déf.Spé 25 · Vit 15
Total 210
Talents : Moiteur, Absorbe-Eau (caché :
  Inconscient)</t>
      </text>
    </comment>
    <comment ref="E2089" authorId="0" shapeId="0">
      <text>
        <t>ABO — Poison
PV 35 · Att 60 · Déf 44
Att.Spé 40 · Déf.Spé 54 · Vit 55
Total 288
Talents : Intimidation, Mue (caché : Tension)</t>
      </text>
    </comment>
    <comment ref="E2090" authorId="0" shapeId="0">
      <text>
        <t>CHETIFLOR — Plante / Poison
PV 50 · Att 75 · Déf 35
Att.Spé 70 · Déf.Spé 30 · Vit 40
Total 300
Talents : Chlorophylle (caché : Gloutonnerie)</t>
      </text>
    </comment>
    <comment ref="E2091" authorId="0" shapeId="0">
      <text>
        <t>ROUCOOL — Normal / Vol
PV 40 · Att 45 · Déf 40
Att.Spé 35 · Déf.Spé 35 · Vit 56
Total 251
Talents : Regard Vif, Pieds Confus (caché :
  Cœur de Coq)</t>
      </text>
    </comment>
    <comment ref="E2092" authorId="0" shapeId="0">
      <text>
        <t>AXOLOTO — Eau / Sol
PV 55 · Att 45 · Déf 45
Att.Spé 25 · Déf.Spé 25 · Vit 15
Total 210
Talents : Moiteur, Absorbe-Eau (caché :
  Inconscient)</t>
      </text>
    </comment>
    <comment ref="E2093" authorId="0" shapeId="0">
      <text>
        <t>NOSFERAPTI — Poison / Vol
PV 40 · Att 45 · Déf 35
Att.Spé 30 · Déf.Spé 40 · Vit 55
Total 245
Talents : Attention (caché : Infiltration)</t>
      </text>
    </comment>
    <comment ref="E2094" authorId="0" shapeId="0">
      <text>
        <t>FANTOMINUS — Spectre / Poison
PV 30 · Att 35 · Déf 30
Att.Spé 100 · Déf.Spé 35 · Vit 80
Total 310
Talents : Lévitation</t>
      </text>
    </comment>
    <comment ref="E2095" authorId="0" shapeId="0">
      <text>
        <t>WATTOUAT — Électrik
PV 55 · Att 40 · Déf 40
Att.Spé 65 · Déf.Spé 45 · Vit 35
Total 280
Talents : Statik (caché : Plus)</t>
      </text>
    </comment>
    <comment ref="E2096" authorId="0" shapeId="0">
      <text>
        <t>TENTACOOL — Eau / Poison
PV 40 · Att 40 · Déf 35
Att.Spé 50 · Déf.Spé 100 · Vit 70
Total 335
Talents : Corps Sain, Suintement (caché :
  Cuvette)</t>
      </text>
    </comment>
    <comment ref="E2097" authorId="0" shapeId="0">
      <text>
        <t>MARAISTE — Eau / Sol
PV 95 · Att 85 · Déf 85
Att.Spé 65 · Déf.Spé 65 · Vit 35
Total 430
Talents : Moiteur, Absorbe-Eau (caché :
  Inconscient)</t>
      </text>
    </comment>
    <comment ref="E2098" authorId="0" shapeId="0">
      <text>
        <t>TENTACRUEL — Eau / Poison
PV 80 · Att 70 · Déf 65
Att.Spé 80 · Déf.Spé 120 · Vit 100
Total 515
Talents : Corps Sain, Suintement (caché :
  Cuvette)</t>
      </text>
    </comment>
    <comment ref="E2099" authorId="0" shapeId="0">
      <text>
        <t>TENTACOOL — Eau / Poison
PV 40 · Att 40 · Déf 35
Att.Spé 50 · Déf.Spé 100 · Vit 70
Total 335
Talents : Corps Sain, Suintement (caché :
  Cuvette)</t>
      </text>
    </comment>
    <comment ref="E2100" authorId="0" shapeId="0">
      <text>
        <t>MARAISTE — Eau / Sol
PV 95 · Att 85 · Déf 85
Att.Spé 65 · Déf.Spé 65 · Vit 35
Total 430
Talents : Moiteur, Absorbe-Eau (caché :
  Inconscient)</t>
      </text>
    </comment>
    <comment ref="E2101" authorId="0" shapeId="0">
      <text>
        <t>TENTACRUEL — Eau / Poison
PV 80 · Att 70 · Déf 65
Att.Spé 80 · Déf.Spé 120 · Vit 100
Total 515
Talents : Corps Sain, Suintement (caché :
  Cuvette)</t>
      </text>
    </comment>
    <comment ref="E2102" authorId="0" shapeId="0">
      <text>
        <t>POMDEPIK — Insecte
PV 50 · Att 65 · Déf 90
Att.Spé 35 · Déf.Spé 35 · Vit 15
Total 290
Talents : Fermeté (caché : Envelocape)</t>
      </text>
    </comment>
    <comment ref="E2103" authorId="0" shapeId="0">
      <text>
        <t>NOEUNOEUF — Plante / Psy
PV 60 · Att 40 · Déf 80
Att.Spé 60 · Déf.Spé 45 · Vit 40
Total 325
Talents : Chlorophylle (caché : Récolte)</t>
      </text>
    </comment>
    <comment ref="E2104" authorId="0" shapeId="0">
      <text>
        <t>ABO — Poison
PV 35 · Att 60 · Déf 44
Att.Spé 40 · Déf.Spé 54 · Vit 55
Total 288
Talents : Intimidation, Mue (caché : Tension)</t>
      </text>
    </comment>
    <comment ref="E2105" authorId="0" shapeId="0">
      <text>
        <t>POMDEPIK — Insecte
PV 50 · Att 65 · Déf 90
Att.Spé 35 · Déf.Spé 35 · Vit 15
Total 290
Talents : Fermeté (caché : Envelocape)</t>
      </text>
    </comment>
    <comment ref="E2106" authorId="0" shapeId="0">
      <text>
        <t>NOEUNOEUF — Plante / Psy
PV 60 · Att 40 · Déf 80
Att.Spé 60 · Déf.Spé 45 · Vit 40
Total 325
Talents : Chlorophylle (caché : Récolte)</t>
      </text>
    </comment>
    <comment ref="E2107" authorId="0" shapeId="0">
      <text>
        <t>ABO — Poison
PV 35 · Att 60 · Déf 44
Att.Spé 40 · Déf.Spé 54 · Vit 55
Total 288
Talents : Intimidation, Mue (caché : Tension)</t>
      </text>
    </comment>
    <comment ref="E2108" authorId="0" shapeId="0">
      <text>
        <t>MAGICARPE — Eau
PV 20 · Att 10 · Déf 55
Att.Spé 15 · Déf.Spé 20 · Vit 80
Total 200
Talents : Glissade (caché : Phobique)</t>
      </text>
    </comment>
    <comment ref="E2109" authorId="0" shapeId="0">
      <text>
        <t>TENTACOOL — Eau / Poison
PV 40 · Att 40 · Déf 35
Att.Spé 50 · Déf.Spé 100 · Vit 70
Total 335
Talents : Corps Sain, Suintement (caché :
  Cuvette)</t>
      </text>
    </comment>
    <comment ref="E2110" authorId="0" shapeId="0">
      <text>
        <t>MAGICARPE — Eau
PV 20 · Att 10 · Déf 55
Att.Spé 15 · Déf.Spé 20 · Vit 80
Total 200
Talents : Glissade (caché : Phobique)</t>
      </text>
    </comment>
    <comment ref="E2111" authorId="0" shapeId="0">
      <text>
        <t>TENTACOOL — Eau / Poison
PV 40 · Att 40 · Déf 35
Att.Spé 50 · Déf.Spé 100 · Vit 70
Total 335
Talents : Corps Sain, Suintement (caché :
  Cuvette)</t>
      </text>
    </comment>
    <comment ref="E2112" authorId="0" shapeId="0">
      <text>
        <t>TENTACOOL — Eau / Poison
PV 40 · Att 40 · Déf 35
Att.Spé 50 · Déf.Spé 100 · Vit 70
Total 335
Talents : Corps Sain, Suintement (caché :
  Cuvette)</t>
      </text>
    </comment>
    <comment ref="E2113" authorId="0" shapeId="0">
      <text>
        <t>MAGICARPE — Eau
PV 20 · Att 10 · Déf 55
Att.Spé 15 · Déf.Spé 20 · Vit 80
Total 200
Talents : Glissade (caché : Phobique)</t>
      </text>
    </comment>
    <comment ref="E2114" authorId="0" shapeId="0">
      <text>
        <t>QWILFISH — Eau / Poison
PV 65 · Att 95 · Déf 85
Att.Spé 55 · Déf.Spé 55 · Vit 85
Total 440
Talents : Point Poison, Glissade (caché :
  Intimidation)</t>
      </text>
    </comment>
    <comment ref="E2115" authorId="0" shapeId="0">
      <text>
        <t>TENTACOOL — Eau / Poison
PV 40 · Att 40 · Déf 35
Att.Spé 50 · Déf.Spé 100 · Vit 70
Total 335
Talents : Corps Sain, Suintement (caché :
  Cuvette)</t>
      </text>
    </comment>
    <comment ref="E2116" authorId="0" shapeId="0">
      <text>
        <t>MAGICARPE — Eau
PV 20 · Att 10 · Déf 55
Att.Spé 15 · Déf.Spé 20 · Vit 80
Total 200
Talents : Glissade (caché : Phobique)</t>
      </text>
    </comment>
    <comment ref="E2117" authorId="0" shapeId="0">
      <text>
        <t>QWILFISH — Eau / Poison
PV 65 · Att 95 · Déf 85
Att.Spé 55 · Déf.Spé 55 · Vit 85
Total 440
Talents : Point Poison, Glissade (caché :
  Intimidation)</t>
      </text>
    </comment>
    <comment ref="E2118" authorId="0" shapeId="0">
      <text>
        <t>MAGICARPE — Eau
PV 20 · Att 10 · Déf 55
Att.Spé 15 · Déf.Spé 20 · Vit 80
Total 200
Talents : Glissade (caché : Phobique)</t>
      </text>
    </comment>
    <comment ref="E2119" authorId="0" shapeId="0">
      <text>
        <t>QWILFISH — Eau / Poison
PV 65 · Att 95 · Déf 85
Att.Spé 55 · Déf.Spé 55 · Vit 85
Total 440
Talents : Point Poison, Glissade (caché :
  Intimidation)</t>
      </text>
    </comment>
    <comment ref="E2120" authorId="0" shapeId="0">
      <text>
        <t>TENTACOOL — Eau / Poison
PV 40 · Att 40 · Déf 35
Att.Spé 50 · Déf.Spé 100 · Vit 70
Total 335
Talents : Corps Sain, Suintement (caché :
  Cuvette)</t>
      </text>
    </comment>
    <comment ref="E2121" authorId="0" shapeId="0">
      <text>
        <t>MAGICARPE — Eau
PV 20 · Att 10 · Déf 55
Att.Spé 15 · Déf.Spé 20 · Vit 80
Total 200
Talents : Glissade (caché : Phobique)</t>
      </text>
    </comment>
    <comment ref="E2122" authorId="0" shapeId="0">
      <text>
        <t>QWILFISH — Eau / Poison
PV 65 · Att 95 · Déf 85
Att.Spé 55 · Déf.Spé 55 · Vit 85
Total 440
Talents : Point Poison, Glissade (caché :
  Intimidation)</t>
      </text>
    </comment>
    <comment ref="E2123" authorId="0" shapeId="0">
      <text>
        <t>TENTACOOL — Eau / Poison
PV 40 · Att 40 · Déf 35
Att.Spé 50 · Déf.Spé 100 · Vit 70
Total 335
Talents : Corps Sain, Suintement (caché :
  Cuvette)</t>
      </text>
    </comment>
    <comment ref="E2124" authorId="0" shapeId="0">
      <text>
        <t>MACHOC — Combat
PV 70 · Att 80 · Déf 50
Att.Spé 35 · Déf.Spé 35 · Vit 35
Total 305
Talents : Cran, Annule Garde (caché :
  Impassible)</t>
      </text>
    </comment>
    <comment ref="E2125" authorId="0" shapeId="0">
      <text>
        <t>ABO — Poison
PV 35 · Att 60 · Déf 44
Att.Spé 40 · Déf.Spé 54 · Vit 55
Total 288
Talents : Intimidation, Mue (caché : Tension)</t>
      </text>
    </comment>
    <comment ref="E2126" authorId="0" shapeId="0">
      <text>
        <t>RATTATA — Normal
PV 30 · Att 56 · Déf 35
Att.Spé 25 · Déf.Spé 35 · Vit 72
Total 253
Talents : Fuite, Cran (caché : Agitation)</t>
      </text>
    </comment>
    <comment ref="E2127" authorId="0" shapeId="0">
      <text>
        <t>PIAFABEC — Normal / Vol
PV 40 · Att 60 · Déf 30
Att.Spé 31 · Déf.Spé 31 · Vit 70
Total 262
Talents : Regard Vif (caché : Sniper)</t>
      </text>
    </comment>
    <comment ref="E2128" authorId="0" shapeId="0">
      <text>
        <t>NOSFERAPTI — Poison / Vol
PV 40 · Att 45 · Déf 35
Att.Spé 30 · Déf.Spé 40 · Vit 55
Total 245
Talents : Attention (caché : Infiltration)</t>
      </text>
    </comment>
    <comment ref="E2129" authorId="0" shapeId="0">
      <text>
        <t>ABO — Poison
PV 35 · Att 60 · Déf 44
Att.Spé 40 · Déf.Spé 54 · Vit 55
Total 288
Talents : Intimidation, Mue (caché : Tension)</t>
      </text>
    </comment>
    <comment ref="E2130" authorId="0" shapeId="0">
      <text>
        <t>RATTATA — Normal
PV 30 · Att 56 · Déf 35
Att.Spé 25 · Déf.Spé 35 · Vit 72
Total 253
Talents : Fuite, Cran (caché : Agitation)</t>
      </text>
    </comment>
    <comment ref="E2131" authorId="0" shapeId="0">
      <text>
        <t>MACHOC — Combat
PV 70 · Att 80 · Déf 50
Att.Spé 35 · Déf.Spé 35 · Vit 35
Total 305
Talents : Cran, Annule Garde (caché :
  Impassible)</t>
      </text>
    </comment>
    <comment ref="E2132" authorId="0" shapeId="0">
      <text>
        <t>POMDEPIK — Insecte
PV 50 · Att 65 · Déf 90
Att.Spé 35 · Déf.Spé 35 · Vit 15
Total 290
Talents : Fermeté (caché : Envelocape)</t>
      </text>
    </comment>
    <comment ref="E2133" authorId="0" shapeId="0">
      <text>
        <t>CAPUMAIN — Normal
PV 55 · Att 70 · Déf 55
Att.Spé 40 · Déf.Spé 55 · Vit 85
Total 360
Talents : Fuite, Ramassage (caché : Multi-
  Coups)</t>
      </text>
    </comment>
    <comment ref="E2134" authorId="0" shapeId="0">
      <text>
        <t>ABO — Poison
PV 35 · Att 60 · Déf 44
Att.Spé 40 · Déf.Spé 54 · Vit 55
Total 288
Talents : Intimidation, Mue (caché : Tension)</t>
      </text>
    </comment>
    <comment ref="E2135" authorId="0" shapeId="0">
      <text>
        <t>POMDEPIK — Insecte
PV 50 · Att 65 · Déf 90
Att.Spé 35 · Déf.Spé 35 · Vit 15
Total 290
Talents : Fermeté (caché : Envelocape)</t>
      </text>
    </comment>
    <comment ref="E2136" authorId="0" shapeId="0">
      <text>
        <t>CAPUMAIN — Normal
PV 55 · Att 70 · Déf 55
Att.Spé 40 · Déf.Spé 55 · Vit 85
Total 360
Talents : Fuite, Ramassage (caché : Multi-
  Coups)</t>
      </text>
    </comment>
    <comment ref="E2137" authorId="0" shapeId="0">
      <text>
        <t>ABO — Poison
PV 35 · Att 60 · Déf 44
Att.Spé 40 · Déf.Spé 54 · Vit 55
Total 288
Talents : Intimidation, Mue (caché : Tension)</t>
      </text>
    </comment>
    <comment ref="E2138" authorId="0" shapeId="0">
      <text>
        <t>ABRA — Psy
PV 25 · Att 20 · Déf 15
Att.Spé 105 · Déf.Spé 55 · Vit 90
Total 310
Talents : Synchro, Attention (caché : Garde
  Magik)</t>
      </text>
    </comment>
    <comment ref="E2139" authorId="0" shapeId="0">
      <text>
        <t>FEROSINGE — Combat
PV 40 · Att 80 · Déf 35
Att.Spé 35 · Déf.Spé 45 · Vit 70
Total 305
Talents : Esprit Vital, Colérique (caché :
  Acharné)</t>
      </text>
    </comment>
    <comment ref="E2140" authorId="0" shapeId="0">
      <text>
        <t>SNUBBULL — Fée
PV 60 · Att 80 · Déf 50
Att.Spé 40 · Déf.Spé 40 · Vit 30
Total 300
Talents : Intimidation, Fuite (caché :
  Phobique)</t>
      </text>
    </comment>
    <comment ref="E2141" authorId="0" shapeId="0">
      <text>
        <t>TADMORV — Poison
PV 80 · Att 80 · Déf 50
Att.Spé 40 · Déf.Spé 50 · Vit 25
Total 325
Talents : Puanteur, Glu (caché : Toxitouche)</t>
      </text>
    </comment>
    <comment ref="E2142" authorId="0" shapeId="0">
      <text>
        <t>METAMORPH — Normal
PV 48 · Att 48 · Déf 48
Att.Spé 48 · Déf.Spé 48 · Vit 48
Total 288
Talents : Échauffement (caché : Imposteur)</t>
      </text>
    </comment>
    <comment ref="E2143" authorId="0" shapeId="0">
      <text>
        <t>RONDOUDOU
PV 115 · Att 45 · Déf 20
Att.Spé 45 · Déf.Spé 25 · Vit 20
Total 270
Talents : Joli Sourire, Battant (caché :
  Garde-Ami)</t>
      </text>
    </comment>
    <comment ref="E2144" authorId="0" shapeId="0">
      <text>
        <t>SOPORIFIK — Psy
PV 60 · Att 48 · Déf 45
Att.Spé 43 · Déf.Spé 90 · Vit 42
Total 328
Talents : Insomnia, Prédiction (caché :
  Attention)</t>
      </text>
    </comment>
    <comment ref="E2145" authorId="0" shapeId="0">
      <text>
        <t>TADMORV — Poison
PV 80 · Att 80 · Déf 50
Att.Spé 40 · Déf.Spé 50 · Vit 25
Total 325
Talents : Puanteur, Glu (caché : Toxitouche)</t>
      </text>
    </comment>
    <comment ref="E2146" authorId="0" shapeId="0">
      <text>
        <t>ABRA — Psy
PV 25 · Att 20 · Déf 15
Att.Spé 105 · Déf.Spé 55 · Vit 90
Total 310
Talents : Synchro, Attention (caché : Garde
  Magik)</t>
      </text>
    </comment>
    <comment ref="E2147" authorId="0" shapeId="0">
      <text>
        <t>SNUBBULL — Fée
PV 60 · Att 80 · Déf 50
Att.Spé 40 · Déf.Spé 40 · Vit 30
Total 300
Talents : Intimidation, Fuite (caché :
  Phobique)</t>
      </text>
    </comment>
    <comment ref="E2148" authorId="0" shapeId="0">
      <text>
        <t>METAMORPH — Normal
PV 48 · Att 48 · Déf 48
Att.Spé 48 · Déf.Spé 48 · Vit 48
Total 288
Talents : Échauffement (caché : Imposteur)</t>
      </text>
    </comment>
    <comment ref="E2149" authorId="0" shapeId="0">
      <text>
        <t>RONDOUDOU
PV 115 · Att 45 · Déf 20
Att.Spé 45 · Déf.Spé 25 · Vit 20
Total 270
Talents : Joli Sourire, Battant (caché :
  Garde-Ami)</t>
      </text>
    </comment>
    <comment ref="E2150" authorId="0" shapeId="0">
      <text>
        <t>TENTACOOL — Eau / Poison
PV 40 · Att 40 · Déf 35
Att.Spé 50 · Déf.Spé 100 · Vit 70
Total 335
Talents : Corps Sain, Suintement (caché :
  Cuvette)</t>
      </text>
    </comment>
    <comment ref="E2151" authorId="0" shapeId="0">
      <text>
        <t>TENTACRUEL — Eau / Poison
PV 80 · Att 70 · Déf 65
Att.Spé 80 · Déf.Spé 120 · Vit 100
Total 515
Talents : Corps Sain, Suintement (caché :
  Cuvette)</t>
      </text>
    </comment>
    <comment ref="E2152" authorId="0" shapeId="0">
      <text>
        <t>TENTACOOL — Eau / Poison
PV 40 · Att 40 · Déf 35
Att.Spé 50 · Déf.Spé 100 · Vit 70
Total 335
Talents : Corps Sain, Suintement (caché :
  Cuvette)</t>
      </text>
    </comment>
    <comment ref="E2153" authorId="0" shapeId="0">
      <text>
        <t>TENTACRUEL — Eau / Poison
PV 80 · Att 70 · Déf 65
Att.Spé 80 · Déf.Spé 120 · Vit 100
Total 515
Talents : Corps Sain, Suintement (caché :
  Cuvette)</t>
      </text>
    </comment>
    <comment ref="E2154" authorId="0" shapeId="0">
      <text>
        <t>POMDEPIK — Insecte
PV 50 · Att 65 · Déf 90
Att.Spé 35 · Déf.Spé 35 · Vit 15
Total 290
Talents : Fermeté (caché : Envelocape)</t>
      </text>
    </comment>
    <comment ref="E2155" authorId="0" shapeId="0">
      <text>
        <t>NOEUNOEUF — Plante / Psy
PV 60 · Att 40 · Déf 80
Att.Spé 60 · Déf.Spé 45 · Vit 40
Total 325
Talents : Chlorophylle (caché : Récolte)</t>
      </text>
    </comment>
    <comment ref="E2156" authorId="0" shapeId="0">
      <text>
        <t>COXY — Insecte / Vol
PV 40 · Att 20 · Déf 30
Att.Spé 40 · Déf.Spé 80 · Vit 55
Total 265
Talents : Essaim, Matinal (caché : Phobique)</t>
      </text>
    </comment>
    <comment ref="E2157" authorId="0" shapeId="0">
      <text>
        <t>MIMIGAL — Insecte / Poison
PV 40 · Att 60 · Déf 40
Att.Spé 40 · Déf.Spé 40 · Vit 30
Total 250
Talents : Essaim, Insomnia (caché : Sniper)</t>
      </text>
    </comment>
    <comment ref="E2158" authorId="0" shapeId="0">
      <text>
        <t>POMDEPIK — Insecte
PV 50 · Att 65 · Déf 90
Att.Spé 35 · Déf.Spé 35 · Vit 15
Total 290
Talents : Fermeté (caché : Envelocape)</t>
      </text>
    </comment>
    <comment ref="E2159" authorId="0" shapeId="0">
      <text>
        <t>NOEUNOEUF — Plante / Psy
PV 60 · Att 40 · Déf 80
Att.Spé 60 · Déf.Spé 45 · Vit 40
Total 325
Talents : Chlorophylle (caché : Récolte)</t>
      </text>
    </comment>
    <comment ref="E2160" authorId="0" shapeId="0">
      <text>
        <t>COXY — Insecte / Vol
PV 40 · Att 20 · Déf 30
Att.Spé 40 · Déf.Spé 80 · Vit 55
Total 265
Talents : Essaim, Matinal (caché : Phobique)</t>
      </text>
    </comment>
    <comment ref="E2161" authorId="0" shapeId="0">
      <text>
        <t>MIMIGAL — Insecte / Poison
PV 40 · Att 60 · Déf 40
Att.Spé 40 · Déf.Spé 40 · Vit 30
Total 250
Talents : Essaim, Insomnia (caché : Sniper)</t>
      </text>
    </comment>
    <comment ref="E2162" authorId="0" shapeId="0">
      <text>
        <t>MAGICARPE — Eau
PV 20 · Att 10 · Déf 55
Att.Spé 15 · Déf.Spé 20 · Vit 80
Total 200
Talents : Glissade (caché : Phobique)</t>
      </text>
    </comment>
    <comment ref="E2163" authorId="0" shapeId="0">
      <text>
        <t>KRABBY — Eau
PV 30 · Att 105 · Déf 90
Att.Spé 25 · Déf.Spé 25 · Vit 50
Total 325
Talents : Hyper Cutter, Coque Armure (caché :
  Sans Limite)</t>
      </text>
    </comment>
    <comment ref="E2164" authorId="0" shapeId="0">
      <text>
        <t>MAGICARPE — Eau
PV 20 · Att 10 · Déf 55
Att.Spé 15 · Déf.Spé 20 · Vit 80
Total 200
Talents : Glissade (caché : Phobique)</t>
      </text>
    </comment>
    <comment ref="E2165" authorId="0" shapeId="0">
      <text>
        <t>KRABBY — Eau
PV 30 · Att 105 · Déf 90
Att.Spé 25 · Déf.Spé 25 · Vit 50
Total 325
Talents : Hyper Cutter, Coque Armure (caché :
  Sans Limite)</t>
      </text>
    </comment>
    <comment ref="E2166" authorId="0" shapeId="0">
      <text>
        <t>KRABBY — Eau
PV 30 · Att 105 · Déf 90
Att.Spé 25 · Déf.Spé 25 · Vit 50
Total 325
Talents : Hyper Cutter, Coque Armure (caché :
  Sans Limite)</t>
      </text>
    </comment>
    <comment ref="E2167" authorId="0" shapeId="0">
      <text>
        <t>CORAYON — Eau / Roche
PV 65 · Att 55 · Déf 95
Att.Spé 65 · Déf.Spé 95 · Vit 35
Total 410
Talents : Agitation, Médic Nature (caché :
  Régé-Force)</t>
      </text>
    </comment>
    <comment ref="E2168" authorId="0" shapeId="0">
      <text>
        <t>MAGICARPE — Eau
PV 20 · Att 10 · Déf 55
Att.Spé 15 · Déf.Spé 20 · Vit 80
Total 200
Talents : Glissade (caché : Phobique)</t>
      </text>
    </comment>
    <comment ref="E2169" authorId="0" shapeId="0">
      <text>
        <t>KRABBY — Eau
PV 30 · Att 105 · Déf 90
Att.Spé 25 · Déf.Spé 25 · Vit 50
Total 325
Talents : Hyper Cutter, Coque Armure (caché :
  Sans Limite)</t>
      </text>
    </comment>
    <comment ref="E2170" authorId="0" shapeId="0">
      <text>
        <t>CORAYON — Eau / Roche
PV 65 · Att 55 · Déf 95
Att.Spé 65 · Déf.Spé 95 · Vit 35
Total 410
Talents : Agitation, Médic Nature (caché :
  Régé-Force)</t>
      </text>
    </comment>
    <comment ref="E2171" authorId="0" shapeId="0">
      <text>
        <t>MAGICARPE — Eau
PV 20 · Att 10 · Déf 55
Att.Spé 15 · Déf.Spé 20 · Vit 80
Total 200
Talents : Glissade (caché : Phobique)</t>
      </text>
    </comment>
    <comment ref="E2172" authorId="0" shapeId="0">
      <text>
        <t>STARI — Eau
PV 30 · Att 45 · Déf 55
Att.Spé 70 · Déf.Spé 55 · Vit 85
Total 340
Talents : Lumiattirance, Médic Nature (caché :
  Analyste)</t>
      </text>
    </comment>
    <comment ref="E2173" authorId="0" shapeId="0">
      <text>
        <t>KRABBY — Eau
PV 30 · Att 105 · Déf 90
Att.Spé 25 · Déf.Spé 25 · Vit 50
Total 325
Talents : Hyper Cutter, Coque Armure (caché :
  Sans Limite)</t>
      </text>
    </comment>
    <comment ref="E2174" authorId="0" shapeId="0">
      <text>
        <t>CORAYON — Eau / Roche
PV 65 · Att 55 · Déf 95
Att.Spé 65 · Déf.Spé 95 · Vit 35
Total 410
Talents : Agitation, Médic Nature (caché :
  Régé-Force)</t>
      </text>
    </comment>
    <comment ref="E2175" authorId="0" shapeId="0">
      <text>
        <t>KRABBOSS — Eau
PV 55 · Att 130 · Déf 115
Att.Spé 50 · Déf.Spé 50 · Vit 75
Total 475
Talents : Hyper Cutter, Coque Armure (caché :
  Sans Limite)</t>
      </text>
    </comment>
    <comment ref="E2176" authorId="0" shapeId="0">
      <text>
        <t>STARI — Eau
PV 30 · Att 45 · Déf 55
Att.Spé 70 · Déf.Spé 55 · Vit 85
Total 340
Talents : Lumiattirance, Médic Nature (caché :
  Analyste)</t>
      </text>
    </comment>
    <comment ref="E2177" authorId="0" shapeId="0">
      <text>
        <t>KRABBY — Eau
PV 30 · Att 105 · Déf 90
Att.Spé 25 · Déf.Spé 25 · Vit 50
Total 325
Talents : Hyper Cutter, Coque Armure (caché :
  Sans Limite)</t>
      </text>
    </comment>
    <comment ref="E2178" authorId="0" shapeId="0">
      <text>
        <t>CORAYON — Eau / Roche
PV 65 · Att 55 · Déf 95
Att.Spé 65 · Déf.Spé 95 · Vit 35
Total 410
Talents : Agitation, Médic Nature (caché :
  Régé-Force)</t>
      </text>
    </comment>
    <comment ref="E2179" authorId="0" shapeId="0">
      <text>
        <t>KRABBOSS — Eau
PV 55 · Att 130 · Déf 115
Att.Spé 50 · Déf.Spé 50 · Vit 75
Total 475
Talents : Hyper Cutter, Coque Armure (caché :
  Sans Limite)</t>
      </text>
    </comment>
    <comment ref="E2180" authorId="0" shapeId="0">
      <text>
        <t>ROUCOOL — Normal / Vol
PV 40 · Att 45 · Déf 40
Att.Spé 35 · Déf.Spé 35 · Vit 56
Total 251
Talents : Regard Vif, Pieds Confus (caché :
  Cœur de Coq)</t>
      </text>
    </comment>
    <comment ref="E2181" authorId="0" shapeId="0">
      <text>
        <t>SNUBBULL — Fée
PV 60 · Att 80 · Déf 50
Att.Spé 40 · Déf.Spé 40 · Vit 30
Total 300
Talents : Intimidation, Fuite (caché :
  Phobique)</t>
      </text>
    </comment>
    <comment ref="E2182" authorId="0" shapeId="0">
      <text>
        <t>YANMA — Insecte / Vol
PV 65 · Att 65 · Déf 45
Att.Spé 75 · Déf.Spé 45 · Vit 95
Total 390
Talents : Turbo, Œil Composé (caché : Fouille)</t>
      </text>
    </comment>
    <comment ref="E2183" authorId="0" shapeId="0">
      <text>
        <t>ABRA — Psy
PV 25 · Att 20 · Déf 15
Att.Spé 105 · Déf.Spé 55 · Vit 90
Total 310
Talents : Synchro, Attention (caché : Garde
  Magik)</t>
      </text>
    </comment>
    <comment ref="E2184" authorId="0" shapeId="0">
      <text>
        <t>CANINOS — Feu
PV 55 · Att 70 · Déf 45
Att.Spé 70 · Déf.Spé 50 · Vit 60
Total 350
Talents : Intimidation, Torche (caché : Cœur
  Noble)</t>
      </text>
    </comment>
    <comment ref="E2185" authorId="0" shapeId="0">
      <text>
        <t>CANINOS — Feu
PV 55 · Att 70 · Déf 45
Att.Spé 70 · Déf.Spé 50 · Vit 60
Total 350
Talents : Intimidation, Torche (caché : Cœur
  Noble)</t>
      </text>
    </comment>
    <comment ref="E2186" authorId="0" shapeId="0">
      <text>
        <t>PSYKOKWAK — Eau
PV 50 · Att 52 · Déf 48
Att.Spé 65 · Déf.Spé 50 · Vit 55
Total 320
Talents : Moiteur, Ciel Gris (caché :
  Glissade)</t>
      </text>
    </comment>
    <comment ref="E2187" authorId="0" shapeId="0">
      <text>
        <t>YANMA — Insecte / Vol
PV 65 · Att 65 · Déf 45
Att.Spé 75 · Déf.Spé 45 · Vit 95
Total 390
Talents : Turbo, Œil Composé (caché : Fouille)</t>
      </text>
    </comment>
    <comment ref="E2188" authorId="0" shapeId="0">
      <text>
        <t>ABRA — Psy
PV 25 · Att 20 · Déf 15
Att.Spé 105 · Déf.Spé 55 · Vit 90
Total 310
Talents : Synchro, Attention (caché : Garde
  Magik)</t>
      </text>
    </comment>
    <comment ref="E2189" authorId="0" shapeId="0">
      <text>
        <t>METAMORPH — Normal
PV 48 · Att 48 · Déf 48
Att.Spé 48 · Déf.Spé 48 · Vit 48
Total 288
Talents : Échauffement (caché : Imposteur)</t>
      </text>
    </comment>
    <comment ref="E2190" authorId="0" shapeId="0">
      <text>
        <t>PSYKOKWAK — Eau
PV 50 · Att 52 · Déf 48
Att.Spé 65 · Déf.Spé 50 · Vit 55
Total 320
Talents : Moiteur, Ciel Gris (caché :
  Glissade)</t>
      </text>
    </comment>
    <comment ref="E2191" authorId="0" shapeId="0">
      <text>
        <t>AKWAKWAK — Eau
PV 80 · Att 82 · Déf 78
Att.Spé 95 · Déf.Spé 80 · Vit 85
Total 500
Talents : Moiteur, Ciel Gris (caché :
  Glissade)</t>
      </text>
    </comment>
    <comment ref="E2192" authorId="0" shapeId="0">
      <text>
        <t>PSYKOKWAK — Eau
PV 50 · Att 52 · Déf 48
Att.Spé 65 · Déf.Spé 50 · Vit 55
Total 320
Talents : Moiteur, Ciel Gris (caché :
  Glissade)</t>
      </text>
    </comment>
    <comment ref="E2193" authorId="0" shapeId="0">
      <text>
        <t>AKWAKWAK — Eau
PV 80 · Att 82 · Déf 78
Att.Spé 95 · Déf.Spé 80 · Vit 85
Total 500
Talents : Moiteur, Ciel Gris (caché :
  Glissade)</t>
      </text>
    </comment>
    <comment ref="E2194" authorId="0" shapeId="0">
      <text>
        <t>POMDEPIK — Insecte
PV 50 · Att 65 · Déf 90
Att.Spé 35 · Déf.Spé 35 · Vit 15
Total 290
Talents : Fermeté (caché : Envelocape)</t>
      </text>
    </comment>
    <comment ref="E2195" authorId="0" shapeId="0">
      <text>
        <t>NOEUNOEUF — Plante / Psy
PV 60 · Att 40 · Déf 80
Att.Spé 60 · Déf.Spé 45 · Vit 40
Total 325
Talents : Chlorophylle (caché : Récolte)</t>
      </text>
    </comment>
    <comment ref="E2196" authorId="0" shapeId="0">
      <text>
        <t>COXY — Insecte / Vol
PV 40 · Att 20 · Déf 30
Att.Spé 40 · Déf.Spé 80 · Vit 55
Total 265
Talents : Essaim, Matinal (caché : Phobique)</t>
      </text>
    </comment>
    <comment ref="E2197" authorId="0" shapeId="0">
      <text>
        <t>MIMIGAL — Insecte / Poison
PV 40 · Att 60 · Déf 40
Att.Spé 40 · Déf.Spé 40 · Vit 30
Total 250
Talents : Essaim, Insomnia (caché : Sniper)</t>
      </text>
    </comment>
    <comment ref="E2198" authorId="0" shapeId="0">
      <text>
        <t>POMDEPIK — Insecte
PV 50 · Att 65 · Déf 90
Att.Spé 35 · Déf.Spé 35 · Vit 15
Total 290
Talents : Fermeté (caché : Envelocape)</t>
      </text>
    </comment>
    <comment ref="E2199" authorId="0" shapeId="0">
      <text>
        <t>NOEUNOEUF — Plante / Psy
PV 60 · Att 40 · Déf 80
Att.Spé 60 · Déf.Spé 45 · Vit 40
Total 325
Talents : Chlorophylle (caché : Récolte)</t>
      </text>
    </comment>
    <comment ref="E2200" authorId="0" shapeId="0">
      <text>
        <t>COXY — Insecte / Vol
PV 40 · Att 20 · Déf 30
Att.Spé 40 · Déf.Spé 80 · Vit 55
Total 265
Talents : Essaim, Matinal (caché : Phobique)</t>
      </text>
    </comment>
    <comment ref="E2201" authorId="0" shapeId="0">
      <text>
        <t>MIMIGAL — Insecte / Poison
PV 40 · Att 60 · Déf 40
Att.Spé 40 · Déf.Spé 40 · Vit 30
Total 250
Talents : Essaim, Insomnia (caché : Sniper)</t>
      </text>
    </comment>
    <comment ref="E2202" authorId="0" shapeId="0">
      <text>
        <t>MAGICARPE — Eau
PV 20 · Att 10 · Déf 55
Att.Spé 15 · Déf.Spé 20 · Vit 80
Total 200
Talents : Glissade (caché : Phobique)</t>
      </text>
    </comment>
    <comment ref="E2203" authorId="0" shapeId="0">
      <text>
        <t>PTITARD — Eau
PV 40 · Att 50 · Déf 40
Att.Spé 40 · Déf.Spé 40 · Vit 90
Total 300
Talents : Absorbe-Eau, Moiteur (caché :
  Glissade)</t>
      </text>
    </comment>
    <comment ref="E2204" authorId="0" shapeId="0">
      <text>
        <t>MAGICARPE — Eau
PV 20 · Att 10 · Déf 55
Att.Spé 15 · Déf.Spé 20 · Vit 80
Total 200
Talents : Glissade (caché : Phobique)</t>
      </text>
    </comment>
    <comment ref="E2205" authorId="0" shapeId="0">
      <text>
        <t>PTITARD — Eau
PV 40 · Att 50 · Déf 40
Att.Spé 40 · Déf.Spé 40 · Vit 90
Total 300
Talents : Absorbe-Eau, Moiteur (caché :
  Glissade)</t>
      </text>
    </comment>
    <comment ref="E2206" authorId="0" shapeId="0">
      <text>
        <t>PTITARD — Eau
PV 40 · Att 50 · Déf 40
Att.Spé 40 · Déf.Spé 40 · Vit 90
Total 300
Talents : Absorbe-Eau, Moiteur (caché :
  Glissade)</t>
      </text>
    </comment>
    <comment ref="E2207" authorId="0" shapeId="0">
      <text>
        <t>MAGICARPE — Eau
PV 20 · Att 10 · Déf 55
Att.Spé 15 · Déf.Spé 20 · Vit 80
Total 200
Talents : Glissade (caché : Phobique)</t>
      </text>
    </comment>
    <comment ref="E2208" authorId="0" shapeId="0">
      <text>
        <t>PTITARD — Eau
PV 40 · Att 50 · Déf 40
Att.Spé 40 · Déf.Spé 40 · Vit 90
Total 300
Talents : Absorbe-Eau, Moiteur (caché :
  Glissade)</t>
      </text>
    </comment>
    <comment ref="E2209" authorId="0" shapeId="0">
      <text>
        <t>MAGICARPE — Eau
PV 20 · Att 10 · Déf 55
Att.Spé 15 · Déf.Spé 20 · Vit 80
Total 200
Talents : Glissade (caché : Phobique)</t>
      </text>
    </comment>
    <comment ref="E2210" authorId="0" shapeId="0">
      <text>
        <t>MAGICARPE — Eau
PV 20 · Att 10 · Déf 55
Att.Spé 15 · Déf.Spé 20 · Vit 80
Total 200
Talents : Glissade (caché : Phobique)</t>
      </text>
    </comment>
    <comment ref="E2211" authorId="0" shapeId="0">
      <text>
        <t>TETARTE — Eau
PV 65 · Att 65 · Déf 65
Att.Spé 50 · Déf.Spé 50 · Vit 90
Total 385
Talents : Absorbe-Eau, Moiteur (caché :
  Glissade)</t>
      </text>
    </comment>
    <comment ref="E2212" authorId="0" shapeId="0">
      <text>
        <t>PTITARD — Eau
PV 40 · Att 50 · Déf 40
Att.Spé 40 · Déf.Spé 40 · Vit 90
Total 300
Talents : Absorbe-Eau, Moiteur (caché :
  Glissade)</t>
      </text>
    </comment>
    <comment ref="E2213" authorId="0" shapeId="0">
      <text>
        <t>MAGICARPE — Eau
PV 20 · Att 10 · Déf 55
Att.Spé 15 · Déf.Spé 20 · Vit 80
Total 200
Talents : Glissade (caché : Phobique)</t>
      </text>
    </comment>
    <comment ref="E2214" authorId="0" shapeId="0">
      <text>
        <t>TETARTE — Eau
PV 65 · Att 65 · Déf 65
Att.Spé 50 · Déf.Spé 50 · Vit 90
Total 385
Talents : Absorbe-Eau, Moiteur (caché :
  Glissade)</t>
      </text>
    </comment>
    <comment ref="E2215" authorId="0" shapeId="0">
      <text>
        <t>PTITARD — Eau
PV 40 · Att 50 · Déf 40
Att.Spé 40 · Déf.Spé 40 · Vit 90
Total 300
Talents : Absorbe-Eau, Moiteur (caché :
  Glissade)</t>
      </text>
    </comment>
    <comment ref="E2216" authorId="0" shapeId="0">
      <text>
        <t>RATTATA — Normal
PV 30 · Att 56 · Déf 35
Att.Spé 25 · Déf.Spé 35 · Vit 72
Total 253
Talents : Fuite, Cran (caché : Agitation)</t>
      </text>
    </comment>
    <comment ref="E2217" authorId="0" shapeId="0">
      <text>
        <t>CHETIFLOR — Plante / Poison
PV 50 · Att 75 · Déf 35
Att.Spé 70 · Déf.Spé 30 · Vit 40
Total 300
Talents : Chlorophylle (caché : Gloutonnerie)</t>
      </text>
    </comment>
    <comment ref="E2218" authorId="0" shapeId="0">
      <text>
        <t>ROUCOOL — Normal / Vol
PV 40 · Att 45 · Déf 40
Att.Spé 35 · Déf.Spé 35 · Vit 56
Total 251
Talents : Regard Vif, Pieds Confus (caché :
  Cœur de Coq)</t>
      </text>
    </comment>
    <comment ref="E2219" authorId="0" shapeId="0">
      <text>
        <t>CANINOS — Feu
PV 55 · Att 70 · Déf 45
Att.Spé 70 · Déf.Spé 50 · Vit 60
Total 350
Talents : Intimidation, Torche (caché : Cœur
  Noble)</t>
      </text>
    </comment>
    <comment ref="E2220" authorId="0" shapeId="0">
      <text>
        <t>FANTOMINUS — Spectre / Poison
PV 30 · Att 35 · Déf 30
Att.Spé 100 · Déf.Spé 35 · Vit 80
Total 310
Talents : Lévitation</t>
      </text>
    </comment>
    <comment ref="E2221" authorId="0" shapeId="0">
      <text>
        <t>RATTATA — Normal
PV 30 · Att 56 · Déf 35
Att.Spé 25 · Déf.Spé 35 · Vit 72
Total 253
Talents : Fuite, Cran (caché : Agitation)</t>
      </text>
    </comment>
    <comment ref="E2222" authorId="0" shapeId="0">
      <text>
        <t>HOOTHOOT — Normal / Vol
PV 60 · Att 30 · Déf 30
Att.Spé 36 · Déf.Spé 56 · Vit 50
Total 262
Talents : Insomnia, Regard Vif (caché :
  Lentiteintée)</t>
      </text>
    </comment>
    <comment ref="E2223" authorId="0" shapeId="0">
      <text>
        <t>MALOSSE — Ténèbres / Feu
PV 45 · Att 60 · Déf 30
Att.Spé 80 · Déf.Spé 50 · Vit 65
Total 330
Talents : Matinal, Torche (caché : Tension)</t>
      </text>
    </comment>
    <comment ref="E2224" authorId="0" shapeId="0">
      <text>
        <t>POMDEPIK — Insecte
PV 50 · Att 65 · Déf 90
Att.Spé 35 · Déf.Spé 35 · Vit 15
Total 290
Talents : Fermeté (caché : Envelocape)</t>
      </text>
    </comment>
    <comment ref="E2225" authorId="0" shapeId="0">
      <text>
        <t>NOEUNOEUF — Plante / Psy
PV 60 · Att 40 · Déf 80
Att.Spé 60 · Déf.Spé 45 · Vit 40
Total 325
Talents : Chlorophylle (caché : Récolte)</t>
      </text>
    </comment>
    <comment ref="E2226" authorId="0" shapeId="0">
      <text>
        <t>COXY — Insecte / Vol
PV 40 · Att 20 · Déf 30
Att.Spé 40 · Déf.Spé 80 · Vit 55
Total 265
Talents : Essaim, Matinal (caché : Phobique)</t>
      </text>
    </comment>
    <comment ref="E2227" authorId="0" shapeId="0">
      <text>
        <t>MIMIGAL — Insecte / Poison
PV 40 · Att 60 · Déf 40
Att.Spé 40 · Déf.Spé 40 · Vit 30
Total 250
Talents : Essaim, Insomnia (caché : Sniper)</t>
      </text>
    </comment>
    <comment ref="E2228" authorId="0" shapeId="0">
      <text>
        <t>POMDEPIK — Insecte
PV 50 · Att 65 · Déf 90
Att.Spé 35 · Déf.Spé 35 · Vit 15
Total 290
Talents : Fermeté (caché : Envelocape)</t>
      </text>
    </comment>
    <comment ref="E2229" authorId="0" shapeId="0">
      <text>
        <t>NOEUNOEUF — Plante / Psy
PV 60 · Att 40 · Déf 80
Att.Spé 60 · Déf.Spé 45 · Vit 40
Total 325
Talents : Chlorophylle (caché : Récolte)</t>
      </text>
    </comment>
    <comment ref="E2230" authorId="0" shapeId="0">
      <text>
        <t>COXY — Insecte / Vol
PV 40 · Att 20 · Déf 30
Att.Spé 40 · Déf.Spé 80 · Vit 55
Total 265
Talents : Essaim, Matinal (caché : Phobique)</t>
      </text>
    </comment>
    <comment ref="E2231" authorId="0" shapeId="0">
      <text>
        <t>MIMIGAL — Insecte / Poison
PV 40 · Att 60 · Déf 40
Att.Spé 40 · Déf.Spé 40 · Vit 30
Total 250
Talents : Essaim, Insomnia (caché : Sniper)</t>
      </text>
    </comment>
    <comment ref="E2232" authorId="0" shapeId="0">
      <text>
        <t>CANINOS — Feu
PV 55 · Att 70 · Déf 45
Att.Spé 70 · Déf.Spé 50 · Vit 60
Total 350
Talents : Intimidation, Torche (caché : Cœur
  Noble)</t>
      </text>
    </comment>
    <comment ref="E2233" authorId="0" shapeId="0">
      <text>
        <t>GOUPIX — Feu
PV 38 · Att 41 · Déf 40
Att.Spé 50 · Déf.Spé 65 · Vit 65
Total 299
Talents : Torche (caché : Sécheresse)</t>
      </text>
    </comment>
    <comment ref="E2234" authorId="0" shapeId="0">
      <text>
        <t>ROUCOOL — Normal / Vol
PV 40 · Att 45 · Déf 40
Att.Spé 35 · Déf.Spé 35 · Vit 56
Total 251
Talents : Regard Vif, Pieds Confus (caché :
  Cœur de Coq)</t>
      </text>
    </comment>
    <comment ref="E2235" authorId="0" shapeId="0">
      <text>
        <t>CERFROUSSE — Normal
PV 73 · Att 95 · Déf 62
Att.Spé 85 · Déf.Spé 65 · Vit 85
Total 465
Talents : Intimidation, Fouille (caché :
  Herbivore)</t>
      </text>
    </comment>
    <comment ref="E2236" authorId="0" shapeId="0">
      <text>
        <t>ROUCOUPS — Normal / Vol
PV 63 · Att 60 · Déf 55
Att.Spé 50 · Déf.Spé 50 · Vit 71
Total 349
Talents : Regard Vif, Pieds Confus (caché :
  Cœur de Coq)</t>
      </text>
    </comment>
    <comment ref="E2237" authorId="0" shapeId="0">
      <text>
        <t>COXYCLAQUE — Insecte / Vol
PV 55 · Att 35 · Déf 50
Att.Spé 55 · Déf.Spé 110 · Vit 85
Total 390
Talents : Essaim, Matinal (caché : Poing de
  Fer)</t>
      </text>
    </comment>
    <comment ref="E2238" authorId="0" shapeId="0">
      <text>
        <t>MIMIGAL — Insecte / Poison
PV 40 · Att 60 · Déf 40
Att.Spé 40 · Déf.Spé 40 · Vit 30
Total 250
Talents : Essaim, Insomnia (caché : Sniper)</t>
      </text>
    </comment>
    <comment ref="E2239" authorId="0" shapeId="0">
      <text>
        <t>CERFROUSSE — Normal
PV 73 · Att 95 · Déf 62
Att.Spé 85 · Déf.Spé 65 · Vit 85
Total 465
Talents : Intimidation, Fouille (caché :
  Herbivore)</t>
      </text>
    </comment>
    <comment ref="E2240" authorId="0" shapeId="0">
      <text>
        <t>HOOTHOOT — Normal / Vol
PV 60 · Att 30 · Déf 30
Att.Spé 36 · Déf.Spé 56 · Vit 50
Total 262
Talents : Insomnia, Regard Vif (caché :
  Lentiteintée)</t>
      </text>
    </comment>
    <comment ref="E2241" authorId="0" shapeId="0">
      <text>
        <t>GOUPIX — Feu
PV 38 · Att 41 · Déf 40
Att.Spé 50 · Déf.Spé 65 · Vit 65
Total 299
Talents : Torche (caché : Sécheresse)</t>
      </text>
    </comment>
    <comment ref="E2242" authorId="0" shapeId="0">
      <text>
        <t>MIGALOS — Insecte / Poison
PV 70 · Att 90 · Déf 70
Att.Spé 60 · Déf.Spé 70 · Vit 40
Total 400
Talents : Essaim, Insomnia (caché : Sniper)</t>
      </text>
    </comment>
    <comment ref="E2243" authorId="0" shapeId="0">
      <text>
        <t>NOARFANG — Normal / Vol
PV 100 · Att 50 · Déf 50
Att.Spé 86 · Déf.Spé 96 · Vit 70
Total 452
Talents : Insomnia, Regard Vif (caché :
  Lentiteintée)</t>
      </text>
    </comment>
    <comment ref="E2244" authorId="0" shapeId="0">
      <text>
        <t>POMDEPIK — Insecte
PV 50 · Att 65 · Déf 90
Att.Spé 35 · Déf.Spé 35 · Vit 15
Total 290
Talents : Fermeté (caché : Envelocape)</t>
      </text>
    </comment>
    <comment ref="E2245" authorId="0" shapeId="0">
      <text>
        <t>NOEUNOEUF — Plante / Psy
PV 60 · Att 40 · Déf 80
Att.Spé 60 · Déf.Spé 45 · Vit 40
Total 325
Talents : Chlorophylle (caché : Récolte)</t>
      </text>
    </comment>
    <comment ref="E2246" authorId="0" shapeId="0">
      <text>
        <t>COXY — Insecte / Vol
PV 40 · Att 20 · Déf 30
Att.Spé 40 · Déf.Spé 80 · Vit 55
Total 265
Talents : Essaim, Matinal (caché : Phobique)</t>
      </text>
    </comment>
    <comment ref="E2247" authorId="0" shapeId="0">
      <text>
        <t>MIMIGAL — Insecte / Poison
PV 40 · Att 60 · Déf 40
Att.Spé 40 · Déf.Spé 40 · Vit 30
Total 250
Talents : Essaim, Insomnia (caché : Sniper)</t>
      </text>
    </comment>
    <comment ref="E2248" authorId="0" shapeId="0">
      <text>
        <t>POMDEPIK — Insecte
PV 50 · Att 65 · Déf 90
Att.Spé 35 · Déf.Spé 35 · Vit 15
Total 290
Talents : Fermeté (caché : Envelocape)</t>
      </text>
    </comment>
    <comment ref="E2249" authorId="0" shapeId="0">
      <text>
        <t>NOEUNOEUF — Plante / Psy
PV 60 · Att 40 · Déf 80
Att.Spé 60 · Déf.Spé 45 · Vit 40
Total 325
Talents : Chlorophylle (caché : Récolte)</t>
      </text>
    </comment>
    <comment ref="E2250" authorId="0" shapeId="0">
      <text>
        <t>COXY — Insecte / Vol
PV 40 · Att 20 · Déf 30
Att.Spé 40 · Déf.Spé 80 · Vit 55
Total 265
Talents : Essaim, Matinal (caché : Phobique)</t>
      </text>
    </comment>
    <comment ref="E2251" authorId="0" shapeId="0">
      <text>
        <t>MIMIGAL — Insecte / Poison
PV 40 · Att 60 · Déf 40
Att.Spé 40 · Déf.Spé 40 · Vit 30
Total 250
Talents : Essaim, Insomnia (caché : Sniper)</t>
      </text>
    </comment>
    <comment ref="E2252" authorId="0" shapeId="0">
      <text>
        <t>ECREMEUH — Normal
PV 95 · Att 80 · Déf 105
Att.Spé 40 · Déf.Spé 70 · Vit 100
Total 490
Talents : Isograisse, Querelleur (caché :
  Herbivore)</t>
      </text>
    </comment>
    <comment ref="E2253" authorId="0" shapeId="0">
      <text>
        <t>MAGNETI — Électrik
PV 25 · Att 35 · Déf 70
Att.Spé 95 · Déf.Spé 55 · Vit 45
Total 325
Talents : Magnépiège, Fermeté (caché :
  Analyste)</t>
      </text>
    </comment>
    <comment ref="E2254" authorId="0" shapeId="0">
      <text>
        <t>DODUO — Normal / Vol
PV 35 · Att 85 · Déf 45
Att.Spé 35 · Déf.Spé 35 · Vit 75
Total 310
Talents : Fuite, Matinal (caché : Pieds
  Confus)</t>
      </text>
    </comment>
    <comment ref="E2255" authorId="0" shapeId="0">
      <text>
        <t>TAUROS — Normal
PV 75 · Att 100 · Déf 95
Att.Spé 40 · Déf.Spé 70 · Vit 110
Total 490
Talents : Intimidation, Colérique (caché :
  Sans Limite)</t>
      </text>
    </comment>
    <comment ref="E2256" authorId="0" shapeId="0">
      <text>
        <t>MIAOUSS — Normal
PV 40 · Att 45 · Déf 35
Att.Spé 40 · Déf.Spé 40 · Vit 90
Total 290
Talents : Ramassage, Technicien (caché :
  Tension)</t>
      </text>
    </comment>
    <comment ref="E2257" authorId="0" shapeId="0">
      <text>
        <t>RATTATAC — Normal
PV 55 · Att 81 · Déf 60
Att.Spé 50 · Déf.Spé 70 · Vit 97
Total 413
Talents : Fuite, Cran (caché : Agitation)</t>
      </text>
    </comment>
    <comment ref="E2258" authorId="0" shapeId="0">
      <text>
        <t>MAGNETI — Électrik
PV 25 · Att 35 · Déf 70
Att.Spé 95 · Déf.Spé 55 · Vit 45
Total 325
Talents : Magnépiège, Fermeté (caché :
  Analyste)</t>
      </text>
    </comment>
    <comment ref="E2259" authorId="0" shapeId="0">
      <text>
        <t>RATTATAC — Normal
PV 55 · Att 81 · Déf 60
Att.Spé 50 · Déf.Spé 70 · Vit 97
Total 413
Talents : Fuite, Cran (caché : Agitation)</t>
      </text>
    </comment>
    <comment ref="E2260" authorId="0" shapeId="0">
      <text>
        <t>MIAOUSS — Normal
PV 40 · Att 45 · Déf 35
Att.Spé 40 · Déf.Spé 40 · Vit 90
Total 290
Talents : Ramassage, Technicien (caché :
  Tension)</t>
      </text>
    </comment>
    <comment ref="E2261" authorId="0" shapeId="0">
      <text>
        <t>NOARFANG — Normal / Vol
PV 100 · Att 50 · Déf 50
Att.Spé 86 · Déf.Spé 96 · Vit 70
Total 452
Talents : Insomnia, Regard Vif (caché :
  Lentiteintée)</t>
      </text>
    </comment>
    <comment ref="E2262" authorId="0" shapeId="0">
      <text>
        <t>POMDEPIK — Insecte
PV 50 · Att 65 · Déf 90
Att.Spé 35 · Déf.Spé 35 · Vit 15
Total 290
Talents : Fermeté (caché : Envelocape)</t>
      </text>
    </comment>
    <comment ref="E2263" authorId="0" shapeId="0">
      <text>
        <t>NOEUNOEUF — Plante / Psy
PV 60 · Att 40 · Déf 80
Att.Spé 60 · Déf.Spé 45 · Vit 40
Total 325
Talents : Chlorophylle (caché : Récolte)</t>
      </text>
    </comment>
    <comment ref="E2264" authorId="0" shapeId="0">
      <text>
        <t>COXY — Insecte / Vol
PV 40 · Att 20 · Déf 30
Att.Spé 40 · Déf.Spé 80 · Vit 55
Total 265
Talents : Essaim, Matinal (caché : Phobique)</t>
      </text>
    </comment>
    <comment ref="E2265" authorId="0" shapeId="0">
      <text>
        <t>MIMIGAL — Insecte / Poison
PV 40 · Att 60 · Déf 40
Att.Spé 40 · Déf.Spé 40 · Vit 30
Total 250
Talents : Essaim, Insomnia (caché : Sniper)</t>
      </text>
    </comment>
    <comment ref="E2266" authorId="0" shapeId="0">
      <text>
        <t>POMDEPIK — Insecte
PV 50 · Att 65 · Déf 90
Att.Spé 35 · Déf.Spé 35 · Vit 15
Total 290
Talents : Fermeté (caché : Envelocape)</t>
      </text>
    </comment>
    <comment ref="E2267" authorId="0" shapeId="0">
      <text>
        <t>NOEUNOEUF — Plante / Psy
PV 60 · Att 40 · Déf 80
Att.Spé 60 · Déf.Spé 45 · Vit 40
Total 325
Talents : Chlorophylle (caché : Récolte)</t>
      </text>
    </comment>
    <comment ref="E2268" authorId="0" shapeId="0">
      <text>
        <t>COXY — Insecte / Vol
PV 40 · Att 20 · Déf 30
Att.Spé 40 · Déf.Spé 80 · Vit 55
Total 265
Talents : Essaim, Matinal (caché : Phobique)</t>
      </text>
    </comment>
    <comment ref="E2269" authorId="0" shapeId="0">
      <text>
        <t>MIMIGAL — Insecte / Poison
PV 40 · Att 60 · Déf 40
Att.Spé 40 · Déf.Spé 40 · Vit 30
Total 250
Talents : Essaim, Insomnia (caché : Sniper)</t>
      </text>
    </comment>
    <comment ref="E2270" authorId="0" shapeId="0">
      <text>
        <t>PONYTA — Feu
PV 50 · Att 85 · Déf 55
Att.Spé 65 · Déf.Spé 65 · Vit 90
Total 410
Talents : Fuite, Torche (caché : Corps Ardent)</t>
      </text>
    </comment>
    <comment ref="E2271" authorId="0" shapeId="0">
      <text>
        <t>RATTATAC — Normal
PV 55 · Att 81 · Déf 60
Att.Spé 50 · Déf.Spé 70 · Vit 97
Total 413
Talents : Fuite, Cran (caché : Agitation)</t>
      </text>
    </comment>
    <comment ref="E2272" authorId="0" shapeId="0">
      <text>
        <t>DODUO — Normal / Vol
PV 35 · Att 85 · Déf 45
Att.Spé 35 · Déf.Spé 35 · Vit 75
Total 310
Talents : Fuite, Matinal (caché : Pieds
  Confus)</t>
      </text>
    </comment>
    <comment ref="E2273" authorId="0" shapeId="0">
      <text>
        <t>MAGNETI — Électrik
PV 25 · Att 35 · Déf 70
Att.Spé 95 · Déf.Spé 55 · Vit 45
Total 325
Talents : Magnépiège, Fermeté (caché :
  Analyste)</t>
      </text>
    </comment>
    <comment ref="E2274" authorId="0" shapeId="0">
      <text>
        <t>ECREMEUH — Normal
PV 95 · Att 80 · Déf 105
Att.Spé 40 · Déf.Spé 70 · Vit 100
Total 490
Talents : Isograisse, Querelleur (caché :
  Herbivore)</t>
      </text>
    </comment>
    <comment ref="E2275" authorId="0" shapeId="0">
      <text>
        <t>TAUROS — Normal
PV 75 · Att 100 · Déf 95
Att.Spé 40 · Déf.Spé 70 · Vit 110
Total 490
Talents : Intimidation, Colérique (caché :
  Sans Limite)</t>
      </text>
    </comment>
    <comment ref="E2276" authorId="0" shapeId="0">
      <text>
        <t>MIAOUSS — Normal
PV 40 · Att 45 · Déf 35
Att.Spé 40 · Déf.Spé 40 · Vit 90
Total 290
Talents : Ramassage, Technicien (caché :
  Tension)</t>
      </text>
    </comment>
    <comment ref="E2277" authorId="0" shapeId="0">
      <text>
        <t>RATTATAC — Normal
PV 55 · Att 81 · Déf 60
Att.Spé 50 · Déf.Spé 70 · Vit 97
Total 413
Talents : Fuite, Cran (caché : Agitation)</t>
      </text>
    </comment>
    <comment ref="E2278" authorId="0" shapeId="0">
      <text>
        <t>NOARFANG — Normal / Vol
PV 100 · Att 50 · Déf 50
Att.Spé 86 · Déf.Spé 96 · Vit 70
Total 452
Talents : Insomnia, Regard Vif (caché :
  Lentiteintée)</t>
      </text>
    </comment>
    <comment ref="E2279" authorId="0" shapeId="0">
      <text>
        <t>MAGNETI — Électrik
PV 25 · Att 35 · Déf 70
Att.Spé 95 · Déf.Spé 55 · Vit 45
Total 325
Talents : Magnépiège, Fermeté (caché :
  Analyste)</t>
      </text>
    </comment>
    <comment ref="E2280" authorId="0" shapeId="0">
      <text>
        <t>POMDEPIK — Insecte
PV 50 · Att 65 · Déf 90
Att.Spé 35 · Déf.Spé 35 · Vit 15
Total 290
Talents : Fermeté (caché : Envelocape)</t>
      </text>
    </comment>
    <comment ref="E2281" authorId="0" shapeId="0">
      <text>
        <t>NOEUNOEUF — Plante / Psy
PV 60 · Att 40 · Déf 80
Att.Spé 60 · Déf.Spé 45 · Vit 40
Total 325
Talents : Chlorophylle (caché : Récolte)</t>
      </text>
    </comment>
    <comment ref="E2282" authorId="0" shapeId="0">
      <text>
        <t>COXY — Insecte / Vol
PV 40 · Att 20 · Déf 30
Att.Spé 40 · Déf.Spé 80 · Vit 55
Total 265
Talents : Essaim, Matinal (caché : Phobique)</t>
      </text>
    </comment>
    <comment ref="E2283" authorId="0" shapeId="0">
      <text>
        <t>MIMIGAL — Insecte / Poison
PV 40 · Att 60 · Déf 40
Att.Spé 40 · Déf.Spé 40 · Vit 30
Total 250
Talents : Essaim, Insomnia (caché : Sniper)</t>
      </text>
    </comment>
    <comment ref="E2284" authorId="0" shapeId="0">
      <text>
        <t>POMDEPIK — Insecte
PV 50 · Att 65 · Déf 90
Att.Spé 35 · Déf.Spé 35 · Vit 15
Total 290
Talents : Fermeté (caché : Envelocape)</t>
      </text>
    </comment>
    <comment ref="E2285" authorId="0" shapeId="0">
      <text>
        <t>NOEUNOEUF — Plante / Psy
PV 60 · Att 40 · Déf 80
Att.Spé 60 · Déf.Spé 45 · Vit 40
Total 325
Talents : Chlorophylle (caché : Récolte)</t>
      </text>
    </comment>
    <comment ref="E2286" authorId="0" shapeId="0">
      <text>
        <t>COXY — Insecte / Vol
PV 40 · Att 20 · Déf 30
Att.Spé 40 · Déf.Spé 80 · Vit 55
Total 265
Talents : Essaim, Matinal (caché : Phobique)</t>
      </text>
    </comment>
    <comment ref="E2287" authorId="0" shapeId="0">
      <text>
        <t>MIMIGAL — Insecte / Poison
PV 40 · Att 60 · Déf 40
Att.Spé 40 · Déf.Spé 40 · Vit 30
Total 250
Talents : Essaim, Insomnia (caché : Sniper)</t>
      </text>
    </comment>
    <comment ref="E2288" authorId="0" shapeId="0">
      <text>
        <t>PIAFABEC — Normal / Vol
PV 40 · Att 60 · Déf 30
Att.Spé 31 · Déf.Spé 31 · Vit 70
Total 262
Talents : Regard Vif (caché : Sniper)</t>
      </text>
    </comment>
    <comment ref="E2289" authorId="0" shapeId="0">
      <text>
        <t>RATTATA — Normal
PV 30 · Att 56 · Déf 35
Att.Spé 25 · Déf.Spé 35 · Vit 72
Total 253
Talents : Fuite, Cran (caché : Agitation)</t>
      </text>
    </comment>
    <comment ref="E2290" authorId="0" shapeId="0">
      <text>
        <t>ABO — Poison
PV 35 · Att 60 · Déf 44
Att.Spé 40 · Déf.Spé 54 · Vit 55
Total 288
Talents : Intimidation, Mue (caché : Tension)</t>
      </text>
    </comment>
    <comment ref="E2291" authorId="0" shapeId="0">
      <text>
        <t>SABELETTE — Sol
PV 50 · Att 75 · Déf 85
Att.Spé 20 · Déf.Spé 30 · Vit 40
Total 300
Talents : Voile Sable (caché : Baigne Sable)</t>
      </text>
    </comment>
    <comment ref="E2292" authorId="0" shapeId="0">
      <text>
        <t>RATTATAC — Normal
PV 55 · Att 81 · Déf 60
Att.Spé 50 · Déf.Spé 70 · Vit 97
Total 413
Talents : Fuite, Cran (caché : Agitation)</t>
      </text>
    </comment>
    <comment ref="E2293" authorId="0" shapeId="0">
      <text>
        <t>ARBOK — Poison
PV 60 · Att 95 · Déf 69
Att.Spé 65 · Déf.Spé 79 · Vit 80
Total 448
Talents : Intimidation, Mue (caché : Tension)</t>
      </text>
    </comment>
    <comment ref="E2294" authorId="0" shapeId="0">
      <text>
        <t>MANGRIFF — Normal
PV 73 · Att 115 · Déf 60
Att.Spé 60 · Déf.Spé 60 · Vit 90
Total 458
Talents : Vaccin (caché : Rage Poison)</t>
      </text>
    </comment>
    <comment ref="E2295" authorId="0" shapeId="0">
      <text>
        <t>RATTATA — Normal
PV 30 · Att 56 · Déf 35
Att.Spé 25 · Déf.Spé 35 · Vit 72
Total 253
Talents : Fuite, Cran (caché : Agitation)</t>
      </text>
    </comment>
    <comment ref="E2296" authorId="0" shapeId="0">
      <text>
        <t>RATTATAC — Normal
PV 55 · Att 81 · Déf 60
Att.Spé 50 · Déf.Spé 70 · Vit 97
Total 413
Talents : Fuite, Cran (caché : Agitation)</t>
      </text>
    </comment>
    <comment ref="E2297" authorId="0" shapeId="0">
      <text>
        <t>SEVIPER — Poison
PV 73 · Att 100 · Déf 60
Att.Spé 100 · Déf.Spé 60 · Vit 65
Total 458
Talents : Mue (caché : Infiltration)</t>
      </text>
    </comment>
    <comment ref="E2298" authorId="0" shapeId="0">
      <text>
        <t>NOSFERAPTI — Poison / Vol
PV 40 · Att 45 · Déf 35
Att.Spé 30 · Déf.Spé 40 · Vit 55
Total 245
Talents : Attention (caché : Infiltration)</t>
      </text>
    </comment>
    <comment ref="E2299" authorId="0" shapeId="0">
      <text>
        <t>MELOFEE
PV 70 · Att 45 · Déf 48
Att.Spé 60 · Déf.Spé 65 · Vit 35
Total 323
Talents : Joli Sourire, Garde Magik (caché :
  Garde-Ami)</t>
      </text>
    </comment>
    <comment ref="E2300" authorId="0" shapeId="0">
      <text>
        <t>POISSIRENE — Eau
PV 45 · Att 67 · Déf 60
Att.Spé 35 · Déf.Spé 50 · Vit 63
Total 320
Talents : Glissade, Ignifu-Voile (caché :
  Paratonnerre)</t>
      </text>
    </comment>
    <comment ref="E2301" authorId="0" shapeId="0">
      <text>
        <t>POISSOROY — Eau
PV 80 · Att 92 · Déf 65
Att.Spé 65 · Déf.Spé 80 · Vit 68
Total 450
Talents : Glissade, Ignifu-Voile (caché :
  Paratonnerre)</t>
      </text>
    </comment>
    <comment ref="E2302" authorId="0" shapeId="0">
      <text>
        <t>POISSIRENE — Eau
PV 45 · Att 67 · Déf 60
Att.Spé 35 · Déf.Spé 50 · Vit 63
Total 320
Talents : Glissade, Ignifu-Voile (caché :
  Paratonnerre)</t>
      </text>
    </comment>
    <comment ref="E2303" authorId="0" shapeId="0">
      <text>
        <t>POISSOROY — Eau
PV 80 · Att 92 · Déf 65
Att.Spé 65 · Déf.Spé 80 · Vit 68
Total 450
Talents : Glissade, Ignifu-Voile (caché :
  Paratonnerre)</t>
      </text>
    </comment>
    <comment ref="E2304" authorId="0" shapeId="0">
      <text>
        <t>POMDEPIK — Insecte
PV 50 · Att 65 · Déf 90
Att.Spé 35 · Déf.Spé 35 · Vit 15
Total 290
Talents : Fermeté (caché : Envelocape)</t>
      </text>
    </comment>
    <comment ref="E2305" authorId="0" shapeId="0">
      <text>
        <t>NOEUNOEUF — Plante / Psy
PV 60 · Att 40 · Déf 80
Att.Spé 60 · Déf.Spé 45 · Vit 40
Total 325
Talents : Chlorophylle (caché : Récolte)</t>
      </text>
    </comment>
    <comment ref="E2306" authorId="0" shapeId="0">
      <text>
        <t>COXY — Insecte / Vol
PV 40 · Att 20 · Déf 30
Att.Spé 40 · Déf.Spé 80 · Vit 55
Total 265
Talents : Essaim, Matinal (caché : Phobique)</t>
      </text>
    </comment>
    <comment ref="E2307" authorId="0" shapeId="0">
      <text>
        <t>MIMIGAL — Insecte / Poison
PV 40 · Att 60 · Déf 40
Att.Spé 40 · Déf.Spé 40 · Vit 30
Total 250
Talents : Essaim, Insomnia (caché : Sniper)</t>
      </text>
    </comment>
    <comment ref="E2308" authorId="0" shapeId="0">
      <text>
        <t>POMDEPIK — Insecte
PV 50 · Att 65 · Déf 90
Att.Spé 35 · Déf.Spé 35 · Vit 15
Total 290
Talents : Fermeté (caché : Envelocape)</t>
      </text>
    </comment>
    <comment ref="E2309" authorId="0" shapeId="0">
      <text>
        <t>NOEUNOEUF — Plante / Psy
PV 60 · Att 40 · Déf 80
Att.Spé 60 · Déf.Spé 45 · Vit 40
Total 325
Talents : Chlorophylle (caché : Récolte)</t>
      </text>
    </comment>
    <comment ref="E2310" authorId="0" shapeId="0">
      <text>
        <t>COXY — Insecte / Vol
PV 40 · Att 20 · Déf 30
Att.Spé 40 · Déf.Spé 80 · Vit 55
Total 265
Talents : Essaim, Matinal (caché : Phobique)</t>
      </text>
    </comment>
    <comment ref="E2311" authorId="0" shapeId="0">
      <text>
        <t>MIMIGAL — Insecte / Poison
PV 40 · Att 60 · Déf 40
Att.Spé 40 · Déf.Spé 40 · Vit 30
Total 250
Talents : Essaim, Insomnia (caché : Sniper)</t>
      </text>
    </comment>
    <comment ref="E2312" authorId="0" shapeId="0">
      <text>
        <t>MAGICARPE — Eau
PV 20 · Att 10 · Déf 55
Att.Spé 15 · Déf.Spé 20 · Vit 80
Total 200
Talents : Glissade (caché : Phobique)</t>
      </text>
    </comment>
    <comment ref="E2313" authorId="0" shapeId="0">
      <text>
        <t>POISSIRENE — Eau
PV 45 · Att 67 · Déf 60
Att.Spé 35 · Déf.Spé 50 · Vit 63
Total 320
Talents : Glissade, Ignifu-Voile (caché :
  Paratonnerre)</t>
      </text>
    </comment>
    <comment ref="E2314" authorId="0" shapeId="0">
      <text>
        <t>MAGICARPE — Eau
PV 20 · Att 10 · Déf 55
Att.Spé 15 · Déf.Spé 20 · Vit 80
Total 200
Talents : Glissade (caché : Phobique)</t>
      </text>
    </comment>
    <comment ref="E2315" authorId="0" shapeId="0">
      <text>
        <t>POISSIRENE — Eau
PV 45 · Att 67 · Déf 60
Att.Spé 35 · Déf.Spé 50 · Vit 63
Total 320
Talents : Glissade, Ignifu-Voile (caché :
  Paratonnerre)</t>
      </text>
    </comment>
    <comment ref="E2316" authorId="0" shapeId="0">
      <text>
        <t>MAGICARPE — Eau
PV 20 · Att 10 · Déf 55
Att.Spé 15 · Déf.Spé 20 · Vit 80
Total 200
Talents : Glissade (caché : Phobique)</t>
      </text>
    </comment>
    <comment ref="E2317" authorId="0" shapeId="0">
      <text>
        <t>POISSIRENE — Eau
PV 45 · Att 67 · Déf 60
Att.Spé 35 · Déf.Spé 50 · Vit 63
Total 320
Talents : Glissade, Ignifu-Voile (caché :
  Paratonnerre)</t>
      </text>
    </comment>
    <comment ref="E2318" authorId="0" shapeId="0">
      <text>
        <t>MAGICARPE — Eau
PV 20 · Att 10 · Déf 55
Att.Spé 15 · Déf.Spé 20 · Vit 80
Total 200
Talents : Glissade (caché : Phobique)</t>
      </text>
    </comment>
    <comment ref="E2319" authorId="0" shapeId="0">
      <text>
        <t>POISSIRENE — Eau
PV 45 · Att 67 · Déf 60
Att.Spé 35 · Déf.Spé 50 · Vit 63
Total 320
Talents : Glissade, Ignifu-Voile (caché :
  Paratonnerre)</t>
      </text>
    </comment>
    <comment ref="E2320" authorId="0" shapeId="0">
      <text>
        <t>MAGICARPE — Eau
PV 20 · Att 10 · Déf 55
Att.Spé 15 · Déf.Spé 20 · Vit 80
Total 200
Talents : Glissade (caché : Phobique)</t>
      </text>
    </comment>
    <comment ref="E2321" authorId="0" shapeId="0">
      <text>
        <t>POISSOROY — Eau
PV 80 · Att 92 · Déf 65
Att.Spé 65 · Déf.Spé 80 · Vit 68
Total 450
Talents : Glissade, Ignifu-Voile (caché :
  Paratonnerre)</t>
      </text>
    </comment>
    <comment ref="E2322" authorId="0" shapeId="0">
      <text>
        <t>POISSIRENE — Eau
PV 45 · Att 67 · Déf 60
Att.Spé 35 · Déf.Spé 50 · Vit 63
Total 320
Talents : Glissade, Ignifu-Voile (caché :
  Paratonnerre)</t>
      </text>
    </comment>
    <comment ref="E2323" authorId="0" shapeId="0">
      <text>
        <t>MAGICARPE — Eau
PV 20 · Att 10 · Déf 55
Att.Spé 15 · Déf.Spé 20 · Vit 80
Total 200
Talents : Glissade (caché : Phobique)</t>
      </text>
    </comment>
    <comment ref="E2324" authorId="0" shapeId="0">
      <text>
        <t>POISSOROY — Eau
PV 80 · Att 92 · Déf 65
Att.Spé 65 · Déf.Spé 80 · Vit 68
Total 450
Talents : Glissade, Ignifu-Voile (caché :
  Paratonnerre)</t>
      </text>
    </comment>
    <comment ref="E2325" authorId="0" shapeId="0">
      <text>
        <t>POISSIRENE — Eau
PV 45 · Att 67 · Déf 60
Att.Spé 35 · Déf.Spé 50 · Vit 63
Total 320
Talents : Glissade, Ignifu-Voile (caché :
  Paratonnerre)</t>
      </text>
    </comment>
    <comment ref="E2326" authorId="0" shapeId="0">
      <text>
        <t>RAPASDEPIC — Normal / Vol
PV 65 · Att 90 · Déf 65
Att.Spé 61 · Déf.Spé 61 · Vit 100
Total 442
Talents : Regard Vif (caché : Sniper)</t>
      </text>
    </comment>
    <comment ref="E2327" authorId="0" shapeId="0">
      <text>
        <t>ABO — Poison
PV 35 · Att 60 · Déf 44
Att.Spé 40 · Déf.Spé 54 · Vit 55
Total 288
Talents : Intimidation, Mue (caché : Tension)</t>
      </text>
    </comment>
    <comment ref="E2328" authorId="0" shapeId="0">
      <text>
        <t>RATTATAC — Normal
PV 55 · Att 81 · Déf 60
Att.Spé 50 · Déf.Spé 70 · Vit 97
Total 413
Talents : Fuite, Cran (caché : Agitation)</t>
      </text>
    </comment>
    <comment ref="E2329" authorId="0" shapeId="0">
      <text>
        <t>SCORPLANE — Sol / Vol
PV 65 · Att 75 · Déf 105
Att.Spé 35 · Déf.Spé 65 · Vit 85
Total 430
Talents : Hyper Cutter, Voile Sable (caché :
  Vaccin)</t>
      </text>
    </comment>
    <comment ref="E2330" authorId="0" shapeId="0">
      <text>
        <t>ARBOK — Poison
PV 60 · Att 95 · Déf 69
Att.Spé 65 · Déf.Spé 79 · Vit 80
Total 448
Talents : Intimidation, Mue (caché : Tension)</t>
      </text>
    </comment>
    <comment ref="E2331" authorId="0" shapeId="0">
      <text>
        <t>NOSFERAPTI — Poison / Vol
PV 40 · Att 45 · Déf 35
Att.Spé 30 · Déf.Spé 40 · Vit 55
Total 245
Talents : Attention (caché : Infiltration)</t>
      </text>
    </comment>
    <comment ref="E2332" authorId="0" shapeId="0">
      <text>
        <t>RATTATAC — Normal
PV 55 · Att 81 · Déf 60
Att.Spé 50 · Déf.Spé 70 · Vit 97
Total 413
Talents : Fuite, Cran (caché : Agitation)</t>
      </text>
    </comment>
    <comment ref="E2333" authorId="0" shapeId="0">
      <text>
        <t>SCORPLANE — Sol / Vol
PV 65 · Att 75 · Déf 105
Att.Spé 35 · Déf.Spé 65 · Vit 85
Total 430
Talents : Hyper Cutter, Voile Sable (caché :
  Vaccin)</t>
      </text>
    </comment>
    <comment ref="E2334" authorId="0" shapeId="0">
      <text>
        <t>NOSFERALTO — Poison / Vol
PV 75 · Att 80 · Déf 70
Att.Spé 65 · Déf.Spé 75 · Vit 90
Total 455
Talents : Attention (caché : Infiltration)</t>
      </text>
    </comment>
    <comment ref="E2335" authorId="0" shapeId="0">
      <text>
        <t>MARILL — Eau / Fée
PV 70 · Att 20 · Déf 50
Att.Spé 20 · Déf.Spé 50 · Vit 40
Total 250
Talents : Isograisse, Coloforce (caché :
  Herbivore)</t>
      </text>
    </comment>
    <comment ref="E2336" authorId="0" shapeId="0">
      <text>
        <t>REMORAID — Eau
PV 35 · Att 65 · Déf 35
Att.Spé 65 · Déf.Spé 35 · Vit 65
Total 300
Talents : Agitation, Sniper (caché :
  Lunatique)</t>
      </text>
    </comment>
    <comment ref="E2337" authorId="0" shapeId="0">
      <text>
        <t>POISSIRENE — Eau
PV 45 · Att 67 · Déf 60
Att.Spé 35 · Déf.Spé 50 · Vit 63
Total 320
Talents : Glissade, Ignifu-Voile (caché :
  Paratonnerre)</t>
      </text>
    </comment>
    <comment ref="E2338" authorId="0" shapeId="0">
      <text>
        <t>POISSOROY — Eau
PV 80 · Att 92 · Déf 65
Att.Spé 65 · Déf.Spé 80 · Vit 68
Total 450
Talents : Glissade, Ignifu-Voile (caché :
  Paratonnerre)</t>
      </text>
    </comment>
    <comment ref="E2339" authorId="0" shapeId="0">
      <text>
        <t>REMORAID — Eau
PV 35 · Att 65 · Déf 35
Att.Spé 65 · Déf.Spé 35 · Vit 65
Total 300
Talents : Agitation, Sniper (caché :
  Lunatique)</t>
      </text>
    </comment>
    <comment ref="E2340" authorId="0" shapeId="0">
      <text>
        <t>POISSIRENE — Eau
PV 45 · Att 67 · Déf 60
Att.Spé 35 · Déf.Spé 50 · Vit 63
Total 320
Talents : Glissade, Ignifu-Voile (caché :
  Paratonnerre)</t>
      </text>
    </comment>
    <comment ref="E2341" authorId="0" shapeId="0">
      <text>
        <t>POISSOROY — Eau
PV 80 · Att 92 · Déf 65
Att.Spé 65 · Déf.Spé 80 · Vit 68
Total 450
Talents : Glissade, Ignifu-Voile (caché :
  Paratonnerre)</t>
      </text>
    </comment>
    <comment ref="E2342" authorId="0" shapeId="0">
      <text>
        <t>POMDEPIK — Insecte
PV 50 · Att 65 · Déf 90
Att.Spé 35 · Déf.Spé 35 · Vit 15
Total 290
Talents : Fermeté (caché : Envelocape)</t>
      </text>
    </comment>
    <comment ref="E2343" authorId="0" shapeId="0">
      <text>
        <t>CAPUMAIN — Normal
PV 55 · Att 70 · Déf 55
Att.Spé 40 · Déf.Spé 55 · Vit 85
Total 360
Talents : Fuite, Ramassage (caché : Multi-
  Coups)</t>
      </text>
    </comment>
    <comment ref="E2344" authorId="0" shapeId="0">
      <text>
        <t>SCARHINO — Insecte / Combat
PV 80 · Att 125 · Déf 75
Att.Spé 40 · Déf.Spé 95 · Vit 85
Total 500
Talents : Essaim, Cran (caché : Impudence)</t>
      </text>
    </comment>
    <comment ref="E2345" authorId="0" shapeId="0">
      <text>
        <t>POMDEPIK — Insecte
PV 50 · Att 65 · Déf 90
Att.Spé 35 · Déf.Spé 35 · Vit 15
Total 290
Talents : Fermeté (caché : Envelocape)</t>
      </text>
    </comment>
    <comment ref="E2346" authorId="0" shapeId="0">
      <text>
        <t>CAPUMAIN — Normal
PV 55 · Att 70 · Déf 55
Att.Spé 40 · Déf.Spé 55 · Vit 85
Total 360
Talents : Fuite, Ramassage (caché : Multi-
  Coups)</t>
      </text>
    </comment>
    <comment ref="E2347" authorId="0" shapeId="0">
      <text>
        <t>SCARHINO — Insecte / Combat
PV 80 · Att 125 · Déf 75
Att.Spé 40 · Déf.Spé 95 · Vit 85
Total 500
Talents : Essaim, Cran (caché : Impudence)</t>
      </text>
    </comment>
    <comment ref="E2348" authorId="0" shapeId="0">
      <text>
        <t>MAGICARPE — Eau
PV 20 · Att 10 · Déf 55
Att.Spé 15 · Déf.Spé 20 · Vit 80
Total 200
Talents : Glissade (caché : Phobique)</t>
      </text>
    </comment>
    <comment ref="E2349" authorId="0" shapeId="0">
      <text>
        <t>POISSIRENE — Eau
PV 45 · Att 67 · Déf 60
Att.Spé 35 · Déf.Spé 50 · Vit 63
Total 320
Talents : Glissade, Ignifu-Voile (caché :
  Paratonnerre)</t>
      </text>
    </comment>
    <comment ref="E2350" authorId="0" shapeId="0">
      <text>
        <t>MAGICARPE — Eau
PV 20 · Att 10 · Déf 55
Att.Spé 15 · Déf.Spé 20 · Vit 80
Total 200
Talents : Glissade (caché : Phobique)</t>
      </text>
    </comment>
    <comment ref="E2351" authorId="0" shapeId="0">
      <text>
        <t>POISSIRENE — Eau
PV 45 · Att 67 · Déf 60
Att.Spé 35 · Déf.Spé 50 · Vit 63
Total 320
Talents : Glissade, Ignifu-Voile (caché :
  Paratonnerre)</t>
      </text>
    </comment>
    <comment ref="E2352" authorId="0" shapeId="0">
      <text>
        <t>POISSIRENE — Eau
PV 45 · Att 67 · Déf 60
Att.Spé 35 · Déf.Spé 50 · Vit 63
Total 320
Talents : Glissade, Ignifu-Voile (caché :
  Paratonnerre)</t>
      </text>
    </comment>
    <comment ref="E2353" authorId="0" shapeId="0">
      <text>
        <t>MAGICARPE — Eau
PV 20 · Att 10 · Déf 55
Att.Spé 15 · Déf.Spé 20 · Vit 80
Total 200
Talents : Glissade (caché : Phobique)</t>
      </text>
    </comment>
    <comment ref="E2354" authorId="0" shapeId="0">
      <text>
        <t>POISSIRENE — Eau
PV 45 · Att 67 · Déf 60
Att.Spé 35 · Déf.Spé 50 · Vit 63
Total 320
Talents : Glissade, Ignifu-Voile (caché :
  Paratonnerre)</t>
      </text>
    </comment>
    <comment ref="E2355" authorId="0" shapeId="0">
      <text>
        <t>MAGICARPE — Eau
PV 20 · Att 10 · Déf 55
Att.Spé 15 · Déf.Spé 20 · Vit 80
Total 200
Talents : Glissade (caché : Phobique)</t>
      </text>
    </comment>
    <comment ref="E2356" authorId="0" shapeId="0">
      <text>
        <t>POISSOROY — Eau
PV 80 · Att 92 · Déf 65
Att.Spé 65 · Déf.Spé 80 · Vit 68
Total 450
Talents : Glissade, Ignifu-Voile (caché :
  Paratonnerre)</t>
      </text>
    </comment>
    <comment ref="E2357" authorId="0" shapeId="0">
      <text>
        <t>MAGICARPE — Eau
PV 20 · Att 10 · Déf 55
Att.Spé 15 · Déf.Spé 20 · Vit 80
Total 200
Talents : Glissade (caché : Phobique)</t>
      </text>
    </comment>
    <comment ref="E2358" authorId="0" shapeId="0">
      <text>
        <t>POISSIRENE — Eau
PV 45 · Att 67 · Déf 60
Att.Spé 35 · Déf.Spé 50 · Vit 63
Total 320
Talents : Glissade, Ignifu-Voile (caché :
  Paratonnerre)</t>
      </text>
    </comment>
    <comment ref="E2359" authorId="0" shapeId="0">
      <text>
        <t>POISSOROY — Eau
PV 80 · Att 92 · Déf 65
Att.Spé 65 · Déf.Spé 80 · Vit 68
Total 450
Talents : Glissade, Ignifu-Voile (caché :
  Paratonnerre)</t>
      </text>
    </comment>
    <comment ref="E2360" authorId="0" shapeId="0">
      <text>
        <t>MAGICARPE — Eau
PV 20 · Att 10 · Déf 55
Att.Spé 15 · Déf.Spé 20 · Vit 80
Total 200
Talents : Glissade (caché : Phobique)</t>
      </text>
    </comment>
    <comment ref="E2361" authorId="0" shapeId="0">
      <text>
        <t>POISSIRENE — Eau
PV 45 · Att 67 · Déf 60
Att.Spé 35 · Déf.Spé 50 · Vit 63
Total 320
Talents : Glissade, Ignifu-Voile (caché :
  Paratonnerre)</t>
      </text>
    </comment>
    <comment ref="E2362" authorId="0" shapeId="0">
      <text>
        <t>FOUINAR — Normal
PV 85 · Att 76 · Déf 64
Att.Spé 45 · Déf.Spé 55 · Vit 90
Total 415
Talents : Fuite, Regard Vif (caché : Fouille)</t>
      </text>
    </comment>
    <comment ref="E2363" authorId="0" shapeId="0">
      <text>
        <t>GIRAFARIG — Normal / Psy
PV 70 · Att 80 · Déf 65
Att.Spé 90 · Déf.Spé 65 · Vit 85
Total 455
Talents : Attention, Matinal (caché :
  Herbivore)</t>
      </text>
    </comment>
    <comment ref="E2364" authorId="0" shapeId="0">
      <text>
        <t>LAINERGIE — Électrik
PV 70 · Att 55 · Déf 55
Att.Spé 80 · Déf.Spé 60 · Vit 45
Total 365
Talents : Statik (caché : Plus)</t>
      </text>
    </comment>
    <comment ref="E2365" authorId="0" shapeId="0">
      <text>
        <t>CANARTICHO — Normal / Vol
PV 52 · Att 90 · Déf 55
Att.Spé 58 · Déf.Spé 62 · Vit 60
Total 377
Talents : Regard Vif, Attention (caché :
  Acharné)</t>
      </text>
    </comment>
    <comment ref="E2366" authorId="0" shapeId="0">
      <text>
        <t>AIRMURE — Acier / Vol
PV 65 · Att 80 · Déf 140
Att.Spé 40 · Déf.Spé 70 · Vit 70
Total 465
Talents : Regard Vif, Fermeté (caché :
  Armurouillée)</t>
      </text>
    </comment>
    <comment ref="E2367" authorId="0" shapeId="0">
      <text>
        <t>RATTATAC — Normal
PV 55 · Att 81 · Déf 60
Att.Spé 50 · Déf.Spé 70 · Vit 97
Total 413
Talents : Fuite, Cran (caché : Agitation)</t>
      </text>
    </comment>
    <comment ref="E2368" authorId="0" shapeId="0">
      <text>
        <t>GIRAFARIG — Normal / Psy
PV 70 · Att 80 · Déf 65
Att.Spé 90 · Déf.Spé 65 · Vit 85
Total 455
Talents : Attention, Matinal (caché :
  Herbivore)</t>
      </text>
    </comment>
    <comment ref="E2369" authorId="0" shapeId="0">
      <text>
        <t>MIMITOSS — Insecte / Poison
PV 60 · Att 55 · Déf 50
Att.Spé 40 · Déf.Spé 55 · Vit 45
Total 305
Talents : Œil Composé, Lentiteintée (caché :
  Fuite)</t>
      </text>
    </comment>
    <comment ref="E2370" authorId="0" shapeId="0">
      <text>
        <t>LAINERGIE — Électrik
PV 70 · Att 55 · Déf 55
Att.Spé 80 · Déf.Spé 60 · Vit 45
Total 365
Talents : Statik (caché : Plus)</t>
      </text>
    </comment>
    <comment ref="E2371" authorId="0" shapeId="0">
      <text>
        <t>RATTATAC — Normal
PV 55 · Att 81 · Déf 60
Att.Spé 50 · Déf.Spé 70 · Vit 97
Total 413
Talents : Fuite, Cran (caché : Agitation)</t>
      </text>
    </comment>
    <comment ref="E2372" authorId="0" shapeId="0">
      <text>
        <t>AIRMURE — Acier / Vol
PV 65 · Att 80 · Déf 140
Att.Spé 40 · Déf.Spé 70 · Vit 70
Total 465
Talents : Regard Vif, Fermeté (caché :
  Armurouillée)</t>
      </text>
    </comment>
    <comment ref="E2373" authorId="0" shapeId="0">
      <text>
        <t>AEROMITE — Insecte / Poison
PV 70 · Att 65 · Déf 60
Att.Spé 90 · Déf.Spé 75 · Vit 90
Total 450
Talents : Écran Poudre, Lentiteintée (caché :
  Peau Miracle)</t>
      </text>
    </comment>
    <comment ref="E2374" authorId="0" shapeId="0">
      <text>
        <t>MAGICARPE — Eau
PV 20 · Att 10 · Déf 55
Att.Spé 15 · Déf.Spé 20 · Vit 80
Total 200
Talents : Glissade (caché : Phobique)</t>
      </text>
    </comment>
    <comment ref="E2375" authorId="0" shapeId="0">
      <text>
        <t>MAGICARPE — Eau
PV 20 · Att 10 · Déf 55
Att.Spé 15 · Déf.Spé 20 · Vit 80
Total 200
Talents : Glissade (caché : Phobique)</t>
      </text>
    </comment>
    <comment ref="E2376" authorId="0" shapeId="0">
      <text>
        <t>POMDEPIK — Insecte
PV 50 · Att 65 · Déf 90
Att.Spé 35 · Déf.Spé 35 · Vit 15
Total 290
Talents : Fermeté (caché : Envelocape)</t>
      </text>
    </comment>
    <comment ref="E2377" authorId="0" shapeId="0">
      <text>
        <t>NOEUNOEUF — Plante / Psy
PV 60 · Att 40 · Déf 80
Att.Spé 60 · Déf.Spé 45 · Vit 40
Total 325
Talents : Chlorophylle (caché : Récolte)</t>
      </text>
    </comment>
    <comment ref="E2378" authorId="0" shapeId="0">
      <text>
        <t>MIMITOSS — Insecte / Poison
PV 60 · Att 55 · Déf 50
Att.Spé 40 · Déf.Spé 55 · Vit 45
Total 305
Talents : Œil Composé, Lentiteintée (caché :
  Fuite)</t>
      </text>
    </comment>
    <comment ref="E2379" authorId="0" shapeId="0">
      <text>
        <t>POMDEPIK — Insecte
PV 50 · Att 65 · Déf 90
Att.Spé 35 · Déf.Spé 35 · Vit 15
Total 290
Talents : Fermeté (caché : Envelocape)</t>
      </text>
    </comment>
    <comment ref="E2380" authorId="0" shapeId="0">
      <text>
        <t>NOEUNOEUF — Plante / Psy
PV 60 · Att 40 · Déf 80
Att.Spé 60 · Déf.Spé 45 · Vit 40
Total 325
Talents : Chlorophylle (caché : Récolte)</t>
      </text>
    </comment>
    <comment ref="E2381" authorId="0" shapeId="0">
      <text>
        <t>MIMITOSS — Insecte / Poison
PV 60 · Att 55 · Déf 50
Att.Spé 40 · Déf.Spé 55 · Vit 45
Total 305
Talents : Œil Composé, Lentiteintée (caché :
  Fuite)</t>
      </text>
    </comment>
    <comment ref="E2382" authorId="0" shapeId="0">
      <text>
        <t>MAGICARPE — Eau
PV 20 · Att 10 · Déf 55
Att.Spé 15 · Déf.Spé 20 · Vit 80
Total 200
Talents : Glissade (caché : Phobique)</t>
      </text>
    </comment>
    <comment ref="E2383" authorId="0" shapeId="0">
      <text>
        <t>PTITARD — Eau
PV 40 · Att 50 · Déf 40
Att.Spé 40 · Déf.Spé 40 · Vit 90
Total 300
Talents : Absorbe-Eau, Moiteur (caché :
  Glissade)</t>
      </text>
    </comment>
    <comment ref="E2384" authorId="0" shapeId="0">
      <text>
        <t>MAGICARPE — Eau
PV 20 · Att 10 · Déf 55
Att.Spé 15 · Déf.Spé 20 · Vit 80
Total 200
Talents : Glissade (caché : Phobique)</t>
      </text>
    </comment>
    <comment ref="E2385" authorId="0" shapeId="0">
      <text>
        <t>PTITARD — Eau
PV 40 · Att 50 · Déf 40
Att.Spé 40 · Déf.Spé 40 · Vit 90
Total 300
Talents : Absorbe-Eau, Moiteur (caché :
  Glissade)</t>
      </text>
    </comment>
    <comment ref="E2386" authorId="0" shapeId="0">
      <text>
        <t>PTITARD — Eau
PV 40 · Att 50 · Déf 40
Att.Spé 40 · Déf.Spé 40 · Vit 90
Total 300
Talents : Absorbe-Eau, Moiteur (caché :
  Glissade)</t>
      </text>
    </comment>
    <comment ref="E2387" authorId="0" shapeId="0">
      <text>
        <t>MAGICARPE — Eau
PV 20 · Att 10 · Déf 55
Att.Spé 15 · Déf.Spé 20 · Vit 80
Total 200
Talents : Glissade (caché : Phobique)</t>
      </text>
    </comment>
    <comment ref="E2388" authorId="0" shapeId="0">
      <text>
        <t>PTITARD — Eau
PV 40 · Att 50 · Déf 40
Att.Spé 40 · Déf.Spé 40 · Vit 90
Total 300
Talents : Absorbe-Eau, Moiteur (caché :
  Glissade)</t>
      </text>
    </comment>
    <comment ref="E2389" authorId="0" shapeId="0">
      <text>
        <t>MAGICARPE — Eau
PV 20 · Att 10 · Déf 55
Att.Spé 15 · Déf.Spé 20 · Vit 80
Total 200
Talents : Glissade (caché : Phobique)</t>
      </text>
    </comment>
    <comment ref="E2390" authorId="0" shapeId="0">
      <text>
        <t>PTITARD — Eau
PV 40 · Att 50 · Déf 40
Att.Spé 40 · Déf.Spé 40 · Vit 90
Total 300
Talents : Absorbe-Eau, Moiteur (caché :
  Glissade)</t>
      </text>
    </comment>
    <comment ref="E2391" authorId="0" shapeId="0">
      <text>
        <t>MAGICARPE — Eau
PV 20 · Att 10 · Déf 55
Att.Spé 15 · Déf.Spé 20 · Vit 80
Total 200
Talents : Glissade (caché : Phobique)</t>
      </text>
    </comment>
    <comment ref="E2392" authorId="0" shapeId="0">
      <text>
        <t>PTITARD — Eau
PV 40 · Att 50 · Déf 40
Att.Spé 40 · Déf.Spé 40 · Vit 90
Total 300
Talents : Absorbe-Eau, Moiteur (caché :
  Glissade)</t>
      </text>
    </comment>
    <comment ref="E2393" authorId="0" shapeId="0">
      <text>
        <t>MAGICARPE — Eau
PV 20 · Att 10 · Déf 55
Att.Spé 15 · Déf.Spé 20 · Vit 80
Total 200
Talents : Glissade (caché : Phobique)</t>
      </text>
    </comment>
    <comment ref="E2394" authorId="0" shapeId="0">
      <text>
        <t>SAQUEDENEU — Plante
PV 65 · Att 55 · Déf 115
Att.Spé 100 · Déf.Spé 40 · Vit 60
Total 435
Talents : Chlorophylle, Feuille Garde (caché :
  Régé-Force)</t>
      </text>
    </comment>
    <comment ref="E2395" authorId="0" shapeId="0">
      <text>
        <t>EXCELANGUE — Normal
PV 90 · Att 55 · Déf 75
Att.Spé 60 · Déf.Spé 75 · Vit 30
Total 385
Talents : Tempo Perso, Benêt (caché : Ciel
  Gris)</t>
      </text>
    </comment>
    <comment ref="E2396" authorId="0" shapeId="0">
      <text>
        <t>BOUSTIFLOR — Plante / Poison
PV 65 · Att 90 · Déf 50
Att.Spé 85 · Déf.Spé 45 · Vit 55
Total 390
Talents : Chlorophylle (caché : Gloutonnerie)</t>
      </text>
    </comment>
    <comment ref="E2397" authorId="0" shapeId="0">
      <text>
        <t>ROUCOUPS — Normal / Vol
PV 63 · Att 60 · Déf 55
Att.Spé 50 · Déf.Spé 50 · Vit 71
Total 349
Talents : Regard Vif, Pieds Confus (caché :
  Cœur de Coq)</t>
      </text>
    </comment>
    <comment ref="E2398" authorId="0" shapeId="0">
      <text>
        <t>ELEKTEK — Électrik
PV 65 · Att 83 · Déf 57
Att.Spé 95 · Déf.Spé 85 · Vit 105
Total 490
Talents : Statik (caché : Esprit Vital)</t>
      </text>
    </comment>
    <comment ref="E2399" authorId="0" shapeId="0">
      <text>
        <t>TETARTE — Eau
PV 65 · Att 65 · Déf 65
Att.Spé 50 · Déf.Spé 50 · Vit 90
Total 385
Talents : Absorbe-Eau, Moiteur (caché :
  Glissade)</t>
      </text>
    </comment>
    <comment ref="E2400" authorId="0" shapeId="0">
      <text>
        <t>EXCELANGUE — Normal
PV 90 · Att 55 · Déf 75
Att.Spé 60 · Déf.Spé 75 · Vit 30
Total 385
Talents : Tempo Perso, Benêt (caché : Ciel
  Gris)</t>
      </text>
    </comment>
    <comment ref="E2401" authorId="0" shapeId="0">
      <text>
        <t>ELEKTEK — Électrik
PV 65 · Att 83 · Déf 57
Att.Spé 95 · Déf.Spé 85 · Vit 105
Total 490
Talents : Statik (caché : Esprit Vital)</t>
      </text>
    </comment>
    <comment ref="E2402" authorId="0" shapeId="0">
      <text>
        <t>BOUSTIFLOR — Plante / Poison
PV 65 · Att 90 · Déf 50
Att.Spé 85 · Déf.Spé 45 · Vit 55
Total 390
Talents : Chlorophylle (caché : Gloutonnerie)</t>
      </text>
    </comment>
    <comment ref="E2403" authorId="0" shapeId="0">
      <text>
        <t>PTITARD — Eau
PV 40 · Att 50 · Déf 40
Att.Spé 40 · Déf.Spé 40 · Vit 90
Total 300
Talents : Absorbe-Eau, Moiteur (caché :
  Glissade)</t>
      </text>
    </comment>
    <comment ref="E2404" authorId="0" shapeId="0">
      <text>
        <t>TETARTE — Eau
PV 65 · Att 65 · Déf 65
Att.Spé 50 · Déf.Spé 50 · Vit 90
Total 385
Talents : Absorbe-Eau, Moiteur (caché :
  Glissade)</t>
      </text>
    </comment>
    <comment ref="E2405" authorId="0" shapeId="0">
      <text>
        <t>PTITARD — Eau
PV 40 · Att 50 · Déf 40
Att.Spé 40 · Déf.Spé 40 · Vit 90
Total 300
Talents : Absorbe-Eau, Moiteur (caché :
  Glissade)</t>
      </text>
    </comment>
    <comment ref="E2406" authorId="0" shapeId="0">
      <text>
        <t>TETARTE — Eau
PV 65 · Att 65 · Déf 65
Att.Spé 50 · Déf.Spé 50 · Vit 90
Total 385
Talents : Absorbe-Eau, Moiteur (caché :
  Glissade)</t>
      </text>
    </comment>
    <comment ref="E2407" authorId="0" shapeId="0">
      <text>
        <t>POMDEPIK — Insecte
PV 50 · Att 65 · Déf 90
Att.Spé 35 · Déf.Spé 35 · Vit 15
Total 290
Talents : Fermeté (caché : Envelocape)</t>
      </text>
    </comment>
    <comment ref="E2408" authorId="0" shapeId="0">
      <text>
        <t>CAPUMAIN — Normal
PV 55 · Att 70 · Déf 55
Att.Spé 40 · Déf.Spé 55 · Vit 85
Total 360
Talents : Fuite, Ramassage (caché : Multi-
  Coups)</t>
      </text>
    </comment>
    <comment ref="E2409" authorId="0" shapeId="0">
      <text>
        <t>SCARHINO — Insecte / Combat
PV 80 · Att 125 · Déf 75
Att.Spé 40 · Déf.Spé 95 · Vit 85
Total 500
Talents : Essaim, Cran (caché : Impudence)</t>
      </text>
    </comment>
    <comment ref="E2410" authorId="0" shapeId="0">
      <text>
        <t>POMDEPIK — Insecte
PV 50 · Att 65 · Déf 90
Att.Spé 35 · Déf.Spé 35 · Vit 15
Total 290
Talents : Fermeté (caché : Envelocape)</t>
      </text>
    </comment>
    <comment ref="E2411" authorId="0" shapeId="0">
      <text>
        <t>CAPUMAIN — Normal
PV 55 · Att 70 · Déf 55
Att.Spé 40 · Déf.Spé 55 · Vit 85
Total 360
Talents : Fuite, Ramassage (caché : Multi-
  Coups)</t>
      </text>
    </comment>
    <comment ref="E2412" authorId="0" shapeId="0">
      <text>
        <t>SCARHINO — Insecte / Combat
PV 80 · Att 125 · Déf 75
Att.Spé 40 · Déf.Spé 95 · Vit 85
Total 500
Talents : Essaim, Cran (caché : Impudence)</t>
      </text>
    </comment>
    <comment ref="E2413" authorId="0" shapeId="0">
      <text>
        <t>MAGICARPE — Eau
PV 20 · Att 10 · Déf 55
Att.Spé 15 · Déf.Spé 20 · Vit 80
Total 200
Talents : Glissade (caché : Phobique)</t>
      </text>
    </comment>
    <comment ref="E2414" authorId="0" shapeId="0">
      <text>
        <t>PTITARD — Eau
PV 40 · Att 50 · Déf 40
Att.Spé 40 · Déf.Spé 40 · Vit 90
Total 300
Talents : Absorbe-Eau, Moiteur (caché :
  Glissade)</t>
      </text>
    </comment>
    <comment ref="E2415" authorId="0" shapeId="0">
      <text>
        <t>MAGICARPE — Eau
PV 20 · Att 10 · Déf 55
Att.Spé 15 · Déf.Spé 20 · Vit 80
Total 200
Talents : Glissade (caché : Phobique)</t>
      </text>
    </comment>
    <comment ref="E2416" authorId="0" shapeId="0">
      <text>
        <t>PTITARD — Eau
PV 40 · Att 50 · Déf 40
Att.Spé 40 · Déf.Spé 40 · Vit 90
Total 300
Talents : Absorbe-Eau, Moiteur (caché :
  Glissade)</t>
      </text>
    </comment>
    <comment ref="E2417" authorId="0" shapeId="0">
      <text>
        <t>PTITARD — Eau
PV 40 · Att 50 · Déf 40
Att.Spé 40 · Déf.Spé 40 · Vit 90
Total 300
Talents : Absorbe-Eau, Moiteur (caché :
  Glissade)</t>
      </text>
    </comment>
    <comment ref="E2418" authorId="0" shapeId="0">
      <text>
        <t>MAGICARPE — Eau
PV 20 · Att 10 · Déf 55
Att.Spé 15 · Déf.Spé 20 · Vit 80
Total 200
Talents : Glissade (caché : Phobique)</t>
      </text>
    </comment>
    <comment ref="E2419" authorId="0" shapeId="0">
      <text>
        <t>PTITARD — Eau
PV 40 · Att 50 · Déf 40
Att.Spé 40 · Déf.Spé 40 · Vit 90
Total 300
Talents : Absorbe-Eau, Moiteur (caché :
  Glissade)</t>
      </text>
    </comment>
    <comment ref="E2420" authorId="0" shapeId="0">
      <text>
        <t>MAGICARPE — Eau
PV 20 · Att 10 · Déf 55
Att.Spé 15 · Déf.Spé 20 · Vit 80
Total 200
Talents : Glissade (caché : Phobique)</t>
      </text>
    </comment>
    <comment ref="E2421" authorId="0" shapeId="0">
      <text>
        <t>PTITARD — Eau
PV 40 · Att 50 · Déf 40
Att.Spé 40 · Déf.Spé 40 · Vit 90
Total 300
Talents : Absorbe-Eau, Moiteur (caché :
  Glissade)</t>
      </text>
    </comment>
    <comment ref="E2422" authorId="0" shapeId="0">
      <text>
        <t>MAGICARPE — Eau
PV 20 · Att 10 · Déf 55
Att.Spé 15 · Déf.Spé 20 · Vit 80
Total 200
Talents : Glissade (caché : Phobique)</t>
      </text>
    </comment>
    <comment ref="E2423" authorId="0" shapeId="0">
      <text>
        <t>PTITARD — Eau
PV 40 · Att 50 · Déf 40
Att.Spé 40 · Déf.Spé 40 · Vit 90
Total 300
Talents : Absorbe-Eau, Moiteur (caché :
  Glissade)</t>
      </text>
    </comment>
    <comment ref="E2424" authorId="0" shapeId="0">
      <text>
        <t>MAGICARPE — Eau
PV 20 · Att 10 · Déf 55
Att.Spé 15 · Déf.Spé 20 · Vit 80
Total 200
Talents : Glissade (caché : Phobique)</t>
      </text>
    </comment>
    <comment ref="E2425" authorId="0" shapeId="0">
      <text>
        <t>DONPHAN — Sol
PV 90 · Att 120 · Déf 120
Att.Spé 60 · Déf.Spé 60 · Vit 50
Total 500
Talents : Fermeté (caché : Voile Sable)</t>
      </text>
    </comment>
    <comment ref="E2426" authorId="0" shapeId="0">
      <text>
        <t>GRAVALANCH — Roche / Sol
PV 55 · Att 95 · Déf 115
Att.Spé 45 · Déf.Spé 45 · Vit 35
Total 390
Talents : Tête de Roc, Fermeté (caché : Voile
  Sable)</t>
      </text>
    </comment>
    <comment ref="E2427" authorId="0" shapeId="0">
      <text>
        <t>SCORPLANE — Sol / Vol
PV 65 · Att 75 · Déf 105
Att.Spé 35 · Déf.Spé 65 · Vit 85
Total 430
Talents : Hyper Cutter, Voile Sable (caché :
  Vaccin)</t>
      </text>
    </comment>
    <comment ref="E2428" authorId="0" shapeId="0">
      <text>
        <t>URSARING — Normal
PV 90 · Att 130 · Déf 75
Att.Spé 75 · Déf.Spé 75 · Vit 55
Total 500
Talents : Cran, Pied Véloce (caché : Tension)</t>
      </text>
    </comment>
    <comment ref="E2429" authorId="0" shapeId="0">
      <text>
        <t>AIRMURE — Acier / Vol
PV 65 · Att 80 · Déf 140
Att.Spé 40 · Déf.Spé 70 · Vit 70
Total 465
Talents : Regard Vif, Fermeté (caché :
  Armurouillée)</t>
      </text>
    </comment>
    <comment ref="E2430" authorId="0" shapeId="0">
      <text>
        <t>MAGICARPE — Eau
PV 20 · Att 10 · Déf 55
Att.Spé 15 · Déf.Spé 20 · Vit 80
Total 200
Talents : Glissade (caché : Phobique)</t>
      </text>
    </comment>
    <comment ref="E2431" authorId="0" shapeId="0">
      <text>
        <t>POMDEPIK — Insecte
PV 50 · Att 65 · Déf 90
Att.Spé 35 · Déf.Spé 35 · Vit 15
Total 290
Talents : Fermeté (caché : Envelocape)</t>
      </text>
    </comment>
    <comment ref="E2432" authorId="0" shapeId="0">
      <text>
        <t>CAPUMAIN — Normal
PV 55 · Att 70 · Déf 55
Att.Spé 40 · Déf.Spé 55 · Vit 85
Total 360
Talents : Fuite, Ramassage (caché : Multi-
  Coups)</t>
      </text>
    </comment>
    <comment ref="E2433" authorId="0" shapeId="0">
      <text>
        <t>SCARHINO — Insecte / Combat
PV 80 · Att 125 · Déf 75
Att.Spé 40 · Déf.Spé 95 · Vit 85
Total 500
Talents : Essaim, Cran (caché : Impudence)</t>
      </text>
    </comment>
    <comment ref="E2434" authorId="0" shapeId="0">
      <text>
        <t>MAGICARPE — Eau
PV 20 · Att 10 · Déf 55
Att.Spé 15 · Déf.Spé 20 · Vit 80
Total 200
Talents : Glissade (caché : Phobique)</t>
      </text>
    </comment>
    <comment ref="E2435" authorId="0" shapeId="0">
      <text>
        <t>MINIDRACO — Dragon
PV 41 · Att 64 · Déf 45
Att.Spé 50 · Déf.Spé 50 · Vit 50
Total 300
Talents : Mue (caché : Écaille Spéciale)</t>
      </text>
    </comment>
    <comment ref="E2436" authorId="0" shapeId="0">
      <text>
        <t>MAGICARPE — Eau
PV 20 · Att 10 · Déf 55
Att.Spé 15 · Déf.Spé 20 · Vit 80
Total 200
Talents : Glissade (caché : Phobique)</t>
      </text>
    </comment>
    <comment ref="E2437" authorId="0" shapeId="0">
      <text>
        <t>MINIDRACO — Dragon
PV 41 · Att 64 · Déf 45
Att.Spé 50 · Déf.Spé 50 · Vit 50
Total 300
Talents : Mue (caché : Écaille Spéciale)</t>
      </text>
    </comment>
    <comment ref="E2438" authorId="0" shapeId="0">
      <text>
        <t>MINIDRACO — Dragon
PV 41 · Att 64 · Déf 45
Att.Spé 50 · Déf.Spé 50 · Vit 50
Total 300
Talents : Mue (caché : Écaille Spéciale)</t>
      </text>
    </comment>
    <comment ref="E2439" authorId="0" shapeId="0">
      <text>
        <t>DRACO — Dragon
PV 61 · Att 84 · Déf 65
Att.Spé 70 · Déf.Spé 70 · Vit 70
Total 420
Talents : Mue (caché : Écaille Spéciale)</t>
      </text>
    </comment>
    <comment ref="E2440" authorId="0" shapeId="0">
      <text>
        <t>MAGICARPE — Eau
PV 20 · Att 10 · Déf 55
Att.Spé 15 · Déf.Spé 20 · Vit 80
Total 200
Talents : Glissade (caché : Phobique)</t>
      </text>
    </comment>
    <comment ref="E2441" authorId="0" shapeId="0">
      <text>
        <t>RACAILLOU — Roche / Sol
PV 40 · Att 80 · Déf 100
Att.Spé 30 · Déf.Spé 30 · Vit 20
Total 300
Talents : Tête de Roc, Fermeté (caché : Voile
  Sable)</t>
      </text>
    </comment>
    <comment ref="E2442" authorId="0" shapeId="0">
      <text>
        <t>PIAFABEC — Normal / Vol
PV 40 · Att 60 · Déf 30
Att.Spé 31 · Déf.Spé 31 · Vit 70
Total 262
Talents : Regard Vif (caché : Sniper)</t>
      </text>
    </comment>
    <comment ref="E2443" authorId="0" shapeId="0">
      <text>
        <t>RATTATA — Normal
PV 30 · Att 56 · Déf 35
Att.Spé 25 · Déf.Spé 35 · Vit 72
Total 253
Talents : Fuite, Cran (caché : Agitation)</t>
      </text>
    </comment>
    <comment ref="E2444" authorId="0" shapeId="0">
      <text>
        <t>PHANPY — Sol
PV 90 · Att 60 · Déf 60
Att.Spé 40 · Déf.Spé 40 · Vit 40
Total 330
Talents : Ramassage (caché : Voile Sable)</t>
      </text>
    </comment>
    <comment ref="E2445" authorId="0" shapeId="0">
      <text>
        <t>RACAILLOU — Roche / Sol
PV 40 · Att 80 · Déf 100
Att.Spé 30 · Déf.Spé 30 · Vit 20
Total 300
Talents : Tête de Roc, Fermeté (caché : Voile
  Sable)</t>
      </text>
    </comment>
    <comment ref="E2446" authorId="0" shapeId="0">
      <text>
        <t>RATTATA — Normal
PV 30 · Att 56 · Déf 35
Att.Spé 25 · Déf.Spé 35 · Vit 72
Total 253
Talents : Fuite, Cran (caché : Agitation)</t>
      </text>
    </comment>
    <comment ref="E2447" authorId="0" shapeId="0">
      <text>
        <t>POMDEPIK — Insecte
PV 50 · Att 65 · Déf 90
Att.Spé 35 · Déf.Spé 35 · Vit 15
Total 290
Talents : Fermeté (caché : Envelocape)</t>
      </text>
    </comment>
    <comment ref="E2448" authorId="0" shapeId="0">
      <text>
        <t>CAPUMAIN — Normal
PV 55 · Att 70 · Déf 55
Att.Spé 40 · Déf.Spé 55 · Vit 85
Total 360
Talents : Fuite, Ramassage (caché : Multi-
  Coups)</t>
      </text>
    </comment>
    <comment ref="E2449" authorId="0" shapeId="0">
      <text>
        <t>SCARHINO — Insecte / Combat
PV 80 · Att 125 · Déf 75
Att.Spé 40 · Déf.Spé 95 · Vit 85
Total 500
Talents : Essaim, Cran (caché : Impudence)</t>
      </text>
    </comment>
    <comment ref="E2450" authorId="0" shapeId="0">
      <text>
        <t>POMDEPIK — Insecte
PV 50 · Att 65 · Déf 90
Att.Spé 35 · Déf.Spé 35 · Vit 15
Total 290
Talents : Fermeté (caché : Envelocape)</t>
      </text>
    </comment>
    <comment ref="E2451" authorId="0" shapeId="0">
      <text>
        <t>CAPUMAIN — Normal
PV 55 · Att 70 · Déf 55
Att.Spé 40 · Déf.Spé 55 · Vit 85
Total 360
Talents : Fuite, Ramassage (caché : Multi-
  Coups)</t>
      </text>
    </comment>
    <comment ref="E2452" authorId="0" shapeId="0">
      <text>
        <t>SCARHINO — Insecte / Combat
PV 80 · Att 125 · Déf 75
Att.Spé 40 · Déf.Spé 95 · Vit 85
Total 500
Talents : Essaim, Cran (caché : Impudence)</t>
      </text>
    </comment>
    <comment ref="E2453" authorId="0" shapeId="0">
      <text>
        <t>LEVEINARD — Normal
PV 250 · Att 5 · Déf 5
Att.Spé 35 · Déf.Spé 105 · Vit 50
Total 450
Talents : Médic Nature, Sérénité (caché : Cœur
  Soin)</t>
      </text>
    </comment>
    <comment ref="E2454" authorId="0" shapeId="0">
      <text>
        <t>CANARTICHO — Normal / Vol
PV 52 · Att 90 · Déf 55
Att.Spé 58 · Déf.Spé 62 · Vit 60
Total 377
Talents : Regard Vif, Attention (caché :
  Acharné)</t>
      </text>
    </comment>
    <comment ref="E2455" authorId="0" shapeId="0">
      <text>
        <t>ECREMEUH — Normal
PV 95 · Att 80 · Déf 105
Att.Spé 40 · Déf.Spé 70 · Vit 100
Total 490
Talents : Isograisse, Querelleur (caché :
  Herbivore)</t>
      </text>
    </comment>
    <comment ref="E2456" authorId="0" shapeId="0">
      <text>
        <t>RAPASDEPIC — Normal / Vol
PV 65 · Att 90 · Déf 65
Att.Spé 61 · Déf.Spé 61 · Vit 100
Total 442
Talents : Regard Vif (caché : Sniper)</t>
      </text>
    </comment>
    <comment ref="E2457" authorId="0" shapeId="0">
      <text>
        <t>ORTIDE — Plante / Poison
PV 60 · Att 65 · Déf 70
Att.Spé 85 · Déf.Spé 75 · Vit 40
Total 395
Talents : Chlorophylle (caché : Puanteur)</t>
      </text>
    </comment>
    <comment ref="E2458" authorId="0" shapeId="0">
      <text>
        <t>RATTATAC — Normal
PV 55 · Att 81 · Déf 60
Att.Spé 50 · Déf.Spé 70 · Vit 97
Total 413
Talents : Fuite, Cran (caché : Agitation)</t>
      </text>
    </comment>
    <comment ref="E2459" authorId="0" shapeId="0">
      <text>
        <t>METAMORPH — Normal
PV 48 · Att 48 · Déf 48
Att.Spé 48 · Déf.Spé 48 · Vit 48
Total 288
Talents : Échauffement (caché : Imposteur)</t>
      </text>
    </comment>
    <comment ref="E2460" authorId="0" shapeId="0">
      <text>
        <t>TENTACOOL — Eau / Poison
PV 40 · Att 40 · Déf 35
Att.Spé 50 · Déf.Spé 100 · Vit 70
Total 335
Talents : Corps Sain, Suintement (caché :
  Cuvette)</t>
      </text>
    </comment>
    <comment ref="E2461" authorId="0" shapeId="0">
      <text>
        <t>OTARIA — Eau
PV 65 · Att 45 · Déf 55
Att.Spé 45 · Déf.Spé 70 · Vit 45
Total 325
Talents : Isograisse, Hydratation (caché :
  Corps Gel)</t>
      </text>
    </comment>
    <comment ref="E2462" authorId="0" shapeId="0">
      <text>
        <t>STARI — Eau
PV 30 · Att 45 · Déf 55
Att.Spé 70 · Déf.Spé 55 · Vit 85
Total 340
Talents : Lumiattirance, Médic Nature (caché :
  Analyste)</t>
      </text>
    </comment>
    <comment ref="E2463" authorId="0" shapeId="0">
      <text>
        <t>POMDEPIK — Insecte
PV 50 · Att 65 · Déf 90
Att.Spé 35 · Déf.Spé 35 · Vit 15
Total 290
Talents : Fermeté (caché : Envelocape)</t>
      </text>
    </comment>
    <comment ref="E2464" authorId="0" shapeId="0">
      <text>
        <t>CAPUMAIN — Normal
PV 55 · Att 70 · Déf 55
Att.Spé 40 · Déf.Spé 55 · Vit 85
Total 360
Talents : Fuite, Ramassage (caché : Multi-
  Coups)</t>
      </text>
    </comment>
    <comment ref="E2465" authorId="0" shapeId="0">
      <text>
        <t>SCARHINO — Insecte / Combat
PV 80 · Att 125 · Déf 75
Att.Spé 40 · Déf.Spé 95 · Vit 85
Total 500
Talents : Essaim, Cran (caché : Impudence)</t>
      </text>
    </comment>
    <comment ref="E2466" authorId="0" shapeId="0">
      <text>
        <t>MAGICARPE — Eau
PV 20 · Att 10 · Déf 55
Att.Spé 15 · Déf.Spé 20 · Vit 80
Total 200
Talents : Glissade (caché : Phobique)</t>
      </text>
    </comment>
    <comment ref="E2467" authorId="0" shapeId="0">
      <text>
        <t>MAGICARPE — Eau
PV 20 · Att 10 · Déf 55
Att.Spé 15 · Déf.Spé 20 · Vit 80
Total 200
Talents : Glissade (caché : Phobique)</t>
      </text>
    </comment>
    <comment ref="E2468" authorId="0" shapeId="0">
      <text>
        <t>KOKIYAS — Eau
PV 30 · Att 65 · Déf 100
Att.Spé 45 · Déf.Spé 25 · Vit 40
Total 305
Talents : Coque Armure, Multi-Coups (caché :
  Envelocape)</t>
      </text>
    </comment>
    <comment ref="E2469" authorId="0" shapeId="0">
      <text>
        <t>LOUPIO — Eau / Électrik
PV 75 · Att 38 · Déf 38
Att.Spé 56 · Déf.Spé 56 · Vit 67
Total 330
Talents : Absorbe-Volt, Lumiattirance (caché :
  Absorbe-Eau)</t>
      </text>
    </comment>
    <comment ref="E2470" authorId="0" shapeId="0">
      <text>
        <t>KOKIYAS — Eau
PV 30 · Att 65 · Déf 100
Att.Spé 45 · Déf.Spé 25 · Vit 40
Total 305
Talents : Coque Armure, Multi-Coups (caché :
  Envelocape)</t>
      </text>
    </comment>
    <comment ref="E2471" authorId="0" shapeId="0">
      <text>
        <t>LOUPIO — Eau / Électrik
PV 75 · Att 38 · Déf 38
Att.Spé 56 · Déf.Spé 56 · Vit 67
Total 330
Talents : Absorbe-Volt, Lumiattirance (caché :
  Absorbe-Eau)</t>
      </text>
    </comment>
    <comment ref="E2472" authorId="0" shapeId="0">
      <text>
        <t>TENTACRUEL — Eau / Poison
PV 80 · Att 70 · Déf 65
Att.Spé 80 · Déf.Spé 120 · Vit 100
Total 515
Talents : Corps Sain, Suintement (caché :
  Cuvette)</t>
      </text>
    </comment>
    <comment ref="E2473" authorId="0" shapeId="0">
      <text>
        <t>LANTURN — Eau / Électrik
PV 125 · Att 58 · Déf 58
Att.Spé 76 · Déf.Spé 76 · Vit 67
Total 460
Talents : Absorbe-Volt, Lumiattirance (caché :
  Absorbe-Eau)</t>
      </text>
    </comment>
    <comment ref="E2474" authorId="0" shapeId="0">
      <text>
        <t>CANARTICHO — Normal / Vol
PV 52 · Att 90 · Déf 55
Att.Spé 58 · Déf.Spé 62 · Vit 60
Total 377
Talents : Regard Vif, Attention (caché :
  Acharné)</t>
      </text>
    </comment>
    <comment ref="E2475" authorId="0" shapeId="0">
      <text>
        <t>ORTIDE — Plante / Poison
PV 60 · Att 65 · Déf 70
Att.Spé 85 · Déf.Spé 75 · Vit 40
Total 395
Talents : Chlorophylle (caché : Puanteur)</t>
      </text>
    </comment>
    <comment ref="E2476" authorId="0" shapeId="0">
      <text>
        <t>TAUROS — Normal
PV 75 · Att 100 · Déf 95
Att.Spé 40 · Déf.Spé 70 · Vit 110
Total 490
Talents : Intimidation, Colérique (caché :
  Sans Limite)</t>
      </text>
    </comment>
    <comment ref="E2477" authorId="0" shapeId="0">
      <text>
        <t>FLORAVOL — Plante / Vol
PV 55 · Att 45 · Déf 50
Att.Spé 45 · Déf.Spé 65 · Vit 80
Total 340
Talents : Chlorophylle, Feuille Garde (caché :
  Infiltration)</t>
      </text>
    </comment>
    <comment ref="E2478" authorId="0" shapeId="0">
      <text>
        <t>RAPASDEPIC — Normal / Vol
PV 65 · Att 90 · Déf 65
Att.Spé 61 · Déf.Spé 61 · Vit 100
Total 442
Talents : Regard Vif (caché : Sniper)</t>
      </text>
    </comment>
    <comment ref="E2479" authorId="0" shapeId="0">
      <text>
        <t>CANINOS — Feu
PV 55 · Att 70 · Déf 45
Att.Spé 70 · Déf.Spé 50 · Vit 60
Total 350
Talents : Intimidation, Torche (caché : Cœur
  Noble)</t>
      </text>
    </comment>
    <comment ref="E2480" authorId="0" shapeId="0">
      <text>
        <t>GOUPIX — Feu
PV 38 · Att 41 · Déf 40
Att.Spé 50 · Déf.Spé 65 · Vit 65
Total 299
Talents : Torche (caché : Sécheresse)</t>
      </text>
    </comment>
    <comment ref="E2481" authorId="0" shapeId="0">
      <text>
        <t>GIRAFARIG — Normal / Psy
PV 70 · Att 80 · Déf 65
Att.Spé 90 · Déf.Spé 65 · Vit 85
Total 455
Talents : Attention, Matinal (caché :
  Herbivore)</t>
      </text>
    </comment>
    <comment ref="E2482" authorId="0" shapeId="0">
      <text>
        <t>POMDEPIK — Insecte
PV 50 · Att 65 · Déf 90
Att.Spé 35 · Déf.Spé 35 · Vit 15
Total 290
Talents : Fermeté (caché : Envelocape)</t>
      </text>
    </comment>
    <comment ref="E2483" authorId="0" shapeId="0">
      <text>
        <t>CAPUMAIN — Normal
PV 55 · Att 70 · Déf 55
Att.Spé 40 · Déf.Spé 55 · Vit 85
Total 360
Talents : Fuite, Ramassage (caché : Multi-
  Coups)</t>
      </text>
    </comment>
    <comment ref="E2484" authorId="0" shapeId="0">
      <text>
        <t>SCARHINO — Insecte / Combat
PV 80 · Att 125 · Déf 75
Att.Spé 40 · Déf.Spé 95 · Vit 85
Total 500
Talents : Essaim, Cran (caché : Impudence)</t>
      </text>
    </comment>
    <comment ref="E2485" authorId="0" shapeId="0">
      <text>
        <t>CERFROUSSE — Normal
PV 73 · Att 95 · Déf 62
Att.Spé 85 · Déf.Spé 65 · Vit 85
Total 465
Talents : Intimidation, Fouille (caché :
  Herbivore)</t>
      </text>
    </comment>
    <comment ref="E2486" authorId="0" shapeId="0">
      <text>
        <t>COCHIGNON — Glace / Sol
PV 100 · Att 100 · Déf 80
Att.Spé 60 · Déf.Spé 60 · Vit 50
Total 450
Talents : Benêt, Rideau Neige (caché :
  Isograisse)</t>
      </text>
    </comment>
    <comment ref="E2487" authorId="0" shapeId="0">
      <text>
        <t>URSARING — Normal
PV 90 · Att 130 · Déf 75
Att.Spé 75 · Déf.Spé 75 · Vit 55
Total 500
Talents : Cran, Pied Véloce (caché : Tension)</t>
      </text>
    </comment>
    <comment ref="E2488" authorId="0" shapeId="0">
      <text>
        <t>FARFURET-H — Combat / Poison
PV 55 · Att 95 · Déf 55
Att.Spé 35 · Déf.Spé 75 · Vit 115
Total 430
Talents : Attention, Regard Vif (caché :
  Pickpocket)</t>
      </text>
    </comment>
    <comment ref="E2489" authorId="0" shapeId="0">
      <text>
        <t>M. MIME — Psy / Fée
PV 40 · Att 45 · Déf 65
Att.Spé 100 · Déf.Spé 120 · Vit 90
Total 460
Talents : Anti-Bruit, Filtre (caché :
  Technicien)</t>
      </text>
    </comment>
    <comment ref="E2490" authorId="0" shapeId="0">
      <text>
        <t>CERBYLLIN — Normal / Psy
PV 103 · Att 105 · Déf 72
Att.Spé 105 · Déf.Spé 75 · Vit 65
Total 525
Talents : Intimidation, Fouille (caché :
  Herbivore)</t>
      </text>
    </comment>
    <comment ref="E2491" authorId="0" shapeId="0">
      <text>
        <t>FARFUREX — Combat / Poison
PV 80 · Att 130 · Déf 60
Att.Spé 40 · Déf.Spé 80 · Vit 120
Total 510
Talents : Pression, Délestage (caché :
  Toxitouche)</t>
      </text>
    </comment>
    <comment ref="E2492" authorId="0" shapeId="0">
      <text>
        <t>LEVIATOR — Eau / Vol
PV 95 · Att 125 · Déf 79
Att.Spé 60 · Déf.Spé 100 · Vit 81
Total 540
Talents : Intimidation (caché : Impudence)</t>
      </text>
    </comment>
    <comment ref="E2493" authorId="0" shapeId="0">
      <text>
        <t>QWILFISH-H — Ténèbres / Poison
PV 65 · Att 95 · Déf 85
Att.Spé 55 · Déf.Spé 55 · Vit 85
Total 440
Talents : Point Poison, Glissade (caché :
  Intimidation)</t>
      </text>
    </comment>
    <comment ref="E2494" authorId="0" shapeId="0">
      <text>
        <t>QWILPIK — Ténèbres / Poison
PV 85 · Att 115 · Déf 95
Att.Spé 65 · Déf.Spé 65 · Vit 85
Total 510
Talents : Point Poison, Glissade (caché :
  Intimidation)</t>
      </text>
    </comment>
    <comment ref="E2495" authorId="0" shapeId="0">
      <text>
        <t>RELICANTH — Eau / Roche
PV 100 · Att 90 · Déf 130
Att.Spé 45 · Déf.Spé 65 · Vit 55
Total 485
Talents : Glissade, Tête de Roc (caché :
  Fermeté)</t>
      </text>
    </comment>
    <comment ref="E2496" authorId="0" shapeId="0">
      <text>
        <t>MAGICARPE — Eau
PV 20 · Att 10 · Déf 55
Att.Spé 15 · Déf.Spé 20 · Vit 80
Total 200
Talents : Glissade (caché : Phobique)</t>
      </text>
    </comment>
    <comment ref="E2497" authorId="0" shapeId="0">
      <text>
        <t>RELICANTH — Eau / Roche
PV 100 · Att 90 · Déf 130
Att.Spé 45 · Déf.Spé 65 · Vit 55
Total 485
Talents : Glissade, Tête de Roc (caché :
  Fermeté)</t>
      </text>
    </comment>
    <comment ref="E2498" authorId="0" shapeId="0">
      <text>
        <t>QWILFISH-H — Ténèbres / Poison
PV 65 · Att 95 · Déf 85
Att.Spé 55 · Déf.Spé 55 · Vit 85
Total 440
Talents : Point Poison, Glissade (caché :
  Intimidation)</t>
      </text>
    </comment>
    <comment ref="E2499" authorId="0" shapeId="0">
      <text>
        <t>LEVIATOR — Eau / Vol
PV 95 · Att 125 · Déf 79
Att.Spé 60 · Déf.Spé 100 · Vit 81
Total 540
Talents : Intimidation (caché : Impudence)</t>
      </text>
    </comment>
    <comment ref="E2500" authorId="0" shapeId="0">
      <text>
        <t>QWILFISH-H — Ténèbres / Poison
PV 65 · Att 95 · Déf 85
Att.Spé 55 · Déf.Spé 55 · Vit 85
Total 440
Talents : Point Poison, Glissade (caché :
  Intimidation)</t>
      </text>
    </comment>
    <comment ref="E2501" authorId="0" shapeId="0">
      <text>
        <t>RELICANTH — Eau / Roche
PV 100 · Att 90 · Déf 130
Att.Spé 45 · Déf.Spé 65 · Vit 55
Total 485
Talents : Glissade, Tête de Roc (caché :
  Fermeté)</t>
      </text>
    </comment>
    <comment ref="E2502" authorId="0" shapeId="0">
      <text>
        <t>QWILPIK — Ténèbres / Poison
PV 85 · Att 115 · Déf 95
Att.Spé 65 · Déf.Spé 65 · Vit 85
Total 510
Talents : Point Poison, Glissade (caché :
  Intimidation)</t>
      </text>
    </comment>
    <comment ref="E2503" authorId="0" shapeId="0">
      <text>
        <t>ROUCOOL — Normal / Vol
PV 40 · Att 45 · Déf 40
Att.Spé 35 · Déf.Spé 35 · Vit 56
Total 251
Talents : Regard Vif, Pieds Confus (caché :
  Cœur de Coq)</t>
      </text>
    </comment>
    <comment ref="E2504" authorId="0" shapeId="0">
      <text>
        <t>MIAOUSS — Normal
PV 40 · Att 45 · Déf 35
Att.Spé 40 · Déf.Spé 40 · Vit 90
Total 290
Talents : Ramassage, Technicien (caché :
  Tension)</t>
      </text>
    </comment>
    <comment ref="E2505" authorId="0" shapeId="0">
      <text>
        <t>SNUBBULL — Fée
PV 60 · Att 80 · Déf 50
Att.Spé 40 · Déf.Spé 40 · Vit 30
Total 300
Talents : Intimidation, Fuite (caché :
  Phobique)</t>
      </text>
    </comment>
    <comment ref="E2506" authorId="0" shapeId="0">
      <text>
        <t>ABRA — Psy
PV 25 · Att 20 · Déf 15
Att.Spé 105 · Déf.Spé 55 · Vit 90
Total 310
Talents : Synchro, Attention (caché : Garde
  Magik)</t>
      </text>
    </comment>
    <comment ref="E2507" authorId="0" shapeId="0">
      <text>
        <t>RONDOUDOU
PV 115 · Att 45 · Déf 20
Att.Spé 45 · Déf.Spé 25 · Vit 20
Total 270
Talents : Joli Sourire, Battant (caché :
  Garde-Ami)</t>
      </text>
    </comment>
    <comment ref="E2508" authorId="0" shapeId="0">
      <text>
        <t>ROUCOUPS — Normal / Vol
PV 63 · Att 60 · Déf 55
Att.Spé 50 · Déf.Spé 50 · Vit 71
Total 349
Talents : Regard Vif, Pieds Confus (caché :
  Cœur de Coq)</t>
      </text>
    </comment>
    <comment ref="E2509" authorId="0" shapeId="0">
      <text>
        <t>SPINDA — Normal
PV 60 · Att 60 · Déf 60
Att.Spé 60 · Déf.Spé 60 · Vit 60
Total 360
Talents : Tempo Perso, Pieds Confus (caché :
  Contestation)</t>
      </text>
    </comment>
    <comment ref="E2510" authorId="0" shapeId="0">
      <text>
        <t>MIAOUSS — Normal
PV 40 · Att 45 · Déf 35
Att.Spé 40 · Déf.Spé 40 · Vit 90
Total 290
Talents : Ramassage, Technicien (caché :
  Tension)</t>
      </text>
    </comment>
    <comment ref="E2511" authorId="0" shapeId="0">
      <text>
        <t>ABRA — Psy
PV 25 · Att 20 · Déf 15
Att.Spé 105 · Déf.Spé 55 · Vit 90
Total 310
Talents : Synchro, Attention (caché : Garde
  Magik)</t>
      </text>
    </comment>
    <comment ref="E2512" authorId="0" shapeId="0">
      <text>
        <t>HOOTHOOT — Normal / Vol
PV 60 · Att 30 · Déf 30
Att.Spé 36 · Déf.Spé 56 · Vit 50
Total 262
Talents : Insomnia, Regard Vif (caché :
  Lentiteintée)</t>
      </text>
    </comment>
    <comment ref="E2513" authorId="0" shapeId="0">
      <text>
        <t>NOARFANG — Normal / Vol
PV 100 · Att 50 · Déf 50
Att.Spé 86 · Déf.Spé 96 · Vit 70
Total 452
Talents : Insomnia, Regard Vif (caché :
  Lentiteintée)</t>
      </text>
    </comment>
    <comment ref="E2514" authorId="0" shapeId="0">
      <text>
        <t>SPINDA — Normal
PV 60 · Att 60 · Déf 60
Att.Spé 60 · Déf.Spé 60 · Vit 60
Total 360
Talents : Tempo Perso, Pieds Confus (caché :
  Contestation)</t>
      </text>
    </comment>
    <comment ref="E2515" authorId="0" shapeId="0">
      <text>
        <t>RONDOUDOU
PV 115 · Att 45 · Déf 20
Att.Spé 45 · Déf.Spé 25 · Vit 20
Total 270
Talents : Joli Sourire, Battant (caché :
  Garde-Ami)</t>
      </text>
    </comment>
    <comment ref="E2516" authorId="0" shapeId="0">
      <text>
        <t>POMDEPIK — Insecte
PV 50 · Att 65 · Déf 90
Att.Spé 35 · Déf.Spé 35 · Vit 15
Total 290
Talents : Fermeté (caché : Envelocape)</t>
      </text>
    </comment>
    <comment ref="E2517" authorId="0" shapeId="0">
      <text>
        <t>NOEUNOEUF — Plante / Psy
PV 60 · Att 40 · Déf 80
Att.Spé 60 · Déf.Spé 45 · Vit 40
Total 325
Talents : Chlorophylle (caché : Récolte)</t>
      </text>
    </comment>
    <comment ref="E2518" authorId="0" shapeId="0">
      <text>
        <t>COXY — Insecte / Vol
PV 40 · Att 20 · Déf 30
Att.Spé 40 · Déf.Spé 80 · Vit 55
Total 265
Talents : Essaim, Matinal (caché : Phobique)</t>
      </text>
    </comment>
    <comment ref="E2519" authorId="0" shapeId="0">
      <text>
        <t>MIMIGAL — Insecte / Poison
PV 40 · Att 60 · Déf 40
Att.Spé 40 · Déf.Spé 40 · Vit 30
Total 250
Talents : Essaim, Insomnia (caché : Sniper)</t>
      </text>
    </comment>
    <comment ref="E2520" authorId="0" shapeId="0">
      <text>
        <t>POMDEPIK — Insecte
PV 50 · Att 65 · Déf 90
Att.Spé 35 · Déf.Spé 35 · Vit 15
Total 290
Talents : Fermeté (caché : Envelocape)</t>
      </text>
    </comment>
    <comment ref="E2521" authorId="0" shapeId="0">
      <text>
        <t>NOEUNOEUF — Plante / Psy
PV 60 · Att 40 · Déf 80
Att.Spé 60 · Déf.Spé 45 · Vit 40
Total 325
Talents : Chlorophylle (caché : Récolte)</t>
      </text>
    </comment>
    <comment ref="E2522" authorId="0" shapeId="0">
      <text>
        <t>COXY — Insecte / Vol
PV 40 · Att 20 · Déf 30
Att.Spé 40 · Déf.Spé 80 · Vit 55
Total 265
Talents : Essaim, Matinal (caché : Phobique)</t>
      </text>
    </comment>
    <comment ref="E2523" authorId="0" shapeId="0">
      <text>
        <t>MIMIGAL — Insecte / Poison
PV 40 · Att 60 · Déf 40
Att.Spé 40 · Déf.Spé 40 · Vit 30
Total 250
Talents : Essaim, Insomnia (caché : Sniper)</t>
      </text>
    </comment>
    <comment ref="E2524" authorId="0" shapeId="0">
      <text>
        <t>CERFROUSSE — Normal
PV 73 · Att 95 · Déf 62
Att.Spé 85 · Déf.Spé 65 · Vit 85
Total 465
Talents : Intimidation, Fouille (caché :
  Herbivore)</t>
      </text>
    </comment>
    <comment ref="E2525" authorId="0" shapeId="0">
      <text>
        <t>INSECATEUR — Insecte / Vol
PV 70 · Att 110 · Déf 80
Att.Spé 55 · Déf.Spé 80 · Vit 105
Total 500
Talents : Essaim, Technicien (caché :
  Impassible)</t>
      </text>
    </comment>
    <comment ref="E2526" authorId="0" shapeId="0">
      <text>
        <t>URSARING — Normal
PV 90 · Att 130 · Déf 75
Att.Spé 75 · Déf.Spé 75 · Vit 55
Total 500
Talents : Cran, Pied Véloce (caché : Tension)</t>
      </text>
    </comment>
    <comment ref="E2527" authorId="0" shapeId="0">
      <text>
        <t>VOLTORBE-H — Électrik / Plante
PV 40 · Att 30 · Déf 50
Att.Spé 55 · Déf.Spé 55 · Vit 100
Total 330
Talents : Anti-Bruit, Statik (caché : Boom
  Final)</t>
      </text>
    </comment>
    <comment ref="E2528" authorId="0" shapeId="0">
      <text>
        <t>ELECTRODE-H — Électrik / Plante
PV 60 · Att 50 · Déf 70
Att.Spé 80 · Déf.Spé 80 · Vit 150
Total 490
Talents : Anti-Bruit, Statik (caché : Boom
  Final)</t>
      </text>
    </comment>
    <comment ref="E2529" authorId="0" shapeId="0">
      <text>
        <t>HACHECATEUR — Insecte / Roche
PV 70 · Att 135 · Déf 95
Att.Spé 45 · Déf.Spé 70 · Vit 85
Total 500
Talents : Essaim, Sans Limite (caché :
  Incisif)</t>
      </text>
    </comment>
    <comment ref="E2530" authorId="0" shapeId="0">
      <text>
        <t>MORPHEO — Normal
PV 70 · Att 70 · Déf 70
Att.Spé 70 · Déf.Spé 70 · Vit 70
Total 420
Talents : Météo</t>
      </text>
    </comment>
    <comment ref="E2531" authorId="0" shapeId="0">
      <text>
        <t>STALGAMIN — Glace
PV 50 · Att 50 · Déf 50
Att.Spé 50 · Déf.Spé 50 · Vit 50
Total 300
Talents : Attention, Corps Gel (caché :
  Lunatique)</t>
      </text>
    </comment>
    <comment ref="E2532" authorId="0" shapeId="0">
      <text>
        <t>INSECATEUR — Insecte / Vol
PV 70 · Att 110 · Déf 80
Att.Spé 55 · Déf.Spé 80 · Vit 105
Total 500
Talents : Essaim, Technicien (caché :
  Impassible)</t>
      </text>
    </comment>
    <comment ref="E2533" authorId="0" shapeId="0">
      <text>
        <t>FORETRESS — Insecte / Acier
PV 75 · Att 90 · Déf 140
Att.Spé 60 · Déf.Spé 60 · Vit 40
Total 465
Talents : Fermeté (caché : Envelocape)</t>
      </text>
    </comment>
    <comment ref="E2534" authorId="0" shapeId="0">
      <text>
        <t>HACHECATEUR — Insecte / Roche
PV 70 · Att 135 · Déf 95
Att.Spé 45 · Déf.Spé 70 · Vit 85
Total 500
Talents : Essaim, Sans Limite (caché :
  Incisif)</t>
      </text>
    </comment>
    <comment ref="E2535" authorId="0" shapeId="0">
      <text>
        <t>NINGALE — Insecte / Sol
PV 31 · Att 45 · Déf 90
Att.Spé 30 · Déf.Spé 30 · Vit 40
Total 266
Talents : Œil Composé (caché : Fuite)</t>
      </text>
    </comment>
    <comment ref="E2536" authorId="0" shapeId="0">
      <text>
        <t>SNUBBULL — Fée
PV 60 · Att 80 · Déf 50
Att.Spé 40 · Déf.Spé 40 · Vit 30
Total 300
Talents : Intimidation, Fuite (caché :
  Phobique)</t>
      </text>
    </comment>
    <comment ref="E2537" authorId="0" shapeId="0">
      <text>
        <t>RATTATA — Normal
PV 30 · Att 56 · Déf 35
Att.Spé 25 · Déf.Spé 35 · Vit 72
Total 253
Talents : Fuite, Cran (caché : Agitation)</t>
      </text>
    </comment>
    <comment ref="E2538" authorId="0" shapeId="0">
      <text>
        <t>RATTATAC — Normal
PV 55 · Att 81 · Déf 60
Att.Spé 50 · Déf.Spé 70 · Vit 97
Total 413
Talents : Fuite, Cran (caché : Agitation)</t>
      </text>
    </comment>
    <comment ref="E2539" authorId="0" shapeId="0">
      <text>
        <t>MAGNETI — Électrik
PV 25 · Att 35 · Déf 70
Att.Spé 95 · Déf.Spé 55 · Vit 45
Total 325
Talents : Magnépiège, Fermeté (caché :
  Analyste)</t>
      </text>
    </comment>
    <comment ref="E2540" authorId="0" shapeId="0">
      <text>
        <t>GRANBULL — Fée
PV 90 · Att 120 · Déf 75
Att.Spé 60 · Déf.Spé 60 · Vit 45
Total 450
Talents : Intimidation, Pied Véloce (caché :
  Phobique)</t>
      </text>
    </comment>
    <comment ref="E2541" authorId="0" shapeId="0">
      <text>
        <t>NEGAPI — Électrik
PV 60 · Att 40 · Déf 50
Att.Spé 75 · Déf.Spé 85 · Vit 95
Total 405
Talents : Moins (caché : Absorbe-Volt)</t>
      </text>
    </comment>
    <comment ref="E2542" authorId="0" shapeId="0">
      <text>
        <t>POSIPI — Électrik
PV 60 · Att 50 · Déf 40
Att.Spé 85 · Déf.Spé 75 · Vit 95
Total 405
Talents : Plus (caché : Paratonnerre)</t>
      </text>
    </comment>
    <comment ref="E2543" authorId="0" shapeId="0">
      <text>
        <t>MIAOUSS — Normal
PV 40 · Att 45 · Déf 35
Att.Spé 40 · Déf.Spé 40 · Vit 90
Total 290
Talents : Ramassage, Technicien (caché :
  Tension)</t>
      </text>
    </comment>
    <comment ref="E2544" authorId="0" shapeId="0">
      <text>
        <t>SOPORIFIK — Psy
PV 60 · Att 48 · Déf 45
Att.Spé 43 · Déf.Spé 90 · Vit 42
Total 328
Talents : Insomnia, Prédiction (caché :
  Attention)</t>
      </text>
    </comment>
    <comment ref="E2545" authorId="0" shapeId="0">
      <text>
        <t>PSYKOKWAK — Eau
PV 50 · Att 52 · Déf 48
Att.Spé 65 · Déf.Spé 50 · Vit 55
Total 320
Talents : Moiteur, Ciel Gris (caché :
  Glissade)</t>
      </text>
    </comment>
    <comment ref="E2546" authorId="0" shapeId="0">
      <text>
        <t>MAGNETI — Électrik
PV 25 · Att 35 · Déf 70
Att.Spé 95 · Déf.Spé 55 · Vit 45
Total 325
Talents : Magnépiège, Fermeté (caché :
  Analyste)</t>
      </text>
    </comment>
    <comment ref="E2547" authorId="0" shapeId="0">
      <text>
        <t>RATTATAC — Normal
PV 55 · Att 81 · Déf 60
Att.Spé 50 · Déf.Spé 70 · Vit 97
Total 413
Talents : Fuite, Cran (caché : Agitation)</t>
      </text>
    </comment>
    <comment ref="E2548" authorId="0" shapeId="0">
      <text>
        <t>NEGAPI — Électrik
PV 60 · Att 40 · Déf 50
Att.Spé 75 · Déf.Spé 85 · Vit 95
Total 405
Talents : Moins (caché : Absorbe-Volt)</t>
      </text>
    </comment>
    <comment ref="E2549" authorId="0" shapeId="0">
      <text>
        <t>POSIPI — Électrik
PV 60 · Att 50 · Déf 40
Att.Spé 85 · Déf.Spé 75 · Vit 95
Total 405
Talents : Plus (caché : Paratonnerre)</t>
      </text>
    </comment>
    <comment ref="E2550" authorId="0" shapeId="0">
      <text>
        <t>RONDOUDOU
PV 115 · Att 45 · Déf 20
Att.Spé 45 · Déf.Spé 25 · Vit 20
Total 270
Talents : Joli Sourire, Battant (caché :
  Garde-Ami)</t>
      </text>
    </comment>
    <comment ref="E2551" authorId="0" shapeId="0">
      <text>
        <t>PSYKOKWAK — Eau
PV 50 · Att 52 · Déf 48
Att.Spé 65 · Déf.Spé 50 · Vit 55
Total 320
Talents : Moiteur, Ciel Gris (caché :
  Glissade)</t>
      </text>
    </comment>
    <comment ref="E2552" authorId="0" shapeId="0">
      <text>
        <t>AKWAKWAK — Eau
PV 80 · Att 82 · Déf 78
Att.Spé 95 · Déf.Spé 80 · Vit 85
Total 500
Talents : Moiteur, Ciel Gris (caché :
  Glissade)</t>
      </text>
    </comment>
    <comment ref="E2553" authorId="0" shapeId="0">
      <text>
        <t>PSYKOKWAK — Eau
PV 50 · Att 52 · Déf 48
Att.Spé 65 · Déf.Spé 50 · Vit 55
Total 320
Talents : Moiteur, Ciel Gris (caché :
  Glissade)</t>
      </text>
    </comment>
    <comment ref="E2554" authorId="0" shapeId="0">
      <text>
        <t>AKWAKWAK — Eau
PV 80 · Att 82 · Déf 78
Att.Spé 95 · Déf.Spé 80 · Vit 85
Total 500
Talents : Moiteur, Ciel Gris (caché :
  Glissade)</t>
      </text>
    </comment>
    <comment ref="E2555" authorId="0" shapeId="0">
      <text>
        <t>POMDEPIK — Insecte
PV 50 · Att 65 · Déf 90
Att.Spé 35 · Déf.Spé 35 · Vit 15
Total 290
Talents : Fermeté (caché : Envelocape)</t>
      </text>
    </comment>
    <comment ref="E2556" authorId="0" shapeId="0">
      <text>
        <t>NOEUNOEUF — Plante / Psy
PV 60 · Att 40 · Déf 80
Att.Spé 60 · Déf.Spé 45 · Vit 40
Total 325
Talents : Chlorophylle (caché : Récolte)</t>
      </text>
    </comment>
    <comment ref="E2557" authorId="0" shapeId="0">
      <text>
        <t>COXY — Insecte / Vol
PV 40 · Att 20 · Déf 30
Att.Spé 40 · Déf.Spé 80 · Vit 55
Total 265
Talents : Essaim, Matinal (caché : Phobique)</t>
      </text>
    </comment>
    <comment ref="E2558" authorId="0" shapeId="0">
      <text>
        <t>MIMIGAL — Insecte / Poison
PV 40 · Att 60 · Déf 40
Att.Spé 40 · Déf.Spé 40 · Vit 30
Total 250
Talents : Essaim, Insomnia (caché : Sniper)</t>
      </text>
    </comment>
    <comment ref="E2559" authorId="0" shapeId="0">
      <text>
        <t>POMDEPIK — Insecte
PV 50 · Att 65 · Déf 90
Att.Spé 35 · Déf.Spé 35 · Vit 15
Total 290
Talents : Fermeté (caché : Envelocape)</t>
      </text>
    </comment>
    <comment ref="E2560" authorId="0" shapeId="0">
      <text>
        <t>NOEUNOEUF — Plante / Psy
PV 60 · Att 40 · Déf 80
Att.Spé 60 · Déf.Spé 45 · Vit 40
Total 325
Talents : Chlorophylle (caché : Récolte)</t>
      </text>
    </comment>
    <comment ref="E2561" authorId="0" shapeId="0">
      <text>
        <t>COXY — Insecte / Vol
PV 40 · Att 20 · Déf 30
Att.Spé 40 · Déf.Spé 80 · Vit 55
Total 265
Talents : Essaim, Matinal (caché : Phobique)</t>
      </text>
    </comment>
    <comment ref="E2562" authorId="0" shapeId="0">
      <text>
        <t>MIMIGAL — Insecte / Poison
PV 40 · Att 60 · Déf 40
Att.Spé 40 · Déf.Spé 40 · Vit 30
Total 250
Talents : Essaim, Insomnia (caché : Sniper)</t>
      </text>
    </comment>
    <comment ref="E2563" authorId="0" shapeId="0">
      <text>
        <t>MAGICARPE — Eau
PV 20 · Att 10 · Déf 55
Att.Spé 15 · Déf.Spé 20 · Vit 80
Total 200
Talents : Glissade (caché : Phobique)</t>
      </text>
    </comment>
    <comment ref="E2564" authorId="0" shapeId="0">
      <text>
        <t>PTITARD — Eau
PV 40 · Att 50 · Déf 40
Att.Spé 40 · Déf.Spé 40 · Vit 90
Total 300
Talents : Absorbe-Eau, Moiteur (caché :
  Glissade)</t>
      </text>
    </comment>
    <comment ref="E2565" authorId="0" shapeId="0">
      <text>
        <t>MAGICARPE — Eau
PV 20 · Att 10 · Déf 55
Att.Spé 15 · Déf.Spé 20 · Vit 80
Total 200
Talents : Glissade (caché : Phobique)</t>
      </text>
    </comment>
    <comment ref="E2566" authorId="0" shapeId="0">
      <text>
        <t>PTITARD — Eau
PV 40 · Att 50 · Déf 40
Att.Spé 40 · Déf.Spé 40 · Vit 90
Total 300
Talents : Absorbe-Eau, Moiteur (caché :
  Glissade)</t>
      </text>
    </comment>
    <comment ref="E2567" authorId="0" shapeId="0">
      <text>
        <t>PTITARD — Eau
PV 40 · Att 50 · Déf 40
Att.Spé 40 · Déf.Spé 40 · Vit 90
Total 300
Talents : Absorbe-Eau, Moiteur (caché :
  Glissade)</t>
      </text>
    </comment>
    <comment ref="E2568" authorId="0" shapeId="0">
      <text>
        <t>MAGICARPE — Eau
PV 20 · Att 10 · Déf 55
Att.Spé 15 · Déf.Spé 20 · Vit 80
Total 200
Talents : Glissade (caché : Phobique)</t>
      </text>
    </comment>
    <comment ref="E2569" authorId="0" shapeId="0">
      <text>
        <t>PTITARD — Eau
PV 40 · Att 50 · Déf 40
Att.Spé 40 · Déf.Spé 40 · Vit 90
Total 300
Talents : Absorbe-Eau, Moiteur (caché :
  Glissade)</t>
      </text>
    </comment>
    <comment ref="E2570" authorId="0" shapeId="0">
      <text>
        <t>MAGICARPE — Eau
PV 20 · Att 10 · Déf 55
Att.Spé 15 · Déf.Spé 20 · Vit 80
Total 200
Talents : Glissade (caché : Phobique)</t>
      </text>
    </comment>
    <comment ref="E2571" authorId="0" shapeId="0">
      <text>
        <t>PTITARD — Eau
PV 40 · Att 50 · Déf 40
Att.Spé 40 · Déf.Spé 40 · Vit 90
Total 300
Talents : Absorbe-Eau, Moiteur (caché :
  Glissade)</t>
      </text>
    </comment>
    <comment ref="E2572" authorId="0" shapeId="0">
      <text>
        <t>MAGICARPE — Eau
PV 20 · Att 10 · Déf 55
Att.Spé 15 · Déf.Spé 20 · Vit 80
Total 200
Talents : Glissade (caché : Phobique)</t>
      </text>
    </comment>
    <comment ref="E2573" authorId="0" shapeId="0">
      <text>
        <t>TETARTE — Eau
PV 65 · Att 65 · Déf 65
Att.Spé 50 · Déf.Spé 50 · Vit 90
Total 385
Talents : Absorbe-Eau, Moiteur (caché :
  Glissade)</t>
      </text>
    </comment>
    <comment ref="E2574" authorId="0" shapeId="0">
      <text>
        <t>PTITARD — Eau
PV 40 · Att 50 · Déf 40
Att.Spé 40 · Déf.Spé 40 · Vit 90
Total 300
Talents : Absorbe-Eau, Moiteur (caché :
  Glissade)</t>
      </text>
    </comment>
    <comment ref="E2575" authorId="0" shapeId="0">
      <text>
        <t>MAGICARPE — Eau
PV 20 · Att 10 · Déf 55
Att.Spé 15 · Déf.Spé 20 · Vit 80
Total 200
Talents : Glissade (caché : Phobique)</t>
      </text>
    </comment>
    <comment ref="E2576" authorId="0" shapeId="0">
      <text>
        <t>TETARTE — Eau
PV 65 · Att 65 · Déf 65
Att.Spé 50 · Déf.Spé 50 · Vit 90
Total 385
Talents : Absorbe-Eau, Moiteur (caché :
  Glissade)</t>
      </text>
    </comment>
    <comment ref="E2577" authorId="0" shapeId="0">
      <text>
        <t>PIAFABEC — Normal / Vol
PV 40 · Att 60 · Déf 30
Att.Spé 31 · Déf.Spé 31 · Vit 70
Total 262
Talents : Regard Vif (caché : Sniper)</t>
      </text>
    </comment>
    <comment ref="E2578" authorId="0" shapeId="0">
      <text>
        <t>RATTATA — Normal
PV 30 · Att 56 · Déf 35
Att.Spé 25 · Déf.Spé 35 · Vit 72
Total 253
Talents : Fuite, Cran (caché : Agitation)</t>
      </text>
    </comment>
    <comment ref="E2579" authorId="0" shapeId="0">
      <text>
        <t>SNUBBULL — Fée
PV 60 · Att 80 · Déf 50
Att.Spé 40 · Déf.Spé 40 · Vit 30
Total 300
Talents : Intimidation, Fuite (caché :
  Phobique)</t>
      </text>
    </comment>
    <comment ref="E2580" authorId="0" shapeId="0">
      <text>
        <t>RATTATAC — Normal
PV 55 · Att 81 · Déf 60
Att.Spé 50 · Déf.Spé 70 · Vit 97
Total 413
Talents : Fuite, Cran (caché : Agitation)</t>
      </text>
    </comment>
    <comment ref="E2581" authorId="0" shapeId="0">
      <text>
        <t>RONDOUDOU
PV 115 · Att 45 · Déf 20
Att.Spé 45 · Déf.Spé 25 · Vit 20
Total 270
Talents : Joli Sourire, Battant (caché :
  Garde-Ami)</t>
      </text>
    </comment>
    <comment ref="E2582" authorId="0" shapeId="0">
      <text>
        <t>ABRA — Psy
PV 25 · Att 20 · Déf 15
Att.Spé 105 · Déf.Spé 55 · Vit 90
Total 310
Talents : Synchro, Attention (caché : Garde
  Magik)</t>
      </text>
    </comment>
    <comment ref="E2583" authorId="0" shapeId="0">
      <text>
        <t>TARSAL — Psy
PV 28 · Att 25 · Déf 25
Att.Spé 45 · Déf.Spé 35 · Vit 40
Total 198
Talents : Synchro, Calque (caché : Télépathe)</t>
      </text>
    </comment>
    <comment ref="E2584" authorId="0" shapeId="0">
      <text>
        <t>CORNEBRE — Ténèbres / Vol
PV 60 · Att 85 · Déf 42
Att.Spé 85 · Déf.Spé 42 · Vit 91
Total 405
Talents : Insomnia, Chanceux (caché : Farceur)</t>
      </text>
    </comment>
    <comment ref="E2585" authorId="0" shapeId="0">
      <text>
        <t>MIAOUSS — Normal
PV 40 · Att 45 · Déf 35
Att.Spé 40 · Déf.Spé 40 · Vit 90
Total 290
Talents : Ramassage, Technicien (caché :
  Tension)</t>
      </text>
    </comment>
    <comment ref="E2586" authorId="0" shapeId="0">
      <text>
        <t>MALOSSE — Ténèbres / Feu
PV 45 · Att 60 · Déf 30
Att.Spé 80 · Déf.Spé 50 · Vit 65
Total 330
Talents : Matinal, Torche (caché : Tension)</t>
      </text>
    </comment>
    <comment ref="E2587" authorId="0" shapeId="0">
      <text>
        <t>PERSIAN — Normal
PV 65 · Att 70 · Déf 60
Att.Spé 65 · Déf.Spé 65 · Vit 115
Total 440
Talents : Échauffement, Technicien (caché :
  Tension)</t>
      </text>
    </comment>
    <comment ref="E2588" authorId="0" shapeId="0">
      <text>
        <t>RONDOUDOU
PV 115 · Att 45 · Déf 20
Att.Spé 45 · Déf.Spé 25 · Vit 20
Total 270
Talents : Joli Sourire, Battant (caché :
  Garde-Ami)</t>
      </text>
    </comment>
    <comment ref="E2589" authorId="0" shapeId="0">
      <text>
        <t>ABRA — Psy
PV 25 · Att 20 · Déf 15
Att.Spé 105 · Déf.Spé 55 · Vit 90
Total 310
Talents : Synchro, Attention (caché : Garde
  Magik)</t>
      </text>
    </comment>
    <comment ref="E2590" authorId="0" shapeId="0">
      <text>
        <t>TARSAL — Psy
PV 28 · Att 25 · Déf 25
Att.Spé 45 · Déf.Spé 35 · Vit 40
Total 198
Talents : Synchro, Calque (caché : Télépathe)</t>
      </text>
    </comment>
    <comment ref="E2591" authorId="0" shapeId="0">
      <text>
        <t>POMDEPIK — Insecte
PV 50 · Att 65 · Déf 90
Att.Spé 35 · Déf.Spé 35 · Vit 15
Total 290
Talents : Fermeté (caché : Envelocape)</t>
      </text>
    </comment>
    <comment ref="E2592" authorId="0" shapeId="0">
      <text>
        <t>NOEUNOEUF — Plante / Psy
PV 60 · Att 40 · Déf 80
Att.Spé 60 · Déf.Spé 45 · Vit 40
Total 325
Talents : Chlorophylle (caché : Récolte)</t>
      </text>
    </comment>
    <comment ref="E2593" authorId="0" shapeId="0">
      <text>
        <t>COXY — Insecte / Vol
PV 40 · Att 20 · Déf 30
Att.Spé 40 · Déf.Spé 80 · Vit 55
Total 265
Talents : Essaim, Matinal (caché : Phobique)</t>
      </text>
    </comment>
    <comment ref="E2594" authorId="0" shapeId="0">
      <text>
        <t>MIMIGAL — Insecte / Poison
PV 40 · Att 60 · Déf 40
Att.Spé 40 · Déf.Spé 40 · Vit 30
Total 250
Talents : Essaim, Insomnia (caché : Sniper)</t>
      </text>
    </comment>
    <comment ref="E2595" authorId="0" shapeId="0">
      <text>
        <t>POMDEPIK — Insecte
PV 50 · Att 65 · Déf 90
Att.Spé 35 · Déf.Spé 35 · Vit 15
Total 290
Talents : Fermeté (caché : Envelocape)</t>
      </text>
    </comment>
    <comment ref="E2596" authorId="0" shapeId="0">
      <text>
        <t>NOEUNOEUF — Plante / Psy
PV 60 · Att 40 · Déf 80
Att.Spé 60 · Déf.Spé 45 · Vit 40
Total 325
Talents : Chlorophylle (caché : Récolte)</t>
      </text>
    </comment>
    <comment ref="E2597" authorId="0" shapeId="0">
      <text>
        <t>COXY — Insecte / Vol
PV 40 · Att 20 · Déf 30
Att.Spé 40 · Déf.Spé 80 · Vit 55
Total 265
Talents : Essaim, Matinal (caché : Phobique)</t>
      </text>
    </comment>
    <comment ref="E2598" authorId="0" shapeId="0">
      <text>
        <t>MIMIGAL — Insecte / Poison
PV 40 · Att 60 · Déf 40
Att.Spé 40 · Déf.Spé 40 · Vit 30
Total 250
Talents : Essaim, Insomnia (caché : Sniper)</t>
      </text>
    </comment>
    <comment ref="E2599" authorId="0" shapeId="0">
      <text>
        <t>ROUCOUPS — Normal / Vol
PV 63 · Att 60 · Déf 55
Att.Spé 50 · Déf.Spé 50 · Vit 71
Total 349
Talents : Regard Vif, Pieds Confus (caché :
  Cœur de Coq)</t>
      </text>
    </comment>
    <comment ref="E2600" authorId="0" shapeId="0">
      <text>
        <t>SNUBBULL — Fée
PV 60 · Att 80 · Déf 50
Att.Spé 40 · Déf.Spé 40 · Vit 30
Total 300
Talents : Intimidation, Fuite (caché :
  Phobique)</t>
      </text>
    </comment>
    <comment ref="E2601" authorId="0" shapeId="0">
      <text>
        <t>ABRA — Psy
PV 25 · Att 20 · Déf 15
Att.Spé 105 · Déf.Spé 55 · Vit 90
Total 310
Talents : Synchro, Attention (caché : Garde
  Magik)</t>
      </text>
    </comment>
    <comment ref="E2602" authorId="0" shapeId="0">
      <text>
        <t>CANINOS — Feu
PV 55 · Att 70 · Déf 45
Att.Spé 70 · Déf.Spé 50 · Vit 60
Total 350
Talents : Intimidation, Torche (caché : Cœur
  Noble)</t>
      </text>
    </comment>
    <comment ref="E2603" authorId="0" shapeId="0">
      <text>
        <t>GOUPIX — Feu
PV 38 · Att 41 · Déf 40
Att.Spé 50 · Déf.Spé 65 · Vit 65
Total 299
Talents : Torche (caché : Sécheresse)</t>
      </text>
    </comment>
    <comment ref="E2604" authorId="0" shapeId="0">
      <text>
        <t>KADABRA — Psy
PV 40 · Att 35 · Déf 30
Att.Spé 120 · Déf.Spé 70 · Vit 105
Total 400
Talents : Synchro, Attention (caché : Garde
  Magik)</t>
      </text>
    </comment>
    <comment ref="E2605" authorId="0" shapeId="0">
      <text>
        <t>RONDOUDOU
PV 115 · Att 45 · Déf 20
Att.Spé 45 · Déf.Spé 25 · Vit 20
Total 270
Talents : Joli Sourire, Battant (caché :
  Garde-Ami)</t>
      </text>
    </comment>
    <comment ref="E2606" authorId="0" shapeId="0">
      <text>
        <t>MIAOUSS — Normal
PV 40 · Att 45 · Déf 35
Att.Spé 40 · Déf.Spé 40 · Vit 90
Total 290
Talents : Ramassage, Technicien (caché :
  Tension)</t>
      </text>
    </comment>
    <comment ref="E2607" authorId="0" shapeId="0">
      <text>
        <t>ABRA — Psy
PV 25 · Att 20 · Déf 15
Att.Spé 105 · Déf.Spé 55 · Vit 90
Total 310
Talents : Synchro, Attention (caché : Garde
  Magik)</t>
      </text>
    </comment>
    <comment ref="E2608" authorId="0" shapeId="0">
      <text>
        <t>NOARFANG — Normal / Vol
PV 100 · Att 50 · Déf 50
Att.Spé 86 · Déf.Spé 96 · Vit 70
Total 452
Talents : Insomnia, Regard Vif (caché :
  Lentiteintée)</t>
      </text>
    </comment>
    <comment ref="E2609" authorId="0" shapeId="0">
      <text>
        <t>SPECTRUM — Spectre / Poison
PV 45 · Att 50 · Déf 45
Att.Spé 115 · Déf.Spé 55 · Vit 95
Total 405
Talents : Lévitation</t>
      </text>
    </comment>
    <comment ref="E2610" authorId="0" shapeId="0">
      <text>
        <t>RONDOUDOU
PV 115 · Att 45 · Déf 20
Att.Spé 45 · Déf.Spé 25 · Vit 20
Total 270
Talents : Joli Sourire, Battant (caché :
  Garde-Ami)</t>
      </text>
    </comment>
    <comment ref="E2611" authorId="0" shapeId="0">
      <text>
        <t>KADABRA — Psy
PV 40 · Att 35 · Déf 30
Att.Spé 120 · Déf.Spé 70 · Vit 105
Total 400
Talents : Synchro, Attention (caché : Garde
  Magik)</t>
      </text>
    </comment>
    <comment ref="E2612" authorId="0" shapeId="0">
      <text>
        <t>SKELENOX — Spectre
PV 20 · Att 40 · Déf 90
Att.Spé 30 · Déf.Spé 90 · Vit 25
Total 295
Talents : Lévitation (caché : Fouille)</t>
      </text>
    </comment>
    <comment ref="E2613" authorId="0" shapeId="0">
      <text>
        <t>POMDEPIK — Insecte
PV 50 · Att 65 · Déf 90
Att.Spé 35 · Déf.Spé 35 · Vit 15
Total 290
Talents : Fermeté (caché : Envelocape)</t>
      </text>
    </comment>
    <comment ref="E2614" authorId="0" shapeId="0">
      <text>
        <t>NOEUNOEUF — Plante / Psy
PV 60 · Att 40 · Déf 80
Att.Spé 60 · Déf.Spé 45 · Vit 40
Total 325
Talents : Chlorophylle (caché : Récolte)</t>
      </text>
    </comment>
    <comment ref="E2615" authorId="0" shapeId="0">
      <text>
        <t>COXY — Insecte / Vol
PV 40 · Att 20 · Déf 30
Att.Spé 40 · Déf.Spé 80 · Vit 55
Total 265
Talents : Essaim, Matinal (caché : Phobique)</t>
      </text>
    </comment>
    <comment ref="E2616" authorId="0" shapeId="0">
      <text>
        <t>MIMIGAL — Insecte / Poison
PV 40 · Att 60 · Déf 40
Att.Spé 40 · Déf.Spé 40 · Vit 30
Total 250
Talents : Essaim, Insomnia (caché : Sniper)</t>
      </text>
    </comment>
    <comment ref="E2617" authorId="0" shapeId="0">
      <text>
        <t>POMDEPIK — Insecte
PV 50 · Att 65 · Déf 90
Att.Spé 35 · Déf.Spé 35 · Vit 15
Total 290
Talents : Fermeté (caché : Envelocape)</t>
      </text>
    </comment>
    <comment ref="E2618" authorId="0" shapeId="0">
      <text>
        <t>NOEUNOEUF — Plante / Psy
PV 60 · Att 40 · Déf 80
Att.Spé 60 · Déf.Spé 45 · Vit 40
Total 325
Talents : Chlorophylle (caché : Récolte)</t>
      </text>
    </comment>
    <comment ref="E2619" authorId="0" shapeId="0">
      <text>
        <t>COXY — Insecte / Vol
PV 40 · Att 20 · Déf 30
Att.Spé 40 · Déf.Spé 80 · Vit 55
Total 265
Talents : Essaim, Matinal (caché : Phobique)</t>
      </text>
    </comment>
    <comment ref="E2620" authorId="0" shapeId="0">
      <text>
        <t>MIMIGAL — Insecte / Poison
PV 40 · Att 60 · Déf 40
Att.Spé 40 · Déf.Spé 40 · Vit 30
Total 250
Talents : Essaim, Insomnia (caché : Sniper)</t>
      </text>
    </comment>
    <comment ref="E2621" authorId="0" shapeId="0">
      <text>
        <t>PIAFABEC — Normal / Vol
PV 40 · Att 60 · Déf 30
Att.Spé 31 · Déf.Spé 31 · Vit 70
Total 262
Talents : Regard Vif (caché : Sniper)</t>
      </text>
    </comment>
    <comment ref="E2622" authorId="0" shapeId="0">
      <text>
        <t>RATTATAC — Normal
PV 55 · Att 81 · Déf 60
Att.Spé 50 · Déf.Spé 70 · Vit 97
Total 413
Talents : Fuite, Cran (caché : Agitation)</t>
      </text>
    </comment>
    <comment ref="E2623" authorId="0" shapeId="0">
      <text>
        <t>RATTATA — Normal
PV 30 · Att 56 · Déf 35
Att.Spé 25 · Déf.Spé 35 · Vit 72
Total 253
Talents : Fuite, Cran (caché : Agitation)</t>
      </text>
    </comment>
    <comment ref="E2624" authorId="0" shapeId="0">
      <text>
        <t>RAPASDEPIC — Normal / Vol
PV 65 · Att 90 · Déf 65
Att.Spé 61 · Déf.Spé 61 · Vit 100
Total 442
Talents : Regard Vif (caché : Sniper)</t>
      </text>
    </comment>
    <comment ref="E2625" authorId="0" shapeId="0">
      <text>
        <t>OSSATUEUR — Sol
PV 60 · Att 80 · Déf 110
Att.Spé 50 · Déf.Spé 80 · Vit 45
Total 425
Talents : Tête de Roc, Paratonnerre (caché :
  Armurbaston)</t>
      </text>
    </comment>
    <comment ref="E2626" authorId="0" shapeId="0">
      <text>
        <t>GALEKID — Acier / Roche
PV 50 · Att 70 · Déf 100
Att.Spé 40 · Déf.Spé 40 · Vit 30
Total 330
Talents : Fermeté, Tête de Roc (caché : Heavy
  Metal)</t>
      </text>
    </comment>
    <comment ref="E2627" authorId="0" shapeId="0">
      <text>
        <t>MIMITOSS — Insecte / Poison
PV 60 · Att 55 · Déf 50
Att.Spé 40 · Déf.Spé 55 · Vit 45
Total 305
Talents : Œil Composé, Lentiteintée (caché :
  Fuite)</t>
      </text>
    </comment>
    <comment ref="E2628" authorId="0" shapeId="0">
      <text>
        <t>RATTATAC — Normal
PV 55 · Att 81 · Déf 60
Att.Spé 50 · Déf.Spé 70 · Vit 97
Total 413
Talents : Fuite, Cran (caché : Agitation)</t>
      </text>
    </comment>
    <comment ref="E2629" authorId="0" shapeId="0">
      <text>
        <t>RATTATA — Normal
PV 30 · Att 56 · Déf 35
Att.Spé 25 · Déf.Spé 35 · Vit 72
Total 253
Talents : Fuite, Cran (caché : Agitation)</t>
      </text>
    </comment>
    <comment ref="E2630" authorId="0" shapeId="0">
      <text>
        <t>AEROMITE — Insecte / Poison
PV 70 · Att 65 · Déf 60
Att.Spé 90 · Déf.Spé 75 · Vit 90
Total 450
Talents : Écran Poudre, Lentiteintée (caché :
  Peau Miracle)</t>
      </text>
    </comment>
    <comment ref="E2631" authorId="0" shapeId="0">
      <text>
        <t>NOSFERAPTI — Poison / Vol
PV 40 · Att 45 · Déf 35
Att.Spé 30 · Déf.Spé 40 · Vit 55
Total 245
Talents : Attention (caché : Infiltration)</t>
      </text>
    </comment>
    <comment ref="E2632" authorId="0" shapeId="0">
      <text>
        <t>GALEKID — Acier / Roche
PV 50 · Att 70 · Déf 100
Att.Spé 40 · Déf.Spé 40 · Vit 30
Total 330
Talents : Fermeté, Tête de Roc (caché : Heavy
  Metal)</t>
      </text>
    </comment>
    <comment ref="E2633" authorId="0" shapeId="0">
      <text>
        <t>POISSIRENE — Eau
PV 45 · Att 67 · Déf 60
Att.Spé 35 · Déf.Spé 50 · Vit 63
Total 320
Talents : Glissade, Ignifu-Voile (caché :
  Paratonnerre)</t>
      </text>
    </comment>
    <comment ref="E2634" authorId="0" shapeId="0">
      <text>
        <t>POISSOROY — Eau
PV 80 · Att 92 · Déf 65
Att.Spé 65 · Déf.Spé 80 · Vit 68
Total 450
Talents : Glissade, Ignifu-Voile (caché :
  Paratonnerre)</t>
      </text>
    </comment>
    <comment ref="E2635" authorId="0" shapeId="0">
      <text>
        <t>POISSIRENE — Eau
PV 45 · Att 67 · Déf 60
Att.Spé 35 · Déf.Spé 50 · Vit 63
Total 320
Talents : Glissade, Ignifu-Voile (caché :
  Paratonnerre)</t>
      </text>
    </comment>
    <comment ref="E2636" authorId="0" shapeId="0">
      <text>
        <t>POISSOROY — Eau
PV 80 · Att 92 · Déf 65
Att.Spé 65 · Déf.Spé 80 · Vit 68
Total 450
Talents : Glissade, Ignifu-Voile (caché :
  Paratonnerre)</t>
      </text>
    </comment>
    <comment ref="E2637" authorId="0" shapeId="0">
      <text>
        <t>POMDEPIK — Insecte
PV 50 · Att 65 · Déf 90
Att.Spé 35 · Déf.Spé 35 · Vit 15
Total 290
Talents : Fermeté (caché : Envelocape)</t>
      </text>
    </comment>
    <comment ref="E2638" authorId="0" shapeId="0">
      <text>
        <t>NOEUNOEUF — Plante / Psy
PV 60 · Att 40 · Déf 80
Att.Spé 60 · Déf.Spé 45 · Vit 40
Total 325
Talents : Chlorophylle (caché : Récolte)</t>
      </text>
    </comment>
    <comment ref="E2639" authorId="0" shapeId="0">
      <text>
        <t>COXY — Insecte / Vol
PV 40 · Att 20 · Déf 30
Att.Spé 40 · Déf.Spé 80 · Vit 55
Total 265
Talents : Essaim, Matinal (caché : Phobique)</t>
      </text>
    </comment>
    <comment ref="E2640" authorId="0" shapeId="0">
      <text>
        <t>MIMIGAL — Insecte / Poison
PV 40 · Att 60 · Déf 40
Att.Spé 40 · Déf.Spé 40 · Vit 30
Total 250
Talents : Essaim, Insomnia (caché : Sniper)</t>
      </text>
    </comment>
    <comment ref="E2641" authorId="0" shapeId="0">
      <text>
        <t>POMDEPIK — Insecte
PV 50 · Att 65 · Déf 90
Att.Spé 35 · Déf.Spé 35 · Vit 15
Total 290
Talents : Fermeté (caché : Envelocape)</t>
      </text>
    </comment>
    <comment ref="E2642" authorId="0" shapeId="0">
      <text>
        <t>NOEUNOEUF — Plante / Psy
PV 60 · Att 40 · Déf 80
Att.Spé 60 · Déf.Spé 45 · Vit 40
Total 325
Talents : Chlorophylle (caché : Récolte)</t>
      </text>
    </comment>
    <comment ref="E2643" authorId="0" shapeId="0">
      <text>
        <t>COXY — Insecte / Vol
PV 40 · Att 20 · Déf 30
Att.Spé 40 · Déf.Spé 80 · Vit 55
Total 265
Talents : Essaim, Matinal (caché : Phobique)</t>
      </text>
    </comment>
    <comment ref="E2644" authorId="0" shapeId="0">
      <text>
        <t>MIMIGAL — Insecte / Poison
PV 40 · Att 60 · Déf 40
Att.Spé 40 · Déf.Spé 40 · Vit 30
Total 250
Talents : Essaim, Insomnia (caché : Sniper)</t>
      </text>
    </comment>
    <comment ref="E2645" authorId="0" shapeId="0">
      <text>
        <t>MAGICARPE — Eau
PV 20 · Att 10 · Déf 55
Att.Spé 15 · Déf.Spé 20 · Vit 80
Total 200
Talents : Glissade (caché : Phobique)</t>
      </text>
    </comment>
    <comment ref="E2646" authorId="0" shapeId="0">
      <text>
        <t>POISSIRENE — Eau
PV 45 · Att 67 · Déf 60
Att.Spé 35 · Déf.Spé 50 · Vit 63
Total 320
Talents : Glissade, Ignifu-Voile (caché :
  Paratonnerre)</t>
      </text>
    </comment>
    <comment ref="E2647" authorId="0" shapeId="0">
      <text>
        <t>MAGICARPE — Eau
PV 20 · Att 10 · Déf 55
Att.Spé 15 · Déf.Spé 20 · Vit 80
Total 200
Talents : Glissade (caché : Phobique)</t>
      </text>
    </comment>
    <comment ref="E2648" authorId="0" shapeId="0">
      <text>
        <t>POISSIRENE — Eau
PV 45 · Att 67 · Déf 60
Att.Spé 35 · Déf.Spé 50 · Vit 63
Total 320
Talents : Glissade, Ignifu-Voile (caché :
  Paratonnerre)</t>
      </text>
    </comment>
    <comment ref="E2649" authorId="0" shapeId="0">
      <text>
        <t>MAGICARPE — Eau
PV 20 · Att 10 · Déf 55
Att.Spé 15 · Déf.Spé 20 · Vit 80
Total 200
Talents : Glissade (caché : Phobique)</t>
      </text>
    </comment>
    <comment ref="E2650" authorId="0" shapeId="0">
      <text>
        <t>POISSIRENE — Eau
PV 45 · Att 67 · Déf 60
Att.Spé 35 · Déf.Spé 50 · Vit 63
Total 320
Talents : Glissade, Ignifu-Voile (caché :
  Paratonnerre)</t>
      </text>
    </comment>
    <comment ref="E2651" authorId="0" shapeId="0">
      <text>
        <t>MAGICARPE — Eau
PV 20 · Att 10 · Déf 55
Att.Spé 15 · Déf.Spé 20 · Vit 80
Total 200
Talents : Glissade (caché : Phobique)</t>
      </text>
    </comment>
    <comment ref="E2652" authorId="0" shapeId="0">
      <text>
        <t>POISSIRENE — Eau
PV 45 · Att 67 · Déf 60
Att.Spé 35 · Déf.Spé 50 · Vit 63
Total 320
Talents : Glissade, Ignifu-Voile (caché :
  Paratonnerre)</t>
      </text>
    </comment>
    <comment ref="E2653" authorId="0" shapeId="0">
      <text>
        <t>MAGICARPE — Eau
PV 20 · Att 10 · Déf 55
Att.Spé 15 · Déf.Spé 20 · Vit 80
Total 200
Talents : Glissade (caché : Phobique)</t>
      </text>
    </comment>
    <comment ref="E2654" authorId="0" shapeId="0">
      <text>
        <t>POISSOROY — Eau
PV 80 · Att 92 · Déf 65
Att.Spé 65 · Déf.Spé 80 · Vit 68
Total 450
Talents : Glissade, Ignifu-Voile (caché :
  Paratonnerre)</t>
      </text>
    </comment>
    <comment ref="E2655" authorId="0" shapeId="0">
      <text>
        <t>POISSIRENE — Eau
PV 45 · Att 67 · Déf 60
Att.Spé 35 · Déf.Spé 50 · Vit 63
Total 320
Talents : Glissade, Ignifu-Voile (caché :
  Paratonnerre)</t>
      </text>
    </comment>
    <comment ref="E2656" authorId="0" shapeId="0">
      <text>
        <t>MAGICARPE — Eau
PV 20 · Att 10 · Déf 55
Att.Spé 15 · Déf.Spé 20 · Vit 80
Total 200
Talents : Glissade (caché : Phobique)</t>
      </text>
    </comment>
    <comment ref="E2657" authorId="0" shapeId="0">
      <text>
        <t>POISSOROY — Eau
PV 80 · Att 92 · Déf 65
Att.Spé 65 · Déf.Spé 80 · Vit 68
Total 450
Talents : Glissade, Ignifu-Voile (caché :
  Paratonnerre)</t>
      </text>
    </comment>
    <comment ref="E2658" authorId="0" shapeId="0">
      <text>
        <t>POISSIRENE — Eau
PV 45 · Att 67 · Déf 60
Att.Spé 35 · Déf.Spé 50 · Vit 63
Total 320
Talents : Glissade, Ignifu-Voile (caché :
  Paratonnerre)</t>
      </text>
    </comment>
    <comment ref="E2659" authorId="0" shapeId="0">
      <text>
        <t>GROLEM — Roche / Sol
PV 80 · Att 120 · Déf 130
Att.Spé 55 · Déf.Spé 65 · Vit 45
Total 495
Talents : Tête de Roc, Fermeté (caché : Voile
  Sable)</t>
      </text>
    </comment>
    <comment ref="E2660" authorId="0" shapeId="0">
      <text>
        <t>RHINOFEROS — Sol / Roche
PV 105 · Att 130 · Déf 120
Att.Spé 45 · Déf.Spé 45 · Vit 40
Total 485
Talents : Paratonnerre, Tête de Roc (caché :
  Téméraire)</t>
      </text>
    </comment>
    <comment ref="E2661" authorId="0" shapeId="0">
      <text>
        <t>DONPHAN — Sol
PV 90 · Att 120 · Déf 120
Att.Spé 60 · Déf.Spé 60 · Vit 50
Total 500
Talents : Fermeté (caché : Voile Sable)</t>
      </text>
    </comment>
    <comment ref="E2662" authorId="0" shapeId="0">
      <text>
        <t>NOSFERALTO — Poison / Vol
PV 75 · Att 80 · Déf 70
Att.Spé 65 · Déf.Spé 75 · Vit 90
Total 455
Talents : Attention (caché : Infiltration)</t>
      </text>
    </comment>
    <comment ref="E2663" authorId="0" shapeId="0">
      <text>
        <t>ONIX — Roche / Sol
PV 35 · Att 45 · Déf 160
Att.Spé 30 · Déf.Spé 45 · Vit 70
Total 385
Talents : Tête de Roc, Fermeté (caché :
  Armurouillée)</t>
      </text>
    </comment>
    <comment ref="E2664" authorId="0" shapeId="0">
      <text>
        <t>SABLAIREAU — Sol
PV 75 · Att 100 · Déf 110
Att.Spé 45 · Déf.Spé 55 · Vit 65
Total 450
Talents : Voile Sable (caché : Baigne Sable)</t>
      </text>
    </comment>
    <comment ref="E2665" authorId="0" shapeId="0">
      <text>
        <t>STEELIX — Acier / Sol
PV 75 · Att 85 · Déf 200
Att.Spé 55 · Déf.Spé 65 · Vit 30
Total 510
Talents : Tête de Roc, Fermeté (caché : Sans
  Limite)</t>
      </text>
    </comment>
    <comment ref="E2666" authorId="0" shapeId="0">
      <text>
        <t>MAGICARPE — Eau
PV 20 · Att 10 · Déf 55
Att.Spé 15 · Déf.Spé 20 · Vit 80
Total 200
Talents : Glissade (caché : Phobique)</t>
      </text>
    </comment>
    <comment ref="E2667" authorId="0" shapeId="0">
      <text>
        <t>TENTACOOL — Eau / Poison
PV 40 · Att 40 · Déf 35
Att.Spé 50 · Déf.Spé 100 · Vit 70
Total 335
Talents : Corps Sain, Suintement (caché :
  Cuvette)</t>
      </text>
    </comment>
    <comment ref="E2668" authorId="0" shapeId="0">
      <text>
        <t>MAGICARPE — Eau
PV 20 · Att 10 · Déf 55
Att.Spé 15 · Déf.Spé 20 · Vit 80
Total 200
Talents : Glissade (caché : Phobique)</t>
      </text>
    </comment>
    <comment ref="E2669" authorId="0" shapeId="0">
      <text>
        <t>LOUPIO — Eau / Électrik
PV 75 · Att 38 · Déf 38
Att.Spé 56 · Déf.Spé 56 · Vit 67
Total 330
Talents : Absorbe-Volt, Lumiattirance (caché :
  Absorbe-Eau)</t>
      </text>
    </comment>
    <comment ref="E2670" authorId="0" shapeId="0">
      <text>
        <t>TENTACOOL — Eau / Poison
PV 40 · Att 40 · Déf 35
Att.Spé 50 · Déf.Spé 100 · Vit 70
Total 335
Talents : Corps Sain, Suintement (caché :
  Cuvette)</t>
      </text>
    </comment>
    <comment ref="E2671" authorId="0" shapeId="0">
      <text>
        <t>KOKIYAS — Eau
PV 30 · Att 65 · Déf 100
Att.Spé 45 · Déf.Spé 25 · Vit 40
Total 305
Talents : Coque Armure, Multi-Coups (caché :
  Envelocape)</t>
      </text>
    </comment>
    <comment ref="E2672" authorId="0" shapeId="0">
      <text>
        <t>LOUPIO — Eau / Électrik
PV 75 · Att 38 · Déf 38
Att.Spé 56 · Déf.Spé 56 · Vit 67
Total 330
Talents : Absorbe-Volt, Lumiattirance (caché :
  Absorbe-Eau)</t>
      </text>
    </comment>
    <comment ref="E2673" authorId="0" shapeId="0">
      <text>
        <t>TENTACRUEL — Eau / Poison
PV 80 · Att 70 · Déf 65
Att.Spé 80 · Déf.Spé 120 · Vit 100
Total 515
Talents : Corps Sain, Suintement (caché :
  Cuvette)</t>
      </text>
    </comment>
    <comment ref="E2674" authorId="0" shapeId="0">
      <text>
        <t>LANTURN — Eau / Électrik
PV 125 · Att 58 · Déf 58
Att.Spé 76 · Déf.Spé 76 · Vit 67
Total 460
Talents : Absorbe-Volt, Lumiattirance (caché :
  Absorbe-Eau)</t>
      </text>
    </comment>
    <comment ref="E2675" authorId="0" shapeId="0">
      <text>
        <t>GROLEM — Roche / Sol
PV 80 · Att 120 · Déf 130
Att.Spé 55 · Déf.Spé 65 · Vit 45
Total 495
Talents : Tête de Roc, Fermeté (caché : Voile
  Sable)</t>
      </text>
    </comment>
    <comment ref="E2676" authorId="0" shapeId="0">
      <text>
        <t>RHINOFEROS — Sol / Roche
PV 105 · Att 130 · Déf 120
Att.Spé 45 · Déf.Spé 45 · Vit 40
Total 485
Talents : Paratonnerre, Tête de Roc (caché :
  Téméraire)</t>
      </text>
    </comment>
    <comment ref="E2677" authorId="0" shapeId="0">
      <text>
        <t>DONPHAN — Sol
PV 90 · Att 120 · Déf 120
Att.Spé 60 · Déf.Spé 60 · Vit 50
Total 500
Talents : Fermeté (caché : Voile Sable)</t>
      </text>
    </comment>
    <comment ref="E2678" authorId="0" shapeId="0">
      <text>
        <t>NOSFERALTO — Poison / Vol
PV 75 · Att 80 · Déf 70
Att.Spé 65 · Déf.Spé 75 · Vit 90
Total 455
Talents : Attention (caché : Infiltration)</t>
      </text>
    </comment>
    <comment ref="E2679" authorId="0" shapeId="0">
      <text>
        <t>ONIX — Roche / Sol
PV 35 · Att 45 · Déf 160
Att.Spé 30 · Déf.Spé 45 · Vit 70
Total 385
Talents : Tête de Roc, Fermeté (caché :
  Armurouillée)</t>
      </text>
    </comment>
    <comment ref="E2680" authorId="0" shapeId="0">
      <text>
        <t>SABLAIREAU — Sol
PV 75 · Att 100 · Déf 110
Att.Spé 45 · Déf.Spé 55 · Vit 65
Total 450
Talents : Voile Sable (caché : Baigne Sable)</t>
      </text>
    </comment>
    <comment ref="E2681" authorId="0" shapeId="0">
      <text>
        <t>STEELIX — Acier / Sol
PV 75 · Att 85 · Déf 200
Att.Spé 55 · Déf.Spé 65 · Vit 30
Total 510
Talents : Tête de Roc, Fermeté (caché : Sans
  Limite)</t>
      </text>
    </comment>
    <comment ref="E2682" authorId="0" shapeId="0">
      <text>
        <t>AXOLOTO — Eau / Sol
PV 55 · Att 45 · Déf 45
Att.Spé 25 · Déf.Spé 25 · Vit 15
Total 210
Talents : Moiteur, Absorbe-Eau (caché :
  Inconscient)</t>
      </text>
    </comment>
    <comment ref="E2683" authorId="0" shapeId="0">
      <text>
        <t>MARAISTE — Eau / Sol
PV 95 · Att 85 · Déf 85
Att.Spé 65 · Déf.Spé 65 · Vit 35
Total 430
Talents : Moiteur, Absorbe-Eau (caché :
  Inconscient)</t>
      </text>
    </comment>
    <comment ref="E2684" authorId="0" shapeId="0">
      <text>
        <t>MAGICARPE — Eau
PV 20 · Att 10 · Déf 55
Att.Spé 15 · Déf.Spé 20 · Vit 80
Total 200
Talents : Glissade (caché : Phobique)</t>
      </text>
    </comment>
    <comment ref="E2685" authorId="0" shapeId="0">
      <text>
        <t>TENTACOOL — Eau / Poison
PV 40 · Att 40 · Déf 35
Att.Spé 50 · Déf.Spé 100 · Vit 70
Total 335
Talents : Corps Sain, Suintement (caché :
  Cuvette)</t>
      </text>
    </comment>
    <comment ref="E2686" authorId="0" shapeId="0">
      <text>
        <t>MAGICARPE — Eau
PV 20 · Att 10 · Déf 55
Att.Spé 15 · Déf.Spé 20 · Vit 80
Total 200
Talents : Glissade (caché : Phobique)</t>
      </text>
    </comment>
    <comment ref="E2687" authorId="0" shapeId="0">
      <text>
        <t>LOUPIO — Eau / Électrik
PV 75 · Att 38 · Déf 38
Att.Spé 56 · Déf.Spé 56 · Vit 67
Total 330
Talents : Absorbe-Volt, Lumiattirance (caché :
  Absorbe-Eau)</t>
      </text>
    </comment>
    <comment ref="E2688" authorId="0" shapeId="0">
      <text>
        <t>TENTACOOL — Eau / Poison
PV 40 · Att 40 · Déf 35
Att.Spé 50 · Déf.Spé 100 · Vit 70
Total 335
Talents : Corps Sain, Suintement (caché :
  Cuvette)</t>
      </text>
    </comment>
    <comment ref="E2689" authorId="0" shapeId="0">
      <text>
        <t>KOKIYAS — Eau
PV 30 · Att 65 · Déf 100
Att.Spé 45 · Déf.Spé 25 · Vit 40
Total 305
Talents : Coque Armure, Multi-Coups (caché :
  Envelocape)</t>
      </text>
    </comment>
    <comment ref="E2690" authorId="0" shapeId="0">
      <text>
        <t>LOUPIO — Eau / Électrik
PV 75 · Att 38 · Déf 38
Att.Spé 56 · Déf.Spé 56 · Vit 67
Total 330
Talents : Absorbe-Volt, Lumiattirance (caché :
  Absorbe-Eau)</t>
      </text>
    </comment>
    <comment ref="E2691" authorId="0" shapeId="0">
      <text>
        <t>TENTACRUEL — Eau / Poison
PV 80 · Att 70 · Déf 65
Att.Spé 80 · Déf.Spé 120 · Vit 100
Total 515
Talents : Corps Sain, Suintement (caché :
  Cuvette)</t>
      </text>
    </comment>
    <comment ref="E2692" authorId="0" shapeId="0">
      <text>
        <t>LANTURN — Eau / Électrik
PV 125 · Att 58 · Déf 58
Att.Spé 76 · Déf.Spé 76 · Vit 67
Total 460
Talents : Absorbe-Volt, Lumiattirance (caché :
  Absorbe-Eau)</t>
      </text>
    </comment>
    <comment ref="E2693" authorId="0" shapeId="0">
      <text>
        <t>GROLEM — Roche / Sol
PV 80 · Att 120 · Déf 130
Att.Spé 55 · Déf.Spé 65 · Vit 45
Total 495
Talents : Tête de Roc, Fermeté (caché : Voile
  Sable)</t>
      </text>
    </comment>
    <comment ref="E2694" authorId="0" shapeId="0">
      <text>
        <t>RHINOFEROS — Sol / Roche
PV 105 · Att 130 · Déf 120
Att.Spé 45 · Déf.Spé 45 · Vit 40
Total 485
Talents : Paratonnerre, Tête de Roc (caché :
  Téméraire)</t>
      </text>
    </comment>
    <comment ref="E2695" authorId="0" shapeId="0">
      <text>
        <t>DONPHAN — Sol
PV 90 · Att 120 · Déf 120
Att.Spé 60 · Déf.Spé 60 · Vit 50
Total 500
Talents : Fermeté (caché : Voile Sable)</t>
      </text>
    </comment>
    <comment ref="E2696" authorId="0" shapeId="0">
      <text>
        <t>NOSFERALTO — Poison / Vol
PV 75 · Att 80 · Déf 70
Att.Spé 65 · Déf.Spé 75 · Vit 90
Total 455
Talents : Attention (caché : Infiltration)</t>
      </text>
    </comment>
    <comment ref="E2697" authorId="0" shapeId="0">
      <text>
        <t>ONIX — Roche / Sol
PV 35 · Att 45 · Déf 160
Att.Spé 30 · Déf.Spé 45 · Vit 70
Total 385
Talents : Tête de Roc, Fermeté (caché :
  Armurouillée)</t>
      </text>
    </comment>
    <comment ref="E2698" authorId="0" shapeId="0">
      <text>
        <t>SABLAIREAU — Sol
PV 75 · Att 100 · Déf 110
Att.Spé 45 · Déf.Spé 55 · Vit 65
Total 450
Talents : Voile Sable (caché : Baigne Sable)</t>
      </text>
    </comment>
    <comment ref="E2699" authorId="0" shapeId="0">
      <text>
        <t>STEELIX — Acier / Sol
PV 75 · Att 85 · Déf 200
Att.Spé 55 · Déf.Spé 65 · Vit 30
Total 510
Talents : Tête de Roc, Fermeté (caché : Sans
  Limite)</t>
      </text>
    </comment>
    <comment ref="E2700" authorId="0" shapeId="0">
      <text>
        <t>NOSFERAPTI — Poison / Vol
PV 40 · Att 45 · Déf 35
Att.Spé 30 · Déf.Spé 40 · Vit 55
Total 245
Talents : Attention (caché : Infiltration)</t>
      </text>
    </comment>
    <comment ref="E2701" authorId="0" shapeId="0">
      <text>
        <t>MARCACRIN — Glace / Sol
PV 50 · Att 50 · Déf 40
Att.Spé 30 · Déf.Spé 30 · Vit 50
Total 250
Talents : Benêt, Rideau Neige (caché :
  Isograisse)</t>
      </text>
    </comment>
    <comment ref="E2702" authorId="0" shapeId="0">
      <text>
        <t>NOSFERALTO — Poison / Vol
PV 75 · Att 80 · Déf 70
Att.Spé 65 · Déf.Spé 75 · Vit 90
Total 455
Talents : Attention (caché : Infiltration)</t>
      </text>
    </comment>
    <comment ref="E2703" authorId="0" shapeId="0">
      <text>
        <t>NOSFERAPTI — Poison / Vol
PV 40 · Att 45 · Déf 35
Att.Spé 30 · Déf.Spé 40 · Vit 55
Total 245
Talents : Attention (caché : Infiltration)</t>
      </text>
    </comment>
    <comment ref="E2704" authorId="0" shapeId="0">
      <text>
        <t>CADOIZO — Glace / Vol
PV 45 · Att 55 · Déf 45
Att.Spé 65 · Déf.Spé 45 · Vit 75
Total 330
Talents : Esprit Vital, Agitation (caché :
  Insomnia)</t>
      </text>
    </comment>
    <comment ref="E2705" authorId="0" shapeId="0">
      <text>
        <t>NOSFERALTO — Poison / Vol
PV 75 · Att 80 · Déf 70
Att.Spé 65 · Déf.Spé 75 · Vit 90
Total 455
Talents : Attention (caché : Infiltration)</t>
      </text>
    </comment>
    <comment ref="E2706" authorId="0" shapeId="0">
      <text>
        <t>LIPPOUTOU — Glace / Psy
PV 65 · Att 50 · Déf 35
Att.Spé 115 · Déf.Spé 95 · Vit 95
Total 455
Talents : Benêt, Prédiction (caché : Peau
  Sèche)</t>
      </text>
    </comment>
    <comment ref="E2707" authorId="0" shapeId="0">
      <text>
        <t>MARCACRIN — Glace / Sol
PV 50 · Att 50 · Déf 40
Att.Spé 30 · Déf.Spé 30 · Vit 50
Total 250
Talents : Benêt, Rideau Neige (caché :
  Isograisse)</t>
      </text>
    </comment>
    <comment ref="E2708" authorId="0" shapeId="0">
      <text>
        <t>NOSFERALTO — Poison / Vol
PV 75 · Att 80 · Déf 70
Att.Spé 65 · Déf.Spé 75 · Vit 90
Total 455
Talents : Attention (caché : Infiltration)</t>
      </text>
    </comment>
    <comment ref="E2709" authorId="0" shapeId="0">
      <text>
        <t>FARFURET — Ténèbres / Glace
PV 55 · Att 95 · Déf 55
Att.Spé 35 · Déf.Spé 75 · Vit 115
Total 430
Talents : Attention, Regard Vif (caché :
  Pickpocket)</t>
      </text>
    </comment>
    <comment ref="E2710" authorId="0" shapeId="0">
      <text>
        <t>FARFURET — Ténèbres / Glace
PV 55 · Att 95 · Déf 55
Att.Spé 35 · Déf.Spé 75 · Vit 115
Total 430
Talents : Attention, Regard Vif (caché :
  Pickpocket)</t>
      </text>
    </comment>
    <comment ref="E2711" authorId="0" shapeId="0">
      <text>
        <t>CADOIZO — Glace / Vol
PV 45 · Att 55 · Déf 45
Att.Spé 65 · Déf.Spé 45 · Vit 75
Total 330
Talents : Esprit Vital, Agitation (caché :
  Insomnia)</t>
      </text>
    </comment>
    <comment ref="E2712" authorId="0" shapeId="0">
      <text>
        <t>NOSFERALTO — Poison / Vol
PV 75 · Att 80 · Déf 70
Att.Spé 65 · Déf.Spé 75 · Vit 90
Total 455
Talents : Attention (caché : Infiltration)</t>
      </text>
    </comment>
    <comment ref="E2713" authorId="0" shapeId="0">
      <text>
        <t>LIPPOUTOU — Glace / Psy
PV 65 · Att 50 · Déf 35
Att.Spé 115 · Déf.Spé 95 · Vit 95
Total 455
Talents : Benêt, Prédiction (caché : Peau
  Sèche)</t>
      </text>
    </comment>
    <comment ref="E2714" authorId="0" shapeId="0">
      <text>
        <t>MARCACRIN — Glace / Sol
PV 50 · Att 50 · Déf 40
Att.Spé 30 · Déf.Spé 30 · Vit 50
Total 250
Talents : Benêt, Rideau Neige (caché :
  Isograisse)</t>
      </text>
    </comment>
    <comment ref="E2715" authorId="0" shapeId="0">
      <text>
        <t>NOSFERALTO — Poison / Vol
PV 75 · Att 80 · Déf 70
Att.Spé 65 · Déf.Spé 75 · Vit 90
Total 455
Talents : Attention (caché : Infiltration)</t>
      </text>
    </comment>
    <comment ref="E2716" authorId="0" shapeId="0">
      <text>
        <t>FARFURET — Ténèbres / Glace
PV 55 · Att 95 · Déf 55
Att.Spé 35 · Déf.Spé 75 · Vit 115
Total 430
Talents : Attention, Regard Vif (caché :
  Pickpocket)</t>
      </text>
    </comment>
    <comment ref="E2717" authorId="0" shapeId="0">
      <text>
        <t>FARFURET — Ténèbres / Glace
PV 55 · Att 95 · Déf 55
Att.Spé 35 · Déf.Spé 75 · Vit 115
Total 430
Talents : Attention, Regard Vif (caché :
  Pickpocket)</t>
      </text>
    </comment>
    <comment ref="E2718" authorId="0" shapeId="0">
      <text>
        <t>CADOIZO — Glace / Vol
PV 45 · Att 55 · Déf 45
Att.Spé 65 · Déf.Spé 45 · Vit 75
Total 330
Talents : Esprit Vital, Agitation (caché :
  Insomnia)</t>
      </text>
    </comment>
    <comment ref="E2719" authorId="0" shapeId="0">
      <text>
        <t>NOSFERALTO — Poison / Vol
PV 75 · Att 80 · Déf 70
Att.Spé 65 · Déf.Spé 75 · Vit 90
Total 455
Talents : Attention (caché : Infiltration)</t>
      </text>
    </comment>
    <comment ref="E2720" authorId="0" shapeId="0">
      <text>
        <t>FARFURET — Ténèbres / Glace
PV 55 · Att 95 · Déf 55
Att.Spé 35 · Déf.Spé 75 · Vit 115
Total 430
Talents : Attention, Regard Vif (caché :
  Pickpocket)</t>
      </text>
    </comment>
    <comment ref="E2721" authorId="0" shapeId="0">
      <text>
        <t>LIPPOUTOU — Glace / Psy
PV 65 · Att 50 · Déf 35
Att.Spé 115 · Déf.Spé 95 · Vit 95
Total 455
Talents : Benêt, Prédiction (caché : Peau
  Sèche)</t>
      </text>
    </comment>
    <comment ref="E2722" authorId="0" shapeId="0">
      <text>
        <t>MARCACRIN — Glace / Sol
PV 50 · Att 50 · Déf 40
Att.Spé 30 · Déf.Spé 30 · Vit 50
Total 250
Talents : Benêt, Rideau Neige (caché :
  Isograisse)</t>
      </text>
    </comment>
    <comment ref="E2723" authorId="0" shapeId="0">
      <text>
        <t>NOSFERALTO — Poison / Vol
PV 75 · Att 80 · Déf 70
Att.Spé 65 · Déf.Spé 75 · Vit 90
Total 455
Talents : Attention (caché : Infiltration)</t>
      </text>
    </comment>
    <comment ref="E2724" authorId="0" shapeId="0">
      <text>
        <t>FARFURET — Ténèbres / Glace
PV 55 · Att 95 · Déf 55
Att.Spé 35 · Déf.Spé 75 · Vit 115
Total 430
Talents : Attention, Regard Vif (caché :
  Pickpocket)</t>
      </text>
    </comment>
    <comment ref="E2725" authorId="0" shapeId="0">
      <text>
        <t>LIPPOUTOU — Glace / Psy
PV 65 · Att 50 · Déf 35
Att.Spé 115 · Déf.Spé 95 · Vit 95
Total 455
Talents : Benêt, Prédiction (caché : Peau
  Sèche)</t>
      </text>
    </comment>
    <comment ref="E2726" authorId="0" shapeId="0">
      <text>
        <t>CADOIZO — Glace / Vol
PV 45 · Att 55 · Déf 45
Att.Spé 65 · Déf.Spé 45 · Vit 75
Total 330
Talents : Esprit Vital, Agitation (caché :
  Insomnia)</t>
      </text>
    </comment>
    <comment ref="E2727" authorId="0" shapeId="0">
      <text>
        <t>NOSFERALTO — Poison / Vol
PV 75 · Att 80 · Déf 70
Att.Spé 65 · Déf.Spé 75 · Vit 90
Total 455
Talents : Attention (caché : Infiltration)</t>
      </text>
    </comment>
    <comment ref="E2728" authorId="0" shapeId="0">
      <text>
        <t>FARFURET — Ténèbres / Glace
PV 55 · Att 95 · Déf 55
Att.Spé 35 · Déf.Spé 75 · Vit 115
Total 430
Talents : Attention, Regard Vif (caché :
  Pickpocket)</t>
      </text>
    </comment>
    <comment ref="E2729" authorId="0" shapeId="0">
      <text>
        <t>LIPPOUTOU — Glace / Psy
PV 65 · Att 50 · Déf 35
Att.Spé 115 · Déf.Spé 95 · Vit 95
Total 455
Talents : Benêt, Prédiction (caché : Peau
  Sèche)</t>
      </text>
    </comment>
    <comment ref="E2730" authorId="0" shapeId="0">
      <text>
        <t>MARCACRIN — Glace / Sol
PV 50 · Att 50 · Déf 40
Att.Spé 30 · Déf.Spé 30 · Vit 50
Total 250
Talents : Benêt, Rideau Neige (caché :
  Isograisse)</t>
      </text>
    </comment>
    <comment ref="E2731" authorId="0" shapeId="0">
      <text>
        <t>NOSFERALTO — Poison / Vol
PV 75 · Att 80 · Déf 70
Att.Spé 65 · Déf.Spé 75 · Vit 90
Total 455
Talents : Attention (caché : Infiltration)</t>
      </text>
    </comment>
    <comment ref="E2732" authorId="0" shapeId="0">
      <text>
        <t>FARFURET — Ténèbres / Glace
PV 55 · Att 95 · Déf 55
Att.Spé 35 · Déf.Spé 75 · Vit 115
Total 430
Talents : Attention, Regard Vif (caché :
  Pickpocket)</t>
      </text>
    </comment>
    <comment ref="E2733" authorId="0" shapeId="0">
      <text>
        <t>LIPPOUTOU — Glace / Psy
PV 65 · Att 50 · Déf 35
Att.Spé 115 · Déf.Spé 95 · Vit 95
Total 455
Talents : Benêt, Prédiction (caché : Peau
  Sèche)</t>
      </text>
    </comment>
    <comment ref="E2734" authorId="0" shapeId="0">
      <text>
        <t>CADOIZO — Glace / Vol
PV 45 · Att 55 · Déf 45
Att.Spé 65 · Déf.Spé 45 · Vit 75
Total 330
Talents : Esprit Vital, Agitation (caché :
  Insomnia)</t>
      </text>
    </comment>
    <comment ref="E2735" authorId="0" shapeId="0">
      <text>
        <t>NOSFERALTO — Poison / Vol
PV 75 · Att 80 · Déf 70
Att.Spé 65 · Déf.Spé 75 · Vit 90
Total 455
Talents : Attention (caché : Infiltration)</t>
      </text>
    </comment>
    <comment ref="E2736" authorId="0" shapeId="0">
      <text>
        <t>ZARBI — Psy
PV 48 · Att 72 · Déf 48
Att.Spé 72 · Déf.Spé 48 · Vit 48
Total 336
Talents : Lévitation</t>
      </text>
    </comment>
    <comment ref="E2737" authorId="0" shapeId="0">
      <text>
        <t>ZARBI — Psy
PV 48 · Att 72 · Déf 48
Att.Spé 72 · Déf.Spé 48 · Vit 48
Total 336
Talents : Lévitation</t>
      </text>
    </comment>
    <comment ref="E2738" authorId="0" shapeId="0">
      <text>
        <t>ZARBI — Psy
PV 48 · Att 72 · Déf 48
Att.Spé 72 · Déf.Spé 48 · Vit 48
Total 336
Talents : Lévitation</t>
      </text>
    </comment>
    <comment ref="E2739" authorId="0" shapeId="0">
      <text>
        <t>ZARBI — Psy
PV 48 · Att 72 · Déf 48
Att.Spé 72 · Déf.Spé 48 · Vit 48
Total 336
Talents : Lévitation</t>
      </text>
    </comment>
    <comment ref="E2740" authorId="0" shapeId="0">
      <text>
        <t>ZARBI — Psy
PV 48 · Att 72 · Déf 48
Att.Spé 72 · Déf.Spé 48 · Vit 48
Total 336
Talents : Lévitation</t>
      </text>
    </comment>
    <comment ref="E2741" authorId="0" shapeId="0">
      <text>
        <t>ZARBI — Psy
PV 48 · Att 72 · Déf 48
Att.Spé 72 · Déf.Spé 48 · Vit 48
Total 336
Talents : Lévitation</t>
      </text>
    </comment>
    <comment ref="E2742" authorId="0" shapeId="0">
      <text>
        <t>ZARBI — Psy
PV 48 · Att 72 · Déf 48
Att.Spé 72 · Déf.Spé 48 · Vit 48
Total 336
Talents : Lévitation</t>
      </text>
    </comment>
    <comment ref="E2743" authorId="0" shapeId="0">
      <text>
        <t>ZARBI — Psy
PV 48 · Att 72 · Déf 48
Att.Spé 72 · Déf.Spé 48 · Vit 48
Total 336
Talents : Lévitation</t>
      </text>
    </comment>
    <comment ref="E2744" authorId="0" shapeId="0">
      <text>
        <t>ZARBI — Psy
PV 48 · Att 72 · Déf 48
Att.Spé 72 · Déf.Spé 48 · Vit 48
Total 336
Talents : Lévitation</t>
      </text>
    </comment>
    <comment ref="E2745" authorId="0" shapeId="0">
      <text>
        <t>ZARBI — Psy
PV 48 · Att 72 · Déf 48
Att.Spé 72 · Déf.Spé 48 · Vit 48
Total 336
Talents : Lévitation</t>
      </text>
    </comment>
    <comment ref="E2746" authorId="0" shapeId="0">
      <text>
        <t>ZARBI — Psy
PV 48 · Att 72 · Déf 48
Att.Spé 72 · Déf.Spé 48 · Vit 48
Total 336
Talents : Lévitation</t>
      </text>
    </comment>
    <comment ref="E2747" authorId="0" shapeId="0">
      <text>
        <t>ZARBI — Psy
PV 48 · Att 72 · Déf 48
Att.Spé 72 · Déf.Spé 48 · Vit 48
Total 336
Talents : Lévitation</t>
      </text>
    </comment>
    <comment ref="E2748" authorId="0" shapeId="0">
      <text>
        <t>ZARBI — Psy
PV 48 · Att 72 · Déf 48
Att.Spé 72 · Déf.Spé 48 · Vit 48
Total 336
Talents : Lévitation</t>
      </text>
    </comment>
    <comment ref="E2749" authorId="0" shapeId="0">
      <text>
        <t>ZARBI — Psy
PV 48 · Att 72 · Déf 48
Att.Spé 72 · Déf.Spé 48 · Vit 48
Total 336
Talents : Lévitation</t>
      </text>
    </comment>
    <comment ref="E2750" authorId="0" shapeId="0">
      <text>
        <t>ZARBI — Psy
PV 48 · Att 72 · Déf 48
Att.Spé 72 · Déf.Spé 48 · Vit 48
Total 336
Talents : Lévitation</t>
      </text>
    </comment>
    <comment ref="E2751" authorId="0" shapeId="0">
      <text>
        <t>ZARBI — Psy
PV 48 · Att 72 · Déf 48
Att.Spé 72 · Déf.Spé 48 · Vit 48
Total 336
Talents : Lévitation</t>
      </text>
    </comment>
    <comment ref="E2752" authorId="0" shapeId="0">
      <text>
        <t>ZARBI — Psy
PV 48 · Att 72 · Déf 48
Att.Spé 72 · Déf.Spé 48 · Vit 48
Total 336
Talents : Lévitation</t>
      </text>
    </comment>
    <comment ref="E2753" authorId="0" shapeId="0">
      <text>
        <t>ZARBI — Psy
PV 48 · Att 72 · Déf 48
Att.Spé 72 · Déf.Spé 48 · Vit 48
Total 336
Talents : Lévitation</t>
      </text>
    </comment>
    <comment ref="E2754" authorId="0" shapeId="0">
      <text>
        <t>ZARBI — Psy
PV 48 · Att 72 · Déf 48
Att.Spé 72 · Déf.Spé 48 · Vit 48
Total 336
Talents : Lévitation</t>
      </text>
    </comment>
    <comment ref="E2755" authorId="0" shapeId="0">
      <text>
        <t>ZARBI — Psy
PV 48 · Att 72 · Déf 48
Att.Spé 72 · Déf.Spé 48 · Vit 48
Total 336
Talents : Lévitation</t>
      </text>
    </comment>
    <comment ref="E2756" authorId="0" shapeId="0">
      <text>
        <t>ZARBI — Psy
PV 48 · Att 72 · Déf 48
Att.Spé 72 · Déf.Spé 48 · Vit 48
Total 336
Talents : Lévitation</t>
      </text>
    </comment>
    <comment ref="E2757" authorId="0" shapeId="0">
      <text>
        <t>ZARBI — Psy
PV 48 · Att 72 · Déf 48
Att.Spé 72 · Déf.Spé 48 · Vit 48
Total 336
Talents : Lévitation</t>
      </text>
    </comment>
    <comment ref="E2758" authorId="0" shapeId="0">
      <text>
        <t>ZARBI — Psy
PV 48 · Att 72 · Déf 48
Att.Spé 72 · Déf.Spé 48 · Vit 48
Total 336
Talents : Lévitation</t>
      </text>
    </comment>
    <comment ref="E2759" authorId="0" shapeId="0">
      <text>
        <t>ZARBI — Psy
PV 48 · Att 72 · Déf 48
Att.Spé 72 · Déf.Spé 48 · Vit 48
Total 336
Talents : Lévitation</t>
      </text>
    </comment>
    <comment ref="E2760" authorId="0" shapeId="0">
      <text>
        <t>ZARBI — Psy
PV 48 · Att 72 · Déf 48
Att.Spé 72 · Déf.Spé 48 · Vit 48
Total 336
Talents : Lévitation</t>
      </text>
    </comment>
    <comment ref="E2761" authorId="0" shapeId="0">
      <text>
        <t>ANORITH — Roche / Insecte
PV 45 · Att 95 · Déf 50
Att.Spé 40 · Déf.Spé 50 · Vit 75
Total 355
Talents : Armurbaston (caché : Glissade)</t>
      </text>
    </comment>
    <comment ref="E2762" authorId="0" shapeId="0">
      <text>
        <t>LILIA — Roche / Plante
PV 66 · Att 41 · Déf 77
Att.Spé 61 · Déf.Spé 87 · Vit 23
Total 355
Talents : Ventouse (caché : Lavabo)</t>
      </text>
    </comment>
    <comment ref="E2763" authorId="0" shapeId="0">
      <text>
        <t>PTERA — Roche / Vol
PV 80 · Att 105 · Déf 65
Att.Spé 60 · Déf.Spé 75 · Vit 130
Total 515
Talents : Tête de Roc, Pression (caché :
  Tension)</t>
      </text>
    </comment>
    <comment ref="E2764" authorId="0" shapeId="0">
      <text>
        <t>ZARBI — Psy
PV 48 · Att 72 · Déf 48
Att.Spé 72 · Déf.Spé 48 · Vit 48
Total 336
Talents : Lévitation</t>
      </text>
    </comment>
    <comment ref="E2765" authorId="0" shapeId="0">
      <text>
        <t>ZARBI — Psy
PV 48 · Att 72 · Déf 48
Att.Spé 72 · Déf.Spé 48 · Vit 48
Total 336
Talents : Lévitation</t>
      </text>
    </comment>
    <comment ref="E2766" authorId="0" shapeId="0">
      <text>
        <t>CANINOS-H — Feu / Roche
PV 60 · Att 75 · Déf 45
Att.Spé 65 · Déf.Spé 50 · Vit 55
Total 350
Talents : Intimidation, Torche (caché : Tête
  de Roc)</t>
      </text>
    </comment>
    <comment ref="E2767" authorId="0" shapeId="0">
      <text>
        <t>CERFROUSSE — Normal
PV 73 · Att 95 · Déf 62
Att.Spé 85 · Déf.Spé 65 · Vit 85
Total 465
Talents : Intimidation, Fouille (caché :
  Herbivore)</t>
      </text>
    </comment>
    <comment ref="E2768" authorId="0" shapeId="0">
      <text>
        <t>URSARING — Normal
PV 90 · Att 130 · Déf 75
Att.Spé 75 · Déf.Spé 75 · Vit 55
Total 500
Talents : Cran, Pied Véloce (caché : Tension)</t>
      </text>
    </comment>
    <comment ref="E2769" authorId="0" shapeId="0">
      <text>
        <t>VOLTORBE-H — Électrik / Plante
PV 40 · Att 30 · Déf 50
Att.Spé 55 · Déf.Spé 55 · Vit 100
Total 330
Talents : Anti-Bruit, Statik (caché : Boom
  Final)</t>
      </text>
    </comment>
    <comment ref="E2770" authorId="0" shapeId="0">
      <text>
        <t>ARCANIN-H — Feu / Roche
PV 95 · Att 115 · Déf 80
Att.Spé 95 · Déf.Spé 80 · Vit 90
Total 555
Talents : Intimidation, Torche (caché : Tête
  de Roc)</t>
      </text>
    </comment>
    <comment ref="E2771" authorId="0" shapeId="0">
      <text>
        <t>EOKO — Psy
PV 75 · Att 50 · Déf 80
Att.Spé 95 · Déf.Spé 90 · Vit 65
Total 455
Talents : Lévitation</t>
      </text>
    </comment>
    <comment ref="E2772" authorId="0" shapeId="0">
      <text>
        <t>FEUFOREVE — Spectre
PV 60 · Att 60 · Déf 60
Att.Spé 85 · Déf.Spé 85 · Vit 85
Total 435
Talents : Lévitation</t>
      </text>
    </comment>
    <comment ref="E2773" authorId="0" shapeId="0">
      <text>
        <t>TARINOR — Roche
PV 30 · Att 45 · Déf 135
Att.Spé 45 · Déf.Spé 90 · Vit 30
Total 375
Talents : Fermeté, Magnépiège (caché : Force
  Sable)</t>
      </text>
    </comment>
    <comment ref="E2774" authorId="0" shapeId="0">
      <text>
        <t>CERFROUSSE — Normal
PV 73 · Att 95 · Déf 62
Att.Spé 85 · Déf.Spé 65 · Vit 85
Total 465
Talents : Intimidation, Fouille (caché :
  Herbivore)</t>
      </text>
    </comment>
    <comment ref="E2775" authorId="0" shapeId="0">
      <text>
        <t>MALOSSE — Ténèbres / Feu
PV 45 · Att 60 · Déf 30
Att.Spé 80 · Déf.Spé 50 · Vit 65
Total 330
Talents : Matinal, Torche (caché : Tension)</t>
      </text>
    </comment>
    <comment ref="E2776" authorId="0" shapeId="0">
      <text>
        <t>FEUFOREVE — Spectre
PV 60 · Att 60 · Déf 60
Att.Spé 85 · Déf.Spé 85 · Vit 85
Total 435
Talents : Lévitation</t>
      </text>
    </comment>
    <comment ref="E2777" authorId="0" shapeId="0">
      <text>
        <t>MAGIREVE — Spectre
PV 60 · Att 60 · Déf 60
Att.Spé 105 · Déf.Spé 105 · Vit 105
Total 495
Talents : Lévitation</t>
      </text>
    </comment>
    <comment ref="E2778" authorId="0" shapeId="0">
      <text>
        <t>SPECTRUM — Spectre / Poison
PV 45 · Att 50 · Déf 45
Att.Spé 115 · Déf.Spé 55 · Vit 95
Total 405
Talents : Lévitation</t>
      </text>
    </comment>
    <comment ref="E2779" authorId="0" shapeId="0">
      <text>
        <t>URSARING — Normal
PV 90 · Att 130 · Déf 75
Att.Spé 75 · Déf.Spé 75 · Vit 55
Total 500
Talents : Cran, Pied Véloce (caché : Tension)</t>
      </text>
    </comment>
    <comment ref="E2780" authorId="0" shapeId="0">
      <text>
        <t>DEMOLOSSE — Ténèbres / Feu
PV 75 · Att 90 · Déf 50
Att.Spé 110 · Déf.Spé 80 · Vit 95
Total 500
Talents : Matinal, Torche (caché : Tension)</t>
      </text>
    </comment>
    <comment ref="E2781" authorId="0" shapeId="0">
      <text>
        <t>EOKO — Psy
PV 75 · Att 50 · Déf 80
Att.Spé 95 · Déf.Spé 90 · Vit 65
Total 455
Talents : Lévitation</t>
      </text>
    </comment>
    <comment ref="E2782" authorId="0" shapeId="0">
      <text>
        <t>POLICHOMBR — Spectre
PV 44 · Att 75 · Déf 35
Att.Spé 63 · Déf.Spé 33 · Vit 45
Total 295
Talents : Insomnia, Fouille (caché : Corps
  Maudit)</t>
      </text>
    </comment>
    <comment ref="E2783" authorId="0" shapeId="0">
      <text>
        <t>SKELENOX — Spectre
PV 20 · Att 40 · Déf 90
Att.Spé 30 · Déf.Spé 90 · Vit 25
Total 295
Talents : Lévitation (caché : Fouille)</t>
      </text>
    </comment>
    <comment ref="E2784" authorId="0" shapeId="0">
      <text>
        <t>RACAILLOU — Roche / Sol
PV 40 · Att 80 · Déf 100
Att.Spé 30 · Déf.Spé 30 · Vit 20
Total 300
Talents : Tête de Roc, Fermeté (caché : Voile
  Sable)</t>
      </text>
    </comment>
    <comment ref="E2785" authorId="0" shapeId="0">
      <text>
        <t>GRAVALANCH — Roche / Sol
PV 55 · Att 95 · Déf 115
Att.Spé 45 · Déf.Spé 45 · Vit 35
Total 390
Talents : Tête de Roc, Fermeté (caché : Voile
  Sable)</t>
      </text>
    </comment>
    <comment ref="E2786" authorId="0" shapeId="0">
      <text>
        <t>BALBUTO — Sol / Psy
PV 40 · Att 40 · Déf 55
Att.Spé 40 · Déf.Spé 70 · Vit 55
Total 300
Talents : Lévitation</t>
      </text>
    </comment>
    <comment ref="E2787" authorId="0" shapeId="0">
      <text>
        <t>TARINOR — Roche
PV 30 · Att 45 · Déf 135
Att.Spé 45 · Déf.Spé 90 · Vit 30
Total 375
Talents : Fermeté, Magnépiège (caché : Force
  Sable)</t>
      </text>
    </comment>
    <comment ref="E2788" authorId="0" shapeId="0">
      <text>
        <t>RACAILLOU — Roche / Sol
PV 40 · Att 80 · Déf 100
Att.Spé 30 · Déf.Spé 30 · Vit 20
Total 300
Talents : Tête de Roc, Fermeté (caché : Voile
  Sable)</t>
      </text>
    </comment>
    <comment ref="E2789" authorId="0" shapeId="0">
      <text>
        <t>GRAVALANCH — Roche / Sol
PV 55 · Att 95 · Déf 115
Att.Spé 45 · Déf.Spé 45 · Vit 35
Total 390
Talents : Tête de Roc, Fermeté (caché : Voile
  Sable)</t>
      </text>
    </comment>
    <comment ref="E2790" authorId="0" shapeId="0">
      <text>
        <t>BALBUTO — Sol / Psy
PV 40 · Att 40 · Déf 55
Att.Spé 40 · Déf.Spé 70 · Vit 55
Total 300
Talents : Lévitation</t>
      </text>
    </comment>
    <comment ref="E2791" authorId="0" shapeId="0">
      <text>
        <t>TARINOR — Roche
PV 30 · Att 45 · Déf 135
Att.Spé 45 · Déf.Spé 90 · Vit 30
Total 375
Talents : Fermeté, Magnépiège (caché : Force
  Sable)</t>
      </text>
    </comment>
    <comment ref="E2792" authorId="0" shapeId="0">
      <text>
        <t>ZARBI — Psy
PV 48 · Att 72 · Déf 48
Att.Spé 72 · Déf.Spé 48 · Vit 48
Total 336
Talents : Lévitation</t>
      </text>
    </comment>
    <comment ref="E2793" authorId="0" shapeId="0">
      <text>
        <t>NATU — Psy / Vol
PV 40 · Att 50 · Déf 45
Att.Spé 70 · Déf.Spé 45 · Vit 70
Total 320
Talents : Synchro, Matinal (caché : Miroir
  Magik)</t>
      </text>
    </comment>
    <comment ref="E2794" authorId="0" shapeId="0">
      <text>
        <t>ZARBI — Psy
PV 48 · Att 72 · Déf 48
Att.Spé 72 · Déf.Spé 48 · Vit 48
Total 336
Talents : Lévitation</t>
      </text>
    </comment>
    <comment ref="E2795" authorId="0" shapeId="0">
      <text>
        <t>NATU — Psy / Vol
PV 40 · Att 50 · Déf 45
Att.Spé 70 · Déf.Spé 45 · Vit 70
Total 320
Talents : Synchro, Matinal (caché : Miroir
  Magik)</t>
      </text>
    </comment>
    <comment ref="E2796" authorId="0" shapeId="0">
      <text>
        <t>ZARBI — Psy
PV 48 · Att 72 · Déf 48
Att.Spé 72 · Déf.Spé 48 · Vit 48
Total 336
Talents : Lévitation</t>
      </text>
    </comment>
    <comment ref="E2797" authorId="0" shapeId="0">
      <text>
        <t>AXOLOTO — Eau / Sol
PV 55 · Att 45 · Déf 45
Att.Spé 25 · Déf.Spé 25 · Vit 15
Total 210
Talents : Moiteur, Absorbe-Eau (caché :
  Inconscient)</t>
      </text>
    </comment>
    <comment ref="E2798" authorId="0" shapeId="0">
      <text>
        <t>AXOLOTO — Eau / Sol
PV 55 · Att 45 · Déf 45
Att.Spé 25 · Déf.Spé 25 · Vit 15
Total 210
Talents : Moiteur, Absorbe-Eau (caché :
  Inconscient)</t>
      </text>
    </comment>
    <comment ref="E2799" authorId="0" shapeId="0">
      <text>
        <t>MARAISTE — Eau / Sol
PV 95 · Att 85 · Déf 85
Att.Spé 65 · Déf.Spé 65 · Vit 35
Total 430
Talents : Moiteur, Absorbe-Eau (caché :
  Inconscient)</t>
      </text>
    </comment>
    <comment ref="E2800" authorId="0" shapeId="0">
      <text>
        <t>AXOLOTO — Eau / Sol
PV 55 · Att 45 · Déf 45
Att.Spé 25 · Déf.Spé 25 · Vit 15
Total 210
Talents : Moiteur, Absorbe-Eau (caché :
  Inconscient)</t>
      </text>
    </comment>
    <comment ref="E2801" authorId="0" shapeId="0">
      <text>
        <t>MARAISTE — Eau / Sol
PV 95 · Att 85 · Déf 85
Att.Spé 65 · Déf.Spé 65 · Vit 35
Total 430
Talents : Moiteur, Absorbe-Eau (caché :
  Inconscient)</t>
      </text>
    </comment>
    <comment ref="E2802" authorId="0" shapeId="0">
      <text>
        <t>QUEULORIOR — Normal
PV 55 · Att 20 · Déf 35
Att.Spé 20 · Déf.Spé 45 · Vit 75
Total 250
Talents : Tempo Perso, Technicien (caché :
  Lunatique)</t>
      </text>
    </comment>
    <comment ref="E2803" authorId="0" shapeId="0">
      <text>
        <t>MAGICARPE — Eau
PV 20 · Att 10 · Déf 55
Att.Spé 15 · Déf.Spé 20 · Vit 80
Total 200
Talents : Glissade (caché : Phobique)</t>
      </text>
    </comment>
    <comment ref="E2804" authorId="0" shapeId="0">
      <text>
        <t>PTITARD — Eau
PV 40 · Att 50 · Déf 40
Att.Spé 40 · Déf.Spé 40 · Vit 90
Total 300
Talents : Absorbe-Eau, Moiteur (caché :
  Glissade)</t>
      </text>
    </comment>
    <comment ref="E2805" authorId="0" shapeId="0">
      <text>
        <t>MAGICARPE — Eau
PV 20 · Att 10 · Déf 55
Att.Spé 15 · Déf.Spé 20 · Vit 80
Total 200
Talents : Glissade (caché : Phobique)</t>
      </text>
    </comment>
    <comment ref="E2806" authorId="0" shapeId="0">
      <text>
        <t>PTITARD — Eau
PV 40 · Att 50 · Déf 40
Att.Spé 40 · Déf.Spé 40 · Vit 90
Total 300
Talents : Absorbe-Eau, Moiteur (caché :
  Glissade)</t>
      </text>
    </comment>
    <comment ref="E2807" authorId="0" shapeId="0">
      <text>
        <t>PTITARD — Eau
PV 40 · Att 50 · Déf 40
Att.Spé 40 · Déf.Spé 40 · Vit 90
Total 300
Talents : Absorbe-Eau, Moiteur (caché :
  Glissade)</t>
      </text>
    </comment>
    <comment ref="E2808" authorId="0" shapeId="0">
      <text>
        <t>MAGICARPE — Eau
PV 20 · Att 10 · Déf 55
Att.Spé 15 · Déf.Spé 20 · Vit 80
Total 200
Talents : Glissade (caché : Phobique)</t>
      </text>
    </comment>
    <comment ref="E2809" authorId="0" shapeId="0">
      <text>
        <t>PTITARD — Eau
PV 40 · Att 50 · Déf 40
Att.Spé 40 · Déf.Spé 40 · Vit 90
Total 300
Talents : Absorbe-Eau, Moiteur (caché :
  Glissade)</t>
      </text>
    </comment>
    <comment ref="E2810" authorId="0" shapeId="0">
      <text>
        <t>MAGICARPE — Eau
PV 20 · Att 10 · Déf 55
Att.Spé 15 · Déf.Spé 20 · Vit 80
Total 200
Talents : Glissade (caché : Phobique)</t>
      </text>
    </comment>
    <comment ref="E2811" authorId="0" shapeId="0">
      <text>
        <t>MAGICARPE — Eau
PV 20 · Att 10 · Déf 55
Att.Spé 15 · Déf.Spé 20 · Vit 80
Total 200
Talents : Glissade (caché : Phobique)</t>
      </text>
    </comment>
    <comment ref="E2812" authorId="0" shapeId="0">
      <text>
        <t>TETARTE — Eau
PV 65 · Att 65 · Déf 65
Att.Spé 50 · Déf.Spé 50 · Vit 90
Total 385
Talents : Absorbe-Eau, Moiteur (caché :
  Glissade)</t>
      </text>
    </comment>
    <comment ref="E2813" authorId="0" shapeId="0">
      <text>
        <t>PTITARD — Eau
PV 40 · Att 50 · Déf 40
Att.Spé 40 · Déf.Spé 40 · Vit 90
Total 300
Talents : Absorbe-Eau, Moiteur (caché :
  Glissade)</t>
      </text>
    </comment>
    <comment ref="E2814" authorId="0" shapeId="0">
      <text>
        <t>MAGICARPE — Eau
PV 20 · Att 10 · Déf 55
Att.Spé 15 · Déf.Spé 20 · Vit 80
Total 200
Talents : Glissade (caché : Phobique)</t>
      </text>
    </comment>
    <comment ref="E2815" authorId="0" shapeId="0">
      <text>
        <t>TETARTE — Eau
PV 65 · Att 65 · Déf 65
Att.Spé 50 · Déf.Spé 50 · Vit 90
Total 385
Talents : Absorbe-Eau, Moiteur (caché :
  Glissade)</t>
      </text>
    </comment>
    <comment ref="E2816" authorId="0" shapeId="0">
      <text>
        <t>PTITARD — Eau
PV 40 · Att 50 · Déf 40
Att.Spé 40 · Déf.Spé 40 · Vit 90
Total 300
Talents : Absorbe-Eau, Moiteur (caché :
  Glissade)</t>
      </text>
    </comment>
    <comment ref="E2817" authorId="0" shapeId="0">
      <text>
        <t>POMDEPIK — Insecte
PV 50 · Att 65 · Déf 90
Att.Spé 35 · Déf.Spé 35 · Vit 15
Total 290
Talents : Fermeté (caché : Envelocape)</t>
      </text>
    </comment>
    <comment ref="E2818" authorId="0" shapeId="0">
      <text>
        <t>NOEUNOEUF — Plante / Psy
PV 60 · Att 40 · Déf 80
Att.Spé 60 · Déf.Spé 45 · Vit 40
Total 325
Talents : Chlorophylle (caché : Récolte)</t>
      </text>
    </comment>
    <comment ref="E2819" authorId="0" shapeId="0">
      <text>
        <t>COXY — Insecte / Vol
PV 40 · Att 20 · Déf 30
Att.Spé 40 · Déf.Spé 80 · Vit 55
Total 265
Talents : Essaim, Matinal (caché : Phobique)</t>
      </text>
    </comment>
    <comment ref="E2820" authorId="0" shapeId="0">
      <text>
        <t>MIMIGAL — Insecte / Poison
PV 40 · Att 60 · Déf 40
Att.Spé 40 · Déf.Spé 40 · Vit 30
Total 250
Talents : Essaim, Insomnia (caché : Sniper)</t>
      </text>
    </comment>
    <comment ref="E2821" authorId="0" shapeId="0">
      <text>
        <t>RATTATA — Normal
PV 30 · Att 56 · Déf 35
Att.Spé 25 · Déf.Spé 35 · Vit 72
Total 253
Talents : Fuite, Cran (caché : Agitation)</t>
      </text>
    </comment>
    <comment ref="E2822" authorId="0" shapeId="0">
      <text>
        <t>RATTATA — Normal
PV 30 · Att 56 · Déf 35
Att.Spé 25 · Déf.Spé 35 · Vit 72
Total 253
Talents : Fuite, Cran (caché : Agitation)</t>
      </text>
    </comment>
    <comment ref="E2823" authorId="0" shapeId="0">
      <text>
        <t>FANTOMINUS — Spectre / Poison
PV 30 · Att 35 · Déf 30
Att.Spé 100 · Déf.Spé 35 · Vit 80
Total 310
Talents : Lévitation</t>
      </text>
    </comment>
    <comment ref="E2824" authorId="0" shapeId="0">
      <text>
        <t>RATTATA — Normal
PV 30 · Att 56 · Déf 35
Att.Spé 25 · Déf.Spé 35 · Vit 72
Total 253
Talents : Fuite, Cran (caché : Agitation)</t>
      </text>
    </comment>
    <comment ref="E2825" authorId="0" shapeId="0">
      <text>
        <t>FANTOMINUS — Spectre / Poison
PV 30 · Att 35 · Déf 30
Att.Spé 100 · Déf.Spé 35 · Vit 80
Total 310
Talents : Lévitation</t>
      </text>
    </comment>
    <comment ref="E2826" authorId="0" shapeId="0">
      <text>
        <t>RATTATA — Normal
PV 30 · Att 56 · Déf 35
Att.Spé 25 · Déf.Spé 35 · Vit 72
Total 253
Talents : Fuite, Cran (caché : Agitation)</t>
      </text>
    </comment>
    <comment ref="E2827" authorId="0" shapeId="0">
      <text>
        <t>FANTOMINUS — Spectre / Poison
PV 30 · Att 35 · Déf 30
Att.Spé 100 · Déf.Spé 35 · Vit 80
Total 310
Talents : Lévitation</t>
      </text>
    </comment>
    <comment ref="E2828" authorId="0" shapeId="0">
      <text>
        <t>CAPUMAIN — Normal
PV 55 · Att 70 · Déf 55
Att.Spé 40 · Déf.Spé 55 · Vit 85
Total 360
Talents : Fuite, Ramassage (caché : Multi-
  Coups)</t>
      </text>
    </comment>
    <comment ref="E2829" authorId="0" shapeId="0">
      <text>
        <t>RATTATA — Normal
PV 30 · Att 56 · Déf 35
Att.Spé 25 · Déf.Spé 35 · Vit 72
Total 253
Talents : Fuite, Cran (caché : Agitation)</t>
      </text>
    </comment>
    <comment ref="E2830" authorId="0" shapeId="0">
      <text>
        <t>CAPIDEXTRE — Normal
PV 75 · Att 100 · Déf 66
Att.Spé 60 · Déf.Spé 66 · Vit 115
Total 482
Talents : Technicien, Ramassage (caché :
  Multi-Coups)</t>
      </text>
    </comment>
    <comment ref="E2831" authorId="0" shapeId="0">
      <text>
        <t>NOARFANG — Normal / Vol
PV 100 · Att 50 · Déf 50
Att.Spé 86 · Déf.Spé 96 · Vit 70
Total 452
Talents : Insomnia, Regard Vif (caché :
  Lentiteintée)</t>
      </text>
    </comment>
    <comment ref="E2832" authorId="0" shapeId="0">
      <text>
        <t>RAPASDEPIC — Normal / Vol
PV 65 · Att 90 · Déf 65
Att.Spé 61 · Déf.Spé 61 · Vit 100
Total 442
Talents : Regard Vif (caché : Sniper)</t>
      </text>
    </comment>
    <comment ref="E2833" authorId="0" shapeId="0">
      <text>
        <t>RATTATAC — Normal
PV 55 · Att 81 · Déf 60
Att.Spé 50 · Déf.Spé 70 · Vit 97
Total 413
Talents : Fuite, Cran (caché : Agitation)</t>
      </text>
    </comment>
    <comment ref="E2834" authorId="0" shapeId="0">
      <text>
        <t>FEUFOREVE — Spectre
PV 60 · Att 60 · Déf 60
Att.Spé 85 · Déf.Spé 85 · Vit 85
Total 435
Talents : Lévitation</t>
      </text>
    </comment>
    <comment ref="E2835" authorId="0" shapeId="0">
      <text>
        <t>FOUINAR — Normal
PV 85 · Att 76 · Déf 64
Att.Spé 45 · Déf.Spé 55 · Vit 90
Total 415
Talents : Fuite, Regard Vif (caché : Fouille)</t>
      </text>
    </comment>
    <comment ref="E2836" authorId="0" shapeId="0">
      <text>
        <t>MAGIREVE — Spectre
PV 60 · Att 60 · Déf 60
Att.Spé 105 · Déf.Spé 105 · Vit 105
Total 495
Talents : Lévitation</t>
      </text>
    </comment>
    <comment ref="E2837" authorId="0" shapeId="0">
      <text>
        <t>SPECTRUM — Spectre / Poison
PV 45 · Att 50 · Déf 45
Att.Spé 115 · Déf.Spé 55 · Vit 95
Total 405
Talents : Lévitation</t>
      </text>
    </comment>
    <comment ref="E2838" authorId="0" shapeId="0">
      <text>
        <t>CAPUMAIN — Normal
PV 55 · Att 70 · Déf 55
Att.Spé 40 · Déf.Spé 55 · Vit 85
Total 360
Talents : Fuite, Ramassage (caché : Multi-
  Coups)</t>
      </text>
    </comment>
    <comment ref="E2839" authorId="0" shapeId="0">
      <text>
        <t>RATTATA — Normal
PV 30 · Att 56 · Déf 35
Att.Spé 25 · Déf.Spé 35 · Vit 72
Total 253
Talents : Fuite, Cran (caché : Agitation)</t>
      </text>
    </comment>
    <comment ref="E2840" authorId="0" shapeId="0">
      <text>
        <t>CAPIDEXTRE — Normal
PV 75 · Att 100 · Déf 66
Att.Spé 60 · Déf.Spé 66 · Vit 115
Total 482
Talents : Technicien, Ramassage (caché :
  Multi-Coups)</t>
      </text>
    </comment>
    <comment ref="E2841" authorId="0" shapeId="0">
      <text>
        <t>NOARFANG — Normal / Vol
PV 100 · Att 50 · Déf 50
Att.Spé 86 · Déf.Spé 96 · Vit 70
Total 452
Talents : Insomnia, Regard Vif (caché :
  Lentiteintée)</t>
      </text>
    </comment>
    <comment ref="E2842" authorId="0" shapeId="0">
      <text>
        <t>RAPASDEPIC — Normal / Vol
PV 65 · Att 90 · Déf 65
Att.Spé 61 · Déf.Spé 61 · Vit 100
Total 442
Talents : Regard Vif (caché : Sniper)</t>
      </text>
    </comment>
    <comment ref="E2843" authorId="0" shapeId="0">
      <text>
        <t>RATTATAC — Normal
PV 55 · Att 81 · Déf 60
Att.Spé 50 · Déf.Spé 70 · Vit 97
Total 413
Talents : Fuite, Cran (caché : Agitation)</t>
      </text>
    </comment>
    <comment ref="E2844" authorId="0" shapeId="0">
      <text>
        <t>FEUFOREVE — Spectre
PV 60 · Att 60 · Déf 60
Att.Spé 85 · Déf.Spé 85 · Vit 85
Total 435
Talents : Lévitation</t>
      </text>
    </comment>
    <comment ref="E2845" authorId="0" shapeId="0">
      <text>
        <t>FOUINAR — Normal
PV 85 · Att 76 · Déf 64
Att.Spé 45 · Déf.Spé 55 · Vit 90
Total 415
Talents : Fuite, Regard Vif (caché : Fouille)</t>
      </text>
    </comment>
    <comment ref="E2846" authorId="0" shapeId="0">
      <text>
        <t>MAGIREVE — Spectre
PV 60 · Att 60 · Déf 60
Att.Spé 105 · Déf.Spé 105 · Vit 105
Total 495
Talents : Lévitation</t>
      </text>
    </comment>
    <comment ref="E2847" authorId="0" shapeId="0">
      <text>
        <t>SPECTRUM — Spectre / Poison
PV 45 · Att 50 · Déf 45
Att.Spé 115 · Déf.Spé 55 · Vit 95
Total 405
Talents : Lévitation</t>
      </text>
    </comment>
    <comment ref="E2848" authorId="0" shapeId="0">
      <text>
        <t>CAPUMAIN — Normal
PV 55 · Att 70 · Déf 55
Att.Spé 40 · Déf.Spé 55 · Vit 85
Total 360
Talents : Fuite, Ramassage (caché : Multi-
  Coups)</t>
      </text>
    </comment>
    <comment ref="E2849" authorId="0" shapeId="0">
      <text>
        <t>RATTATA — Normal
PV 30 · Att 56 · Déf 35
Att.Spé 25 · Déf.Spé 35 · Vit 72
Total 253
Talents : Fuite, Cran (caché : Agitation)</t>
      </text>
    </comment>
    <comment ref="E2850" authorId="0" shapeId="0">
      <text>
        <t>CAPIDEXTRE — Normal
PV 75 · Att 100 · Déf 66
Att.Spé 60 · Déf.Spé 66 · Vit 115
Total 482
Talents : Technicien, Ramassage (caché :
  Multi-Coups)</t>
      </text>
    </comment>
    <comment ref="E2851" authorId="0" shapeId="0">
      <text>
        <t>NOARFANG — Normal / Vol
PV 100 · Att 50 · Déf 50
Att.Spé 86 · Déf.Spé 96 · Vit 70
Total 452
Talents : Insomnia, Regard Vif (caché :
  Lentiteintée)</t>
      </text>
    </comment>
    <comment ref="E2852" authorId="0" shapeId="0">
      <text>
        <t>RAPASDEPIC — Normal / Vol
PV 65 · Att 90 · Déf 65
Att.Spé 61 · Déf.Spé 61 · Vit 100
Total 442
Talents : Regard Vif (caché : Sniper)</t>
      </text>
    </comment>
    <comment ref="E2853" authorId="0" shapeId="0">
      <text>
        <t>RATTATAC — Normal
PV 55 · Att 81 · Déf 60
Att.Spé 50 · Déf.Spé 70 · Vit 97
Total 413
Talents : Fuite, Cran (caché : Agitation)</t>
      </text>
    </comment>
    <comment ref="E2854" authorId="0" shapeId="0">
      <text>
        <t>FEUFOREVE — Spectre
PV 60 · Att 60 · Déf 60
Att.Spé 85 · Déf.Spé 85 · Vit 85
Total 435
Talents : Lévitation</t>
      </text>
    </comment>
    <comment ref="E2855" authorId="0" shapeId="0">
      <text>
        <t>FOUINAR — Normal
PV 85 · Att 76 · Déf 64
Att.Spé 45 · Déf.Spé 55 · Vit 90
Total 415
Talents : Fuite, Regard Vif (caché : Fouille)</t>
      </text>
    </comment>
    <comment ref="E2856" authorId="0" shapeId="0">
      <text>
        <t>MAGIREVE — Spectre
PV 60 · Att 60 · Déf 60
Att.Spé 105 · Déf.Spé 105 · Vit 105
Total 495
Talents : Lévitation</t>
      </text>
    </comment>
    <comment ref="E2857" authorId="0" shapeId="0">
      <text>
        <t>SPECTRUM — Spectre / Poison
PV 45 · Att 50 · Déf 45
Att.Spé 115 · Déf.Spé 55 · Vit 95
Total 405
Talents : Lévitation</t>
      </text>
    </comment>
    <comment ref="E2858" authorId="0" shapeId="0">
      <text>
        <t>CAPUMAIN — Normal
PV 55 · Att 70 · Déf 55
Att.Spé 40 · Déf.Spé 55 · Vit 85
Total 360
Talents : Fuite, Ramassage (caché : Multi-
  Coups)</t>
      </text>
    </comment>
    <comment ref="E2859" authorId="0" shapeId="0">
      <text>
        <t>RATTATA — Normal
PV 30 · Att 56 · Déf 35
Att.Spé 25 · Déf.Spé 35 · Vit 72
Total 253
Talents : Fuite, Cran (caché : Agitation)</t>
      </text>
    </comment>
    <comment ref="E2860" authorId="0" shapeId="0">
      <text>
        <t>CAPIDEXTRE — Normal
PV 75 · Att 100 · Déf 66
Att.Spé 60 · Déf.Spé 66 · Vit 115
Total 482
Talents : Technicien, Ramassage (caché :
  Multi-Coups)</t>
      </text>
    </comment>
    <comment ref="E2861" authorId="0" shapeId="0">
      <text>
        <t>NOARFANG — Normal / Vol
PV 100 · Att 50 · Déf 50
Att.Spé 86 · Déf.Spé 96 · Vit 70
Total 452
Talents : Insomnia, Regard Vif (caché :
  Lentiteintée)</t>
      </text>
    </comment>
    <comment ref="E2862" authorId="0" shapeId="0">
      <text>
        <t>RAPASDEPIC — Normal / Vol
PV 65 · Att 90 · Déf 65
Att.Spé 61 · Déf.Spé 61 · Vit 100
Total 442
Talents : Regard Vif (caché : Sniper)</t>
      </text>
    </comment>
    <comment ref="E2863" authorId="0" shapeId="0">
      <text>
        <t>RATTATAC — Normal
PV 55 · Att 81 · Déf 60
Att.Spé 50 · Déf.Spé 70 · Vit 97
Total 413
Talents : Fuite, Cran (caché : Agitation)</t>
      </text>
    </comment>
    <comment ref="E2864" authorId="0" shapeId="0">
      <text>
        <t>FEUFOREVE — Spectre
PV 60 · Att 60 · Déf 60
Att.Spé 85 · Déf.Spé 85 · Vit 85
Total 435
Talents : Lévitation</t>
      </text>
    </comment>
    <comment ref="E2865" authorId="0" shapeId="0">
      <text>
        <t>FOUINAR — Normal
PV 85 · Att 76 · Déf 64
Att.Spé 45 · Déf.Spé 55 · Vit 90
Total 415
Talents : Fuite, Regard Vif (caché : Fouille)</t>
      </text>
    </comment>
    <comment ref="E2866" authorId="0" shapeId="0">
      <text>
        <t>MAGIREVE — Spectre
PV 60 · Att 60 · Déf 60
Att.Spé 105 · Déf.Spé 105 · Vit 105
Total 495
Talents : Lévitation</t>
      </text>
    </comment>
    <comment ref="E2867" authorId="0" shapeId="0">
      <text>
        <t>SPECTRUM — Spectre / Poison
PV 45 · Att 50 · Déf 45
Att.Spé 115 · Déf.Spé 55 · Vit 95
Total 405
Talents : Lévitation</t>
      </text>
    </comment>
    <comment ref="E2868" authorId="0" shapeId="0">
      <text>
        <t>CAPUMAIN — Normal
PV 55 · Att 70 · Déf 55
Att.Spé 40 · Déf.Spé 55 · Vit 85
Total 360
Talents : Fuite, Ramassage (caché : Multi-
  Coups)</t>
      </text>
    </comment>
    <comment ref="E2869" authorId="0" shapeId="0">
      <text>
        <t>RATTATA — Normal
PV 30 · Att 56 · Déf 35
Att.Spé 25 · Déf.Spé 35 · Vit 72
Total 253
Talents : Fuite, Cran (caché : Agitation)</t>
      </text>
    </comment>
    <comment ref="E2870" authorId="0" shapeId="0">
      <text>
        <t>CAPIDEXTRE — Normal
PV 75 · Att 100 · Déf 66
Att.Spé 60 · Déf.Spé 66 · Vit 115
Total 482
Talents : Technicien, Ramassage (caché :
  Multi-Coups)</t>
      </text>
    </comment>
    <comment ref="E2871" authorId="0" shapeId="0">
      <text>
        <t>NOARFANG — Normal / Vol
PV 100 · Att 50 · Déf 50
Att.Spé 86 · Déf.Spé 96 · Vit 70
Total 452
Talents : Insomnia, Regard Vif (caché :
  Lentiteintée)</t>
      </text>
    </comment>
    <comment ref="E2872" authorId="0" shapeId="0">
      <text>
        <t>RAPASDEPIC — Normal / Vol
PV 65 · Att 90 · Déf 65
Att.Spé 61 · Déf.Spé 61 · Vit 100
Total 442
Talents : Regard Vif (caché : Sniper)</t>
      </text>
    </comment>
    <comment ref="E2873" authorId="0" shapeId="0">
      <text>
        <t>RATTATAC — Normal
PV 55 · Att 81 · Déf 60
Att.Spé 50 · Déf.Spé 70 · Vit 97
Total 413
Talents : Fuite, Cran (caché : Agitation)</t>
      </text>
    </comment>
    <comment ref="E2874" authorId="0" shapeId="0">
      <text>
        <t>FEUFOREVE — Spectre
PV 60 · Att 60 · Déf 60
Att.Spé 85 · Déf.Spé 85 · Vit 85
Total 435
Talents : Lévitation</t>
      </text>
    </comment>
    <comment ref="E2875" authorId="0" shapeId="0">
      <text>
        <t>FOUINAR — Normal
PV 85 · Att 76 · Déf 64
Att.Spé 45 · Déf.Spé 55 · Vit 90
Total 415
Talents : Fuite, Regard Vif (caché : Fouille)</t>
      </text>
    </comment>
    <comment ref="E2876" authorId="0" shapeId="0">
      <text>
        <t>MAGIREVE — Spectre
PV 60 · Att 60 · Déf 60
Att.Spé 105 · Déf.Spé 105 · Vit 105
Total 495
Talents : Lévitation</t>
      </text>
    </comment>
    <comment ref="E2877" authorId="0" shapeId="0">
      <text>
        <t>SPECTRUM — Spectre / Poison
PV 45 · Att 50 · Déf 45
Att.Spé 115 · Déf.Spé 55 · Vit 95
Total 405
Talents : Lévitation</t>
      </text>
    </comment>
    <comment ref="E2878" authorId="0" shapeId="0">
      <text>
        <t>FANTOMINUS — Spectre / Poison
PV 30 · Att 35 · Déf 30
Att.Spé 100 · Déf.Spé 35 · Vit 80
Total 310
Talents : Lévitation</t>
      </text>
    </comment>
    <comment ref="E2879" authorId="0" shapeId="0">
      <text>
        <t>NOARFANG — Normal / Vol
PV 100 · Att 50 · Déf 50
Att.Spé 86 · Déf.Spé 96 · Vit 70
Total 452
Talents : Insomnia, Regard Vif (caché :
  Lentiteintée)</t>
      </text>
    </comment>
    <comment ref="E2880" authorId="0" shapeId="0">
      <text>
        <t>RAPASDEPIC — Normal / Vol
PV 65 · Att 90 · Déf 65
Att.Spé 61 · Déf.Spé 61 · Vit 100
Total 442
Talents : Regard Vif (caché : Sniper)</t>
      </text>
    </comment>
    <comment ref="E2881" authorId="0" shapeId="0">
      <text>
        <t>CAPIDEXTRE — Normal
PV 75 · Att 100 · Déf 66
Att.Spé 60 · Déf.Spé 66 · Vit 115
Total 482
Talents : Technicien, Ramassage (caché :
  Multi-Coups)</t>
      </text>
    </comment>
    <comment ref="E2882" authorId="0" shapeId="0">
      <text>
        <t>FEUFOREVE — Spectre
PV 60 · Att 60 · Déf 60
Att.Spé 85 · Déf.Spé 85 · Vit 85
Total 435
Talents : Lévitation</t>
      </text>
    </comment>
    <comment ref="E2883" authorId="0" shapeId="0">
      <text>
        <t>MAGIREVE — Spectre
PV 60 · Att 60 · Déf 60
Att.Spé 105 · Déf.Spé 105 · Vit 105
Total 495
Talents : Lévitation</t>
      </text>
    </comment>
    <comment ref="E2884" authorId="0" shapeId="0">
      <text>
        <t>SPECTRUM — Spectre / Poison
PV 45 · Att 50 · Déf 45
Att.Spé 115 · Déf.Spé 55 · Vit 95
Total 405
Talents : Lévitation</t>
      </text>
    </comment>
    <comment ref="E2885" authorId="0" shapeId="0">
      <text>
        <t>FANTOMINUS — Spectre / Poison
PV 30 · Att 35 · Déf 30
Att.Spé 100 · Déf.Spé 35 · Vit 80
Total 310
Talents : Lévitation</t>
      </text>
    </comment>
    <comment ref="E2886" authorId="0" shapeId="0">
      <text>
        <t>NOARFANG — Normal / Vol
PV 100 · Att 50 · Déf 50
Att.Spé 86 · Déf.Spé 96 · Vit 70
Total 452
Talents : Insomnia, Regard Vif (caché :
  Lentiteintée)</t>
      </text>
    </comment>
    <comment ref="E2887" authorId="0" shapeId="0">
      <text>
        <t>RAPASDEPIC — Normal / Vol
PV 65 · Att 90 · Déf 65
Att.Spé 61 · Déf.Spé 61 · Vit 100
Total 442
Talents : Regard Vif (caché : Sniper)</t>
      </text>
    </comment>
    <comment ref="E2888" authorId="0" shapeId="0">
      <text>
        <t>CAPIDEXTRE — Normal
PV 75 · Att 100 · Déf 66
Att.Spé 60 · Déf.Spé 66 · Vit 115
Total 482
Talents : Technicien, Ramassage (caché :
  Multi-Coups)</t>
      </text>
    </comment>
    <comment ref="E2889" authorId="0" shapeId="0">
      <text>
        <t>FEUFOREVE — Spectre
PV 60 · Att 60 · Déf 60
Att.Spé 85 · Déf.Spé 85 · Vit 85
Total 435
Talents : Lévitation</t>
      </text>
    </comment>
    <comment ref="E2890" authorId="0" shapeId="0">
      <text>
        <t>MAGIREVE — Spectre
PV 60 · Att 60 · Déf 60
Att.Spé 105 · Déf.Spé 105 · Vit 105
Total 495
Talents : Lévitation</t>
      </text>
    </comment>
    <comment ref="E2891" authorId="0" shapeId="0">
      <text>
        <t>SPECTRUM — Spectre / Poison
PV 45 · Att 50 · Déf 45
Att.Spé 115 · Déf.Spé 55 · Vit 95
Total 405
Talents : Lévitation</t>
      </text>
    </comment>
    <comment ref="E2892" authorId="0" shapeId="0">
      <text>
        <t>RATTATA — Normal
PV 30 · Att 56 · Déf 35
Att.Spé 25 · Déf.Spé 35 · Vit 72
Total 253
Talents : Fuite, Cran (caché : Agitation)</t>
      </text>
    </comment>
    <comment ref="E2893" authorId="0" shapeId="0">
      <text>
        <t>SMOGO — Poison
PV 40 · Att 65 · Déf 95
Att.Spé 60 · Déf.Spé 45 · Vit 35
Total 340
Talents : Lévitation, Gaz Inhibiteur (caché :
  Puanteur)</t>
      </text>
    </comment>
    <comment ref="E2894" authorId="0" shapeId="0">
      <text>
        <t>LIMAGMA — Feu
PV 40 · Att 40 · Déf 40
Att.Spé 70 · Déf.Spé 40 · Vit 20
Total 250
Talents : Armumagma, Corps Ardent (caché :
  Armurouillée)</t>
      </text>
    </comment>
    <comment ref="E2895" authorId="0" shapeId="0">
      <text>
        <t>MALOSSE — Ténèbres / Feu
PV 45 · Att 60 · Déf 30
Att.Spé 80 · Déf.Spé 50 · Vit 65
Total 330
Talents : Matinal, Torche (caché : Tension)</t>
      </text>
    </comment>
    <comment ref="E2896" authorId="0" shapeId="0">
      <text>
        <t>RATTATAC — Normal
PV 55 · Att 81 · Déf 60
Att.Spé 50 · Déf.Spé 70 · Vit 97
Total 413
Talents : Fuite, Cran (caché : Agitation)</t>
      </text>
    </comment>
    <comment ref="E2897" authorId="0" shapeId="0">
      <text>
        <t>LIMAGMA — Feu
PV 40 · Att 40 · Déf 40
Att.Spé 70 · Déf.Spé 40 · Vit 20
Total 250
Talents : Armumagma, Corps Ardent (caché :
  Armurouillée)</t>
      </text>
    </comment>
    <comment ref="E2898" authorId="0" shapeId="0">
      <text>
        <t>SMOGO — Poison
PV 40 · Att 65 · Déf 95
Att.Spé 60 · Déf.Spé 45 · Vit 35
Total 340
Talents : Lévitation, Gaz Inhibiteur (caché :
  Puanteur)</t>
      </text>
    </comment>
    <comment ref="E2899" authorId="0" shapeId="0">
      <text>
        <t>NOSFERAPTI — Poison / Vol
PV 40 · Att 45 · Déf 35
Att.Spé 30 · Déf.Spé 40 · Vit 55
Total 245
Talents : Attention (caché : Infiltration)</t>
      </text>
    </comment>
    <comment ref="E2900" authorId="0" shapeId="0">
      <text>
        <t>MALOSSE — Ténèbres / Feu
PV 45 · Att 60 · Déf 30
Att.Spé 80 · Déf.Spé 50 · Vit 65
Total 330
Talents : Matinal, Torche (caché : Tension)</t>
      </text>
    </comment>
    <comment ref="E2901" authorId="0" shapeId="0">
      <text>
        <t>RATTATAC — Normal
PV 55 · Att 81 · Déf 60
Att.Spé 50 · Déf.Spé 70 · Vit 97
Total 413
Talents : Fuite, Cran (caché : Agitation)</t>
      </text>
    </comment>
    <comment ref="E2902" authorId="0" shapeId="0">
      <text>
        <t>SMOGO — Poison
PV 40 · Att 65 · Déf 95
Att.Spé 60 · Déf.Spé 45 · Vit 35
Total 340
Talents : Lévitation, Gaz Inhibiteur (caché :
  Puanteur)</t>
      </text>
    </comment>
    <comment ref="E2903" authorId="0" shapeId="0">
      <text>
        <t>NOSFERAPTI — Poison / Vol
PV 40 · Att 45 · Déf 35
Att.Spé 30 · Déf.Spé 40 · Vit 55
Total 245
Talents : Attention (caché : Infiltration)</t>
      </text>
    </comment>
    <comment ref="E2904" authorId="0" shapeId="0">
      <text>
        <t>MAGMAR — Feu
PV 65 · Att 95 · Déf 57
Att.Spé 100 · Déf.Spé 85 · Vit 93
Total 495
Talents : Corps Ardent (caché : Esprit Vital)</t>
      </text>
    </comment>
    <comment ref="E2905" authorId="0" shapeId="0">
      <text>
        <t>FEUFOREVE — Spectre
PV 60 · Att 60 · Déf 60
Att.Spé 85 · Déf.Spé 85 · Vit 85
Total 435
Talents : Lévitation</t>
      </text>
    </comment>
    <comment ref="E2906" authorId="0" shapeId="0">
      <text>
        <t>FEUFOREVE — Spectre
PV 60 · Att 60 · Déf 60
Att.Spé 85 · Déf.Spé 85 · Vit 85
Total 435
Talents : Lévitation</t>
      </text>
    </comment>
    <comment ref="E2907" authorId="0" shapeId="0">
      <text>
        <t>SMOGO — Poison
PV 40 · Att 65 · Déf 95
Att.Spé 60 · Déf.Spé 45 · Vit 35
Total 340
Talents : Lévitation, Gaz Inhibiteur (caché :
  Puanteur)</t>
      </text>
    </comment>
    <comment ref="E2908" authorId="0" shapeId="0">
      <text>
        <t>NOSFERAPTI — Poison / Vol
PV 40 · Att 45 · Déf 35
Att.Spé 30 · Déf.Spé 40 · Vit 55
Total 245
Talents : Attention (caché : Infiltration)</t>
      </text>
    </comment>
    <comment ref="E2909" authorId="0" shapeId="0">
      <text>
        <t>MAGMAR — Feu
PV 65 · Att 95 · Déf 57
Att.Spé 100 · Déf.Spé 85 · Vit 93
Total 495
Talents : Corps Ardent (caché : Esprit Vital)</t>
      </text>
    </comment>
    <comment ref="E2910" authorId="0" shapeId="0">
      <text>
        <t>KRABBY — Eau
PV 30 · Att 105 · Déf 90
Att.Spé 25 · Déf.Spé 25 · Vit 50
Total 325
Talents : Hyper Cutter, Coque Armure (caché :
  Sans Limite)</t>
      </text>
    </comment>
    <comment ref="E2911" authorId="0" shapeId="0">
      <text>
        <t>ROUCOUPS — Normal / Vol
PV 63 · Att 60 · Déf 55
Att.Spé 50 · Déf.Spé 50 · Vit 71
Total 349
Talents : Regard Vif, Pieds Confus (caché :
  Cœur de Coq)</t>
      </text>
    </comment>
    <comment ref="E2912" authorId="0" shapeId="0">
      <text>
        <t>CORAYON — Eau / Roche
PV 65 · Att 55 · Déf 95
Att.Spé 65 · Déf.Spé 95 · Vit 35
Total 410
Talents : Agitation, Médic Nature (caché :
  Régé-Force)</t>
      </text>
    </comment>
    <comment ref="E2913" authorId="0" shapeId="0">
      <text>
        <t>OTARIA — Eau
PV 65 · Att 45 · Déf 55
Att.Spé 45 · Déf.Spé 70 · Vit 45
Total 325
Talents : Isograisse, Hydratation (caché :
  Corps Gel)</t>
      </text>
    </comment>
    <comment ref="E2914" authorId="0" shapeId="0">
      <text>
        <t>NATU — Psy / Vol
PV 40 · Att 50 · Déf 45
Att.Spé 70 · Déf.Spé 45 · Vit 70
Total 320
Talents : Synchro, Matinal (caché : Miroir
  Magik)</t>
      </text>
    </comment>
    <comment ref="E2915" authorId="0" shapeId="0">
      <text>
        <t>KRABBY — Eau
PV 30 · Att 105 · Déf 90
Att.Spé 25 · Déf.Spé 25 · Vit 50
Total 325
Talents : Hyper Cutter, Coque Armure (caché :
  Sans Limite)</t>
      </text>
    </comment>
    <comment ref="E2916" authorId="0" shapeId="0">
      <text>
        <t>NOSFERALTO — Poison / Vol
PV 75 · Att 80 · Déf 70
Att.Spé 65 · Déf.Spé 75 · Vit 90
Total 455
Talents : Attention (caché : Infiltration)</t>
      </text>
    </comment>
    <comment ref="E2917" authorId="0" shapeId="0">
      <text>
        <t>CORAYON — Eau / Roche
PV 65 · Att 55 · Déf 95
Att.Spé 65 · Déf.Spé 95 · Vit 35
Total 410
Talents : Agitation, Médic Nature (caché :
  Régé-Force)</t>
      </text>
    </comment>
    <comment ref="E2918" authorId="0" shapeId="0">
      <text>
        <t>OTARIA — Eau
PV 65 · Att 45 · Déf 55
Att.Spé 45 · Déf.Spé 70 · Vit 45
Total 325
Talents : Isograisse, Hydratation (caché :
  Corps Gel)</t>
      </text>
    </comment>
    <comment ref="E2919" authorId="0" shapeId="0">
      <text>
        <t>NATU — Psy / Vol
PV 40 · Att 50 · Déf 45
Att.Spé 70 · Déf.Spé 45 · Vit 70
Total 320
Talents : Synchro, Matinal (caché : Miroir
  Magik)</t>
      </text>
    </comment>
    <comment ref="E2920" authorId="0" shapeId="0">
      <text>
        <t>TENTACOOL — Eau / Poison
PV 40 · Att 40 · Déf 35
Att.Spé 50 · Déf.Spé 100 · Vit 70
Total 335
Talents : Corps Sain, Suintement (caché :
  Cuvette)</t>
      </text>
    </comment>
    <comment ref="E2921" authorId="0" shapeId="0">
      <text>
        <t>HYPOTREMPE — Eau
PV 30 · Att 40 · Déf 70
Att.Spé 70 · Déf.Spé 25 · Vit 60
Total 295
Talents : Glissade, Sniper (caché : Moiteur)</t>
      </text>
    </comment>
    <comment ref="E2922" authorId="0" shapeId="0">
      <text>
        <t>BABIMANTA — Eau / Vol
PV 45 · Att 20 · Déf 50
Att.Spé 60 · Déf.Spé 120 · Vit 50
Total 345
Talents : Glissade, Absorbe-Eau (caché :
  Ignifu-Voile)</t>
      </text>
    </comment>
    <comment ref="E2923" authorId="0" shapeId="0">
      <text>
        <t>DEMANTA — Eau / Vol
PV 85 · Att 40 · Déf 70
Att.Spé 80 · Déf.Spé 140 · Vit 70
Total 485
Talents : Glissade, Absorbe-Eau (caché :
  Ignifu-Voile)</t>
      </text>
    </comment>
    <comment ref="E2924" authorId="0" shapeId="0">
      <text>
        <t>TENTACOOL — Eau / Poison
PV 40 · Att 40 · Déf 35
Att.Spé 50 · Déf.Spé 100 · Vit 70
Total 335
Talents : Corps Sain, Suintement (caché :
  Cuvette)</t>
      </text>
    </comment>
    <comment ref="E2925" authorId="0" shapeId="0">
      <text>
        <t>HYPOTREMPE — Eau
PV 30 · Att 40 · Déf 70
Att.Spé 70 · Déf.Spé 25 · Vit 60
Total 295
Talents : Glissade, Sniper (caché : Moiteur)</t>
      </text>
    </comment>
    <comment ref="E2926" authorId="0" shapeId="0">
      <text>
        <t>BABIMANTA — Eau / Vol
PV 45 · Att 20 · Déf 50
Att.Spé 60 · Déf.Spé 120 · Vit 50
Total 345
Talents : Glissade, Absorbe-Eau (caché :
  Ignifu-Voile)</t>
      </text>
    </comment>
    <comment ref="E2927" authorId="0" shapeId="0">
      <text>
        <t>DEMANTA — Eau / Vol
PV 85 · Att 40 · Déf 70
Att.Spé 80 · Déf.Spé 140 · Vit 70
Total 485
Talents : Glissade, Absorbe-Eau (caché :
  Ignifu-Voile)</t>
      </text>
    </comment>
    <comment ref="E2928" authorId="0" shapeId="0">
      <text>
        <t>MAGICARPE — Eau
PV 20 · Att 10 · Déf 55
Att.Spé 15 · Déf.Spé 20 · Vit 80
Total 200
Talents : Glissade (caché : Phobique)</t>
      </text>
    </comment>
    <comment ref="E2929" authorId="0" shapeId="0">
      <text>
        <t>KRABBY — Eau
PV 30 · Att 105 · Déf 90
Att.Spé 25 · Déf.Spé 25 · Vit 50
Total 325
Talents : Hyper Cutter, Coque Armure (caché :
  Sans Limite)</t>
      </text>
    </comment>
    <comment ref="E2930" authorId="0" shapeId="0">
      <text>
        <t>MAGICARPE — Eau
PV 20 · Att 10 · Déf 55
Att.Spé 15 · Déf.Spé 20 · Vit 80
Total 200
Talents : Glissade (caché : Phobique)</t>
      </text>
    </comment>
    <comment ref="E2931" authorId="0" shapeId="0">
      <text>
        <t>KRABBY — Eau
PV 30 · Att 105 · Déf 90
Att.Spé 25 · Déf.Spé 25 · Vit 50
Total 325
Talents : Hyper Cutter, Coque Armure (caché :
  Sans Limite)</t>
      </text>
    </comment>
    <comment ref="E2932" authorId="0" shapeId="0">
      <text>
        <t>KRABBY — Eau
PV 30 · Att 105 · Déf 90
Att.Spé 25 · Déf.Spé 25 · Vit 50
Total 325
Talents : Hyper Cutter, Coque Armure (caché :
  Sans Limite)</t>
      </text>
    </comment>
    <comment ref="E2933" authorId="0" shapeId="0">
      <text>
        <t>HYPOTREMPE — Eau
PV 30 · Att 40 · Déf 70
Att.Spé 70 · Déf.Spé 25 · Vit 60
Total 295
Talents : Glissade, Sniper (caché : Moiteur)</t>
      </text>
    </comment>
    <comment ref="E2934" authorId="0" shapeId="0">
      <text>
        <t>STARI — Eau
PV 30 · Att 45 · Déf 55
Att.Spé 70 · Déf.Spé 55 · Vit 85
Total 340
Talents : Lumiattirance, Médic Nature (caché :
  Analyste)</t>
      </text>
    </comment>
    <comment ref="E2935" authorId="0" shapeId="0">
      <text>
        <t>KRABBY — Eau
PV 30 · Att 105 · Déf 90
Att.Spé 25 · Déf.Spé 25 · Vit 50
Total 325
Talents : Hyper Cutter, Coque Armure (caché :
  Sans Limite)</t>
      </text>
    </comment>
    <comment ref="E2936" authorId="0" shapeId="0">
      <text>
        <t>HYPOTREMPE — Eau
PV 30 · Att 40 · Déf 70
Att.Spé 70 · Déf.Spé 25 · Vit 60
Total 295
Talents : Glissade, Sniper (caché : Moiteur)</t>
      </text>
    </comment>
    <comment ref="E2937" authorId="0" shapeId="0">
      <text>
        <t>MAGICARPE — Eau
PV 20 · Att 10 · Déf 55
Att.Spé 15 · Déf.Spé 20 · Vit 80
Total 200
Talents : Glissade (caché : Phobique)</t>
      </text>
    </comment>
    <comment ref="E2938" authorId="0" shapeId="0">
      <text>
        <t>HYPOTREMPE — Eau
PV 30 · Att 40 · Déf 70
Att.Spé 70 · Déf.Spé 25 · Vit 60
Total 295
Talents : Glissade, Sniper (caché : Moiteur)</t>
      </text>
    </comment>
    <comment ref="E2939" authorId="0" shapeId="0">
      <text>
        <t>KRABBY — Eau
PV 30 · Att 105 · Déf 90
Att.Spé 25 · Déf.Spé 25 · Vit 50
Total 325
Talents : Hyper Cutter, Coque Armure (caché :
  Sans Limite)</t>
      </text>
    </comment>
    <comment ref="E2940" authorId="0" shapeId="0">
      <text>
        <t>KRABBOSS — Eau
PV 55 · Att 130 · Déf 115
Att.Spé 50 · Déf.Spé 50 · Vit 75
Total 475
Talents : Hyper Cutter, Coque Armure (caché :
  Sans Limite)</t>
      </text>
    </comment>
    <comment ref="E2941" authorId="0" shapeId="0">
      <text>
        <t>HYPOCEAN — Eau
PV 55 · Att 65 · Déf 95
Att.Spé 95 · Déf.Spé 45 · Vit 85
Total 440
Talents : Point Poison, Sniper (caché :
  Moiteur)</t>
      </text>
    </comment>
    <comment ref="E2942" authorId="0" shapeId="0">
      <text>
        <t>HYPOTREMPE — Eau
PV 30 · Att 40 · Déf 70
Att.Spé 70 · Déf.Spé 25 · Vit 60
Total 295
Talents : Glissade, Sniper (caché : Moiteur)</t>
      </text>
    </comment>
    <comment ref="E2943" authorId="0" shapeId="0">
      <text>
        <t>KRABBY — Eau
PV 30 · Att 105 · Déf 90
Att.Spé 25 · Déf.Spé 25 · Vit 50
Total 325
Talents : Hyper Cutter, Coque Armure (caché :
  Sans Limite)</t>
      </text>
    </comment>
    <comment ref="E2944" authorId="0" shapeId="0">
      <text>
        <t>KRABBOSS — Eau
PV 55 · Att 130 · Déf 115
Att.Spé 50 · Déf.Spé 50 · Vit 75
Total 475
Talents : Hyper Cutter, Coque Armure (caché :
  Sans Limite)</t>
      </text>
    </comment>
    <comment ref="E2945" authorId="0" shapeId="0">
      <text>
        <t>HYPOCEAN — Eau
PV 55 · Att 65 · Déf 95
Att.Spé 95 · Déf.Spé 45 · Vit 85
Total 440
Talents : Point Poison, Sniper (caché :
  Moiteur)</t>
      </text>
    </comment>
    <comment ref="E2946" authorId="0" shapeId="0">
      <text>
        <t>KRABBY — Eau
PV 30 · Att 105 · Déf 90
Att.Spé 25 · Déf.Spé 25 · Vit 50
Total 325
Talents : Hyper Cutter, Coque Armure (caché :
  Sans Limite)</t>
      </text>
    </comment>
    <comment ref="E2947" authorId="0" shapeId="0">
      <text>
        <t>NOSFERALTO — Poison / Vol
PV 75 · Att 80 · Déf 70
Att.Spé 65 · Déf.Spé 75 · Vit 90
Total 455
Talents : Attention (caché : Infiltration)</t>
      </text>
    </comment>
    <comment ref="E2948" authorId="0" shapeId="0">
      <text>
        <t>CORAYON — Eau / Roche
PV 65 · Att 55 · Déf 95
Att.Spé 65 · Déf.Spé 95 · Vit 35
Total 410
Talents : Agitation, Médic Nature (caché :
  Régé-Force)</t>
      </text>
    </comment>
    <comment ref="E2949" authorId="0" shapeId="0">
      <text>
        <t>OTARIA — Eau
PV 65 · Att 45 · Déf 55
Att.Spé 45 · Déf.Spé 70 · Vit 45
Total 325
Talents : Isograisse, Hydratation (caché :
  Corps Gel)</t>
      </text>
    </comment>
    <comment ref="E2950" authorId="0" shapeId="0">
      <text>
        <t>NATU — Psy / Vol
PV 40 · Att 50 · Déf 45
Att.Spé 70 · Déf.Spé 45 · Vit 70
Total 320
Talents : Synchro, Matinal (caché : Miroir
  Magik)</t>
      </text>
    </comment>
    <comment ref="E2951" authorId="0" shapeId="0">
      <text>
        <t>KRABBY — Eau
PV 30 · Att 105 · Déf 90
Att.Spé 25 · Déf.Spé 25 · Vit 50
Total 325
Talents : Hyper Cutter, Coque Armure (caché :
  Sans Limite)</t>
      </text>
    </comment>
    <comment ref="E2952" authorId="0" shapeId="0">
      <text>
        <t>ROUCOUPS — Normal / Vol
PV 63 · Att 60 · Déf 55
Att.Spé 50 · Déf.Spé 50 · Vit 71
Total 349
Talents : Regard Vif, Pieds Confus (caché :
  Cœur de Coq)</t>
      </text>
    </comment>
    <comment ref="E2953" authorId="0" shapeId="0">
      <text>
        <t>CORAYON — Eau / Roche
PV 65 · Att 55 · Déf 95
Att.Spé 65 · Déf.Spé 95 · Vit 35
Total 410
Talents : Agitation, Médic Nature (caché :
  Régé-Force)</t>
      </text>
    </comment>
    <comment ref="E2954" authorId="0" shapeId="0">
      <text>
        <t>OTARIA — Eau
PV 65 · Att 45 · Déf 55
Att.Spé 45 · Déf.Spé 70 · Vit 45
Total 325
Talents : Isograisse, Hydratation (caché :
  Corps Gel)</t>
      </text>
    </comment>
    <comment ref="E2955" authorId="0" shapeId="0">
      <text>
        <t>NATU — Psy / Vol
PV 40 · Att 50 · Déf 45
Att.Spé 70 · Déf.Spé 45 · Vit 70
Total 320
Talents : Synchro, Matinal (caché : Miroir
  Magik)</t>
      </text>
    </comment>
    <comment ref="E2956" authorId="0" shapeId="0">
      <text>
        <t>KRABBY — Eau
PV 30 · Att 105 · Déf 90
Att.Spé 25 · Déf.Spé 25 · Vit 50
Total 325
Talents : Hyper Cutter, Coque Armure (caché :
  Sans Limite)</t>
      </text>
    </comment>
    <comment ref="E2957" authorId="0" shapeId="0">
      <text>
        <t>NOSFERALTO — Poison / Vol
PV 75 · Att 80 · Déf 70
Att.Spé 65 · Déf.Spé 75 · Vit 90
Total 455
Talents : Attention (caché : Infiltration)</t>
      </text>
    </comment>
    <comment ref="E2958" authorId="0" shapeId="0">
      <text>
        <t>CORAYON — Eau / Roche
PV 65 · Att 55 · Déf 95
Att.Spé 65 · Déf.Spé 95 · Vit 35
Total 410
Talents : Agitation, Médic Nature (caché :
  Régé-Force)</t>
      </text>
    </comment>
    <comment ref="E2959" authorId="0" shapeId="0">
      <text>
        <t>OTARIA — Eau
PV 65 · Att 45 · Déf 55
Att.Spé 45 · Déf.Spé 70 · Vit 45
Total 325
Talents : Isograisse, Hydratation (caché :
  Corps Gel)</t>
      </text>
    </comment>
    <comment ref="E2960" authorId="0" shapeId="0">
      <text>
        <t>NATU — Psy / Vol
PV 40 · Att 50 · Déf 45
Att.Spé 70 · Déf.Spé 45 · Vit 70
Total 320
Talents : Synchro, Matinal (caché : Miroir
  Magik)</t>
      </text>
    </comment>
    <comment ref="E2961" authorId="0" shapeId="0">
      <text>
        <t>TENTACOOL — Eau / Poison
PV 40 · Att 40 · Déf 35
Att.Spé 50 · Déf.Spé 100 · Vit 70
Total 335
Talents : Corps Sain, Suintement (caché :
  Cuvette)</t>
      </text>
    </comment>
    <comment ref="E2962" authorId="0" shapeId="0">
      <text>
        <t>HYPOTREMPE — Eau
PV 30 · Att 40 · Déf 70
Att.Spé 70 · Déf.Spé 25 · Vit 60
Total 295
Talents : Glissade, Sniper (caché : Moiteur)</t>
      </text>
    </comment>
    <comment ref="E2963" authorId="0" shapeId="0">
      <text>
        <t>BABIMANTA — Eau / Vol
PV 45 · Att 20 · Déf 50
Att.Spé 60 · Déf.Spé 120 · Vit 50
Total 345
Talents : Glissade, Absorbe-Eau (caché :
  Ignifu-Voile)</t>
      </text>
    </comment>
    <comment ref="E2964" authorId="0" shapeId="0">
      <text>
        <t>DEMANTA — Eau / Vol
PV 85 · Att 40 · Déf 70
Att.Spé 80 · Déf.Spé 140 · Vit 70
Total 485
Talents : Glissade, Absorbe-Eau (caché :
  Ignifu-Voile)</t>
      </text>
    </comment>
    <comment ref="E2965" authorId="0" shapeId="0">
      <text>
        <t>TENTACOOL — Eau / Poison
PV 40 · Att 40 · Déf 35
Att.Spé 50 · Déf.Spé 100 · Vit 70
Total 335
Talents : Corps Sain, Suintement (caché :
  Cuvette)</t>
      </text>
    </comment>
    <comment ref="E2966" authorId="0" shapeId="0">
      <text>
        <t>HYPOTREMPE — Eau
PV 30 · Att 40 · Déf 70
Att.Spé 70 · Déf.Spé 25 · Vit 60
Total 295
Talents : Glissade, Sniper (caché : Moiteur)</t>
      </text>
    </comment>
    <comment ref="E2967" authorId="0" shapeId="0">
      <text>
        <t>BABIMANTA — Eau / Vol
PV 45 · Att 20 · Déf 50
Att.Spé 60 · Déf.Spé 120 · Vit 50
Total 345
Talents : Glissade, Absorbe-Eau (caché :
  Ignifu-Voile)</t>
      </text>
    </comment>
    <comment ref="E2968" authorId="0" shapeId="0">
      <text>
        <t>DEMANTA — Eau / Vol
PV 85 · Att 40 · Déf 70
Att.Spé 80 · Déf.Spé 140 · Vit 70
Total 485
Talents : Glissade, Absorbe-Eau (caché :
  Ignifu-Voile)</t>
      </text>
    </comment>
    <comment ref="E2969" authorId="0" shapeId="0">
      <text>
        <t>MAGICARPE — Eau
PV 20 · Att 10 · Déf 55
Att.Spé 15 · Déf.Spé 20 · Vit 80
Total 200
Talents : Glissade (caché : Phobique)</t>
      </text>
    </comment>
    <comment ref="E2970" authorId="0" shapeId="0">
      <text>
        <t>KRABBY — Eau
PV 30 · Att 105 · Déf 90
Att.Spé 25 · Déf.Spé 25 · Vit 50
Total 325
Talents : Hyper Cutter, Coque Armure (caché :
  Sans Limite)</t>
      </text>
    </comment>
    <comment ref="E2971" authorId="0" shapeId="0">
      <text>
        <t>MAGICARPE — Eau
PV 20 · Att 10 · Déf 55
Att.Spé 15 · Déf.Spé 20 · Vit 80
Total 200
Talents : Glissade (caché : Phobique)</t>
      </text>
    </comment>
    <comment ref="E2972" authorId="0" shapeId="0">
      <text>
        <t>KRABBY — Eau
PV 30 · Att 105 · Déf 90
Att.Spé 25 · Déf.Spé 25 · Vit 50
Total 325
Talents : Hyper Cutter, Coque Armure (caché :
  Sans Limite)</t>
      </text>
    </comment>
    <comment ref="E2973" authorId="0" shapeId="0">
      <text>
        <t>KRABBY — Eau
PV 30 · Att 105 · Déf 90
Att.Spé 25 · Déf.Spé 25 · Vit 50
Total 325
Talents : Hyper Cutter, Coque Armure (caché :
  Sans Limite)</t>
      </text>
    </comment>
    <comment ref="E2974" authorId="0" shapeId="0">
      <text>
        <t>HYPOTREMPE — Eau
PV 30 · Att 40 · Déf 70
Att.Spé 70 · Déf.Spé 25 · Vit 60
Total 295
Talents : Glissade, Sniper (caché : Moiteur)</t>
      </text>
    </comment>
    <comment ref="E2975" authorId="0" shapeId="0">
      <text>
        <t>STARI — Eau
PV 30 · Att 45 · Déf 55
Att.Spé 70 · Déf.Spé 55 · Vit 85
Total 340
Talents : Lumiattirance, Médic Nature (caché :
  Analyste)</t>
      </text>
    </comment>
    <comment ref="E2976" authorId="0" shapeId="0">
      <text>
        <t>KRABBY — Eau
PV 30 · Att 105 · Déf 90
Att.Spé 25 · Déf.Spé 25 · Vit 50
Total 325
Talents : Hyper Cutter, Coque Armure (caché :
  Sans Limite)</t>
      </text>
    </comment>
    <comment ref="E2977" authorId="0" shapeId="0">
      <text>
        <t>HYPOTREMPE — Eau
PV 30 · Att 40 · Déf 70
Att.Spé 70 · Déf.Spé 25 · Vit 60
Total 295
Talents : Glissade, Sniper (caché : Moiteur)</t>
      </text>
    </comment>
    <comment ref="E2978" authorId="0" shapeId="0">
      <text>
        <t>STARI — Eau
PV 30 · Att 45 · Déf 55
Att.Spé 70 · Déf.Spé 55 · Vit 85
Total 340
Talents : Lumiattirance, Médic Nature (caché :
  Analyste)</t>
      </text>
    </comment>
    <comment ref="E2979" authorId="0" shapeId="0">
      <text>
        <t>HYPOTREMPE — Eau
PV 30 · Att 40 · Déf 70
Att.Spé 70 · Déf.Spé 25 · Vit 60
Total 295
Talents : Glissade, Sniper (caché : Moiteur)</t>
      </text>
    </comment>
    <comment ref="E2980" authorId="0" shapeId="0">
      <text>
        <t>KRABBY — Eau
PV 30 · Att 105 · Déf 90
Att.Spé 25 · Déf.Spé 25 · Vit 50
Total 325
Talents : Hyper Cutter, Coque Armure (caché :
  Sans Limite)</t>
      </text>
    </comment>
    <comment ref="E2981" authorId="0" shapeId="0">
      <text>
        <t>KRABBOSS — Eau
PV 55 · Att 130 · Déf 115
Att.Spé 50 · Déf.Spé 50 · Vit 75
Total 475
Talents : Hyper Cutter, Coque Armure (caché :
  Sans Limite)</t>
      </text>
    </comment>
    <comment ref="E2982" authorId="0" shapeId="0">
      <text>
        <t>HYPOCEAN — Eau
PV 55 · Att 65 · Déf 95
Att.Spé 95 · Déf.Spé 45 · Vit 85
Total 440
Talents : Point Poison, Sniper (caché :
  Moiteur)</t>
      </text>
    </comment>
    <comment ref="E2983" authorId="0" shapeId="0">
      <text>
        <t>HYPOTREMPE — Eau
PV 30 · Att 40 · Déf 70
Att.Spé 70 · Déf.Spé 25 · Vit 60
Total 295
Talents : Glissade, Sniper (caché : Moiteur)</t>
      </text>
    </comment>
    <comment ref="E2984" authorId="0" shapeId="0">
      <text>
        <t>KRABBY — Eau
PV 30 · Att 105 · Déf 90
Att.Spé 25 · Déf.Spé 25 · Vit 50
Total 325
Talents : Hyper Cutter, Coque Armure (caché :
  Sans Limite)</t>
      </text>
    </comment>
    <comment ref="E2985" authorId="0" shapeId="0">
      <text>
        <t>KRABBOSS — Eau
PV 55 · Att 130 · Déf 115
Att.Spé 50 · Déf.Spé 50 · Vit 75
Total 475
Talents : Hyper Cutter, Coque Armure (caché :
  Sans Limite)</t>
      </text>
    </comment>
    <comment ref="E2986" authorId="0" shapeId="0">
      <text>
        <t>HYPOCEAN — Eau
PV 55 · Att 65 · Déf 95
Att.Spé 95 · Déf.Spé 45 · Vit 85
Total 440
Talents : Point Poison, Sniper (caché :
  Moiteur)</t>
      </text>
    </comment>
    <comment ref="E2987" authorId="0" shapeId="0">
      <text>
        <t>AKWAKWAK — Eau
PV 80 · Att 82 · Déf 78
Att.Spé 95 · Déf.Spé 80 · Vit 85
Total 500
Talents : Moiteur, Ciel Gris (caché :
  Glissade)</t>
      </text>
    </comment>
    <comment ref="E2988" authorId="0" shapeId="0">
      <text>
        <t>FLAGADOSS — Eau / Psy
PV 95 · Att 75 · Déf 110
Att.Spé 100 · Déf.Spé 80 · Vit 30
Total 490
Talents : Benêt, Tempo Perso (caché : Régé-
  Force)</t>
      </text>
    </comment>
    <comment ref="E2989" authorId="0" shapeId="0">
      <text>
        <t>SOPORIFIK — Psy
PV 60 · Att 48 · Déf 45
Att.Spé 43 · Déf.Spé 90 · Vit 42
Total 328
Talents : Insomnia, Prédiction (caché :
  Attention)</t>
      </text>
    </comment>
    <comment ref="E2990" authorId="0" shapeId="0">
      <text>
        <t>OTARIA — Eau
PV 65 · Att 45 · Déf 55
Att.Spé 45 · Déf.Spé 70 · Vit 45
Total 325
Talents : Isograisse, Hydratation (caché :
  Corps Gel)</t>
      </text>
    </comment>
    <comment ref="E2991" authorId="0" shapeId="0">
      <text>
        <t>AIRMURE — Acier / Vol
PV 65 · Att 80 · Déf 140
Att.Spé 40 · Déf.Spé 70 · Vit 70
Total 465
Talents : Regard Vif, Fermeté (caché :
  Armurouillée)</t>
      </text>
    </comment>
    <comment ref="E2992" authorId="0" shapeId="0">
      <text>
        <t>NOSFERALTO — Poison / Vol
PV 75 · Att 80 · Déf 70
Att.Spé 65 · Déf.Spé 75 · Vit 90
Total 455
Talents : Attention (caché : Infiltration)</t>
      </text>
    </comment>
    <comment ref="E2993" authorId="0" shapeId="0">
      <text>
        <t>LAMANTINE — Eau / Glace
PV 90 · Att 70 · Déf 80
Att.Spé 70 · Déf.Spé 95 · Vit 70
Total 475
Talents : Isograisse, Hydratation (caché :
  Corps Gel)</t>
      </text>
    </comment>
    <comment ref="E2994" authorId="0" shapeId="0">
      <text>
        <t>AKWAKWAK — Eau
PV 80 · Att 82 · Déf 78
Att.Spé 95 · Déf.Spé 80 · Vit 85
Total 500
Talents : Moiteur, Ciel Gris (caché :
  Glissade)</t>
      </text>
    </comment>
    <comment ref="E2995" authorId="0" shapeId="0">
      <text>
        <t>FLAGADOSS — Eau / Psy
PV 95 · Att 75 · Déf 110
Att.Spé 100 · Déf.Spé 80 · Vit 30
Total 490
Talents : Benêt, Tempo Perso (caché : Régé-
  Force)</t>
      </text>
    </comment>
    <comment ref="E2996" authorId="0" shapeId="0">
      <text>
        <t>SOPORIFIK — Psy
PV 60 · Att 48 · Déf 45
Att.Spé 43 · Déf.Spé 90 · Vit 42
Total 328
Talents : Insomnia, Prédiction (caché :
  Attention)</t>
      </text>
    </comment>
    <comment ref="E2997" authorId="0" shapeId="0">
      <text>
        <t>OTARIA — Eau
PV 65 · Att 45 · Déf 55
Att.Spé 45 · Déf.Spé 70 · Vit 45
Total 325
Talents : Isograisse, Hydratation (caché :
  Corps Gel)</t>
      </text>
    </comment>
    <comment ref="E2998" authorId="0" shapeId="0">
      <text>
        <t>AIRMURE — Acier / Vol
PV 65 · Att 80 · Déf 140
Att.Spé 40 · Déf.Spé 70 · Vit 70
Total 465
Talents : Regard Vif, Fermeté (caché :
  Armurouillée)</t>
      </text>
    </comment>
    <comment ref="E2999" authorId="0" shapeId="0">
      <text>
        <t>NOSFERALTO — Poison / Vol
PV 75 · Att 80 · Déf 70
Att.Spé 65 · Déf.Spé 75 · Vit 90
Total 455
Talents : Attention (caché : Infiltration)</t>
      </text>
    </comment>
    <comment ref="E3000" authorId="0" shapeId="0">
      <text>
        <t>LAMANTINE — Eau / Glace
PV 90 · Att 70 · Déf 80
Att.Spé 70 · Déf.Spé 95 · Vit 70
Total 475
Talents : Isograisse, Hydratation (caché :
  Corps Gel)</t>
      </text>
    </comment>
    <comment ref="E3001" authorId="0" shapeId="0">
      <text>
        <t>HYPOTREMPE — Eau
PV 30 · Att 40 · Déf 70
Att.Spé 70 · Déf.Spé 25 · Vit 60
Total 295
Talents : Glissade, Sniper (caché : Moiteur)</t>
      </text>
    </comment>
    <comment ref="E3002" authorId="0" shapeId="0">
      <text>
        <t>TENTACRUEL — Eau / Poison
PV 80 · Att 70 · Déf 65
Att.Spé 80 · Déf.Spé 120 · Vit 100
Total 515
Talents : Corps Sain, Suintement (caché :
  Cuvette)</t>
      </text>
    </comment>
    <comment ref="E3003" authorId="0" shapeId="0">
      <text>
        <t>HYPOTREMPE — Eau
PV 30 · Att 40 · Déf 70
Att.Spé 70 · Déf.Spé 25 · Vit 60
Total 295
Talents : Glissade, Sniper (caché : Moiteur)</t>
      </text>
    </comment>
    <comment ref="E3004" authorId="0" shapeId="0">
      <text>
        <t>TENTACRUEL — Eau / Poison
PV 80 · Att 70 · Déf 65
Att.Spé 80 · Déf.Spé 120 · Vit 100
Total 515
Talents : Corps Sain, Suintement (caché :
  Cuvette)</t>
      </text>
    </comment>
    <comment ref="E3005" authorId="0" shapeId="0">
      <text>
        <t>MAGICARPE — Eau
PV 20 · Att 10 · Déf 55
Att.Spé 15 · Déf.Spé 20 · Vit 80
Total 200
Talents : Glissade (caché : Phobique)</t>
      </text>
    </comment>
    <comment ref="E3006" authorId="0" shapeId="0">
      <text>
        <t>KRABBY — Eau
PV 30 · Att 105 · Déf 90
Att.Spé 25 · Déf.Spé 25 · Vit 50
Total 325
Talents : Hyper Cutter, Coque Armure (caché :
  Sans Limite)</t>
      </text>
    </comment>
    <comment ref="E3007" authorId="0" shapeId="0">
      <text>
        <t>MAGICARPE — Eau
PV 20 · Att 10 · Déf 55
Att.Spé 15 · Déf.Spé 20 · Vit 80
Total 200
Talents : Glissade (caché : Phobique)</t>
      </text>
    </comment>
    <comment ref="E3008" authorId="0" shapeId="0">
      <text>
        <t>KRABBY — Eau
PV 30 · Att 105 · Déf 90
Att.Spé 25 · Déf.Spé 25 · Vit 50
Total 325
Talents : Hyper Cutter, Coque Armure (caché :
  Sans Limite)</t>
      </text>
    </comment>
    <comment ref="E3009" authorId="0" shapeId="0">
      <text>
        <t>KRABBY — Eau
PV 30 · Att 105 · Déf 90
Att.Spé 25 · Déf.Spé 25 · Vit 50
Total 325
Talents : Hyper Cutter, Coque Armure (caché :
  Sans Limite)</t>
      </text>
    </comment>
    <comment ref="E3010" authorId="0" shapeId="0">
      <text>
        <t>HYPOTREMPE — Eau
PV 30 · Att 40 · Déf 70
Att.Spé 70 · Déf.Spé 25 · Vit 60
Total 295
Talents : Glissade, Sniper (caché : Moiteur)</t>
      </text>
    </comment>
    <comment ref="E3011" authorId="0" shapeId="0">
      <text>
        <t>MAGICARPE — Eau
PV 20 · Att 10 · Déf 55
Att.Spé 15 · Déf.Spé 20 · Vit 80
Total 200
Talents : Glissade (caché : Phobique)</t>
      </text>
    </comment>
    <comment ref="E3012" authorId="0" shapeId="0">
      <text>
        <t>KRABBY — Eau
PV 30 · Att 105 · Déf 90
Att.Spé 25 · Déf.Spé 25 · Vit 50
Total 325
Talents : Hyper Cutter, Coque Armure (caché :
  Sans Limite)</t>
      </text>
    </comment>
    <comment ref="E3013" authorId="0" shapeId="0">
      <text>
        <t>HYPOTREMPE — Eau
PV 30 · Att 40 · Déf 70
Att.Spé 70 · Déf.Spé 25 · Vit 60
Total 295
Talents : Glissade, Sniper (caché : Moiteur)</t>
      </text>
    </comment>
    <comment ref="E3014" authorId="0" shapeId="0">
      <text>
        <t>MAGICARPE — Eau
PV 20 · Att 10 · Déf 55
Att.Spé 15 · Déf.Spé 20 · Vit 80
Total 200
Talents : Glissade (caché : Phobique)</t>
      </text>
    </comment>
    <comment ref="E3015" authorId="0" shapeId="0">
      <text>
        <t>HYPOTREMPE — Eau
PV 30 · Att 40 · Déf 70
Att.Spé 70 · Déf.Spé 25 · Vit 60
Total 295
Talents : Glissade, Sniper (caché : Moiteur)</t>
      </text>
    </comment>
    <comment ref="E3016" authorId="0" shapeId="0">
      <text>
        <t>KRABBY — Eau
PV 30 · Att 105 · Déf 90
Att.Spé 25 · Déf.Spé 25 · Vit 50
Total 325
Talents : Hyper Cutter, Coque Armure (caché :
  Sans Limite)</t>
      </text>
    </comment>
    <comment ref="E3017" authorId="0" shapeId="0">
      <text>
        <t>KRABBOSS — Eau
PV 55 · Att 130 · Déf 115
Att.Spé 50 · Déf.Spé 50 · Vit 75
Total 475
Talents : Hyper Cutter, Coque Armure (caché :
  Sans Limite)</t>
      </text>
    </comment>
    <comment ref="E3018" authorId="0" shapeId="0">
      <text>
        <t>HYPOCEAN — Eau
PV 55 · Att 65 · Déf 95
Att.Spé 95 · Déf.Spé 45 · Vit 85
Total 440
Talents : Point Poison, Sniper (caché :
  Moiteur)</t>
      </text>
    </comment>
    <comment ref="E3019" authorId="0" shapeId="0">
      <text>
        <t>HYPOTREMPE — Eau
PV 30 · Att 40 · Déf 70
Att.Spé 70 · Déf.Spé 25 · Vit 60
Total 295
Talents : Glissade, Sniper (caché : Moiteur)</t>
      </text>
    </comment>
    <comment ref="E3020" authorId="0" shapeId="0">
      <text>
        <t>KRABBY — Eau
PV 30 · Att 105 · Déf 90
Att.Spé 25 · Déf.Spé 25 · Vit 50
Total 325
Talents : Hyper Cutter, Coque Armure (caché :
  Sans Limite)</t>
      </text>
    </comment>
    <comment ref="E3021" authorId="0" shapeId="0">
      <text>
        <t>KRABBOSS — Eau
PV 55 · Att 130 · Déf 115
Att.Spé 50 · Déf.Spé 50 · Vit 75
Total 475
Talents : Hyper Cutter, Coque Armure (caché :
  Sans Limite)</t>
      </text>
    </comment>
    <comment ref="E3022" authorId="0" shapeId="0">
      <text>
        <t>HYPOCEAN — Eau
PV 55 · Att 65 · Déf 95
Att.Spé 95 · Déf.Spé 45 · Vit 85
Total 440
Talents : Point Poison, Sniper (caché :
  Moiteur)</t>
      </text>
    </comment>
    <comment ref="E3023" authorId="0" shapeId="0">
      <text>
        <t>AKWAKWAK — Eau
PV 80 · Att 82 · Déf 78
Att.Spé 95 · Déf.Spé 80 · Vit 85
Total 500
Talents : Moiteur, Ciel Gris (caché :
  Glissade)</t>
      </text>
    </comment>
    <comment ref="E3024" authorId="0" shapeId="0">
      <text>
        <t>FLAGADOSS — Eau / Psy
PV 95 · Att 75 · Déf 110
Att.Spé 100 · Déf.Spé 80 · Vit 30
Total 490
Talents : Benêt, Tempo Perso (caché : Régé-
  Force)</t>
      </text>
    </comment>
    <comment ref="E3025" authorId="0" shapeId="0">
      <text>
        <t>SOPORIFIK — Psy
PV 60 · Att 48 · Déf 45
Att.Spé 43 · Déf.Spé 90 · Vit 42
Total 328
Talents : Insomnia, Prédiction (caché :
  Attention)</t>
      </text>
    </comment>
    <comment ref="E3026" authorId="0" shapeId="0">
      <text>
        <t>OTARIA — Eau
PV 65 · Att 45 · Déf 55
Att.Spé 45 · Déf.Spé 70 · Vit 45
Total 325
Talents : Isograisse, Hydratation (caché :
  Corps Gel)</t>
      </text>
    </comment>
    <comment ref="E3027" authorId="0" shapeId="0">
      <text>
        <t>AIRMURE — Acier / Vol
PV 65 · Att 80 · Déf 140
Att.Spé 40 · Déf.Spé 70 · Vit 70
Total 465
Talents : Regard Vif, Fermeté (caché :
  Armurouillée)</t>
      </text>
    </comment>
    <comment ref="E3028" authorId="0" shapeId="0">
      <text>
        <t>NOSFERALTO — Poison / Vol
PV 75 · Att 80 · Déf 70
Att.Spé 65 · Déf.Spé 75 · Vit 90
Total 455
Talents : Attention (caché : Infiltration)</t>
      </text>
    </comment>
    <comment ref="E3029" authorId="0" shapeId="0">
      <text>
        <t>LAMANTINE — Eau / Glace
PV 90 · Att 70 · Déf 80
Att.Spé 70 · Déf.Spé 95 · Vit 70
Total 475
Talents : Isograisse, Hydratation (caché :
  Corps Gel)</t>
      </text>
    </comment>
    <comment ref="E3030" authorId="0" shapeId="0">
      <text>
        <t>HYPOTREMPE — Eau
PV 30 · Att 40 · Déf 70
Att.Spé 70 · Déf.Spé 25 · Vit 60
Total 295
Talents : Glissade, Sniper (caché : Moiteur)</t>
      </text>
    </comment>
    <comment ref="E3031" authorId="0" shapeId="0">
      <text>
        <t>TENTACRUEL — Eau / Poison
PV 80 · Att 70 · Déf 65
Att.Spé 80 · Déf.Spé 120 · Vit 100
Total 515
Talents : Corps Sain, Suintement (caché :
  Cuvette)</t>
      </text>
    </comment>
    <comment ref="E3032" authorId="0" shapeId="0">
      <text>
        <t>MAGICARPE — Eau
PV 20 · Att 10 · Déf 55
Att.Spé 15 · Déf.Spé 20 · Vit 80
Total 200
Talents : Glissade (caché : Phobique)</t>
      </text>
    </comment>
    <comment ref="E3033" authorId="0" shapeId="0">
      <text>
        <t>KRABBY — Eau
PV 30 · Att 105 · Déf 90
Att.Spé 25 · Déf.Spé 25 · Vit 50
Total 325
Talents : Hyper Cutter, Coque Armure (caché :
  Sans Limite)</t>
      </text>
    </comment>
    <comment ref="E3034" authorId="0" shapeId="0">
      <text>
        <t>KRABBY — Eau
PV 30 · Att 105 · Déf 90
Att.Spé 25 · Déf.Spé 25 · Vit 50
Total 325
Talents : Hyper Cutter, Coque Armure (caché :
  Sans Limite)</t>
      </text>
    </comment>
    <comment ref="E3035" authorId="0" shapeId="0">
      <text>
        <t>HYPOTREMPE — Eau
PV 30 · Att 40 · Déf 70
Att.Spé 70 · Déf.Spé 25 · Vit 60
Total 295
Talents : Glissade, Sniper (caché : Moiteur)</t>
      </text>
    </comment>
    <comment ref="E3036" authorId="0" shapeId="0">
      <text>
        <t>MAGICARPE — Eau
PV 20 · Att 10 · Déf 55
Att.Spé 15 · Déf.Spé 20 · Vit 80
Total 200
Talents : Glissade (caché : Phobique)</t>
      </text>
    </comment>
    <comment ref="E3037" authorId="0" shapeId="0">
      <text>
        <t>HYPOTREMPE — Eau
PV 30 · Att 40 · Déf 70
Att.Spé 70 · Déf.Spé 25 · Vit 60
Total 295
Talents : Glissade, Sniper (caché : Moiteur)</t>
      </text>
    </comment>
    <comment ref="E3038" authorId="0" shapeId="0">
      <text>
        <t>KRABBY — Eau
PV 30 · Att 105 · Déf 90
Att.Spé 25 · Déf.Spé 25 · Vit 50
Total 325
Talents : Hyper Cutter, Coque Armure (caché :
  Sans Limite)</t>
      </text>
    </comment>
    <comment ref="E3039" authorId="0" shapeId="0">
      <text>
        <t>KRABBOSS — Eau
PV 55 · Att 130 · Déf 115
Att.Spé 50 · Déf.Spé 50 · Vit 75
Total 475
Talents : Hyper Cutter, Coque Armure (caché :
  Sans Limite)</t>
      </text>
    </comment>
    <comment ref="E3040" authorId="0" shapeId="0">
      <text>
        <t>HYPOCEAN — Eau
PV 55 · Att 65 · Déf 95
Att.Spé 95 · Déf.Spé 45 · Vit 85
Total 440
Talents : Point Poison, Sniper (caché :
  Moiteur)</t>
      </text>
    </comment>
    <comment ref="E3041" authorId="0" shapeId="0">
      <text>
        <t>TENTACRUEL — Eau / Poison
PV 80 · Att 70 · Déf 65
Att.Spé 80 · Déf.Spé 120 · Vit 100
Total 515
Talents : Corps Sain, Suintement (caché :
  Cuvette)</t>
      </text>
    </comment>
    <comment ref="E3042" authorId="0" shapeId="0">
      <text>
        <t>LAMANTINE — Eau / Glace
PV 90 · Att 70 · Déf 80
Att.Spé 70 · Déf.Spé 95 · Vit 70
Total 475
Talents : Isograisse, Hydratation (caché :
  Corps Gel)</t>
      </text>
    </comment>
    <comment ref="E3043" authorId="0" shapeId="0">
      <text>
        <t>XATU — Psy / Vol
PV 65 · Att 75 · Déf 70
Att.Spé 95 · Déf.Spé 70 · Vit 95
Total 470
Talents : Synchro, Matinal (caché : Miroir
  Magik)</t>
      </text>
    </comment>
    <comment ref="E3044" authorId="0" shapeId="0">
      <text>
        <t>NOSFERALTO — Poison / Vol
PV 75 · Att 80 · Déf 70
Att.Spé 65 · Déf.Spé 75 · Vit 90
Total 455
Talents : Attention (caché : Infiltration)</t>
      </text>
    </comment>
    <comment ref="E3045" authorId="0" shapeId="0">
      <text>
        <t>OTARIA — Eau
PV 65 · Att 45 · Déf 55
Att.Spé 45 · Déf.Spé 70 · Vit 45
Total 325
Talents : Isograisse, Hydratation (caché :
  Corps Gel)</t>
      </text>
    </comment>
    <comment ref="E3046" authorId="0" shapeId="0">
      <text>
        <t>AMONITA — Roche / Eau
PV 35 · Att 40 · Déf 100
Att.Spé 90 · Déf.Spé 55 · Vit 35
Total 355
Talents : Glissade, Coque Armure (caché :
  Armurouillée)</t>
      </text>
    </comment>
    <comment ref="E3047" authorId="0" shapeId="0">
      <text>
        <t>KABUTO — Roche / Eau
PV 30 · Att 80 · Déf 90
Att.Spé 55 · Déf.Spé 45 · Vit 55
Total 355
Talents : Glissade, Armurbaston (caché :
  Armurouillée)</t>
      </text>
    </comment>
    <comment ref="E3048" authorId="0" shapeId="0">
      <text>
        <t>HYPOTREMPE — Eau
PV 30 · Att 40 · Déf 70
Att.Spé 70 · Déf.Spé 25 · Vit 60
Total 295
Talents : Glissade, Sniper (caché : Moiteur)</t>
      </text>
    </comment>
    <comment ref="E3049" authorId="0" shapeId="0">
      <text>
        <t>TENTACRUEL — Eau / Poison
PV 80 · Att 70 · Déf 65
Att.Spé 80 · Déf.Spé 120 · Vit 100
Total 515
Talents : Corps Sain, Suintement (caché :
  Cuvette)</t>
      </text>
    </comment>
    <comment ref="E3050" authorId="0" shapeId="0">
      <text>
        <t>MAGICARPE — Eau
PV 20 · Att 10 · Déf 55
Att.Spé 15 · Déf.Spé 20 · Vit 80
Total 200
Talents : Glissade (caché : Phobique)</t>
      </text>
    </comment>
    <comment ref="E3051" authorId="0" shapeId="0">
      <text>
        <t>KRABBY — Eau
PV 30 · Att 105 · Déf 90
Att.Spé 25 · Déf.Spé 25 · Vit 50
Total 325
Talents : Hyper Cutter, Coque Armure (caché :
  Sans Limite)</t>
      </text>
    </comment>
    <comment ref="E3052" authorId="0" shapeId="0">
      <text>
        <t>KRABBY — Eau
PV 30 · Att 105 · Déf 90
Att.Spé 25 · Déf.Spé 25 · Vit 50
Total 325
Talents : Hyper Cutter, Coque Armure (caché :
  Sans Limite)</t>
      </text>
    </comment>
    <comment ref="E3053" authorId="0" shapeId="0">
      <text>
        <t>HYPOTREMPE — Eau
PV 30 · Att 40 · Déf 70
Att.Spé 70 · Déf.Spé 25 · Vit 60
Total 295
Talents : Glissade, Sniper (caché : Moiteur)</t>
      </text>
    </comment>
    <comment ref="E3054" authorId="0" shapeId="0">
      <text>
        <t>MAGICARPE — Eau
PV 20 · Att 10 · Déf 55
Att.Spé 15 · Déf.Spé 20 · Vit 80
Total 200
Talents : Glissade (caché : Phobique)</t>
      </text>
    </comment>
    <comment ref="E3055" authorId="0" shapeId="0">
      <text>
        <t>HYPOTREMPE — Eau
PV 30 · Att 40 · Déf 70
Att.Spé 70 · Déf.Spé 25 · Vit 60
Total 295
Talents : Glissade, Sniper (caché : Moiteur)</t>
      </text>
    </comment>
    <comment ref="E3056" authorId="0" shapeId="0">
      <text>
        <t>KRABBY — Eau
PV 30 · Att 105 · Déf 90
Att.Spé 25 · Déf.Spé 25 · Vit 50
Total 325
Talents : Hyper Cutter, Coque Armure (caché :
  Sans Limite)</t>
      </text>
    </comment>
    <comment ref="E3057" authorId="0" shapeId="0">
      <text>
        <t>KRABBOSS — Eau
PV 55 · Att 130 · Déf 115
Att.Spé 50 · Déf.Spé 50 · Vit 75
Total 475
Talents : Hyper Cutter, Coque Armure (caché :
  Sans Limite)</t>
      </text>
    </comment>
    <comment ref="E3058" authorId="0" shapeId="0">
      <text>
        <t>HYPOCEAN — Eau
PV 55 · Att 65 · Déf 95
Att.Spé 95 · Déf.Spé 45 · Vit 85
Total 440
Talents : Point Poison, Sniper (caché :
  Moiteur)</t>
      </text>
    </comment>
    <comment ref="E3059" authorId="0" shapeId="0">
      <text>
        <t>FEROSINGE — Combat
PV 40 · Att 80 · Déf 35
Att.Spé 35 · Déf.Spé 45 · Vit 70
Total 305
Talents : Esprit Vital, Colérique (caché :
  Acharné)</t>
      </text>
    </comment>
    <comment ref="E3060" authorId="0" shapeId="0">
      <text>
        <t>MAKUHITA — Combat
PV 72 · Att 60 · Déf 30
Att.Spé 20 · Déf.Spé 30 · Vit 25
Total 237
Talents : Isograisse, Cran (caché : Sans
  Limite)</t>
      </text>
    </comment>
    <comment ref="E3061" authorId="0" shapeId="0">
      <text>
        <t>INSECATEUR — Insecte / Vol
PV 70 · Att 110 · Déf 80
Att.Spé 55 · Déf.Spé 80 · Vit 105
Total 500
Talents : Essaim, Technicien (caché :
  Impassible)</t>
      </text>
    </comment>
    <comment ref="E3062" authorId="0" shapeId="0">
      <text>
        <t>SAQUEDENEU — Plante
PV 65 · Att 55 · Déf 115
Att.Spé 100 · Déf.Spé 40 · Vit 60
Total 435
Talents : Chlorophylle, Feuille Garde (caché :
  Régé-Force)</t>
      </text>
    </comment>
    <comment ref="E3063" authorId="0" shapeId="0">
      <text>
        <t>SCARABRUTE — Insecte
PV 65 · Att 125 · Déf 100
Att.Spé 55 · Déf.Spé 70 · Vit 85
Total 500
Talents : Hyper Cutter, Brise Moule (caché :
  Impudence)</t>
      </text>
    </comment>
    <comment ref="E3064" authorId="0" shapeId="0">
      <text>
        <t>BOULDENEU — Plante
PV 100 · Att 100 · Déf 125
Att.Spé 110 · Déf.Spé 50 · Vit 50
Total 535
Talents : Chlorophylle, Feuille Garde (caché :
  Régé-Force)</t>
      </text>
    </comment>
    <comment ref="E3065" authorId="0" shapeId="0">
      <text>
        <t>COLOSSINGE — Combat
PV 65 · Att 105 · Déf 60
Att.Spé 60 · Déf.Spé 70 · Vit 95
Total 455
Talents : Esprit Vital, Colérique (caché :
  Acharné)</t>
      </text>
    </comment>
    <comment ref="E3066" authorId="0" shapeId="0">
      <text>
        <t>SCARHINO — Insecte / Combat
PV 80 · Att 125 · Déf 75
Att.Spé 40 · Déf.Spé 95 · Vit 85
Total 500
Talents : Essaim, Cran (caché : Impudence)</t>
      </text>
    </comment>
    <comment ref="E3067" authorId="0" shapeId="0">
      <text>
        <t>GOELISE — Eau / Vol
PV 40 · Att 30 · Déf 30
Att.Spé 55 · Déf.Spé 30 · Vit 85
Total 270
Talents : Regard Vif, Hydratation (caché :
  Cuvette)</t>
      </text>
    </comment>
    <comment ref="E3068" authorId="0" shapeId="0">
      <text>
        <t>BEKIPAN — Eau / Vol
PV 60 · Att 50 · Déf 100
Att.Spé 95 · Déf.Spé 70 · Vit 65
Total 440
Talents : Regard Vif, Crachin (caché :
  Cuvette)</t>
      </text>
    </comment>
    <comment ref="E3069" authorId="0" shapeId="0">
      <text>
        <t>KRABBOSS — Eau
PV 55 · Att 130 · Déf 115
Att.Spé 50 · Déf.Spé 50 · Vit 75
Total 475
Talents : Hyper Cutter, Coque Armure (caché :
  Sans Limite)</t>
      </text>
    </comment>
    <comment ref="E3070" authorId="0" shapeId="0">
      <text>
        <t>KRABBY — Eau
PV 30 · Att 105 · Déf 90
Att.Spé 25 · Déf.Spé 25 · Vit 50
Total 325
Talents : Hyper Cutter, Coque Armure (caché :
  Sans Limite)</t>
      </text>
    </comment>
    <comment ref="E3071" authorId="0" shapeId="0">
      <text>
        <t>KOKIYAS — Eau
PV 30 · Att 65 · Déf 100
Att.Spé 45 · Déf.Spé 25 · Vit 40
Total 305
Talents : Coque Armure, Multi-Coups (caché :
  Envelocape)</t>
      </text>
    </comment>
    <comment ref="E3072" authorId="0" shapeId="0">
      <text>
        <t>CORAYON — Eau / Roche
PV 65 · Att 55 · Déf 95
Att.Spé 65 · Déf.Spé 95 · Vit 35
Total 410
Talents : Agitation, Médic Nature (caché :
  Régé-Force)</t>
      </text>
    </comment>
    <comment ref="E3073" authorId="0" shapeId="0">
      <text>
        <t>REMORAID — Eau
PV 35 · Att 65 · Déf 35
Att.Spé 65 · Déf.Spé 35 · Vit 65
Total 300
Talents : Agitation, Sniper (caché :
  Lunatique)</t>
      </text>
    </comment>
    <comment ref="E3074" authorId="0" shapeId="0">
      <text>
        <t>POISSIRENE — Eau
PV 45 · Att 67 · Déf 60
Att.Spé 35 · Déf.Spé 50 · Vit 63
Total 320
Talents : Glissade, Ignifu-Voile (caché :
  Paratonnerre)</t>
      </text>
    </comment>
    <comment ref="E3075" authorId="0" shapeId="0">
      <text>
        <t>CRUSTABRI — Eau / Glace
PV 50 · Att 95 · Déf 180
Att.Spé 85 · Déf.Spé 45 · Vit 70
Total 525
Talents : Coque Armure, Multi-Coups (caché :
  Envelocape)</t>
      </text>
    </comment>
    <comment ref="E3076" authorId="0" shapeId="0">
      <text>
        <t>OCTILLERY — Eau
PV 75 · Att 105 · Déf 75
Att.Spé 105 · Déf.Spé 75 · Vit 45
Total 480
Talents : Ventouse, Sniper (caché : Lunatique)</t>
      </text>
    </comment>
    <comment ref="E3077" authorId="0" shapeId="0">
      <text>
        <t>COQUIPERL — Eau
PV 35 · Att 64 · Déf 85
Att.Spé 74 · Déf.Spé 55 · Vit 32
Total 345
Talents : Coque Armure (caché : Phobique)</t>
      </text>
    </comment>
    <comment ref="E3078" authorId="0" shapeId="0">
      <text>
        <t>TENTACOOL — Eau / Poison
PV 40 · Att 40 · Déf 35
Att.Spé 50 · Déf.Spé 100 · Vit 70
Total 335
Talents : Corps Sain, Suintement (caché :
  Cuvette)</t>
      </text>
    </comment>
    <comment ref="E3079" authorId="0" shapeId="0">
      <text>
        <t>TENTACRUEL — Eau / Poison
PV 80 · Att 70 · Déf 65
Att.Spé 80 · Déf.Spé 120 · Vit 100
Total 515
Talents : Corps Sain, Suintement (caché :
  Cuvette)</t>
      </text>
    </comment>
    <comment ref="E3080" authorId="0" shapeId="0">
      <text>
        <t>TENTACOOL — Eau / Poison
PV 40 · Att 40 · Déf 35
Att.Spé 50 · Déf.Spé 100 · Vit 70
Total 335
Talents : Corps Sain, Suintement (caché :
  Cuvette)</t>
      </text>
    </comment>
    <comment ref="E3081" authorId="0" shapeId="0">
      <text>
        <t>TENTACRUEL — Eau / Poison
PV 80 · Att 70 · Déf 65
Att.Spé 80 · Déf.Spé 120 · Vit 100
Total 515
Talents : Corps Sain, Suintement (caché :
  Cuvette)</t>
      </text>
    </comment>
    <comment ref="E3082" authorId="0" shapeId="0">
      <text>
        <t>POMDEPIK — Insecte
PV 50 · Att 65 · Déf 90
Att.Spé 35 · Déf.Spé 35 · Vit 15
Total 290
Talents : Fermeté (caché : Envelocape)</t>
      </text>
    </comment>
    <comment ref="E3083" authorId="0" shapeId="0">
      <text>
        <t>NOEUNOEUF — Plante / Psy
PV 60 · Att 40 · Déf 80
Att.Spé 60 · Déf.Spé 45 · Vit 40
Total 325
Talents : Chlorophylle (caché : Récolte)</t>
      </text>
    </comment>
    <comment ref="E3084" authorId="0" shapeId="0">
      <text>
        <t>COXY — Insecte / Vol
PV 40 · Att 20 · Déf 30
Att.Spé 40 · Déf.Spé 80 · Vit 55
Total 265
Talents : Essaim, Matinal (caché : Phobique)</t>
      </text>
    </comment>
    <comment ref="E3085" authorId="0" shapeId="0">
      <text>
        <t>MIMIGAL — Insecte / Poison
PV 40 · Att 60 · Déf 40
Att.Spé 40 · Déf.Spé 40 · Vit 30
Total 250
Talents : Essaim, Insomnia (caché : Sniper)</t>
      </text>
    </comment>
    <comment ref="E3086" authorId="0" shapeId="0">
      <text>
        <t>POMDEPIK — Insecte
PV 50 · Att 65 · Déf 90
Att.Spé 35 · Déf.Spé 35 · Vit 15
Total 290
Talents : Fermeté (caché : Envelocape)</t>
      </text>
    </comment>
    <comment ref="E3087" authorId="0" shapeId="0">
      <text>
        <t>NOEUNOEUF — Plante / Psy
PV 60 · Att 40 · Déf 80
Att.Spé 60 · Déf.Spé 45 · Vit 40
Total 325
Talents : Chlorophylle (caché : Récolte)</t>
      </text>
    </comment>
    <comment ref="E3088" authorId="0" shapeId="0">
      <text>
        <t>COXY — Insecte / Vol
PV 40 · Att 20 · Déf 30
Att.Spé 40 · Déf.Spé 80 · Vit 55
Total 265
Talents : Essaim, Matinal (caché : Phobique)</t>
      </text>
    </comment>
    <comment ref="E3089" authorId="0" shapeId="0">
      <text>
        <t>MIMIGAL — Insecte / Poison
PV 40 · Att 60 · Déf 40
Att.Spé 40 · Déf.Spé 40 · Vit 30
Total 250
Talents : Essaim, Insomnia (caché : Sniper)</t>
      </text>
    </comment>
    <comment ref="E3090" authorId="0" shapeId="0">
      <text>
        <t>MAGICARPE — Eau
PV 20 · Att 10 · Déf 55
Att.Spé 15 · Déf.Spé 20 · Vit 80
Total 200
Talents : Glissade (caché : Phobique)</t>
      </text>
    </comment>
    <comment ref="E3091" authorId="0" shapeId="0">
      <text>
        <t>KRABBY — Eau
PV 30 · Att 105 · Déf 90
Att.Spé 25 · Déf.Spé 25 · Vit 50
Total 325
Talents : Hyper Cutter, Coque Armure (caché :
  Sans Limite)</t>
      </text>
    </comment>
    <comment ref="E3092" authorId="0" shapeId="0">
      <text>
        <t>MAGICARPE — Eau
PV 20 · Att 10 · Déf 55
Att.Spé 15 · Déf.Spé 20 · Vit 80
Total 200
Talents : Glissade (caché : Phobique)</t>
      </text>
    </comment>
    <comment ref="E3093" authorId="0" shapeId="0">
      <text>
        <t>KRABBY — Eau
PV 30 · Att 105 · Déf 90
Att.Spé 25 · Déf.Spé 25 · Vit 50
Total 325
Talents : Hyper Cutter, Coque Armure (caché :
  Sans Limite)</t>
      </text>
    </comment>
    <comment ref="E3094" authorId="0" shapeId="0">
      <text>
        <t>KRABBY — Eau
PV 30 · Att 105 · Déf 90
Att.Spé 25 · Déf.Spé 25 · Vit 50
Total 325
Talents : Hyper Cutter, Coque Armure (caché :
  Sans Limite)</t>
      </text>
    </comment>
    <comment ref="E3095" authorId="0" shapeId="0">
      <text>
        <t>CORAYON — Eau / Roche
PV 65 · Att 55 · Déf 95
Att.Spé 65 · Déf.Spé 95 · Vit 35
Total 410
Talents : Agitation, Médic Nature (caché :
  Régé-Force)</t>
      </text>
    </comment>
    <comment ref="E3096" authorId="0" shapeId="0">
      <text>
        <t>MAGICARPE — Eau
PV 20 · Att 10 · Déf 55
Att.Spé 15 · Déf.Spé 20 · Vit 80
Total 200
Talents : Glissade (caché : Phobique)</t>
      </text>
    </comment>
    <comment ref="E3097" authorId="0" shapeId="0">
      <text>
        <t>KRABBY — Eau
PV 30 · Att 105 · Déf 90
Att.Spé 25 · Déf.Spé 25 · Vit 50
Total 325
Talents : Hyper Cutter, Coque Armure (caché :
  Sans Limite)</t>
      </text>
    </comment>
    <comment ref="E3098" authorId="0" shapeId="0">
      <text>
        <t>MAGICARPE — Eau
PV 20 · Att 10 · Déf 55
Att.Spé 15 · Déf.Spé 20 · Vit 80
Total 200
Talents : Glissade (caché : Phobique)</t>
      </text>
    </comment>
    <comment ref="E3099" authorId="0" shapeId="0">
      <text>
        <t>STARI — Eau
PV 30 · Att 45 · Déf 55
Att.Spé 70 · Déf.Spé 55 · Vit 85
Total 340
Talents : Lumiattirance, Médic Nature (caché :
  Analyste)</t>
      </text>
    </comment>
    <comment ref="E3100" authorId="0" shapeId="0">
      <text>
        <t>CORAYON — Eau / Roche
PV 65 · Att 55 · Déf 95
Att.Spé 65 · Déf.Spé 95 · Vit 35
Total 410
Talents : Agitation, Médic Nature (caché :
  Régé-Force)</t>
      </text>
    </comment>
    <comment ref="E3101" authorId="0" shapeId="0">
      <text>
        <t>KRABBY — Eau
PV 30 · Att 105 · Déf 90
Att.Spé 25 · Déf.Spé 25 · Vit 50
Total 325
Talents : Hyper Cutter, Coque Armure (caché :
  Sans Limite)</t>
      </text>
    </comment>
    <comment ref="E3102" authorId="0" shapeId="0">
      <text>
        <t>KRABBOSS — Eau
PV 55 · Att 130 · Déf 115
Att.Spé 50 · Déf.Spé 50 · Vit 75
Total 475
Talents : Hyper Cutter, Coque Armure (caché :
  Sans Limite)</t>
      </text>
    </comment>
    <comment ref="E3103" authorId="0" shapeId="0">
      <text>
        <t>STARI — Eau
PV 30 · Att 45 · Déf 55
Att.Spé 70 · Déf.Spé 55 · Vit 85
Total 340
Talents : Lumiattirance, Médic Nature (caché :
  Analyste)</t>
      </text>
    </comment>
    <comment ref="E3104" authorId="0" shapeId="0">
      <text>
        <t>KRABBY — Eau
PV 30 · Att 105 · Déf 90
Att.Spé 25 · Déf.Spé 25 · Vit 50
Total 325
Talents : Hyper Cutter, Coque Armure (caché :
  Sans Limite)</t>
      </text>
    </comment>
    <comment ref="E3105" authorId="0" shapeId="0">
      <text>
        <t>KRABBOSS — Eau
PV 55 · Att 130 · Déf 115
Att.Spé 50 · Déf.Spé 50 · Vit 75
Total 475
Talents : Hyper Cutter, Coque Armure (caché :
  Sans Limite)</t>
      </text>
    </comment>
  </commentList>
</comments>
</file>

<file path=xl/tables/table1.xml><?xml version="1.0" encoding="utf-8"?>
<table xmlns="http://schemas.openxmlformats.org/spreadsheetml/2006/main" id="1" name="Suivi" displayName="Suivi" ref="A1:C2" headerRowCount="1">
  <tableColumns count="3">
    <tableColumn id="1" name="Zone"/>
    <tableColumn id="2" name="Espèce"/>
    <tableColumn id="3" name="Lignée">
      <calculatedColumnFormula>IF($B2="","",IFERROR(VLOOKUP($B2,Listes!$A:$B,2,FALSE),"?"))</calculatedColumnFormula>
    </tableColumn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</cols>
  <sheetData>
    <row r="1" ht="20" customHeight="1">
      <c r="C1" s="1" t="inlineStr">
        <is>
          <t>Type offensif (capacité)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20" customHeight="1">
      <c r="C2" s="2" t="inlineStr">
        <is>
          <t>Acier</t>
        </is>
      </c>
      <c r="D2" s="3" t="inlineStr">
        <is>
          <t>Combat</t>
        </is>
      </c>
      <c r="E2" s="4" t="inlineStr">
        <is>
          <t>Dragon</t>
        </is>
      </c>
      <c r="F2" s="5" t="inlineStr">
        <is>
          <t>Eau</t>
        </is>
      </c>
      <c r="G2" s="6" t="inlineStr">
        <is>
          <t>Électrik</t>
        </is>
      </c>
      <c r="H2" s="7" t="inlineStr">
        <is>
          <t>Fée</t>
        </is>
      </c>
      <c r="I2" s="8" t="inlineStr">
        <is>
          <t>Feu</t>
        </is>
      </c>
      <c r="J2" s="9" t="inlineStr">
        <is>
          <t>Glace</t>
        </is>
      </c>
      <c r="K2" s="10" t="inlineStr">
        <is>
          <t>Insecte</t>
        </is>
      </c>
      <c r="L2" s="11" t="inlineStr">
        <is>
          <t>Normal</t>
        </is>
      </c>
      <c r="M2" s="12" t="inlineStr">
        <is>
          <t>Plante</t>
        </is>
      </c>
      <c r="N2" s="13" t="inlineStr">
        <is>
          <t>Poison</t>
        </is>
      </c>
      <c r="O2" s="14" t="inlineStr">
        <is>
          <t>Psy</t>
        </is>
      </c>
      <c r="P2" s="15" t="inlineStr">
        <is>
          <t>Roche</t>
        </is>
      </c>
      <c r="Q2" s="16" t="inlineStr">
        <is>
          <t>Sol</t>
        </is>
      </c>
      <c r="R2" s="17" t="inlineStr">
        <is>
          <t>Spectre</t>
        </is>
      </c>
      <c r="S2" s="18" t="inlineStr">
        <is>
          <t>Ténèbres</t>
        </is>
      </c>
      <c r="T2" s="19" t="inlineStr">
        <is>
          <t>Vol</t>
        </is>
      </c>
    </row>
    <row r="3" ht="20" customHeight="1">
      <c r="A3" s="20" t="inlineStr">
        <is>
          <t>Type défensif (Pokémon)</t>
        </is>
      </c>
      <c r="B3" s="2" t="inlineStr">
        <is>
          <t>Acier</t>
        </is>
      </c>
      <c r="C3" s="21" t="inlineStr">
        <is>
          <t>×½</t>
        </is>
      </c>
      <c r="D3" s="22" t="inlineStr">
        <is>
          <t>×2</t>
        </is>
      </c>
      <c r="E3" s="21" t="inlineStr">
        <is>
          <t>×½</t>
        </is>
      </c>
      <c r="F3" s="23" t="inlineStr">
        <is>
          <t>×1</t>
        </is>
      </c>
      <c r="G3" s="23" t="inlineStr">
        <is>
          <t>×1</t>
        </is>
      </c>
      <c r="H3" s="21" t="inlineStr">
        <is>
          <t>×½</t>
        </is>
      </c>
      <c r="I3" s="22" t="inlineStr">
        <is>
          <t>×2</t>
        </is>
      </c>
      <c r="J3" s="21" t="inlineStr">
        <is>
          <t>×½</t>
        </is>
      </c>
      <c r="K3" s="21" t="inlineStr">
        <is>
          <t>×½</t>
        </is>
      </c>
      <c r="L3" s="21" t="inlineStr">
        <is>
          <t>×½</t>
        </is>
      </c>
      <c r="M3" s="21" t="inlineStr">
        <is>
          <t>×½</t>
        </is>
      </c>
      <c r="N3" s="24" t="inlineStr">
        <is>
          <t>×0</t>
        </is>
      </c>
      <c r="O3" s="21" t="inlineStr">
        <is>
          <t>×½</t>
        </is>
      </c>
      <c r="P3" s="21" t="inlineStr">
        <is>
          <t>×½</t>
        </is>
      </c>
      <c r="Q3" s="22" t="inlineStr">
        <is>
          <t>×2</t>
        </is>
      </c>
      <c r="R3" s="23" t="inlineStr">
        <is>
          <t>×1</t>
        </is>
      </c>
      <c r="S3" s="23" t="inlineStr">
        <is>
          <t>×1</t>
        </is>
      </c>
      <c r="T3" s="21" t="inlineStr">
        <is>
          <t>×½</t>
        </is>
      </c>
    </row>
    <row r="4" ht="20" customHeight="1">
      <c r="A4" s="20" t="n"/>
      <c r="B4" s="3" t="inlineStr">
        <is>
          <t>Combat</t>
        </is>
      </c>
      <c r="C4" s="23" t="inlineStr">
        <is>
          <t>×1</t>
        </is>
      </c>
      <c r="D4" s="23" t="inlineStr">
        <is>
          <t>×1</t>
        </is>
      </c>
      <c r="E4" s="23" t="inlineStr">
        <is>
          <t>×1</t>
        </is>
      </c>
      <c r="F4" s="23" t="inlineStr">
        <is>
          <t>×1</t>
        </is>
      </c>
      <c r="G4" s="23" t="inlineStr">
        <is>
          <t>×1</t>
        </is>
      </c>
      <c r="H4" s="22" t="inlineStr">
        <is>
          <t>×2</t>
        </is>
      </c>
      <c r="I4" s="23" t="inlineStr">
        <is>
          <t>×1</t>
        </is>
      </c>
      <c r="J4" s="23" t="inlineStr">
        <is>
          <t>×1</t>
        </is>
      </c>
      <c r="K4" s="21" t="inlineStr">
        <is>
          <t>×½</t>
        </is>
      </c>
      <c r="L4" s="23" t="inlineStr">
        <is>
          <t>×1</t>
        </is>
      </c>
      <c r="M4" s="23" t="inlineStr">
        <is>
          <t>×1</t>
        </is>
      </c>
      <c r="N4" s="23" t="inlineStr">
        <is>
          <t>×1</t>
        </is>
      </c>
      <c r="O4" s="22" t="inlineStr">
        <is>
          <t>×2</t>
        </is>
      </c>
      <c r="P4" s="21" t="inlineStr">
        <is>
          <t>×½</t>
        </is>
      </c>
      <c r="Q4" s="23" t="inlineStr">
        <is>
          <t>×1</t>
        </is>
      </c>
      <c r="R4" s="23" t="inlineStr">
        <is>
          <t>×1</t>
        </is>
      </c>
      <c r="S4" s="21" t="inlineStr">
        <is>
          <t>×½</t>
        </is>
      </c>
      <c r="T4" s="22" t="inlineStr">
        <is>
          <t>×2</t>
        </is>
      </c>
    </row>
    <row r="5" ht="20" customHeight="1">
      <c r="A5" s="20" t="n"/>
      <c r="B5" s="4" t="inlineStr">
        <is>
          <t>Dragon</t>
        </is>
      </c>
      <c r="C5" s="23" t="inlineStr">
        <is>
          <t>×1</t>
        </is>
      </c>
      <c r="D5" s="23" t="inlineStr">
        <is>
          <t>×1</t>
        </is>
      </c>
      <c r="E5" s="22" t="inlineStr">
        <is>
          <t>×2</t>
        </is>
      </c>
      <c r="F5" s="21" t="inlineStr">
        <is>
          <t>×½</t>
        </is>
      </c>
      <c r="G5" s="21" t="inlineStr">
        <is>
          <t>×½</t>
        </is>
      </c>
      <c r="H5" s="22" t="inlineStr">
        <is>
          <t>×2</t>
        </is>
      </c>
      <c r="I5" s="21" t="inlineStr">
        <is>
          <t>×½</t>
        </is>
      </c>
      <c r="J5" s="22" t="inlineStr">
        <is>
          <t>×2</t>
        </is>
      </c>
      <c r="K5" s="23" t="inlineStr">
        <is>
          <t>×1</t>
        </is>
      </c>
      <c r="L5" s="23" t="inlineStr">
        <is>
          <t>×1</t>
        </is>
      </c>
      <c r="M5" s="21" t="inlineStr">
        <is>
          <t>×½</t>
        </is>
      </c>
      <c r="N5" s="23" t="inlineStr">
        <is>
          <t>×1</t>
        </is>
      </c>
      <c r="O5" s="23" t="inlineStr">
        <is>
          <t>×1</t>
        </is>
      </c>
      <c r="P5" s="23" t="inlineStr">
        <is>
          <t>×1</t>
        </is>
      </c>
      <c r="Q5" s="23" t="inlineStr">
        <is>
          <t>×1</t>
        </is>
      </c>
      <c r="R5" s="23" t="inlineStr">
        <is>
          <t>×1</t>
        </is>
      </c>
      <c r="S5" s="23" t="inlineStr">
        <is>
          <t>×1</t>
        </is>
      </c>
      <c r="T5" s="23" t="inlineStr">
        <is>
          <t>×1</t>
        </is>
      </c>
    </row>
    <row r="6" ht="20" customHeight="1">
      <c r="A6" s="20" t="n"/>
      <c r="B6" s="5" t="inlineStr">
        <is>
          <t>Eau</t>
        </is>
      </c>
      <c r="C6" s="21" t="inlineStr">
        <is>
          <t>×½</t>
        </is>
      </c>
      <c r="D6" s="23" t="inlineStr">
        <is>
          <t>×1</t>
        </is>
      </c>
      <c r="E6" s="23" t="inlineStr">
        <is>
          <t>×1</t>
        </is>
      </c>
      <c r="F6" s="21" t="inlineStr">
        <is>
          <t>×½</t>
        </is>
      </c>
      <c r="G6" s="22" t="inlineStr">
        <is>
          <t>×2</t>
        </is>
      </c>
      <c r="H6" s="23" t="inlineStr">
        <is>
          <t>×1</t>
        </is>
      </c>
      <c r="I6" s="21" t="inlineStr">
        <is>
          <t>×½</t>
        </is>
      </c>
      <c r="J6" s="21" t="inlineStr">
        <is>
          <t>×½</t>
        </is>
      </c>
      <c r="K6" s="23" t="inlineStr">
        <is>
          <t>×1</t>
        </is>
      </c>
      <c r="L6" s="23" t="inlineStr">
        <is>
          <t>×1</t>
        </is>
      </c>
      <c r="M6" s="22" t="inlineStr">
        <is>
          <t>×2</t>
        </is>
      </c>
      <c r="N6" s="23" t="inlineStr">
        <is>
          <t>×1</t>
        </is>
      </c>
      <c r="O6" s="23" t="inlineStr">
        <is>
          <t>×1</t>
        </is>
      </c>
      <c r="P6" s="23" t="inlineStr">
        <is>
          <t>×1</t>
        </is>
      </c>
      <c r="Q6" s="23" t="inlineStr">
        <is>
          <t>×1</t>
        </is>
      </c>
      <c r="R6" s="23" t="inlineStr">
        <is>
          <t>×1</t>
        </is>
      </c>
      <c r="S6" s="23" t="inlineStr">
        <is>
          <t>×1</t>
        </is>
      </c>
      <c r="T6" s="23" t="inlineStr">
        <is>
          <t>×1</t>
        </is>
      </c>
    </row>
    <row r="7" ht="20" customHeight="1">
      <c r="A7" s="20" t="n"/>
      <c r="B7" s="6" t="inlineStr">
        <is>
          <t>Électrik</t>
        </is>
      </c>
      <c r="C7" s="21" t="inlineStr">
        <is>
          <t>×½</t>
        </is>
      </c>
      <c r="D7" s="23" t="inlineStr">
        <is>
          <t>×1</t>
        </is>
      </c>
      <c r="E7" s="23" t="inlineStr">
        <is>
          <t>×1</t>
        </is>
      </c>
      <c r="F7" s="23" t="inlineStr">
        <is>
          <t>×1</t>
        </is>
      </c>
      <c r="G7" s="21" t="inlineStr">
        <is>
          <t>×½</t>
        </is>
      </c>
      <c r="H7" s="23" t="inlineStr">
        <is>
          <t>×1</t>
        </is>
      </c>
      <c r="I7" s="23" t="inlineStr">
        <is>
          <t>×1</t>
        </is>
      </c>
      <c r="J7" s="23" t="inlineStr">
        <is>
          <t>×1</t>
        </is>
      </c>
      <c r="K7" s="23" t="inlineStr">
        <is>
          <t>×1</t>
        </is>
      </c>
      <c r="L7" s="23" t="inlineStr">
        <is>
          <t>×1</t>
        </is>
      </c>
      <c r="M7" s="23" t="inlineStr">
        <is>
          <t>×1</t>
        </is>
      </c>
      <c r="N7" s="23" t="inlineStr">
        <is>
          <t>×1</t>
        </is>
      </c>
      <c r="O7" s="23" t="inlineStr">
        <is>
          <t>×1</t>
        </is>
      </c>
      <c r="P7" s="23" t="inlineStr">
        <is>
          <t>×1</t>
        </is>
      </c>
      <c r="Q7" s="22" t="inlineStr">
        <is>
          <t>×2</t>
        </is>
      </c>
      <c r="R7" s="23" t="inlineStr">
        <is>
          <t>×1</t>
        </is>
      </c>
      <c r="S7" s="23" t="inlineStr">
        <is>
          <t>×1</t>
        </is>
      </c>
      <c r="T7" s="21" t="inlineStr">
        <is>
          <t>×½</t>
        </is>
      </c>
    </row>
    <row r="8" ht="20" customHeight="1">
      <c r="A8" s="20" t="n"/>
      <c r="B8" s="7" t="inlineStr">
        <is>
          <t>Fée</t>
        </is>
      </c>
      <c r="C8" s="22" t="inlineStr">
        <is>
          <t>×2</t>
        </is>
      </c>
      <c r="D8" s="21" t="inlineStr">
        <is>
          <t>×½</t>
        </is>
      </c>
      <c r="E8" s="24" t="inlineStr">
        <is>
          <t>×0</t>
        </is>
      </c>
      <c r="F8" s="23" t="inlineStr">
        <is>
          <t>×1</t>
        </is>
      </c>
      <c r="G8" s="23" t="inlineStr">
        <is>
          <t>×1</t>
        </is>
      </c>
      <c r="H8" s="23" t="inlineStr">
        <is>
          <t>×1</t>
        </is>
      </c>
      <c r="I8" s="23" t="inlineStr">
        <is>
          <t>×1</t>
        </is>
      </c>
      <c r="J8" s="23" t="inlineStr">
        <is>
          <t>×1</t>
        </is>
      </c>
      <c r="K8" s="21" t="inlineStr">
        <is>
          <t>×½</t>
        </is>
      </c>
      <c r="L8" s="23" t="inlineStr">
        <is>
          <t>×1</t>
        </is>
      </c>
      <c r="M8" s="23" t="inlineStr">
        <is>
          <t>×1</t>
        </is>
      </c>
      <c r="N8" s="22" t="inlineStr">
        <is>
          <t>×2</t>
        </is>
      </c>
      <c r="O8" s="23" t="inlineStr">
        <is>
          <t>×1</t>
        </is>
      </c>
      <c r="P8" s="23" t="inlineStr">
        <is>
          <t>×1</t>
        </is>
      </c>
      <c r="Q8" s="23" t="inlineStr">
        <is>
          <t>×1</t>
        </is>
      </c>
      <c r="R8" s="23" t="inlineStr">
        <is>
          <t>×1</t>
        </is>
      </c>
      <c r="S8" s="21" t="inlineStr">
        <is>
          <t>×½</t>
        </is>
      </c>
      <c r="T8" s="23" t="inlineStr">
        <is>
          <t>×1</t>
        </is>
      </c>
    </row>
    <row r="9" ht="20" customHeight="1">
      <c r="A9" s="20" t="n"/>
      <c r="B9" s="8" t="inlineStr">
        <is>
          <t>Feu</t>
        </is>
      </c>
      <c r="C9" s="21" t="inlineStr">
        <is>
          <t>×½</t>
        </is>
      </c>
      <c r="D9" s="23" t="inlineStr">
        <is>
          <t>×1</t>
        </is>
      </c>
      <c r="E9" s="23" t="inlineStr">
        <is>
          <t>×1</t>
        </is>
      </c>
      <c r="F9" s="22" t="inlineStr">
        <is>
          <t>×2</t>
        </is>
      </c>
      <c r="G9" s="23" t="inlineStr">
        <is>
          <t>×1</t>
        </is>
      </c>
      <c r="H9" s="21" t="inlineStr">
        <is>
          <t>×½</t>
        </is>
      </c>
      <c r="I9" s="21" t="inlineStr">
        <is>
          <t>×½</t>
        </is>
      </c>
      <c r="J9" s="21" t="inlineStr">
        <is>
          <t>×½</t>
        </is>
      </c>
      <c r="K9" s="21" t="inlineStr">
        <is>
          <t>×½</t>
        </is>
      </c>
      <c r="L9" s="23" t="inlineStr">
        <is>
          <t>×1</t>
        </is>
      </c>
      <c r="M9" s="21" t="inlineStr">
        <is>
          <t>×½</t>
        </is>
      </c>
      <c r="N9" s="23" t="inlineStr">
        <is>
          <t>×1</t>
        </is>
      </c>
      <c r="O9" s="23" t="inlineStr">
        <is>
          <t>×1</t>
        </is>
      </c>
      <c r="P9" s="22" t="inlineStr">
        <is>
          <t>×2</t>
        </is>
      </c>
      <c r="Q9" s="22" t="inlineStr">
        <is>
          <t>×2</t>
        </is>
      </c>
      <c r="R9" s="23" t="inlineStr">
        <is>
          <t>×1</t>
        </is>
      </c>
      <c r="S9" s="23" t="inlineStr">
        <is>
          <t>×1</t>
        </is>
      </c>
      <c r="T9" s="23" t="inlineStr">
        <is>
          <t>×1</t>
        </is>
      </c>
    </row>
    <row r="10" ht="20" customHeight="1">
      <c r="A10" s="20" t="n"/>
      <c r="B10" s="9" t="inlineStr">
        <is>
          <t>Glace</t>
        </is>
      </c>
      <c r="C10" s="22" t="inlineStr">
        <is>
          <t>×2</t>
        </is>
      </c>
      <c r="D10" s="22" t="inlineStr">
        <is>
          <t>×2</t>
        </is>
      </c>
      <c r="E10" s="23" t="inlineStr">
        <is>
          <t>×1</t>
        </is>
      </c>
      <c r="F10" s="23" t="inlineStr">
        <is>
          <t>×1</t>
        </is>
      </c>
      <c r="G10" s="23" t="inlineStr">
        <is>
          <t>×1</t>
        </is>
      </c>
      <c r="H10" s="23" t="inlineStr">
        <is>
          <t>×1</t>
        </is>
      </c>
      <c r="I10" s="22" t="inlineStr">
        <is>
          <t>×2</t>
        </is>
      </c>
      <c r="J10" s="21" t="inlineStr">
        <is>
          <t>×½</t>
        </is>
      </c>
      <c r="K10" s="23" t="inlineStr">
        <is>
          <t>×1</t>
        </is>
      </c>
      <c r="L10" s="23" t="inlineStr">
        <is>
          <t>×1</t>
        </is>
      </c>
      <c r="M10" s="23" t="inlineStr">
        <is>
          <t>×1</t>
        </is>
      </c>
      <c r="N10" s="23" t="inlineStr">
        <is>
          <t>×1</t>
        </is>
      </c>
      <c r="O10" s="23" t="inlineStr">
        <is>
          <t>×1</t>
        </is>
      </c>
      <c r="P10" s="22" t="inlineStr">
        <is>
          <t>×2</t>
        </is>
      </c>
      <c r="Q10" s="23" t="inlineStr">
        <is>
          <t>×1</t>
        </is>
      </c>
      <c r="R10" s="23" t="inlineStr">
        <is>
          <t>×1</t>
        </is>
      </c>
      <c r="S10" s="23" t="inlineStr">
        <is>
          <t>×1</t>
        </is>
      </c>
      <c r="T10" s="23" t="inlineStr">
        <is>
          <t>×1</t>
        </is>
      </c>
    </row>
    <row r="11" ht="20" customHeight="1">
      <c r="A11" s="20" t="n"/>
      <c r="B11" s="10" t="inlineStr">
        <is>
          <t>Insecte</t>
        </is>
      </c>
      <c r="C11" s="23" t="inlineStr">
        <is>
          <t>×1</t>
        </is>
      </c>
      <c r="D11" s="21" t="inlineStr">
        <is>
          <t>×½</t>
        </is>
      </c>
      <c r="E11" s="23" t="inlineStr">
        <is>
          <t>×1</t>
        </is>
      </c>
      <c r="F11" s="23" t="inlineStr">
        <is>
          <t>×1</t>
        </is>
      </c>
      <c r="G11" s="23" t="inlineStr">
        <is>
          <t>×1</t>
        </is>
      </c>
      <c r="H11" s="23" t="inlineStr">
        <is>
          <t>×1</t>
        </is>
      </c>
      <c r="I11" s="22" t="inlineStr">
        <is>
          <t>×2</t>
        </is>
      </c>
      <c r="J11" s="23" t="inlineStr">
        <is>
          <t>×1</t>
        </is>
      </c>
      <c r="K11" s="23" t="inlineStr">
        <is>
          <t>×1</t>
        </is>
      </c>
      <c r="L11" s="23" t="inlineStr">
        <is>
          <t>×1</t>
        </is>
      </c>
      <c r="M11" s="21" t="inlineStr">
        <is>
          <t>×½</t>
        </is>
      </c>
      <c r="N11" s="23" t="inlineStr">
        <is>
          <t>×1</t>
        </is>
      </c>
      <c r="O11" s="23" t="inlineStr">
        <is>
          <t>×1</t>
        </is>
      </c>
      <c r="P11" s="22" t="inlineStr">
        <is>
          <t>×2</t>
        </is>
      </c>
      <c r="Q11" s="21" t="inlineStr">
        <is>
          <t>×½</t>
        </is>
      </c>
      <c r="R11" s="23" t="inlineStr">
        <is>
          <t>×1</t>
        </is>
      </c>
      <c r="S11" s="23" t="inlineStr">
        <is>
          <t>×1</t>
        </is>
      </c>
      <c r="T11" s="22" t="inlineStr">
        <is>
          <t>×2</t>
        </is>
      </c>
    </row>
    <row r="12" ht="20" customHeight="1">
      <c r="A12" s="20" t="n"/>
      <c r="B12" s="11" t="inlineStr">
        <is>
          <t>Normal</t>
        </is>
      </c>
      <c r="C12" s="23" t="inlineStr">
        <is>
          <t>×1</t>
        </is>
      </c>
      <c r="D12" s="22" t="inlineStr">
        <is>
          <t>×2</t>
        </is>
      </c>
      <c r="E12" s="23" t="inlineStr">
        <is>
          <t>×1</t>
        </is>
      </c>
      <c r="F12" s="23" t="inlineStr">
        <is>
          <t>×1</t>
        </is>
      </c>
      <c r="G12" s="23" t="inlineStr">
        <is>
          <t>×1</t>
        </is>
      </c>
      <c r="H12" s="23" t="inlineStr">
        <is>
          <t>×1</t>
        </is>
      </c>
      <c r="I12" s="23" t="inlineStr">
        <is>
          <t>×1</t>
        </is>
      </c>
      <c r="J12" s="23" t="inlineStr">
        <is>
          <t>×1</t>
        </is>
      </c>
      <c r="K12" s="23" t="inlineStr">
        <is>
          <t>×1</t>
        </is>
      </c>
      <c r="L12" s="23" t="inlineStr">
        <is>
          <t>×1</t>
        </is>
      </c>
      <c r="M12" s="23" t="inlineStr">
        <is>
          <t>×1</t>
        </is>
      </c>
      <c r="N12" s="23" t="inlineStr">
        <is>
          <t>×1</t>
        </is>
      </c>
      <c r="O12" s="23" t="inlineStr">
        <is>
          <t>×1</t>
        </is>
      </c>
      <c r="P12" s="23" t="inlineStr">
        <is>
          <t>×1</t>
        </is>
      </c>
      <c r="Q12" s="23" t="inlineStr">
        <is>
          <t>×1</t>
        </is>
      </c>
      <c r="R12" s="24" t="inlineStr">
        <is>
          <t>×0</t>
        </is>
      </c>
      <c r="S12" s="23" t="inlineStr">
        <is>
          <t>×1</t>
        </is>
      </c>
      <c r="T12" s="23" t="inlineStr">
        <is>
          <t>×1</t>
        </is>
      </c>
    </row>
    <row r="13" ht="20" customHeight="1">
      <c r="A13" s="20" t="n"/>
      <c r="B13" s="12" t="inlineStr">
        <is>
          <t>Plante</t>
        </is>
      </c>
      <c r="C13" s="23" t="inlineStr">
        <is>
          <t>×1</t>
        </is>
      </c>
      <c r="D13" s="23" t="inlineStr">
        <is>
          <t>×1</t>
        </is>
      </c>
      <c r="E13" s="23" t="inlineStr">
        <is>
          <t>×1</t>
        </is>
      </c>
      <c r="F13" s="21" t="inlineStr">
        <is>
          <t>×½</t>
        </is>
      </c>
      <c r="G13" s="21" t="inlineStr">
        <is>
          <t>×½</t>
        </is>
      </c>
      <c r="H13" s="23" t="inlineStr">
        <is>
          <t>×1</t>
        </is>
      </c>
      <c r="I13" s="22" t="inlineStr">
        <is>
          <t>×2</t>
        </is>
      </c>
      <c r="J13" s="22" t="inlineStr">
        <is>
          <t>×2</t>
        </is>
      </c>
      <c r="K13" s="22" t="inlineStr">
        <is>
          <t>×2</t>
        </is>
      </c>
      <c r="L13" s="23" t="inlineStr">
        <is>
          <t>×1</t>
        </is>
      </c>
      <c r="M13" s="21" t="inlineStr">
        <is>
          <t>×½</t>
        </is>
      </c>
      <c r="N13" s="22" t="inlineStr">
        <is>
          <t>×2</t>
        </is>
      </c>
      <c r="O13" s="23" t="inlineStr">
        <is>
          <t>×1</t>
        </is>
      </c>
      <c r="P13" s="23" t="inlineStr">
        <is>
          <t>×1</t>
        </is>
      </c>
      <c r="Q13" s="21" t="inlineStr">
        <is>
          <t>×½</t>
        </is>
      </c>
      <c r="R13" s="23" t="inlineStr">
        <is>
          <t>×1</t>
        </is>
      </c>
      <c r="S13" s="23" t="inlineStr">
        <is>
          <t>×1</t>
        </is>
      </c>
      <c r="T13" s="22" t="inlineStr">
        <is>
          <t>×2</t>
        </is>
      </c>
    </row>
    <row r="14" ht="20" customHeight="1">
      <c r="A14" s="20" t="n"/>
      <c r="B14" s="13" t="inlineStr">
        <is>
          <t>Poison</t>
        </is>
      </c>
      <c r="C14" s="23" t="inlineStr">
        <is>
          <t>×1</t>
        </is>
      </c>
      <c r="D14" s="21" t="inlineStr">
        <is>
          <t>×½</t>
        </is>
      </c>
      <c r="E14" s="23" t="inlineStr">
        <is>
          <t>×1</t>
        </is>
      </c>
      <c r="F14" s="23" t="inlineStr">
        <is>
          <t>×1</t>
        </is>
      </c>
      <c r="G14" s="23" t="inlineStr">
        <is>
          <t>×1</t>
        </is>
      </c>
      <c r="H14" s="21" t="inlineStr">
        <is>
          <t>×½</t>
        </is>
      </c>
      <c r="I14" s="23" t="inlineStr">
        <is>
          <t>×1</t>
        </is>
      </c>
      <c r="J14" s="23" t="inlineStr">
        <is>
          <t>×1</t>
        </is>
      </c>
      <c r="K14" s="21" t="inlineStr">
        <is>
          <t>×½</t>
        </is>
      </c>
      <c r="L14" s="23" t="inlineStr">
        <is>
          <t>×1</t>
        </is>
      </c>
      <c r="M14" s="21" t="inlineStr">
        <is>
          <t>×½</t>
        </is>
      </c>
      <c r="N14" s="21" t="inlineStr">
        <is>
          <t>×½</t>
        </is>
      </c>
      <c r="O14" s="22" t="inlineStr">
        <is>
          <t>×2</t>
        </is>
      </c>
      <c r="P14" s="23" t="inlineStr">
        <is>
          <t>×1</t>
        </is>
      </c>
      <c r="Q14" s="22" t="inlineStr">
        <is>
          <t>×2</t>
        </is>
      </c>
      <c r="R14" s="23" t="inlineStr">
        <is>
          <t>×1</t>
        </is>
      </c>
      <c r="S14" s="23" t="inlineStr">
        <is>
          <t>×1</t>
        </is>
      </c>
      <c r="T14" s="23" t="inlineStr">
        <is>
          <t>×1</t>
        </is>
      </c>
    </row>
    <row r="15" ht="20" customHeight="1">
      <c r="A15" s="20" t="n"/>
      <c r="B15" s="14" t="inlineStr">
        <is>
          <t>Psy</t>
        </is>
      </c>
      <c r="C15" s="23" t="inlineStr">
        <is>
          <t>×1</t>
        </is>
      </c>
      <c r="D15" s="21" t="inlineStr">
        <is>
          <t>×½</t>
        </is>
      </c>
      <c r="E15" s="23" t="inlineStr">
        <is>
          <t>×1</t>
        </is>
      </c>
      <c r="F15" s="23" t="inlineStr">
        <is>
          <t>×1</t>
        </is>
      </c>
      <c r="G15" s="23" t="inlineStr">
        <is>
          <t>×1</t>
        </is>
      </c>
      <c r="H15" s="23" t="inlineStr">
        <is>
          <t>×1</t>
        </is>
      </c>
      <c r="I15" s="23" t="inlineStr">
        <is>
          <t>×1</t>
        </is>
      </c>
      <c r="J15" s="23" t="inlineStr">
        <is>
          <t>×1</t>
        </is>
      </c>
      <c r="K15" s="22" t="inlineStr">
        <is>
          <t>×2</t>
        </is>
      </c>
      <c r="L15" s="23" t="inlineStr">
        <is>
          <t>×1</t>
        </is>
      </c>
      <c r="M15" s="23" t="inlineStr">
        <is>
          <t>×1</t>
        </is>
      </c>
      <c r="N15" s="23" t="inlineStr">
        <is>
          <t>×1</t>
        </is>
      </c>
      <c r="O15" s="21" t="inlineStr">
        <is>
          <t>×½</t>
        </is>
      </c>
      <c r="P15" s="23" t="inlineStr">
        <is>
          <t>×1</t>
        </is>
      </c>
      <c r="Q15" s="23" t="inlineStr">
        <is>
          <t>×1</t>
        </is>
      </c>
      <c r="R15" s="22" t="inlineStr">
        <is>
          <t>×2</t>
        </is>
      </c>
      <c r="S15" s="22" t="inlineStr">
        <is>
          <t>×2</t>
        </is>
      </c>
      <c r="T15" s="23" t="inlineStr">
        <is>
          <t>×1</t>
        </is>
      </c>
    </row>
    <row r="16" ht="20" customHeight="1">
      <c r="A16" s="20" t="n"/>
      <c r="B16" s="15" t="inlineStr">
        <is>
          <t>Roche</t>
        </is>
      </c>
      <c r="C16" s="22" t="inlineStr">
        <is>
          <t>×2</t>
        </is>
      </c>
      <c r="D16" s="22" t="inlineStr">
        <is>
          <t>×2</t>
        </is>
      </c>
      <c r="E16" s="23" t="inlineStr">
        <is>
          <t>×1</t>
        </is>
      </c>
      <c r="F16" s="22" t="inlineStr">
        <is>
          <t>×2</t>
        </is>
      </c>
      <c r="G16" s="23" t="inlineStr">
        <is>
          <t>×1</t>
        </is>
      </c>
      <c r="H16" s="23" t="inlineStr">
        <is>
          <t>×1</t>
        </is>
      </c>
      <c r="I16" s="21" t="inlineStr">
        <is>
          <t>×½</t>
        </is>
      </c>
      <c r="J16" s="23" t="inlineStr">
        <is>
          <t>×1</t>
        </is>
      </c>
      <c r="K16" s="23" t="inlineStr">
        <is>
          <t>×1</t>
        </is>
      </c>
      <c r="L16" s="21" t="inlineStr">
        <is>
          <t>×½</t>
        </is>
      </c>
      <c r="M16" s="22" t="inlineStr">
        <is>
          <t>×2</t>
        </is>
      </c>
      <c r="N16" s="21" t="inlineStr">
        <is>
          <t>×½</t>
        </is>
      </c>
      <c r="O16" s="23" t="inlineStr">
        <is>
          <t>×1</t>
        </is>
      </c>
      <c r="P16" s="23" t="inlineStr">
        <is>
          <t>×1</t>
        </is>
      </c>
      <c r="Q16" s="22" t="inlineStr">
        <is>
          <t>×2</t>
        </is>
      </c>
      <c r="R16" s="23" t="inlineStr">
        <is>
          <t>×1</t>
        </is>
      </c>
      <c r="S16" s="23" t="inlineStr">
        <is>
          <t>×1</t>
        </is>
      </c>
      <c r="T16" s="21" t="inlineStr">
        <is>
          <t>×½</t>
        </is>
      </c>
    </row>
    <row r="17" ht="20" customHeight="1">
      <c r="A17" s="20" t="n"/>
      <c r="B17" s="16" t="inlineStr">
        <is>
          <t>Sol</t>
        </is>
      </c>
      <c r="C17" s="23" t="inlineStr">
        <is>
          <t>×1</t>
        </is>
      </c>
      <c r="D17" s="23" t="inlineStr">
        <is>
          <t>×1</t>
        </is>
      </c>
      <c r="E17" s="23" t="inlineStr">
        <is>
          <t>×1</t>
        </is>
      </c>
      <c r="F17" s="22" t="inlineStr">
        <is>
          <t>×2</t>
        </is>
      </c>
      <c r="G17" s="24" t="inlineStr">
        <is>
          <t>×0</t>
        </is>
      </c>
      <c r="H17" s="23" t="inlineStr">
        <is>
          <t>×1</t>
        </is>
      </c>
      <c r="I17" s="23" t="inlineStr">
        <is>
          <t>×1</t>
        </is>
      </c>
      <c r="J17" s="22" t="inlineStr">
        <is>
          <t>×2</t>
        </is>
      </c>
      <c r="K17" s="23" t="inlineStr">
        <is>
          <t>×1</t>
        </is>
      </c>
      <c r="L17" s="23" t="inlineStr">
        <is>
          <t>×1</t>
        </is>
      </c>
      <c r="M17" s="22" t="inlineStr">
        <is>
          <t>×2</t>
        </is>
      </c>
      <c r="N17" s="21" t="inlineStr">
        <is>
          <t>×½</t>
        </is>
      </c>
      <c r="O17" s="23" t="inlineStr">
        <is>
          <t>×1</t>
        </is>
      </c>
      <c r="P17" s="21" t="inlineStr">
        <is>
          <t>×½</t>
        </is>
      </c>
      <c r="Q17" s="23" t="inlineStr">
        <is>
          <t>×1</t>
        </is>
      </c>
      <c r="R17" s="23" t="inlineStr">
        <is>
          <t>×1</t>
        </is>
      </c>
      <c r="S17" s="23" t="inlineStr">
        <is>
          <t>×1</t>
        </is>
      </c>
      <c r="T17" s="23" t="inlineStr">
        <is>
          <t>×1</t>
        </is>
      </c>
    </row>
    <row r="18" ht="20" customHeight="1">
      <c r="A18" s="20" t="n"/>
      <c r="B18" s="17" t="inlineStr">
        <is>
          <t>Spectre</t>
        </is>
      </c>
      <c r="C18" s="23" t="inlineStr">
        <is>
          <t>×1</t>
        </is>
      </c>
      <c r="D18" s="24" t="inlineStr">
        <is>
          <t>×0</t>
        </is>
      </c>
      <c r="E18" s="23" t="inlineStr">
        <is>
          <t>×1</t>
        </is>
      </c>
      <c r="F18" s="23" t="inlineStr">
        <is>
          <t>×1</t>
        </is>
      </c>
      <c r="G18" s="23" t="inlineStr">
        <is>
          <t>×1</t>
        </is>
      </c>
      <c r="H18" s="23" t="inlineStr">
        <is>
          <t>×1</t>
        </is>
      </c>
      <c r="I18" s="23" t="inlineStr">
        <is>
          <t>×1</t>
        </is>
      </c>
      <c r="J18" s="23" t="inlineStr">
        <is>
          <t>×1</t>
        </is>
      </c>
      <c r="K18" s="21" t="inlineStr">
        <is>
          <t>×½</t>
        </is>
      </c>
      <c r="L18" s="24" t="inlineStr">
        <is>
          <t>×0</t>
        </is>
      </c>
      <c r="M18" s="23" t="inlineStr">
        <is>
          <t>×1</t>
        </is>
      </c>
      <c r="N18" s="21" t="inlineStr">
        <is>
          <t>×½</t>
        </is>
      </c>
      <c r="O18" s="23" t="inlineStr">
        <is>
          <t>×1</t>
        </is>
      </c>
      <c r="P18" s="23" t="inlineStr">
        <is>
          <t>×1</t>
        </is>
      </c>
      <c r="Q18" s="23" t="inlineStr">
        <is>
          <t>×1</t>
        </is>
      </c>
      <c r="R18" s="22" t="inlineStr">
        <is>
          <t>×2</t>
        </is>
      </c>
      <c r="S18" s="22" t="inlineStr">
        <is>
          <t>×2</t>
        </is>
      </c>
      <c r="T18" s="23" t="inlineStr">
        <is>
          <t>×1</t>
        </is>
      </c>
    </row>
    <row r="19" ht="20" customHeight="1">
      <c r="A19" s="20" t="n"/>
      <c r="B19" s="18" t="inlineStr">
        <is>
          <t>Ténèbres</t>
        </is>
      </c>
      <c r="C19" s="23" t="inlineStr">
        <is>
          <t>×1</t>
        </is>
      </c>
      <c r="D19" s="22" t="inlineStr">
        <is>
          <t>×2</t>
        </is>
      </c>
      <c r="E19" s="23" t="inlineStr">
        <is>
          <t>×1</t>
        </is>
      </c>
      <c r="F19" s="23" t="inlineStr">
        <is>
          <t>×1</t>
        </is>
      </c>
      <c r="G19" s="23" t="inlineStr">
        <is>
          <t>×1</t>
        </is>
      </c>
      <c r="H19" s="22" t="inlineStr">
        <is>
          <t>×2</t>
        </is>
      </c>
      <c r="I19" s="23" t="inlineStr">
        <is>
          <t>×1</t>
        </is>
      </c>
      <c r="J19" s="23" t="inlineStr">
        <is>
          <t>×1</t>
        </is>
      </c>
      <c r="K19" s="22" t="inlineStr">
        <is>
          <t>×2</t>
        </is>
      </c>
      <c r="L19" s="23" t="inlineStr">
        <is>
          <t>×1</t>
        </is>
      </c>
      <c r="M19" s="23" t="inlineStr">
        <is>
          <t>×1</t>
        </is>
      </c>
      <c r="N19" s="23" t="inlineStr">
        <is>
          <t>×1</t>
        </is>
      </c>
      <c r="O19" s="24" t="inlineStr">
        <is>
          <t>×0</t>
        </is>
      </c>
      <c r="P19" s="23" t="inlineStr">
        <is>
          <t>×1</t>
        </is>
      </c>
      <c r="Q19" s="23" t="inlineStr">
        <is>
          <t>×1</t>
        </is>
      </c>
      <c r="R19" s="21" t="inlineStr">
        <is>
          <t>×½</t>
        </is>
      </c>
      <c r="S19" s="21" t="inlineStr">
        <is>
          <t>×½</t>
        </is>
      </c>
      <c r="T19" s="23" t="inlineStr">
        <is>
          <t>×1</t>
        </is>
      </c>
    </row>
    <row r="20" ht="20" customHeight="1">
      <c r="A20" s="20" t="n"/>
      <c r="B20" s="19" t="inlineStr">
        <is>
          <t>Vol</t>
        </is>
      </c>
      <c r="C20" s="23" t="inlineStr">
        <is>
          <t>×1</t>
        </is>
      </c>
      <c r="D20" s="21" t="inlineStr">
        <is>
          <t>×½</t>
        </is>
      </c>
      <c r="E20" s="23" t="inlineStr">
        <is>
          <t>×1</t>
        </is>
      </c>
      <c r="F20" s="23" t="inlineStr">
        <is>
          <t>×1</t>
        </is>
      </c>
      <c r="G20" s="22" t="inlineStr">
        <is>
          <t>×2</t>
        </is>
      </c>
      <c r="H20" s="23" t="inlineStr">
        <is>
          <t>×1</t>
        </is>
      </c>
      <c r="I20" s="23" t="inlineStr">
        <is>
          <t>×1</t>
        </is>
      </c>
      <c r="J20" s="22" t="inlineStr">
        <is>
          <t>×2</t>
        </is>
      </c>
      <c r="K20" s="21" t="inlineStr">
        <is>
          <t>×½</t>
        </is>
      </c>
      <c r="L20" s="23" t="inlineStr">
        <is>
          <t>×1</t>
        </is>
      </c>
      <c r="M20" s="21" t="inlineStr">
        <is>
          <t>×½</t>
        </is>
      </c>
      <c r="N20" s="23" t="inlineStr">
        <is>
          <t>×1</t>
        </is>
      </c>
      <c r="O20" s="23" t="inlineStr">
        <is>
          <t>×1</t>
        </is>
      </c>
      <c r="P20" s="22" t="inlineStr">
        <is>
          <t>×2</t>
        </is>
      </c>
      <c r="Q20" s="24" t="inlineStr">
        <is>
          <t>×0</t>
        </is>
      </c>
      <c r="R20" s="23" t="inlineStr">
        <is>
          <t>×1</t>
        </is>
      </c>
      <c r="S20" s="23" t="inlineStr">
        <is>
          <t>×1</t>
        </is>
      </c>
      <c r="T20" s="23" t="inlineStr">
        <is>
          <t>×1</t>
        </is>
      </c>
    </row>
    <row r="22" ht="26" customHeight="1">
      <c r="A22" s="25" t="inlineStr">
        <is>
          <t>Lecture : une capacité du type de la colonne frappe un Pokémon du type de la ligne avec le multiplicateur de la case. Un Pokémon à deux types cumule les deux multiplicateurs (×2 et ×2 donnent ×4).</t>
        </is>
      </c>
    </row>
    <row r="23" ht="26" customHeight="1">
      <c r="A23" s="25" t="inlineStr">
        <is>
          <t>Source : gTypeEffectivenessTable (src/data/types_info.h), B_UPDATED_TYPE_MATCHUPS = GEN_LATEST (include/config/battle.h), règles de la 6e génération et suivantes. Extrait le 14/10/2026.</t>
        </is>
      </c>
    </row>
  </sheetData>
  <mergeCells count="4">
    <mergeCell ref="C1:T1"/>
    <mergeCell ref="A23:T23"/>
    <mergeCell ref="A3:A20"/>
    <mergeCell ref="A22:T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7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8" customWidth="1" min="8" max="8"/>
  </cols>
  <sheetData>
    <row r="1" ht="30" customHeight="1">
      <c r="A1" s="26" t="inlineStr">
        <is>
          <t>Starter</t>
        </is>
      </c>
      <c r="B1" s="27" t="inlineStr">
        <is>
          <t>Tous</t>
        </is>
      </c>
      <c r="C1" s="27" t="n"/>
      <c r="D1" s="28" t="inlineStr">
        <is>
          <t>Choisissez votre starter : les combats de rival des deux autres se grisent. Ctrl+Alt+L (Données &gt; Réappliquer) les masque.</t>
        </is>
      </c>
    </row>
    <row r="2">
      <c r="H2" s="29" t="inlineStr">
        <is>
          <t>Affiché</t>
        </is>
      </c>
    </row>
    <row r="3" ht="18" customHeight="1">
      <c r="A3" s="26" t="inlineStr">
        <is>
          <t>Ville Griotte</t>
        </is>
      </c>
      <c r="B3" s="26" t="n"/>
      <c r="C3" s="26" t="n"/>
      <c r="D3" s="26" t="n"/>
      <c r="E3" s="26" t="n"/>
      <c r="F3" s="26" t="n"/>
      <c r="G3" s="26" t="n"/>
      <c r="H3" s="30" t="inlineStr">
        <is>
          <t>Oui</t>
        </is>
      </c>
    </row>
    <row r="4">
      <c r="A4" s="31" t="inlineStr">
        <is>
          <t>Nom</t>
        </is>
      </c>
      <c r="B4" s="32" t="inlineStr">
        <is>
          <t>Rival (si vous avez choisi GERMIGNON)</t>
        </is>
      </c>
      <c r="C4" s="32" t="n"/>
      <c r="D4" s="32" t="n"/>
      <c r="E4" s="32" t="n"/>
      <c r="F4" s="32" t="n"/>
      <c r="G4" s="32" t="n"/>
      <c r="H4" s="30">
        <f>IF(OR($B$1="Tous",$B$1="GERMIGNON"),"Oui","Non")</f>
        <v/>
      </c>
    </row>
    <row r="5">
      <c r="A5" s="31" t="inlineStr">
        <is>
          <t>Pokémon</t>
        </is>
      </c>
      <c r="B5" s="33" t="inlineStr">
        <is>
          <t>HERICENDRE</t>
        </is>
      </c>
      <c r="C5" s="33" t="n"/>
      <c r="D5" s="33" t="n"/>
      <c r="E5" s="33" t="n"/>
      <c r="F5" s="33" t="n"/>
      <c r="G5" s="33" t="n"/>
      <c r="H5" s="30">
        <f>IF(OR($B$1="Tous",$B$1="GERMIGNON"),"Oui","Non")</f>
        <v/>
      </c>
    </row>
    <row r="6">
      <c r="A6" s="31" t="inlineStr">
        <is>
          <t>Niveau</t>
        </is>
      </c>
      <c r="B6" s="33" t="n">
        <v>5</v>
      </c>
      <c r="C6" s="33" t="n"/>
      <c r="D6" s="33" t="n"/>
      <c r="E6" s="33" t="n"/>
      <c r="F6" s="33" t="n"/>
      <c r="G6" s="33" t="n"/>
      <c r="H6" s="30">
        <f>IF(OR($B$1="Tous",$B$1="GERMIGNON"),"Oui","Non")</f>
        <v/>
      </c>
    </row>
    <row r="7">
      <c r="A7" s="31" t="inlineStr">
        <is>
          <t>Objet</t>
        </is>
      </c>
      <c r="B7" s="33" t="inlineStr">
        <is>
          <t>Aucun</t>
        </is>
      </c>
      <c r="C7" s="33" t="n"/>
      <c r="D7" s="33" t="n"/>
      <c r="E7" s="33" t="n"/>
      <c r="F7" s="33" t="n"/>
      <c r="G7" s="33" t="n"/>
      <c r="H7" s="30">
        <f>IF(OR($B$1="Tous",$B$1="GERMIGNON"),"Oui","Non")</f>
        <v/>
      </c>
    </row>
    <row r="8">
      <c r="A8" s="31" t="inlineStr">
        <is>
          <t>Talent</t>
        </is>
      </c>
      <c r="B8" s="33" t="inlineStr">
        <is>
          <t>Brasier</t>
        </is>
      </c>
      <c r="C8" s="33" t="n"/>
      <c r="D8" s="33" t="n"/>
      <c r="E8" s="33" t="n"/>
      <c r="F8" s="33" t="n"/>
      <c r="G8" s="33" t="n"/>
      <c r="H8" s="30">
        <f>IF(OR($B$1="Tous",$B$1="GERMIGNON"),"Oui","Non")</f>
        <v/>
      </c>
    </row>
    <row r="9">
      <c r="A9" s="31" t="inlineStr">
        <is>
          <t>Capacités</t>
        </is>
      </c>
      <c r="B9" s="34" t="inlineStr">
        <is>
          <t>Charge</t>
        </is>
      </c>
      <c r="C9" s="34" t="n"/>
      <c r="D9" s="34" t="n"/>
      <c r="E9" s="34" t="n"/>
      <c r="F9" s="34" t="n"/>
      <c r="G9" s="34" t="n"/>
      <c r="H9" s="30">
        <f>IF(OR($B$1="Tous",$B$1="GERMIGNON"),"Oui","Non")</f>
        <v/>
      </c>
    </row>
    <row r="10">
      <c r="A10" s="31" t="n"/>
      <c r="B10" s="34" t="inlineStr">
        <is>
          <t>Groz'Yeux</t>
        </is>
      </c>
      <c r="C10" s="34" t="n"/>
      <c r="D10" s="34" t="n"/>
      <c r="E10" s="34" t="n"/>
      <c r="F10" s="34" t="n"/>
      <c r="G10" s="34" t="n"/>
      <c r="H10" s="30">
        <f>IF(OR($B$1="Tous",$B$1="GERMIGNON"),"Oui","Non")</f>
        <v/>
      </c>
    </row>
    <row r="11">
      <c r="A11" s="31" t="n"/>
      <c r="B11" s="34" t="n"/>
      <c r="C11" s="34" t="n"/>
      <c r="D11" s="34" t="n"/>
      <c r="E11" s="34" t="n"/>
      <c r="F11" s="34" t="n"/>
      <c r="G11" s="34" t="n"/>
      <c r="H11" s="30">
        <f>IF(OR($B$1="Tous",$B$1="GERMIGNON"),"Oui","Non")</f>
        <v/>
      </c>
    </row>
    <row r="12">
      <c r="A12" s="31" t="n"/>
      <c r="B12" s="34" t="n"/>
      <c r="C12" s="34" t="n"/>
      <c r="D12" s="34" t="n"/>
      <c r="E12" s="34" t="n"/>
      <c r="F12" s="34" t="n"/>
      <c r="G12" s="34" t="n"/>
      <c r="H12" s="30">
        <f>IF(OR($B$1="Tous",$B$1="GERMIGNON"),"Oui","Non")</f>
        <v/>
      </c>
    </row>
    <row r="13">
      <c r="A13" s="31" t="inlineStr">
        <is>
          <t>Nom</t>
        </is>
      </c>
      <c r="B13" s="32" t="inlineStr">
        <is>
          <t>Rival (si vous avez choisi HERICENDRE)</t>
        </is>
      </c>
      <c r="C13" s="32" t="n"/>
      <c r="D13" s="32" t="n"/>
      <c r="E13" s="32" t="n"/>
      <c r="F13" s="32" t="n"/>
      <c r="G13" s="32" t="n"/>
      <c r="H13" s="30">
        <f>IF(OR($B$1="Tous",$B$1="HERICENDRE"),"Oui","Non")</f>
        <v/>
      </c>
    </row>
    <row r="14">
      <c r="A14" s="31" t="inlineStr">
        <is>
          <t>Pokémon</t>
        </is>
      </c>
      <c r="B14" s="33" t="inlineStr">
        <is>
          <t>KAIMINUS</t>
        </is>
      </c>
      <c r="C14" s="33" t="n"/>
      <c r="D14" s="33" t="n"/>
      <c r="E14" s="33" t="n"/>
      <c r="F14" s="33" t="n"/>
      <c r="G14" s="33" t="n"/>
      <c r="H14" s="30">
        <f>IF(OR($B$1="Tous",$B$1="HERICENDRE"),"Oui","Non")</f>
        <v/>
      </c>
    </row>
    <row r="15">
      <c r="A15" s="31" t="inlineStr">
        <is>
          <t>Niveau</t>
        </is>
      </c>
      <c r="B15" s="33" t="n">
        <v>5</v>
      </c>
      <c r="C15" s="33" t="n"/>
      <c r="D15" s="33" t="n"/>
      <c r="E15" s="33" t="n"/>
      <c r="F15" s="33" t="n"/>
      <c r="G15" s="33" t="n"/>
      <c r="H15" s="30">
        <f>IF(OR($B$1="Tous",$B$1="HERICENDRE"),"Oui","Non")</f>
        <v/>
      </c>
    </row>
    <row r="16">
      <c r="A16" s="31" t="inlineStr">
        <is>
          <t>Objet</t>
        </is>
      </c>
      <c r="B16" s="33" t="inlineStr">
        <is>
          <t>Aucun</t>
        </is>
      </c>
      <c r="C16" s="33" t="n"/>
      <c r="D16" s="33" t="n"/>
      <c r="E16" s="33" t="n"/>
      <c r="F16" s="33" t="n"/>
      <c r="G16" s="33" t="n"/>
      <c r="H16" s="30">
        <f>IF(OR($B$1="Tous",$B$1="HERICENDRE"),"Oui","Non")</f>
        <v/>
      </c>
    </row>
    <row r="17">
      <c r="A17" s="31" t="inlineStr">
        <is>
          <t>Talent</t>
        </is>
      </c>
      <c r="B17" s="33" t="inlineStr">
        <is>
          <t>Torrent</t>
        </is>
      </c>
      <c r="C17" s="33" t="n"/>
      <c r="D17" s="33" t="n"/>
      <c r="E17" s="33" t="n"/>
      <c r="F17" s="33" t="n"/>
      <c r="G17" s="33" t="n"/>
      <c r="H17" s="30">
        <f>IF(OR($B$1="Tous",$B$1="HERICENDRE"),"Oui","Non")</f>
        <v/>
      </c>
    </row>
    <row r="18">
      <c r="A18" s="31" t="inlineStr">
        <is>
          <t>Capacités</t>
        </is>
      </c>
      <c r="B18" s="34" t="inlineStr">
        <is>
          <t>Griffe</t>
        </is>
      </c>
      <c r="C18" s="34" t="n"/>
      <c r="D18" s="34" t="n"/>
      <c r="E18" s="34" t="n"/>
      <c r="F18" s="34" t="n"/>
      <c r="G18" s="34" t="n"/>
      <c r="H18" s="30">
        <f>IF(OR($B$1="Tous",$B$1="HERICENDRE"),"Oui","Non")</f>
        <v/>
      </c>
    </row>
    <row r="19">
      <c r="A19" s="31" t="n"/>
      <c r="B19" s="34" t="inlineStr">
        <is>
          <t>Groz'Yeux</t>
        </is>
      </c>
      <c r="C19" s="34" t="n"/>
      <c r="D19" s="34" t="n"/>
      <c r="E19" s="34" t="n"/>
      <c r="F19" s="34" t="n"/>
      <c r="G19" s="34" t="n"/>
      <c r="H19" s="30">
        <f>IF(OR($B$1="Tous",$B$1="HERICENDRE"),"Oui","Non")</f>
        <v/>
      </c>
    </row>
    <row r="20">
      <c r="A20" s="31" t="n"/>
      <c r="B20" s="34" t="n"/>
      <c r="C20" s="34" t="n"/>
      <c r="D20" s="34" t="n"/>
      <c r="E20" s="34" t="n"/>
      <c r="F20" s="34" t="n"/>
      <c r="G20" s="34" t="n"/>
      <c r="H20" s="30">
        <f>IF(OR($B$1="Tous",$B$1="HERICENDRE"),"Oui","Non")</f>
        <v/>
      </c>
    </row>
    <row r="21">
      <c r="A21" s="31" t="n"/>
      <c r="B21" s="34" t="n"/>
      <c r="C21" s="34" t="n"/>
      <c r="D21" s="34" t="n"/>
      <c r="E21" s="34" t="n"/>
      <c r="F21" s="34" t="n"/>
      <c r="G21" s="34" t="n"/>
      <c r="H21" s="30">
        <f>IF(OR($B$1="Tous",$B$1="HERICENDRE"),"Oui","Non")</f>
        <v/>
      </c>
    </row>
    <row r="22">
      <c r="A22" s="31" t="inlineStr">
        <is>
          <t>Nom</t>
        </is>
      </c>
      <c r="B22" s="32" t="inlineStr">
        <is>
          <t>Rival (si vous avez choisi KAIMINUS)</t>
        </is>
      </c>
      <c r="C22" s="32" t="n"/>
      <c r="D22" s="32" t="n"/>
      <c r="E22" s="32" t="n"/>
      <c r="F22" s="32" t="n"/>
      <c r="G22" s="32" t="n"/>
      <c r="H22" s="30">
        <f>IF(OR($B$1="Tous",$B$1="KAIMINUS"),"Oui","Non")</f>
        <v/>
      </c>
    </row>
    <row r="23">
      <c r="A23" s="31" t="inlineStr">
        <is>
          <t>Pokémon</t>
        </is>
      </c>
      <c r="B23" s="33" t="inlineStr">
        <is>
          <t>GERMIGNON</t>
        </is>
      </c>
      <c r="C23" s="33" t="n"/>
      <c r="D23" s="33" t="n"/>
      <c r="E23" s="33" t="n"/>
      <c r="F23" s="33" t="n"/>
      <c r="G23" s="33" t="n"/>
      <c r="H23" s="30">
        <f>IF(OR($B$1="Tous",$B$1="KAIMINUS"),"Oui","Non")</f>
        <v/>
      </c>
    </row>
    <row r="24">
      <c r="A24" s="31" t="inlineStr">
        <is>
          <t>Niveau</t>
        </is>
      </c>
      <c r="B24" s="33" t="n">
        <v>5</v>
      </c>
      <c r="C24" s="33" t="n"/>
      <c r="D24" s="33" t="n"/>
      <c r="E24" s="33" t="n"/>
      <c r="F24" s="33" t="n"/>
      <c r="G24" s="33" t="n"/>
      <c r="H24" s="30">
        <f>IF(OR($B$1="Tous",$B$1="KAIMINUS"),"Oui","Non")</f>
        <v/>
      </c>
    </row>
    <row r="25">
      <c r="A25" s="31" t="inlineStr">
        <is>
          <t>Objet</t>
        </is>
      </c>
      <c r="B25" s="33" t="inlineStr">
        <is>
          <t>Aucun</t>
        </is>
      </c>
      <c r="C25" s="33" t="n"/>
      <c r="D25" s="33" t="n"/>
      <c r="E25" s="33" t="n"/>
      <c r="F25" s="33" t="n"/>
      <c r="G25" s="33" t="n"/>
      <c r="H25" s="30">
        <f>IF(OR($B$1="Tous",$B$1="KAIMINUS"),"Oui","Non")</f>
        <v/>
      </c>
    </row>
    <row r="26">
      <c r="A26" s="31" t="inlineStr">
        <is>
          <t>Talent</t>
        </is>
      </c>
      <c r="B26" s="33" t="inlineStr">
        <is>
          <t>Engrais</t>
        </is>
      </c>
      <c r="C26" s="33" t="n"/>
      <c r="D26" s="33" t="n"/>
      <c r="E26" s="33" t="n"/>
      <c r="F26" s="33" t="n"/>
      <c r="G26" s="33" t="n"/>
      <c r="H26" s="30">
        <f>IF(OR($B$1="Tous",$B$1="KAIMINUS"),"Oui","Non")</f>
        <v/>
      </c>
    </row>
    <row r="27">
      <c r="A27" s="31" t="inlineStr">
        <is>
          <t>Capacités</t>
        </is>
      </c>
      <c r="B27" s="34" t="inlineStr">
        <is>
          <t>Charge</t>
        </is>
      </c>
      <c r="C27" s="34" t="n"/>
      <c r="D27" s="34" t="n"/>
      <c r="E27" s="34" t="n"/>
      <c r="F27" s="34" t="n"/>
      <c r="G27" s="34" t="n"/>
      <c r="H27" s="30">
        <f>IF(OR($B$1="Tous",$B$1="KAIMINUS"),"Oui","Non")</f>
        <v/>
      </c>
    </row>
    <row r="28">
      <c r="A28" s="31" t="n"/>
      <c r="B28" s="34" t="inlineStr">
        <is>
          <t>Rugissement</t>
        </is>
      </c>
      <c r="C28" s="34" t="n"/>
      <c r="D28" s="34" t="n"/>
      <c r="E28" s="34" t="n"/>
      <c r="F28" s="34" t="n"/>
      <c r="G28" s="34" t="n"/>
      <c r="H28" s="30">
        <f>IF(OR($B$1="Tous",$B$1="KAIMINUS"),"Oui","Non")</f>
        <v/>
      </c>
    </row>
    <row r="29">
      <c r="A29" s="31" t="n"/>
      <c r="B29" s="34" t="n"/>
      <c r="C29" s="34" t="n"/>
      <c r="D29" s="34" t="n"/>
      <c r="E29" s="34" t="n"/>
      <c r="F29" s="34" t="n"/>
      <c r="G29" s="34" t="n"/>
      <c r="H29" s="30">
        <f>IF(OR($B$1="Tous",$B$1="KAIMINUS"),"Oui","Non")</f>
        <v/>
      </c>
    </row>
    <row r="30">
      <c r="A30" s="31" t="n"/>
      <c r="B30" s="34" t="n"/>
      <c r="C30" s="34" t="n"/>
      <c r="D30" s="34" t="n"/>
      <c r="E30" s="34" t="n"/>
      <c r="F30" s="34" t="n"/>
      <c r="G30" s="34" t="n"/>
      <c r="H30" s="30">
        <f>IF(OR($B$1="Tous",$B$1="KAIMINUS"),"Oui","Non")</f>
        <v/>
      </c>
    </row>
    <row r="31" ht="18" customHeight="1">
      <c r="A31" s="26" t="inlineStr">
        <is>
          <t>Route 30</t>
        </is>
      </c>
      <c r="B31" s="26" t="n"/>
      <c r="C31" s="26" t="n"/>
      <c r="D31" s="26" t="n"/>
      <c r="E31" s="26" t="n"/>
      <c r="F31" s="26" t="n"/>
      <c r="G31" s="26" t="n"/>
      <c r="H31" s="30" t="inlineStr">
        <is>
          <t>Oui</t>
        </is>
      </c>
    </row>
    <row r="32">
      <c r="A32" s="31" t="inlineStr">
        <is>
          <t>Nom</t>
        </is>
      </c>
      <c r="B32" s="32" t="inlineStr">
        <is>
          <t>Gamin Farouk</t>
        </is>
      </c>
      <c r="C32" s="32" t="n"/>
      <c r="D32" s="32" t="n"/>
      <c r="E32" s="32" t="n"/>
      <c r="F32" s="32" t="n"/>
      <c r="G32" s="32" t="n"/>
      <c r="H32" s="30" t="inlineStr">
        <is>
          <t>Oui</t>
        </is>
      </c>
    </row>
    <row r="33">
      <c r="A33" s="31" t="inlineStr">
        <is>
          <t>Pokémon</t>
        </is>
      </c>
      <c r="B33" s="33" t="inlineStr">
        <is>
          <t>RATTATA</t>
        </is>
      </c>
      <c r="C33" s="33" t="n"/>
      <c r="D33" s="33" t="n"/>
      <c r="E33" s="33" t="n"/>
      <c r="F33" s="33" t="n"/>
      <c r="G33" s="33" t="n"/>
      <c r="H33" s="30" t="inlineStr">
        <is>
          <t>Oui</t>
        </is>
      </c>
    </row>
    <row r="34">
      <c r="A34" s="31" t="inlineStr">
        <is>
          <t>Niveau</t>
        </is>
      </c>
      <c r="B34" s="33" t="n">
        <v>4</v>
      </c>
      <c r="C34" s="33" t="n"/>
      <c r="D34" s="33" t="n"/>
      <c r="E34" s="33" t="n"/>
      <c r="F34" s="33" t="n"/>
      <c r="G34" s="33" t="n"/>
      <c r="H34" s="30" t="inlineStr">
        <is>
          <t>Oui</t>
        </is>
      </c>
    </row>
    <row r="35">
      <c r="A35" s="31" t="inlineStr">
        <is>
          <t>Objet</t>
        </is>
      </c>
      <c r="B35" s="33" t="inlineStr">
        <is>
          <t>Aucun</t>
        </is>
      </c>
      <c r="C35" s="33" t="n"/>
      <c r="D35" s="33" t="n"/>
      <c r="E35" s="33" t="n"/>
      <c r="F35" s="33" t="n"/>
      <c r="G35" s="33" t="n"/>
      <c r="H35" s="30" t="inlineStr">
        <is>
          <t>Oui</t>
        </is>
      </c>
    </row>
    <row r="36">
      <c r="A36" s="31" t="inlineStr">
        <is>
          <t>Talent</t>
        </is>
      </c>
      <c r="B36" s="33" t="inlineStr">
        <is>
          <t>Fuite</t>
        </is>
      </c>
      <c r="C36" s="33" t="n"/>
      <c r="D36" s="33" t="n"/>
      <c r="E36" s="33" t="n"/>
      <c r="F36" s="33" t="n"/>
      <c r="G36" s="33" t="n"/>
      <c r="H36" s="30" t="inlineStr">
        <is>
          <t>Oui</t>
        </is>
      </c>
    </row>
    <row r="37">
      <c r="A37" s="31" t="inlineStr">
        <is>
          <t>Capacités</t>
        </is>
      </c>
      <c r="B37" s="34" t="inlineStr">
        <is>
          <t>Charge</t>
        </is>
      </c>
      <c r="C37" s="34" t="n"/>
      <c r="D37" s="34" t="n"/>
      <c r="E37" s="34" t="n"/>
      <c r="F37" s="34" t="n"/>
      <c r="G37" s="34" t="n"/>
      <c r="H37" s="30" t="inlineStr">
        <is>
          <t>Oui</t>
        </is>
      </c>
    </row>
    <row r="38">
      <c r="A38" s="31" t="n"/>
      <c r="B38" s="34" t="inlineStr">
        <is>
          <t>Mimi-Queue</t>
        </is>
      </c>
      <c r="C38" s="34" t="n"/>
      <c r="D38" s="34" t="n"/>
      <c r="E38" s="34" t="n"/>
      <c r="F38" s="34" t="n"/>
      <c r="G38" s="34" t="n"/>
      <c r="H38" s="30" t="inlineStr">
        <is>
          <t>Oui</t>
        </is>
      </c>
    </row>
    <row r="39">
      <c r="A39" s="31" t="n"/>
      <c r="B39" s="34" t="inlineStr">
        <is>
          <t>Vive-Attaque</t>
        </is>
      </c>
      <c r="C39" s="34" t="n"/>
      <c r="D39" s="34" t="n"/>
      <c r="E39" s="34" t="n"/>
      <c r="F39" s="34" t="n"/>
      <c r="G39" s="34" t="n"/>
      <c r="H39" s="30" t="inlineStr">
        <is>
          <t>Oui</t>
        </is>
      </c>
    </row>
    <row r="40">
      <c r="A40" s="31" t="n"/>
      <c r="B40" s="34" t="n"/>
      <c r="C40" s="34" t="n"/>
      <c r="D40" s="34" t="n"/>
      <c r="E40" s="34" t="n"/>
      <c r="F40" s="34" t="n"/>
      <c r="G40" s="34" t="n"/>
      <c r="H40" s="30" t="inlineStr">
        <is>
          <t>Oui</t>
        </is>
      </c>
    </row>
    <row r="41">
      <c r="A41" s="31" t="inlineStr">
        <is>
          <t>Nom</t>
        </is>
      </c>
      <c r="B41" s="32" t="inlineStr">
        <is>
          <t>Gamin Mandé</t>
        </is>
      </c>
      <c r="C41" s="32" t="n"/>
      <c r="D41" s="32" t="n"/>
      <c r="E41" s="32" t="n"/>
      <c r="F41" s="32" t="n"/>
      <c r="G41" s="32" t="n"/>
      <c r="H41" s="30" t="inlineStr">
        <is>
          <t>Oui</t>
        </is>
      </c>
    </row>
    <row r="42">
      <c r="A42" s="31" t="inlineStr">
        <is>
          <t>Pokémon</t>
        </is>
      </c>
      <c r="B42" s="33" t="inlineStr">
        <is>
          <t>HOOTHOOT</t>
        </is>
      </c>
      <c r="C42" s="33" t="inlineStr">
        <is>
          <t>FOUINETTE</t>
        </is>
      </c>
      <c r="D42" s="33" t="n"/>
      <c r="E42" s="33" t="n"/>
      <c r="F42" s="33" t="n"/>
      <c r="G42" s="33" t="n"/>
      <c r="H42" s="30" t="inlineStr">
        <is>
          <t>Oui</t>
        </is>
      </c>
    </row>
    <row r="43">
      <c r="A43" s="31" t="inlineStr">
        <is>
          <t>Niveau</t>
        </is>
      </c>
      <c r="B43" s="33" t="n">
        <v>2</v>
      </c>
      <c r="C43" s="33" t="n">
        <v>4</v>
      </c>
      <c r="D43" s="33" t="n"/>
      <c r="E43" s="33" t="n"/>
      <c r="F43" s="33" t="n"/>
      <c r="G43" s="33" t="n"/>
      <c r="H43" s="30" t="inlineStr">
        <is>
          <t>Oui</t>
        </is>
      </c>
    </row>
    <row r="44">
      <c r="A44" s="31" t="inlineStr">
        <is>
          <t>Objet</t>
        </is>
      </c>
      <c r="B44" s="33" t="inlineStr">
        <is>
          <t>Aucun</t>
        </is>
      </c>
      <c r="C44" s="33" t="inlineStr">
        <is>
          <t>Aucun</t>
        </is>
      </c>
      <c r="D44" s="33" t="n"/>
      <c r="E44" s="33" t="n"/>
      <c r="F44" s="33" t="n"/>
      <c r="G44" s="33" t="n"/>
      <c r="H44" s="30" t="inlineStr">
        <is>
          <t>Oui</t>
        </is>
      </c>
    </row>
    <row r="45">
      <c r="A45" s="31" t="inlineStr">
        <is>
          <t>Talent</t>
        </is>
      </c>
      <c r="B45" s="33" t="inlineStr">
        <is>
          <t>Insomnia</t>
        </is>
      </c>
      <c r="C45" s="33" t="inlineStr">
        <is>
          <t>Fuite</t>
        </is>
      </c>
      <c r="D45" s="33" t="n"/>
      <c r="E45" s="33" t="n"/>
      <c r="F45" s="33" t="n"/>
      <c r="G45" s="33" t="n"/>
      <c r="H45" s="30" t="inlineStr">
        <is>
          <t>Oui</t>
        </is>
      </c>
    </row>
    <row r="46">
      <c r="A46" s="31" t="inlineStr">
        <is>
          <t>Capacités</t>
        </is>
      </c>
      <c r="B46" s="34" t="inlineStr">
        <is>
          <t>Charge</t>
        </is>
      </c>
      <c r="C46" s="34" t="inlineStr">
        <is>
          <t>Griffe</t>
        </is>
      </c>
      <c r="D46" s="34" t="n"/>
      <c r="E46" s="34" t="n"/>
      <c r="F46" s="34" t="n"/>
      <c r="G46" s="34" t="n"/>
      <c r="H46" s="30" t="inlineStr">
        <is>
          <t>Oui</t>
        </is>
      </c>
    </row>
    <row r="47">
      <c r="A47" s="31" t="n"/>
      <c r="B47" s="34" t="inlineStr">
        <is>
          <t>Rugissement</t>
        </is>
      </c>
      <c r="C47" s="34" t="inlineStr">
        <is>
          <t>Clairvoyance</t>
        </is>
      </c>
      <c r="D47" s="34" t="n"/>
      <c r="E47" s="34" t="n"/>
      <c r="F47" s="34" t="n"/>
      <c r="G47" s="34" t="n"/>
      <c r="H47" s="30" t="inlineStr">
        <is>
          <t>Oui</t>
        </is>
      </c>
    </row>
    <row r="48">
      <c r="A48" s="31" t="n"/>
      <c r="B48" s="34" t="inlineStr">
        <is>
          <t>Clairvoyance</t>
        </is>
      </c>
      <c r="C48" s="34" t="inlineStr">
        <is>
          <t>Boul'Armure</t>
        </is>
      </c>
      <c r="D48" s="34" t="n"/>
      <c r="E48" s="34" t="n"/>
      <c r="F48" s="34" t="n"/>
      <c r="G48" s="34" t="n"/>
      <c r="H48" s="30" t="inlineStr">
        <is>
          <t>Oui</t>
        </is>
      </c>
    </row>
    <row r="49">
      <c r="A49" s="31" t="n"/>
      <c r="B49" s="34" t="n"/>
      <c r="C49" s="34" t="n"/>
      <c r="D49" s="34" t="n"/>
      <c r="E49" s="34" t="n"/>
      <c r="F49" s="34" t="n"/>
      <c r="G49" s="34" t="n"/>
      <c r="H49" s="30" t="inlineStr">
        <is>
          <t>Oui</t>
        </is>
      </c>
    </row>
    <row r="50">
      <c r="A50" s="31" t="inlineStr">
        <is>
          <t>Nom</t>
        </is>
      </c>
      <c r="B50" s="32" t="inlineStr">
        <is>
          <t>Scout Jean-Raoul</t>
        </is>
      </c>
      <c r="C50" s="32" t="n"/>
      <c r="D50" s="32" t="n"/>
      <c r="E50" s="32" t="n"/>
      <c r="F50" s="32" t="n"/>
      <c r="G50" s="32" t="n"/>
      <c r="H50" s="30" t="inlineStr">
        <is>
          <t>Oui</t>
        </is>
      </c>
    </row>
    <row r="51">
      <c r="A51" s="31" t="inlineStr">
        <is>
          <t>Pokémon</t>
        </is>
      </c>
      <c r="B51" s="33" t="inlineStr">
        <is>
          <t>COXY</t>
        </is>
      </c>
      <c r="C51" s="33" t="inlineStr">
        <is>
          <t>MIMIGAL</t>
        </is>
      </c>
      <c r="D51" s="33" t="n"/>
      <c r="E51" s="33" t="n"/>
      <c r="F51" s="33" t="n"/>
      <c r="G51" s="33" t="n"/>
      <c r="H51" s="30" t="inlineStr">
        <is>
          <t>Oui</t>
        </is>
      </c>
    </row>
    <row r="52">
      <c r="A52" s="31" t="inlineStr">
        <is>
          <t>Niveau</t>
        </is>
      </c>
      <c r="B52" s="33" t="n">
        <v>3</v>
      </c>
      <c r="C52" s="33" t="n">
        <v>3</v>
      </c>
      <c r="D52" s="33" t="n"/>
      <c r="E52" s="33" t="n"/>
      <c r="F52" s="33" t="n"/>
      <c r="G52" s="33" t="n"/>
      <c r="H52" s="30" t="inlineStr">
        <is>
          <t>Oui</t>
        </is>
      </c>
    </row>
    <row r="53">
      <c r="A53" s="31" t="inlineStr">
        <is>
          <t>Objet</t>
        </is>
      </c>
      <c r="B53" s="33" t="inlineStr">
        <is>
          <t>Aucun</t>
        </is>
      </c>
      <c r="C53" s="33" t="inlineStr">
        <is>
          <t>Aucun</t>
        </is>
      </c>
      <c r="D53" s="33" t="n"/>
      <c r="E53" s="33" t="n"/>
      <c r="F53" s="33" t="n"/>
      <c r="G53" s="33" t="n"/>
      <c r="H53" s="30" t="inlineStr">
        <is>
          <t>Oui</t>
        </is>
      </c>
    </row>
    <row r="54">
      <c r="A54" s="31" t="inlineStr">
        <is>
          <t>Talent</t>
        </is>
      </c>
      <c r="B54" s="33" t="inlineStr">
        <is>
          <t>Essaim</t>
        </is>
      </c>
      <c r="C54" s="33" t="inlineStr">
        <is>
          <t>Essaim</t>
        </is>
      </c>
      <c r="D54" s="33" t="n"/>
      <c r="E54" s="33" t="n"/>
      <c r="F54" s="33" t="n"/>
      <c r="G54" s="33" t="n"/>
      <c r="H54" s="30" t="inlineStr">
        <is>
          <t>Oui</t>
        </is>
      </c>
    </row>
    <row r="55">
      <c r="A55" s="31" t="inlineStr">
        <is>
          <t>Capacités</t>
        </is>
      </c>
      <c r="B55" s="34" t="inlineStr">
        <is>
          <t>Charge</t>
        </is>
      </c>
      <c r="C55" s="34" t="inlineStr">
        <is>
          <t>Dard-Venin</t>
        </is>
      </c>
      <c r="D55" s="34" t="n"/>
      <c r="E55" s="34" t="n"/>
      <c r="F55" s="34" t="n"/>
      <c r="G55" s="34" t="n"/>
      <c r="H55" s="30" t="inlineStr">
        <is>
          <t>Oui</t>
        </is>
      </c>
    </row>
    <row r="56">
      <c r="A56" s="31" t="n"/>
      <c r="B56" s="34" t="n"/>
      <c r="C56" s="34" t="inlineStr">
        <is>
          <t>Sécrétion</t>
        </is>
      </c>
      <c r="D56" s="34" t="n"/>
      <c r="E56" s="34" t="n"/>
      <c r="F56" s="34" t="n"/>
      <c r="G56" s="34" t="n"/>
      <c r="H56" s="30" t="inlineStr">
        <is>
          <t>Oui</t>
        </is>
      </c>
    </row>
    <row r="57">
      <c r="A57" s="31" t="n"/>
      <c r="B57" s="34" t="n"/>
      <c r="C57" s="34" t="inlineStr">
        <is>
          <t>Constriction</t>
        </is>
      </c>
      <c r="D57" s="34" t="n"/>
      <c r="E57" s="34" t="n"/>
      <c r="F57" s="34" t="n"/>
      <c r="G57" s="34" t="n"/>
      <c r="H57" s="30" t="inlineStr">
        <is>
          <t>Oui</t>
        </is>
      </c>
    </row>
    <row r="58">
      <c r="A58" s="31" t="n"/>
      <c r="B58" s="34" t="n"/>
      <c r="C58" s="34" t="n"/>
      <c r="D58" s="34" t="n"/>
      <c r="E58" s="34" t="n"/>
      <c r="F58" s="34" t="n"/>
      <c r="G58" s="34" t="n"/>
      <c r="H58" s="30" t="inlineStr">
        <is>
          <t>Oui</t>
        </is>
      </c>
    </row>
    <row r="59" ht="18" customHeight="1">
      <c r="A59" s="26" t="inlineStr">
        <is>
          <t>Route 31</t>
        </is>
      </c>
      <c r="B59" s="26" t="n"/>
      <c r="C59" s="26" t="n"/>
      <c r="D59" s="26" t="n"/>
      <c r="E59" s="26" t="n"/>
      <c r="F59" s="26" t="n"/>
      <c r="G59" s="26" t="n"/>
      <c r="H59" s="30" t="inlineStr">
        <is>
          <t>Oui</t>
        </is>
      </c>
    </row>
    <row r="60">
      <c r="A60" s="31" t="inlineStr">
        <is>
          <t>Nom</t>
        </is>
      </c>
      <c r="B60" s="32" t="inlineStr">
        <is>
          <t>Scout Francis</t>
        </is>
      </c>
      <c r="C60" s="32" t="n"/>
      <c r="D60" s="32" t="n"/>
      <c r="E60" s="32" t="n"/>
      <c r="F60" s="32" t="n"/>
      <c r="G60" s="32" t="n"/>
      <c r="H60" s="30" t="inlineStr">
        <is>
          <t>Oui</t>
        </is>
      </c>
    </row>
    <row r="61">
      <c r="A61" s="31" t="inlineStr">
        <is>
          <t>Pokémon</t>
        </is>
      </c>
      <c r="B61" s="33" t="inlineStr">
        <is>
          <t>ASPICOT</t>
        </is>
      </c>
      <c r="C61" s="33" t="inlineStr">
        <is>
          <t>POMDEPIK</t>
        </is>
      </c>
      <c r="D61" s="33" t="n"/>
      <c r="E61" s="33" t="n"/>
      <c r="F61" s="33" t="n"/>
      <c r="G61" s="33" t="n"/>
      <c r="H61" s="30" t="inlineStr">
        <is>
          <t>Oui</t>
        </is>
      </c>
    </row>
    <row r="62">
      <c r="A62" s="31" t="inlineStr">
        <is>
          <t>Niveau</t>
        </is>
      </c>
      <c r="B62" s="33" t="n">
        <v>4</v>
      </c>
      <c r="C62" s="33" t="n">
        <v>5</v>
      </c>
      <c r="D62" s="33" t="n"/>
      <c r="E62" s="33" t="n"/>
      <c r="F62" s="33" t="n"/>
      <c r="G62" s="33" t="n"/>
      <c r="H62" s="30" t="inlineStr">
        <is>
          <t>Oui</t>
        </is>
      </c>
    </row>
    <row r="63">
      <c r="A63" s="31" t="inlineStr">
        <is>
          <t>Objet</t>
        </is>
      </c>
      <c r="B63" s="33" t="inlineStr">
        <is>
          <t>Aucun</t>
        </is>
      </c>
      <c r="C63" s="33" t="inlineStr">
        <is>
          <t>Aucun</t>
        </is>
      </c>
      <c r="D63" s="33" t="n"/>
      <c r="E63" s="33" t="n"/>
      <c r="F63" s="33" t="n"/>
      <c r="G63" s="33" t="n"/>
      <c r="H63" s="30" t="inlineStr">
        <is>
          <t>Oui</t>
        </is>
      </c>
    </row>
    <row r="64">
      <c r="A64" s="31" t="inlineStr">
        <is>
          <t>Talent</t>
        </is>
      </c>
      <c r="B64" s="33" t="inlineStr">
        <is>
          <t>Écran Poudre</t>
        </is>
      </c>
      <c r="C64" s="33" t="inlineStr">
        <is>
          <t>Fermeté</t>
        </is>
      </c>
      <c r="D64" s="33" t="n"/>
      <c r="E64" s="33" t="n"/>
      <c r="F64" s="33" t="n"/>
      <c r="G64" s="33" t="n"/>
      <c r="H64" s="30" t="inlineStr">
        <is>
          <t>Oui</t>
        </is>
      </c>
    </row>
    <row r="65">
      <c r="A65" s="31" t="inlineStr">
        <is>
          <t>Capacités</t>
        </is>
      </c>
      <c r="B65" s="34" t="inlineStr">
        <is>
          <t>Dard-Venin</t>
        </is>
      </c>
      <c r="C65" s="34" t="inlineStr">
        <is>
          <t>Charge</t>
        </is>
      </c>
      <c r="D65" s="34" t="n"/>
      <c r="E65" s="34" t="n"/>
      <c r="F65" s="34" t="n"/>
      <c r="G65" s="34" t="n"/>
      <c r="H65" s="30" t="inlineStr">
        <is>
          <t>Oui</t>
        </is>
      </c>
    </row>
    <row r="66">
      <c r="A66" s="31" t="n"/>
      <c r="B66" s="34" t="inlineStr">
        <is>
          <t>Sécrétion</t>
        </is>
      </c>
      <c r="C66" s="34" t="inlineStr">
        <is>
          <t>Abri</t>
        </is>
      </c>
      <c r="D66" s="34" t="n"/>
      <c r="E66" s="34" t="n"/>
      <c r="F66" s="34" t="n"/>
      <c r="G66" s="34" t="n"/>
      <c r="H66" s="30" t="inlineStr">
        <is>
          <t>Oui</t>
        </is>
      </c>
    </row>
    <row r="67">
      <c r="A67" s="31" t="n"/>
      <c r="B67" s="34" t="n"/>
      <c r="C67" s="34" t="n"/>
      <c r="D67" s="34" t="n"/>
      <c r="E67" s="34" t="n"/>
      <c r="F67" s="34" t="n"/>
      <c r="G67" s="34" t="n"/>
      <c r="H67" s="30" t="inlineStr">
        <is>
          <t>Oui</t>
        </is>
      </c>
    </row>
    <row r="68">
      <c r="A68" s="31" t="n"/>
      <c r="B68" s="34" t="n"/>
      <c r="C68" s="34" t="n"/>
      <c r="D68" s="34" t="n"/>
      <c r="E68" s="34" t="n"/>
      <c r="F68" s="34" t="n"/>
      <c r="G68" s="34" t="n"/>
      <c r="H68" s="30" t="inlineStr">
        <is>
          <t>Oui</t>
        </is>
      </c>
    </row>
    <row r="69" ht="18" customHeight="1">
      <c r="A69" s="26" t="inlineStr">
        <is>
          <t>Mauville — Arène</t>
        </is>
      </c>
      <c r="B69" s="26" t="n"/>
      <c r="C69" s="26" t="n"/>
      <c r="D69" s="26" t="n"/>
      <c r="E69" s="26" t="n"/>
      <c r="F69" s="26" t="n"/>
      <c r="G69" s="26" t="n"/>
      <c r="H69" s="30" t="inlineStr">
        <is>
          <t>Oui</t>
        </is>
      </c>
    </row>
    <row r="70">
      <c r="A70" s="31" t="inlineStr">
        <is>
          <t>Nom</t>
        </is>
      </c>
      <c r="B70" s="32" t="inlineStr">
        <is>
          <t>Ornithologue Elie</t>
        </is>
      </c>
      <c r="C70" s="32" t="n"/>
      <c r="D70" s="32" t="n"/>
      <c r="E70" s="32" t="n"/>
      <c r="F70" s="32" t="n"/>
      <c r="G70" s="32" t="n"/>
      <c r="H70" s="30" t="inlineStr">
        <is>
          <t>Oui</t>
        </is>
      </c>
    </row>
    <row r="71">
      <c r="A71" s="31" t="inlineStr">
        <is>
          <t>Pokémon</t>
        </is>
      </c>
      <c r="B71" s="33" t="inlineStr">
        <is>
          <t>ROUCOOL</t>
        </is>
      </c>
      <c r="C71" s="33" t="inlineStr">
        <is>
          <t>NATU</t>
        </is>
      </c>
      <c r="D71" s="33" t="n"/>
      <c r="E71" s="33" t="n"/>
      <c r="F71" s="33" t="n"/>
      <c r="G71" s="33" t="n"/>
      <c r="H71" s="30" t="inlineStr">
        <is>
          <t>Oui</t>
        </is>
      </c>
    </row>
    <row r="72">
      <c r="A72" s="31" t="inlineStr">
        <is>
          <t>Niveau</t>
        </is>
      </c>
      <c r="B72" s="33" t="n">
        <v>7</v>
      </c>
      <c r="C72" s="33" t="n">
        <v>7</v>
      </c>
      <c r="D72" s="33" t="n"/>
      <c r="E72" s="33" t="n"/>
      <c r="F72" s="33" t="n"/>
      <c r="G72" s="33" t="n"/>
      <c r="H72" s="30" t="inlineStr">
        <is>
          <t>Oui</t>
        </is>
      </c>
    </row>
    <row r="73">
      <c r="A73" s="31" t="inlineStr">
        <is>
          <t>Objet</t>
        </is>
      </c>
      <c r="B73" s="33" t="inlineStr">
        <is>
          <t>Aucun</t>
        </is>
      </c>
      <c r="C73" s="33" t="inlineStr">
        <is>
          <t>Aucun</t>
        </is>
      </c>
      <c r="D73" s="33" t="n"/>
      <c r="E73" s="33" t="n"/>
      <c r="F73" s="33" t="n"/>
      <c r="G73" s="33" t="n"/>
      <c r="H73" s="30" t="inlineStr">
        <is>
          <t>Oui</t>
        </is>
      </c>
    </row>
    <row r="74">
      <c r="A74" s="31" t="inlineStr">
        <is>
          <t>Talent</t>
        </is>
      </c>
      <c r="B74" s="33" t="inlineStr">
        <is>
          <t>Regard Vif</t>
        </is>
      </c>
      <c r="C74" s="33" t="inlineStr">
        <is>
          <t>Synchro</t>
        </is>
      </c>
      <c r="D74" s="33" t="n"/>
      <c r="E74" s="33" t="n"/>
      <c r="F74" s="33" t="n"/>
      <c r="G74" s="33" t="n"/>
      <c r="H74" s="30" t="inlineStr">
        <is>
          <t>Oui</t>
        </is>
      </c>
    </row>
    <row r="75">
      <c r="A75" s="31" t="inlineStr">
        <is>
          <t>Capacités</t>
        </is>
      </c>
      <c r="B75" s="34" t="inlineStr">
        <is>
          <t>Charge</t>
        </is>
      </c>
      <c r="C75" s="34" t="inlineStr">
        <is>
          <t>Picpic</t>
        </is>
      </c>
      <c r="D75" s="34" t="n"/>
      <c r="E75" s="34" t="n"/>
      <c r="F75" s="34" t="n"/>
      <c r="G75" s="34" t="n"/>
      <c r="H75" s="30" t="inlineStr">
        <is>
          <t>Oui</t>
        </is>
      </c>
    </row>
    <row r="76">
      <c r="A76" s="31" t="n"/>
      <c r="B76" s="34" t="inlineStr">
        <is>
          <t>Picpic</t>
        </is>
      </c>
      <c r="C76" s="34" t="inlineStr">
        <is>
          <t>Groz'Yeux</t>
        </is>
      </c>
      <c r="D76" s="34" t="n"/>
      <c r="E76" s="34" t="n"/>
      <c r="F76" s="34" t="n"/>
      <c r="G76" s="34" t="n"/>
      <c r="H76" s="30" t="inlineStr">
        <is>
          <t>Oui</t>
        </is>
      </c>
    </row>
    <row r="77">
      <c r="A77" s="31" t="n"/>
      <c r="B77" s="34" t="inlineStr">
        <is>
          <t>Jet de Sable</t>
        </is>
      </c>
      <c r="C77" s="34" t="inlineStr">
        <is>
          <t>Ombre Nocturne</t>
        </is>
      </c>
      <c r="D77" s="34" t="n"/>
      <c r="E77" s="34" t="n"/>
      <c r="F77" s="34" t="n"/>
      <c r="G77" s="34" t="n"/>
      <c r="H77" s="30" t="inlineStr">
        <is>
          <t>Oui</t>
        </is>
      </c>
    </row>
    <row r="78">
      <c r="A78" s="31" t="n"/>
      <c r="B78" s="34" t="n"/>
      <c r="C78" s="34" t="n"/>
      <c r="D78" s="34" t="n"/>
      <c r="E78" s="34" t="n"/>
      <c r="F78" s="34" t="n"/>
      <c r="G78" s="34" t="n"/>
      <c r="H78" s="30" t="inlineStr">
        <is>
          <t>Oui</t>
        </is>
      </c>
    </row>
    <row r="79">
      <c r="A79" s="31" t="inlineStr">
        <is>
          <t>Nom</t>
        </is>
      </c>
      <c r="B79" s="32" t="inlineStr">
        <is>
          <t>Ornithologue Ben</t>
        </is>
      </c>
      <c r="C79" s="32" t="n"/>
      <c r="D79" s="32" t="n"/>
      <c r="E79" s="32" t="n"/>
      <c r="F79" s="32" t="n"/>
      <c r="G79" s="32" t="n"/>
      <c r="H79" s="30" t="inlineStr">
        <is>
          <t>Oui</t>
        </is>
      </c>
    </row>
    <row r="80">
      <c r="A80" s="31" t="inlineStr">
        <is>
          <t>Pokémon</t>
        </is>
      </c>
      <c r="B80" s="33" t="inlineStr">
        <is>
          <t>PIAFABEC</t>
        </is>
      </c>
      <c r="C80" s="33" t="n"/>
      <c r="D80" s="33" t="n"/>
      <c r="E80" s="33" t="n"/>
      <c r="F80" s="33" t="n"/>
      <c r="G80" s="33" t="n"/>
      <c r="H80" s="30" t="inlineStr">
        <is>
          <t>Oui</t>
        </is>
      </c>
    </row>
    <row r="81">
      <c r="A81" s="31" t="inlineStr">
        <is>
          <t>Niveau</t>
        </is>
      </c>
      <c r="B81" s="33" t="n">
        <v>9</v>
      </c>
      <c r="C81" s="33" t="n"/>
      <c r="D81" s="33" t="n"/>
      <c r="E81" s="33" t="n"/>
      <c r="F81" s="33" t="n"/>
      <c r="G81" s="33" t="n"/>
      <c r="H81" s="30" t="inlineStr">
        <is>
          <t>Oui</t>
        </is>
      </c>
    </row>
    <row r="82">
      <c r="A82" s="31" t="inlineStr">
        <is>
          <t>Objet</t>
        </is>
      </c>
      <c r="B82" s="33" t="inlineStr">
        <is>
          <t>Aucun</t>
        </is>
      </c>
      <c r="C82" s="33" t="n"/>
      <c r="D82" s="33" t="n"/>
      <c r="E82" s="33" t="n"/>
      <c r="F82" s="33" t="n"/>
      <c r="G82" s="33" t="n"/>
      <c r="H82" s="30" t="inlineStr">
        <is>
          <t>Oui</t>
        </is>
      </c>
    </row>
    <row r="83">
      <c r="A83" s="31" t="inlineStr">
        <is>
          <t>Talent</t>
        </is>
      </c>
      <c r="B83" s="33" t="inlineStr">
        <is>
          <t>Regard Vif</t>
        </is>
      </c>
      <c r="C83" s="33" t="n"/>
      <c r="D83" s="33" t="n"/>
      <c r="E83" s="33" t="n"/>
      <c r="F83" s="33" t="n"/>
      <c r="G83" s="33" t="n"/>
      <c r="H83" s="30" t="inlineStr">
        <is>
          <t>Oui</t>
        </is>
      </c>
    </row>
    <row r="84">
      <c r="A84" s="31" t="inlineStr">
        <is>
          <t>Capacités</t>
        </is>
      </c>
      <c r="B84" s="34" t="inlineStr">
        <is>
          <t>Picpic</t>
        </is>
      </c>
      <c r="C84" s="34" t="n"/>
      <c r="D84" s="34" t="n"/>
      <c r="E84" s="34" t="n"/>
      <c r="F84" s="34" t="n"/>
      <c r="G84" s="34" t="n"/>
      <c r="H84" s="30" t="inlineStr">
        <is>
          <t>Oui</t>
        </is>
      </c>
    </row>
    <row r="85">
      <c r="A85" s="31" t="n"/>
      <c r="B85" s="34" t="inlineStr">
        <is>
          <t>Rugissement</t>
        </is>
      </c>
      <c r="C85" s="34" t="n"/>
      <c r="D85" s="34" t="n"/>
      <c r="E85" s="34" t="n"/>
      <c r="F85" s="34" t="n"/>
      <c r="G85" s="34" t="n"/>
      <c r="H85" s="30" t="inlineStr">
        <is>
          <t>Oui</t>
        </is>
      </c>
    </row>
    <row r="86">
      <c r="A86" s="31" t="n"/>
      <c r="B86" s="34" t="inlineStr">
        <is>
          <t>Groz'Yeux</t>
        </is>
      </c>
      <c r="C86" s="34" t="n"/>
      <c r="D86" s="34" t="n"/>
      <c r="E86" s="34" t="n"/>
      <c r="F86" s="34" t="n"/>
      <c r="G86" s="34" t="n"/>
      <c r="H86" s="30" t="inlineStr">
        <is>
          <t>Oui</t>
        </is>
      </c>
    </row>
    <row r="87">
      <c r="A87" s="31" t="n"/>
      <c r="B87" s="34" t="inlineStr">
        <is>
          <t>Poursuite</t>
        </is>
      </c>
      <c r="C87" s="34" t="n"/>
      <c r="D87" s="34" t="n"/>
      <c r="E87" s="34" t="n"/>
      <c r="F87" s="34" t="n"/>
      <c r="G87" s="34" t="n"/>
      <c r="H87" s="30" t="inlineStr">
        <is>
          <t>Oui</t>
        </is>
      </c>
    </row>
    <row r="88">
      <c r="A88" s="31" t="inlineStr">
        <is>
          <t>Nom</t>
        </is>
      </c>
      <c r="B88" s="32" t="inlineStr">
        <is>
          <t>Champion Albert</t>
        </is>
      </c>
      <c r="C88" s="32" t="n"/>
      <c r="D88" s="32" t="n"/>
      <c r="E88" s="32" t="n"/>
      <c r="F88" s="32" t="n"/>
      <c r="G88" s="32" t="n"/>
      <c r="H88" s="30" t="inlineStr">
        <is>
          <t>Oui</t>
        </is>
      </c>
    </row>
    <row r="89">
      <c r="A89" s="31" t="inlineStr">
        <is>
          <t>Pokémon</t>
        </is>
      </c>
      <c r="B89" s="33" t="inlineStr">
        <is>
          <t>ROUCOOL</t>
        </is>
      </c>
      <c r="C89" s="33" t="inlineStr">
        <is>
          <t>NOARFANG</t>
        </is>
      </c>
      <c r="D89" s="33" t="n"/>
      <c r="E89" s="33" t="n"/>
      <c r="F89" s="33" t="n"/>
      <c r="G89" s="33" t="n"/>
      <c r="H89" s="30" t="inlineStr">
        <is>
          <t>Oui</t>
        </is>
      </c>
    </row>
    <row r="90">
      <c r="A90" s="31" t="inlineStr">
        <is>
          <t>Niveau</t>
        </is>
      </c>
      <c r="B90" s="33" t="n">
        <v>8</v>
      </c>
      <c r="C90" s="33" t="n">
        <v>11</v>
      </c>
      <c r="D90" s="33" t="n"/>
      <c r="E90" s="33" t="n"/>
      <c r="F90" s="33" t="n"/>
      <c r="G90" s="33" t="n"/>
      <c r="H90" s="30" t="inlineStr">
        <is>
          <t>Oui</t>
        </is>
      </c>
    </row>
    <row r="91">
      <c r="A91" s="31" t="inlineStr">
        <is>
          <t>Objet</t>
        </is>
      </c>
      <c r="B91" s="33" t="inlineStr">
        <is>
          <t>Aucun</t>
        </is>
      </c>
      <c r="C91" s="33" t="inlineStr">
        <is>
          <t>Baie Sitrus</t>
        </is>
      </c>
      <c r="D91" s="33" t="n"/>
      <c r="E91" s="33" t="n"/>
      <c r="F91" s="33" t="n"/>
      <c r="G91" s="33" t="n"/>
      <c r="H91" s="30" t="inlineStr">
        <is>
          <t>Oui</t>
        </is>
      </c>
    </row>
    <row r="92">
      <c r="A92" s="31" t="inlineStr">
        <is>
          <t>Talent</t>
        </is>
      </c>
      <c r="B92" s="33" t="inlineStr">
        <is>
          <t>Regard Vif</t>
        </is>
      </c>
      <c r="C92" s="33" t="inlineStr">
        <is>
          <t>Insomnia</t>
        </is>
      </c>
      <c r="D92" s="33" t="n"/>
      <c r="E92" s="33" t="n"/>
      <c r="F92" s="33" t="n"/>
      <c r="G92" s="33" t="n"/>
      <c r="H92" s="30" t="inlineStr">
        <is>
          <t>Oui</t>
        </is>
      </c>
    </row>
    <row r="93">
      <c r="A93" s="31" t="inlineStr">
        <is>
          <t>Capacités</t>
        </is>
      </c>
      <c r="B93" s="34" t="inlineStr">
        <is>
          <t>Charge</t>
        </is>
      </c>
      <c r="C93" s="34" t="inlineStr">
        <is>
          <t>Charge</t>
        </is>
      </c>
      <c r="D93" s="34" t="n"/>
      <c r="E93" s="34" t="n"/>
      <c r="F93" s="34" t="n"/>
      <c r="G93" s="34" t="n"/>
      <c r="H93" s="30" t="inlineStr">
        <is>
          <t>Oui</t>
        </is>
      </c>
    </row>
    <row r="94">
      <c r="A94" s="31" t="n"/>
      <c r="B94" s="34" t="inlineStr">
        <is>
          <t>Jet de Sable</t>
        </is>
      </c>
      <c r="C94" s="34" t="inlineStr">
        <is>
          <t>Coud'Boue</t>
        </is>
      </c>
      <c r="D94" s="34" t="n"/>
      <c r="E94" s="34" t="n"/>
      <c r="F94" s="34" t="n"/>
      <c r="G94" s="34" t="n"/>
      <c r="H94" s="30" t="inlineStr">
        <is>
          <t>Oui</t>
        </is>
      </c>
    </row>
    <row r="95">
      <c r="A95" s="31" t="n"/>
      <c r="B95" s="34" t="inlineStr">
        <is>
          <t>Vive-Attaque</t>
        </is>
      </c>
      <c r="C95" s="34" t="inlineStr">
        <is>
          <t>Picpic</t>
        </is>
      </c>
      <c r="D95" s="34" t="n"/>
      <c r="E95" s="34" t="n"/>
      <c r="F95" s="34" t="n"/>
      <c r="G95" s="34" t="n"/>
      <c r="H95" s="30" t="inlineStr">
        <is>
          <t>Oui</t>
        </is>
      </c>
    </row>
    <row r="96">
      <c r="A96" s="31" t="n"/>
      <c r="B96" s="34" t="n"/>
      <c r="C96" s="34" t="n"/>
      <c r="D96" s="34" t="n"/>
      <c r="E96" s="34" t="n"/>
      <c r="F96" s="34" t="n"/>
      <c r="G96" s="34" t="n"/>
      <c r="H96" s="30" t="inlineStr">
        <is>
          <t>Oui</t>
        </is>
      </c>
    </row>
    <row r="97" ht="18" customHeight="1">
      <c r="A97" s="26" t="inlineStr">
        <is>
          <t>Tour CHETIFLOR — 1F</t>
        </is>
      </c>
      <c r="B97" s="26" t="n"/>
      <c r="C97" s="26" t="n"/>
      <c r="D97" s="26" t="n"/>
      <c r="E97" s="26" t="n"/>
      <c r="F97" s="26" t="n"/>
      <c r="G97" s="26" t="n"/>
      <c r="H97" s="30" t="inlineStr">
        <is>
          <t>Oui</t>
        </is>
      </c>
    </row>
    <row r="98">
      <c r="A98" s="31" t="inlineStr">
        <is>
          <t>Nom</t>
        </is>
      </c>
      <c r="B98" s="32" t="inlineStr">
        <is>
          <t>Sage Quentin</t>
        </is>
      </c>
      <c r="C98" s="32" t="n"/>
      <c r="D98" s="32" t="n"/>
      <c r="E98" s="32" t="n"/>
      <c r="F98" s="32" t="n"/>
      <c r="G98" s="32" t="n"/>
      <c r="H98" s="30" t="inlineStr">
        <is>
          <t>Oui</t>
        </is>
      </c>
    </row>
    <row r="99">
      <c r="A99" s="31" t="inlineStr">
        <is>
          <t>Pokémon</t>
        </is>
      </c>
      <c r="B99" s="33" t="inlineStr">
        <is>
          <t>CHETIFLOR</t>
        </is>
      </c>
      <c r="C99" s="33" t="inlineStr">
        <is>
          <t>TOURNEGRIN</t>
        </is>
      </c>
      <c r="D99" s="33" t="inlineStr">
        <is>
          <t>CHETIFLOR</t>
        </is>
      </c>
      <c r="E99" s="33" t="n"/>
      <c r="F99" s="33" t="n"/>
      <c r="G99" s="33" t="n"/>
      <c r="H99" s="30" t="inlineStr">
        <is>
          <t>Oui</t>
        </is>
      </c>
    </row>
    <row r="100">
      <c r="A100" s="31" t="inlineStr">
        <is>
          <t>Niveau</t>
        </is>
      </c>
      <c r="B100" s="33" t="n">
        <v>3</v>
      </c>
      <c r="C100" s="33" t="n">
        <v>3</v>
      </c>
      <c r="D100" s="33" t="n">
        <v>3</v>
      </c>
      <c r="E100" s="33" t="n"/>
      <c r="F100" s="33" t="n"/>
      <c r="G100" s="33" t="n"/>
      <c r="H100" s="30" t="inlineStr">
        <is>
          <t>Oui</t>
        </is>
      </c>
    </row>
    <row r="101">
      <c r="A101" s="31" t="inlineStr">
        <is>
          <t>Objet</t>
        </is>
      </c>
      <c r="B101" s="33" t="inlineStr">
        <is>
          <t>Aucun</t>
        </is>
      </c>
      <c r="C101" s="33" t="inlineStr">
        <is>
          <t>Aucun</t>
        </is>
      </c>
      <c r="D101" s="33" t="inlineStr">
        <is>
          <t>Aucun</t>
        </is>
      </c>
      <c r="E101" s="33" t="n"/>
      <c r="F101" s="33" t="n"/>
      <c r="G101" s="33" t="n"/>
      <c r="H101" s="30" t="inlineStr">
        <is>
          <t>Oui</t>
        </is>
      </c>
    </row>
    <row r="102">
      <c r="A102" s="31" t="inlineStr">
        <is>
          <t>Talent</t>
        </is>
      </c>
      <c r="B102" s="33" t="inlineStr">
        <is>
          <t>Chlorophylle</t>
        </is>
      </c>
      <c r="C102" s="33" t="inlineStr">
        <is>
          <t>Chlorophylle</t>
        </is>
      </c>
      <c r="D102" s="33" t="inlineStr">
        <is>
          <t>Chlorophylle</t>
        </is>
      </c>
      <c r="E102" s="33" t="n"/>
      <c r="F102" s="33" t="n"/>
      <c r="G102" s="33" t="n"/>
      <c r="H102" s="30" t="inlineStr">
        <is>
          <t>Oui</t>
        </is>
      </c>
    </row>
    <row r="103">
      <c r="A103" s="31" t="inlineStr">
        <is>
          <t>Capacités</t>
        </is>
      </c>
      <c r="B103" s="34" t="inlineStr">
        <is>
          <t>Fouet Lianes</t>
        </is>
      </c>
      <c r="C103" s="34" t="inlineStr">
        <is>
          <t>Vole-Vie</t>
        </is>
      </c>
      <c r="D103" s="34" t="inlineStr">
        <is>
          <t>Fouet Lianes</t>
        </is>
      </c>
      <c r="E103" s="34" t="n"/>
      <c r="F103" s="34" t="n"/>
      <c r="G103" s="34" t="n"/>
      <c r="H103" s="30" t="inlineStr">
        <is>
          <t>Oui</t>
        </is>
      </c>
    </row>
    <row r="104">
      <c r="A104" s="31" t="n"/>
      <c r="B104" s="34" t="n"/>
      <c r="C104" s="34" t="inlineStr">
        <is>
          <t>Croissance</t>
        </is>
      </c>
      <c r="D104" s="34" t="n"/>
      <c r="E104" s="34" t="n"/>
      <c r="F104" s="34" t="n"/>
      <c r="G104" s="34" t="n"/>
      <c r="H104" s="30" t="inlineStr">
        <is>
          <t>Oui</t>
        </is>
      </c>
    </row>
    <row r="105">
      <c r="A105" s="31" t="n"/>
      <c r="B105" s="34" t="n"/>
      <c r="C105" s="34" t="n"/>
      <c r="D105" s="34" t="n"/>
      <c r="E105" s="34" t="n"/>
      <c r="F105" s="34" t="n"/>
      <c r="G105" s="34" t="n"/>
      <c r="H105" s="30" t="inlineStr">
        <is>
          <t>Oui</t>
        </is>
      </c>
    </row>
    <row r="106">
      <c r="A106" s="31" t="n"/>
      <c r="B106" s="34" t="n"/>
      <c r="C106" s="34" t="n"/>
      <c r="D106" s="34" t="n"/>
      <c r="E106" s="34" t="n"/>
      <c r="F106" s="34" t="n"/>
      <c r="G106" s="34" t="n"/>
      <c r="H106" s="30" t="inlineStr">
        <is>
          <t>Oui</t>
        </is>
      </c>
    </row>
    <row r="107" ht="18" customHeight="1">
      <c r="A107" s="26" t="inlineStr">
        <is>
          <t>Tour CHETIFLOR — 2F</t>
        </is>
      </c>
      <c r="B107" s="26" t="n"/>
      <c r="C107" s="26" t="n"/>
      <c r="D107" s="26" t="n"/>
      <c r="E107" s="26" t="n"/>
      <c r="F107" s="26" t="n"/>
      <c r="G107" s="26" t="n"/>
      <c r="H107" s="30" t="inlineStr">
        <is>
          <t>Oui</t>
        </is>
      </c>
    </row>
    <row r="108">
      <c r="A108" s="31" t="inlineStr">
        <is>
          <t>Nom</t>
        </is>
      </c>
      <c r="B108" s="32" t="inlineStr">
        <is>
          <t>Sage Horst</t>
        </is>
      </c>
      <c r="C108" s="32" t="n"/>
      <c r="D108" s="32" t="n"/>
      <c r="E108" s="32" t="n"/>
      <c r="F108" s="32" t="n"/>
      <c r="G108" s="32" t="n"/>
      <c r="H108" s="30" t="inlineStr">
        <is>
          <t>Oui</t>
        </is>
      </c>
    </row>
    <row r="109">
      <c r="A109" s="31" t="inlineStr">
        <is>
          <t>Pokémon</t>
        </is>
      </c>
      <c r="B109" s="33" t="inlineStr">
        <is>
          <t>CHETIFLOR</t>
        </is>
      </c>
      <c r="C109" s="33" t="inlineStr">
        <is>
          <t>GRANIVOL</t>
        </is>
      </c>
      <c r="D109" s="33" t="inlineStr">
        <is>
          <t>CHETIFLOR</t>
        </is>
      </c>
      <c r="E109" s="33" t="n"/>
      <c r="F109" s="33" t="n"/>
      <c r="G109" s="33" t="n"/>
      <c r="H109" s="30" t="inlineStr">
        <is>
          <t>Oui</t>
        </is>
      </c>
    </row>
    <row r="110">
      <c r="A110" s="31" t="inlineStr">
        <is>
          <t>Niveau</t>
        </is>
      </c>
      <c r="B110" s="33" t="n">
        <v>3</v>
      </c>
      <c r="C110" s="33" t="n">
        <v>4</v>
      </c>
      <c r="D110" s="33" t="n">
        <v>3</v>
      </c>
      <c r="E110" s="33" t="n"/>
      <c r="F110" s="33" t="n"/>
      <c r="G110" s="33" t="n"/>
      <c r="H110" s="30" t="inlineStr">
        <is>
          <t>Oui</t>
        </is>
      </c>
    </row>
    <row r="111">
      <c r="A111" s="31" t="inlineStr">
        <is>
          <t>Objet</t>
        </is>
      </c>
      <c r="B111" s="33" t="inlineStr">
        <is>
          <t>Aucun</t>
        </is>
      </c>
      <c r="C111" s="33" t="inlineStr">
        <is>
          <t>Aucun</t>
        </is>
      </c>
      <c r="D111" s="33" t="inlineStr">
        <is>
          <t>Aucun</t>
        </is>
      </c>
      <c r="E111" s="33" t="n"/>
      <c r="F111" s="33" t="n"/>
      <c r="G111" s="33" t="n"/>
      <c r="H111" s="30" t="inlineStr">
        <is>
          <t>Oui</t>
        </is>
      </c>
    </row>
    <row r="112">
      <c r="A112" s="31" t="inlineStr">
        <is>
          <t>Talent</t>
        </is>
      </c>
      <c r="B112" s="33" t="inlineStr">
        <is>
          <t>Chlorophylle</t>
        </is>
      </c>
      <c r="C112" s="33" t="inlineStr">
        <is>
          <t>Chlorophylle</t>
        </is>
      </c>
      <c r="D112" s="33" t="inlineStr">
        <is>
          <t>Chlorophylle</t>
        </is>
      </c>
      <c r="E112" s="33" t="n"/>
      <c r="F112" s="33" t="n"/>
      <c r="G112" s="33" t="n"/>
      <c r="H112" s="30" t="inlineStr">
        <is>
          <t>Oui</t>
        </is>
      </c>
    </row>
    <row r="113">
      <c r="A113" s="31" t="inlineStr">
        <is>
          <t>Capacités</t>
        </is>
      </c>
      <c r="B113" s="34" t="inlineStr">
        <is>
          <t>Fouet Lianes</t>
        </is>
      </c>
      <c r="C113" s="34" t="inlineStr">
        <is>
          <t>Vole-Vie</t>
        </is>
      </c>
      <c r="D113" s="34" t="inlineStr">
        <is>
          <t>Fouet Lianes</t>
        </is>
      </c>
      <c r="E113" s="34" t="n"/>
      <c r="F113" s="34" t="n"/>
      <c r="G113" s="34" t="n"/>
      <c r="H113" s="30" t="inlineStr">
        <is>
          <t>Oui</t>
        </is>
      </c>
    </row>
    <row r="114">
      <c r="A114" s="31" t="n"/>
      <c r="B114" s="34" t="n"/>
      <c r="C114" s="34" t="inlineStr">
        <is>
          <t>Trempette</t>
        </is>
      </c>
      <c r="D114" s="34" t="n"/>
      <c r="E114" s="34" t="n"/>
      <c r="F114" s="34" t="n"/>
      <c r="G114" s="34" t="n"/>
      <c r="H114" s="30" t="inlineStr">
        <is>
          <t>Oui</t>
        </is>
      </c>
    </row>
    <row r="115">
      <c r="A115" s="31" t="n"/>
      <c r="B115" s="34" t="n"/>
      <c r="C115" s="34" t="inlineStr">
        <is>
          <t>Synthèse</t>
        </is>
      </c>
      <c r="D115" s="34" t="n"/>
      <c r="E115" s="34" t="n"/>
      <c r="F115" s="34" t="n"/>
      <c r="G115" s="34" t="n"/>
      <c r="H115" s="30" t="inlineStr">
        <is>
          <t>Oui</t>
        </is>
      </c>
    </row>
    <row r="116">
      <c r="A116" s="31" t="n"/>
      <c r="B116" s="34" t="n"/>
      <c r="C116" s="34" t="n"/>
      <c r="D116" s="34" t="n"/>
      <c r="E116" s="34" t="n"/>
      <c r="F116" s="34" t="n"/>
      <c r="G116" s="34" t="n"/>
      <c r="H116" s="30" t="inlineStr">
        <is>
          <t>Oui</t>
        </is>
      </c>
    </row>
    <row r="117">
      <c r="A117" s="31" t="inlineStr">
        <is>
          <t>Nom</t>
        </is>
      </c>
      <c r="B117" s="32" t="inlineStr">
        <is>
          <t>Sage Briand</t>
        </is>
      </c>
      <c r="C117" s="32" t="n"/>
      <c r="D117" s="32" t="n"/>
      <c r="E117" s="32" t="n"/>
      <c r="F117" s="32" t="n"/>
      <c r="G117" s="32" t="n"/>
      <c r="H117" s="30" t="inlineStr">
        <is>
          <t>Oui</t>
        </is>
      </c>
    </row>
    <row r="118">
      <c r="A118" s="31" t="inlineStr">
        <is>
          <t>Pokémon</t>
        </is>
      </c>
      <c r="B118" s="33" t="inlineStr">
        <is>
          <t>CHETIFLOR</t>
        </is>
      </c>
      <c r="C118" s="33" t="inlineStr">
        <is>
          <t>CHETIFLOR</t>
        </is>
      </c>
      <c r="D118" s="33" t="inlineStr">
        <is>
          <t>CHETIFLOR</t>
        </is>
      </c>
      <c r="E118" s="33" t="n"/>
      <c r="F118" s="33" t="n"/>
      <c r="G118" s="33" t="n"/>
      <c r="H118" s="30" t="inlineStr">
        <is>
          <t>Oui</t>
        </is>
      </c>
    </row>
    <row r="119">
      <c r="A119" s="31" t="inlineStr">
        <is>
          <t>Niveau</t>
        </is>
      </c>
      <c r="B119" s="33" t="n">
        <v>3</v>
      </c>
      <c r="C119" s="33" t="n">
        <v>3</v>
      </c>
      <c r="D119" s="33" t="n">
        <v>3</v>
      </c>
      <c r="E119" s="33" t="n"/>
      <c r="F119" s="33" t="n"/>
      <c r="G119" s="33" t="n"/>
      <c r="H119" s="30" t="inlineStr">
        <is>
          <t>Oui</t>
        </is>
      </c>
    </row>
    <row r="120">
      <c r="A120" s="31" t="inlineStr">
        <is>
          <t>Objet</t>
        </is>
      </c>
      <c r="B120" s="33" t="inlineStr">
        <is>
          <t>Aucun</t>
        </is>
      </c>
      <c r="C120" s="33" t="inlineStr">
        <is>
          <t>Aucun</t>
        </is>
      </c>
      <c r="D120" s="33" t="inlineStr">
        <is>
          <t>Aucun</t>
        </is>
      </c>
      <c r="E120" s="33" t="n"/>
      <c r="F120" s="33" t="n"/>
      <c r="G120" s="33" t="n"/>
      <c r="H120" s="30" t="inlineStr">
        <is>
          <t>Oui</t>
        </is>
      </c>
    </row>
    <row r="121">
      <c r="A121" s="31" t="inlineStr">
        <is>
          <t>Talent</t>
        </is>
      </c>
      <c r="B121" s="33" t="inlineStr">
        <is>
          <t>Chlorophylle</t>
        </is>
      </c>
      <c r="C121" s="33" t="inlineStr">
        <is>
          <t>Chlorophylle</t>
        </is>
      </c>
      <c r="D121" s="33" t="inlineStr">
        <is>
          <t>Chlorophylle</t>
        </is>
      </c>
      <c r="E121" s="33" t="n"/>
      <c r="F121" s="33" t="n"/>
      <c r="G121" s="33" t="n"/>
      <c r="H121" s="30" t="inlineStr">
        <is>
          <t>Oui</t>
        </is>
      </c>
    </row>
    <row r="122">
      <c r="A122" s="31" t="inlineStr">
        <is>
          <t>Capacités</t>
        </is>
      </c>
      <c r="B122" s="34" t="inlineStr">
        <is>
          <t>Fouet Lianes</t>
        </is>
      </c>
      <c r="C122" s="34" t="inlineStr">
        <is>
          <t>Fouet Lianes</t>
        </is>
      </c>
      <c r="D122" s="34" t="inlineStr">
        <is>
          <t>Fouet Lianes</t>
        </is>
      </c>
      <c r="E122" s="34" t="n"/>
      <c r="F122" s="34" t="n"/>
      <c r="G122" s="34" t="n"/>
      <c r="H122" s="30" t="inlineStr">
        <is>
          <t>Oui</t>
        </is>
      </c>
    </row>
    <row r="123">
      <c r="A123" s="31" t="n"/>
      <c r="B123" s="34" t="n"/>
      <c r="C123" s="34" t="n"/>
      <c r="D123" s="34" t="n"/>
      <c r="E123" s="34" t="n"/>
      <c r="F123" s="34" t="n"/>
      <c r="G123" s="34" t="n"/>
      <c r="H123" s="30" t="inlineStr">
        <is>
          <t>Oui</t>
        </is>
      </c>
    </row>
    <row r="124">
      <c r="A124" s="31" t="n"/>
      <c r="B124" s="34" t="n"/>
      <c r="C124" s="34" t="n"/>
      <c r="D124" s="34" t="n"/>
      <c r="E124" s="34" t="n"/>
      <c r="F124" s="34" t="n"/>
      <c r="G124" s="34" t="n"/>
      <c r="H124" s="30" t="inlineStr">
        <is>
          <t>Oui</t>
        </is>
      </c>
    </row>
    <row r="125">
      <c r="A125" s="31" t="n"/>
      <c r="B125" s="34" t="n"/>
      <c r="C125" s="34" t="n"/>
      <c r="D125" s="34" t="n"/>
      <c r="E125" s="34" t="n"/>
      <c r="F125" s="34" t="n"/>
      <c r="G125" s="34" t="n"/>
      <c r="H125" s="30" t="inlineStr">
        <is>
          <t>Oui</t>
        </is>
      </c>
    </row>
    <row r="126" ht="18" customHeight="1">
      <c r="A126" s="26" t="inlineStr">
        <is>
          <t>Tour CHETIFLOR — 3F</t>
        </is>
      </c>
      <c r="B126" s="26" t="n"/>
      <c r="C126" s="26" t="n"/>
      <c r="D126" s="26" t="n"/>
      <c r="E126" s="26" t="n"/>
      <c r="F126" s="26" t="n"/>
      <c r="G126" s="26" t="n"/>
      <c r="H126" s="30" t="inlineStr">
        <is>
          <t>Oui</t>
        </is>
      </c>
    </row>
    <row r="127">
      <c r="A127" s="31" t="inlineStr">
        <is>
          <t>Nom</t>
        </is>
      </c>
      <c r="B127" s="32" t="inlineStr">
        <is>
          <t>Sage Alfonse</t>
        </is>
      </c>
      <c r="C127" s="32" t="n"/>
      <c r="D127" s="32" t="n"/>
      <c r="E127" s="32" t="n"/>
      <c r="F127" s="32" t="n"/>
      <c r="G127" s="32" t="n"/>
      <c r="H127" s="30" t="inlineStr">
        <is>
          <t>Oui</t>
        </is>
      </c>
    </row>
    <row r="128">
      <c r="A128" s="31" t="inlineStr">
        <is>
          <t>Pokémon</t>
        </is>
      </c>
      <c r="B128" s="33" t="inlineStr">
        <is>
          <t>CHETIFLOR</t>
        </is>
      </c>
      <c r="C128" s="33" t="n"/>
      <c r="D128" s="33" t="n"/>
      <c r="E128" s="33" t="n"/>
      <c r="F128" s="33" t="n"/>
      <c r="G128" s="33" t="n"/>
      <c r="H128" s="30" t="inlineStr">
        <is>
          <t>Oui</t>
        </is>
      </c>
    </row>
    <row r="129">
      <c r="A129" s="31" t="inlineStr">
        <is>
          <t>Niveau</t>
        </is>
      </c>
      <c r="B129" s="33" t="n">
        <v>6</v>
      </c>
      <c r="C129" s="33" t="n"/>
      <c r="D129" s="33" t="n"/>
      <c r="E129" s="33" t="n"/>
      <c r="F129" s="33" t="n"/>
      <c r="G129" s="33" t="n"/>
      <c r="H129" s="30" t="inlineStr">
        <is>
          <t>Oui</t>
        </is>
      </c>
    </row>
    <row r="130">
      <c r="A130" s="31" t="inlineStr">
        <is>
          <t>Objet</t>
        </is>
      </c>
      <c r="B130" s="33" t="inlineStr">
        <is>
          <t>Aucun</t>
        </is>
      </c>
      <c r="C130" s="33" t="n"/>
      <c r="D130" s="33" t="n"/>
      <c r="E130" s="33" t="n"/>
      <c r="F130" s="33" t="n"/>
      <c r="G130" s="33" t="n"/>
      <c r="H130" s="30" t="inlineStr">
        <is>
          <t>Oui</t>
        </is>
      </c>
    </row>
    <row r="131">
      <c r="A131" s="31" t="inlineStr">
        <is>
          <t>Talent</t>
        </is>
      </c>
      <c r="B131" s="33" t="inlineStr">
        <is>
          <t>Chlorophylle</t>
        </is>
      </c>
      <c r="C131" s="33" t="n"/>
      <c r="D131" s="33" t="n"/>
      <c r="E131" s="33" t="n"/>
      <c r="F131" s="33" t="n"/>
      <c r="G131" s="33" t="n"/>
      <c r="H131" s="30" t="inlineStr">
        <is>
          <t>Oui</t>
        </is>
      </c>
    </row>
    <row r="132">
      <c r="A132" s="31" t="inlineStr">
        <is>
          <t>Capacités</t>
        </is>
      </c>
      <c r="B132" s="34" t="inlineStr">
        <is>
          <t>Fouet Lianes</t>
        </is>
      </c>
      <c r="C132" s="34" t="n"/>
      <c r="D132" s="34" t="n"/>
      <c r="E132" s="34" t="n"/>
      <c r="F132" s="34" t="n"/>
      <c r="G132" s="34" t="n"/>
      <c r="H132" s="30" t="inlineStr">
        <is>
          <t>Oui</t>
        </is>
      </c>
    </row>
    <row r="133">
      <c r="A133" s="31" t="n"/>
      <c r="B133" s="34" t="n"/>
      <c r="C133" s="34" t="n"/>
      <c r="D133" s="34" t="n"/>
      <c r="E133" s="34" t="n"/>
      <c r="F133" s="34" t="n"/>
      <c r="G133" s="34" t="n"/>
      <c r="H133" s="30" t="inlineStr">
        <is>
          <t>Oui</t>
        </is>
      </c>
    </row>
    <row r="134">
      <c r="A134" s="31" t="n"/>
      <c r="B134" s="34" t="n"/>
      <c r="C134" s="34" t="n"/>
      <c r="D134" s="34" t="n"/>
      <c r="E134" s="34" t="n"/>
      <c r="F134" s="34" t="n"/>
      <c r="G134" s="34" t="n"/>
      <c r="H134" s="30" t="inlineStr">
        <is>
          <t>Oui</t>
        </is>
      </c>
    </row>
    <row r="135">
      <c r="A135" s="31" t="n"/>
      <c r="B135" s="34" t="n"/>
      <c r="C135" s="34" t="n"/>
      <c r="D135" s="34" t="n"/>
      <c r="E135" s="34" t="n"/>
      <c r="F135" s="34" t="n"/>
      <c r="G135" s="34" t="n"/>
      <c r="H135" s="30" t="inlineStr">
        <is>
          <t>Oui</t>
        </is>
      </c>
    </row>
    <row r="136">
      <c r="A136" s="31" t="inlineStr">
        <is>
          <t>Nom</t>
        </is>
      </c>
      <c r="B136" s="32" t="inlineStr">
        <is>
          <t>Sage Achille</t>
        </is>
      </c>
      <c r="C136" s="32" t="n"/>
      <c r="D136" s="32" t="n"/>
      <c r="E136" s="32" t="n"/>
      <c r="F136" s="32" t="n"/>
      <c r="G136" s="32" t="n"/>
      <c r="H136" s="30" t="inlineStr">
        <is>
          <t>Oui</t>
        </is>
      </c>
    </row>
    <row r="137">
      <c r="A137" s="31" t="inlineStr">
        <is>
          <t>Pokémon</t>
        </is>
      </c>
      <c r="B137" s="33" t="inlineStr">
        <is>
          <t>CHETIFLOR</t>
        </is>
      </c>
      <c r="C137" s="33" t="n"/>
      <c r="D137" s="33" t="n"/>
      <c r="E137" s="33" t="n"/>
      <c r="F137" s="33" t="n"/>
      <c r="G137" s="33" t="n"/>
      <c r="H137" s="30" t="inlineStr">
        <is>
          <t>Oui</t>
        </is>
      </c>
    </row>
    <row r="138">
      <c r="A138" s="31" t="inlineStr">
        <is>
          <t>Niveau</t>
        </is>
      </c>
      <c r="B138" s="33" t="n">
        <v>6</v>
      </c>
      <c r="C138" s="33" t="n"/>
      <c r="D138" s="33" t="n"/>
      <c r="E138" s="33" t="n"/>
      <c r="F138" s="33" t="n"/>
      <c r="G138" s="33" t="n"/>
      <c r="H138" s="30" t="inlineStr">
        <is>
          <t>Oui</t>
        </is>
      </c>
    </row>
    <row r="139">
      <c r="A139" s="31" t="inlineStr">
        <is>
          <t>Objet</t>
        </is>
      </c>
      <c r="B139" s="33" t="inlineStr">
        <is>
          <t>Aucun</t>
        </is>
      </c>
      <c r="C139" s="33" t="n"/>
      <c r="D139" s="33" t="n"/>
      <c r="E139" s="33" t="n"/>
      <c r="F139" s="33" t="n"/>
      <c r="G139" s="33" t="n"/>
      <c r="H139" s="30" t="inlineStr">
        <is>
          <t>Oui</t>
        </is>
      </c>
    </row>
    <row r="140">
      <c r="A140" s="31" t="inlineStr">
        <is>
          <t>Talent</t>
        </is>
      </c>
      <c r="B140" s="33" t="inlineStr">
        <is>
          <t>Chlorophylle</t>
        </is>
      </c>
      <c r="C140" s="33" t="n"/>
      <c r="D140" s="33" t="n"/>
      <c r="E140" s="33" t="n"/>
      <c r="F140" s="33" t="n"/>
      <c r="G140" s="33" t="n"/>
      <c r="H140" s="30" t="inlineStr">
        <is>
          <t>Oui</t>
        </is>
      </c>
    </row>
    <row r="141">
      <c r="A141" s="31" t="inlineStr">
        <is>
          <t>Capacités</t>
        </is>
      </c>
      <c r="B141" s="34" t="inlineStr">
        <is>
          <t>Fouet Lianes</t>
        </is>
      </c>
      <c r="C141" s="34" t="n"/>
      <c r="D141" s="34" t="n"/>
      <c r="E141" s="34" t="n"/>
      <c r="F141" s="34" t="n"/>
      <c r="G141" s="34" t="n"/>
      <c r="H141" s="30" t="inlineStr">
        <is>
          <t>Oui</t>
        </is>
      </c>
    </row>
    <row r="142">
      <c r="A142" s="31" t="n"/>
      <c r="B142" s="34" t="n"/>
      <c r="C142" s="34" t="n"/>
      <c r="D142" s="34" t="n"/>
      <c r="E142" s="34" t="n"/>
      <c r="F142" s="34" t="n"/>
      <c r="G142" s="34" t="n"/>
      <c r="H142" s="30" t="inlineStr">
        <is>
          <t>Oui</t>
        </is>
      </c>
    </row>
    <row r="143">
      <c r="A143" s="31" t="n"/>
      <c r="B143" s="34" t="n"/>
      <c r="C143" s="34" t="n"/>
      <c r="D143" s="34" t="n"/>
      <c r="E143" s="34" t="n"/>
      <c r="F143" s="34" t="n"/>
      <c r="G143" s="34" t="n"/>
      <c r="H143" s="30" t="inlineStr">
        <is>
          <t>Oui</t>
        </is>
      </c>
    </row>
    <row r="144">
      <c r="A144" s="31" t="n"/>
      <c r="B144" s="34" t="n"/>
      <c r="C144" s="34" t="n"/>
      <c r="D144" s="34" t="n"/>
      <c r="E144" s="34" t="n"/>
      <c r="F144" s="34" t="n"/>
      <c r="G144" s="34" t="n"/>
      <c r="H144" s="30" t="inlineStr">
        <is>
          <t>Oui</t>
        </is>
      </c>
    </row>
    <row r="145">
      <c r="A145" s="31" t="inlineStr">
        <is>
          <t>Nom</t>
        </is>
      </c>
      <c r="B145" s="32" t="inlineStr">
        <is>
          <t>Sage Batiste</t>
        </is>
      </c>
      <c r="C145" s="32" t="n"/>
      <c r="D145" s="32" t="n"/>
      <c r="E145" s="32" t="n"/>
      <c r="F145" s="32" t="n"/>
      <c r="G145" s="32" t="n"/>
      <c r="H145" s="30" t="inlineStr">
        <is>
          <t>Oui</t>
        </is>
      </c>
    </row>
    <row r="146">
      <c r="A146" s="31" t="inlineStr">
        <is>
          <t>Pokémon</t>
        </is>
      </c>
      <c r="B146" s="33" t="inlineStr">
        <is>
          <t>GRANIVOL</t>
        </is>
      </c>
      <c r="C146" s="33" t="inlineStr">
        <is>
          <t>CHETIFLOR</t>
        </is>
      </c>
      <c r="D146" s="33" t="n"/>
      <c r="E146" s="33" t="n"/>
      <c r="F146" s="33" t="n"/>
      <c r="G146" s="33" t="n"/>
      <c r="H146" s="30" t="inlineStr">
        <is>
          <t>Oui</t>
        </is>
      </c>
    </row>
    <row r="147">
      <c r="A147" s="31" t="inlineStr">
        <is>
          <t>Niveau</t>
        </is>
      </c>
      <c r="B147" s="33" t="n">
        <v>7</v>
      </c>
      <c r="C147" s="33" t="n">
        <v>7</v>
      </c>
      <c r="D147" s="33" t="n"/>
      <c r="E147" s="33" t="n"/>
      <c r="F147" s="33" t="n"/>
      <c r="G147" s="33" t="n"/>
      <c r="H147" s="30" t="inlineStr">
        <is>
          <t>Oui</t>
        </is>
      </c>
    </row>
    <row r="148">
      <c r="A148" s="31" t="inlineStr">
        <is>
          <t>Objet</t>
        </is>
      </c>
      <c r="B148" s="33" t="inlineStr">
        <is>
          <t>Aucun</t>
        </is>
      </c>
      <c r="C148" s="33" t="inlineStr">
        <is>
          <t>Aucun</t>
        </is>
      </c>
      <c r="D148" s="33" t="n"/>
      <c r="E148" s="33" t="n"/>
      <c r="F148" s="33" t="n"/>
      <c r="G148" s="33" t="n"/>
      <c r="H148" s="30" t="inlineStr">
        <is>
          <t>Oui</t>
        </is>
      </c>
    </row>
    <row r="149">
      <c r="A149" s="31" t="inlineStr">
        <is>
          <t>Talent</t>
        </is>
      </c>
      <c r="B149" s="33" t="inlineStr">
        <is>
          <t>Chlorophylle</t>
        </is>
      </c>
      <c r="C149" s="33" t="inlineStr">
        <is>
          <t>Chlorophylle</t>
        </is>
      </c>
      <c r="D149" s="33" t="n"/>
      <c r="E149" s="33" t="n"/>
      <c r="F149" s="33" t="n"/>
      <c r="G149" s="33" t="n"/>
      <c r="H149" s="30" t="inlineStr">
        <is>
          <t>Oui</t>
        </is>
      </c>
    </row>
    <row r="150">
      <c r="A150" s="31" t="inlineStr">
        <is>
          <t>Capacités</t>
        </is>
      </c>
      <c r="B150" s="34" t="inlineStr">
        <is>
          <t>Vole-Vie</t>
        </is>
      </c>
      <c r="C150" s="34" t="inlineStr">
        <is>
          <t>Fouet Lianes</t>
        </is>
      </c>
      <c r="D150" s="34" t="n"/>
      <c r="E150" s="34" t="n"/>
      <c r="F150" s="34" t="n"/>
      <c r="G150" s="34" t="n"/>
      <c r="H150" s="30" t="inlineStr">
        <is>
          <t>Oui</t>
        </is>
      </c>
    </row>
    <row r="151">
      <c r="A151" s="31" t="n"/>
      <c r="B151" s="34" t="inlineStr">
        <is>
          <t>Trempette</t>
        </is>
      </c>
      <c r="C151" s="34" t="inlineStr">
        <is>
          <t>Croissance</t>
        </is>
      </c>
      <c r="D151" s="34" t="n"/>
      <c r="E151" s="34" t="n"/>
      <c r="F151" s="34" t="n"/>
      <c r="G151" s="34" t="n"/>
      <c r="H151" s="30" t="inlineStr">
        <is>
          <t>Oui</t>
        </is>
      </c>
    </row>
    <row r="152">
      <c r="A152" s="31" t="n"/>
      <c r="B152" s="34" t="inlineStr">
        <is>
          <t>Synthèse</t>
        </is>
      </c>
      <c r="C152" s="34" t="n"/>
      <c r="D152" s="34" t="n"/>
      <c r="E152" s="34" t="n"/>
      <c r="F152" s="34" t="n"/>
      <c r="G152" s="34" t="n"/>
      <c r="H152" s="30" t="inlineStr">
        <is>
          <t>Oui</t>
        </is>
      </c>
    </row>
    <row r="153">
      <c r="A153" s="31" t="n"/>
      <c r="B153" s="34" t="inlineStr">
        <is>
          <t>Mimi-Queue</t>
        </is>
      </c>
      <c r="C153" s="34" t="n"/>
      <c r="D153" s="34" t="n"/>
      <c r="E153" s="34" t="n"/>
      <c r="F153" s="34" t="n"/>
      <c r="G153" s="34" t="n"/>
      <c r="H153" s="30" t="inlineStr">
        <is>
          <t>Oui</t>
        </is>
      </c>
    </row>
    <row r="154">
      <c r="A154" s="31" t="inlineStr">
        <is>
          <t>Nom</t>
        </is>
      </c>
      <c r="B154" s="32" t="inlineStr">
        <is>
          <t>Sage Jehan</t>
        </is>
      </c>
      <c r="C154" s="32" t="n"/>
      <c r="D154" s="32" t="n"/>
      <c r="E154" s="32" t="n"/>
      <c r="F154" s="32" t="n"/>
      <c r="G154" s="32" t="n"/>
      <c r="H154" s="30" t="inlineStr">
        <is>
          <t>Oui</t>
        </is>
      </c>
    </row>
    <row r="155">
      <c r="A155" s="31" t="inlineStr">
        <is>
          <t>Pokémon</t>
        </is>
      </c>
      <c r="B155" s="33" t="inlineStr">
        <is>
          <t>MYSTHERBE</t>
        </is>
      </c>
      <c r="C155" s="33" t="inlineStr">
        <is>
          <t>TOURNEGRIN</t>
        </is>
      </c>
      <c r="D155" s="33" t="inlineStr">
        <is>
          <t>CHETIFLOR</t>
        </is>
      </c>
      <c r="E155" s="33" t="n"/>
      <c r="F155" s="33" t="n"/>
      <c r="G155" s="33" t="n"/>
      <c r="H155" s="30" t="inlineStr">
        <is>
          <t>Oui</t>
        </is>
      </c>
    </row>
    <row r="156">
      <c r="A156" s="31" t="inlineStr">
        <is>
          <t>Niveau</t>
        </is>
      </c>
      <c r="B156" s="33" t="n">
        <v>7</v>
      </c>
      <c r="C156" s="33" t="n">
        <v>8</v>
      </c>
      <c r="D156" s="33" t="n">
        <v>9</v>
      </c>
      <c r="E156" s="33" t="n"/>
      <c r="F156" s="33" t="n"/>
      <c r="G156" s="33" t="n"/>
      <c r="H156" s="30" t="inlineStr">
        <is>
          <t>Oui</t>
        </is>
      </c>
    </row>
    <row r="157">
      <c r="A157" s="31" t="inlineStr">
        <is>
          <t>Objet</t>
        </is>
      </c>
      <c r="B157" s="33" t="inlineStr">
        <is>
          <t>Aucun</t>
        </is>
      </c>
      <c r="C157" s="33" t="inlineStr">
        <is>
          <t>Aucun</t>
        </is>
      </c>
      <c r="D157" s="33" t="inlineStr">
        <is>
          <t>Aucun</t>
        </is>
      </c>
      <c r="E157" s="33" t="n"/>
      <c r="F157" s="33" t="n"/>
      <c r="G157" s="33" t="n"/>
      <c r="H157" s="30" t="inlineStr">
        <is>
          <t>Oui</t>
        </is>
      </c>
    </row>
    <row r="158">
      <c r="A158" s="31" t="inlineStr">
        <is>
          <t>Talent</t>
        </is>
      </c>
      <c r="B158" s="33" t="inlineStr">
        <is>
          <t>Chlorophylle</t>
        </is>
      </c>
      <c r="C158" s="33" t="inlineStr">
        <is>
          <t>Chlorophylle</t>
        </is>
      </c>
      <c r="D158" s="33" t="inlineStr">
        <is>
          <t>Chlorophylle</t>
        </is>
      </c>
      <c r="E158" s="33" t="n"/>
      <c r="F158" s="33" t="n"/>
      <c r="G158" s="33" t="n"/>
      <c r="H158" s="30" t="inlineStr">
        <is>
          <t>Oui</t>
        </is>
      </c>
    </row>
    <row r="159">
      <c r="A159" s="31" t="inlineStr">
        <is>
          <t>Capacités</t>
        </is>
      </c>
      <c r="B159" s="34" t="inlineStr">
        <is>
          <t>Vole-Vie</t>
        </is>
      </c>
      <c r="C159" s="34" t="inlineStr">
        <is>
          <t>Vole-Vie</t>
        </is>
      </c>
      <c r="D159" s="34" t="inlineStr">
        <is>
          <t>Fouet Lianes</t>
        </is>
      </c>
      <c r="E159" s="34" t="n"/>
      <c r="F159" s="34" t="n"/>
      <c r="G159" s="34" t="n"/>
      <c r="H159" s="30" t="inlineStr">
        <is>
          <t>Oui</t>
        </is>
      </c>
    </row>
    <row r="160">
      <c r="A160" s="31" t="n"/>
      <c r="B160" s="34" t="inlineStr">
        <is>
          <t>Croissance</t>
        </is>
      </c>
      <c r="C160" s="34" t="inlineStr">
        <is>
          <t>Croissance</t>
        </is>
      </c>
      <c r="D160" s="34" t="inlineStr">
        <is>
          <t>Croissance</t>
        </is>
      </c>
      <c r="E160" s="34" t="n"/>
      <c r="F160" s="34" t="n"/>
      <c r="G160" s="34" t="n"/>
      <c r="H160" s="30" t="inlineStr">
        <is>
          <t>Oui</t>
        </is>
      </c>
    </row>
    <row r="161">
      <c r="A161" s="31" t="n"/>
      <c r="B161" s="34" t="inlineStr">
        <is>
          <t>Doux Parfum</t>
        </is>
      </c>
      <c r="C161" s="34" t="inlineStr">
        <is>
          <t>Racines</t>
        </is>
      </c>
      <c r="D161" s="34" t="n"/>
      <c r="E161" s="34" t="n"/>
      <c r="F161" s="34" t="n"/>
      <c r="G161" s="34" t="n"/>
      <c r="H161" s="30" t="inlineStr">
        <is>
          <t>Oui</t>
        </is>
      </c>
    </row>
    <row r="162">
      <c r="A162" s="31" t="n"/>
      <c r="B162" s="34" t="n"/>
      <c r="C162" s="34" t="inlineStr">
        <is>
          <t>Siffl'Herbe</t>
        </is>
      </c>
      <c r="D162" s="34" t="n"/>
      <c r="E162" s="34" t="n"/>
      <c r="F162" s="34" t="n"/>
      <c r="G162" s="34" t="n"/>
      <c r="H162" s="30" t="inlineStr">
        <is>
          <t>Oui</t>
        </is>
      </c>
    </row>
    <row r="163" ht="18" customHeight="1">
      <c r="A163" s="26" t="inlineStr">
        <is>
          <t>Route 32</t>
        </is>
      </c>
      <c r="B163" s="26" t="n"/>
      <c r="C163" s="26" t="n"/>
      <c r="D163" s="26" t="n"/>
      <c r="E163" s="26" t="n"/>
      <c r="F163" s="26" t="n"/>
      <c r="G163" s="26" t="n"/>
      <c r="H163" s="30" t="inlineStr">
        <is>
          <t>Oui</t>
        </is>
      </c>
    </row>
    <row r="164">
      <c r="A164" s="31" t="inlineStr">
        <is>
          <t>Nom</t>
        </is>
      </c>
      <c r="B164" s="32" t="inlineStr">
        <is>
          <t>Pêcheur César</t>
        </is>
      </c>
      <c r="C164" s="32" t="n"/>
      <c r="D164" s="32" t="n"/>
      <c r="E164" s="32" t="n"/>
      <c r="F164" s="32" t="n"/>
      <c r="G164" s="32" t="n"/>
      <c r="H164" s="30" t="inlineStr">
        <is>
          <t>Oui</t>
        </is>
      </c>
    </row>
    <row r="165">
      <c r="A165" s="31" t="inlineStr">
        <is>
          <t>Pokémon</t>
        </is>
      </c>
      <c r="B165" s="33" t="inlineStr">
        <is>
          <t>TENTACOOL</t>
        </is>
      </c>
      <c r="C165" s="33" t="n"/>
      <c r="D165" s="33" t="n"/>
      <c r="E165" s="33" t="n"/>
      <c r="F165" s="33" t="n"/>
      <c r="G165" s="33" t="n"/>
      <c r="H165" s="30" t="inlineStr">
        <is>
          <t>Oui</t>
        </is>
      </c>
    </row>
    <row r="166">
      <c r="A166" s="31" t="inlineStr">
        <is>
          <t>Niveau</t>
        </is>
      </c>
      <c r="B166" s="33" t="n">
        <v>7</v>
      </c>
      <c r="C166" s="33" t="n"/>
      <c r="D166" s="33" t="n"/>
      <c r="E166" s="33" t="n"/>
      <c r="F166" s="33" t="n"/>
      <c r="G166" s="33" t="n"/>
      <c r="H166" s="30" t="inlineStr">
        <is>
          <t>Oui</t>
        </is>
      </c>
    </row>
    <row r="167">
      <c r="A167" s="31" t="inlineStr">
        <is>
          <t>Objet</t>
        </is>
      </c>
      <c r="B167" s="33" t="inlineStr">
        <is>
          <t>Aucun</t>
        </is>
      </c>
      <c r="C167" s="33" t="n"/>
      <c r="D167" s="33" t="n"/>
      <c r="E167" s="33" t="n"/>
      <c r="F167" s="33" t="n"/>
      <c r="G167" s="33" t="n"/>
      <c r="H167" s="30" t="inlineStr">
        <is>
          <t>Oui</t>
        </is>
      </c>
    </row>
    <row r="168">
      <c r="A168" s="31" t="inlineStr">
        <is>
          <t>Talent</t>
        </is>
      </c>
      <c r="B168" s="33" t="inlineStr">
        <is>
          <t>Corps Sain</t>
        </is>
      </c>
      <c r="C168" s="33" t="n"/>
      <c r="D168" s="33" t="n"/>
      <c r="E168" s="33" t="n"/>
      <c r="F168" s="33" t="n"/>
      <c r="G168" s="33" t="n"/>
      <c r="H168" s="30" t="inlineStr">
        <is>
          <t>Oui</t>
        </is>
      </c>
    </row>
    <row r="169">
      <c r="A169" s="31" t="inlineStr">
        <is>
          <t>Capacités</t>
        </is>
      </c>
      <c r="B169" s="34" t="inlineStr">
        <is>
          <t>Dard-Venin</t>
        </is>
      </c>
      <c r="C169" s="34" t="n"/>
      <c r="D169" s="34" t="n"/>
      <c r="E169" s="34" t="n"/>
      <c r="F169" s="34" t="n"/>
      <c r="G169" s="34" t="n"/>
      <c r="H169" s="30" t="inlineStr">
        <is>
          <t>Oui</t>
        </is>
      </c>
    </row>
    <row r="170">
      <c r="A170" s="31" t="n"/>
      <c r="B170" s="34" t="inlineStr">
        <is>
          <t>Ultrason</t>
        </is>
      </c>
      <c r="C170" s="34" t="n"/>
      <c r="D170" s="34" t="n"/>
      <c r="E170" s="34" t="n"/>
      <c r="F170" s="34" t="n"/>
      <c r="G170" s="34" t="n"/>
      <c r="H170" s="30" t="inlineStr">
        <is>
          <t>Oui</t>
        </is>
      </c>
    </row>
    <row r="171">
      <c r="A171" s="31" t="n"/>
      <c r="B171" s="34" t="inlineStr">
        <is>
          <t>Constriction</t>
        </is>
      </c>
      <c r="C171" s="34" t="n"/>
      <c r="D171" s="34" t="n"/>
      <c r="E171" s="34" t="n"/>
      <c r="F171" s="34" t="n"/>
      <c r="G171" s="34" t="n"/>
      <c r="H171" s="30" t="inlineStr">
        <is>
          <t>Oui</t>
        </is>
      </c>
    </row>
    <row r="172">
      <c r="A172" s="31" t="n"/>
      <c r="B172" s="34" t="n"/>
      <c r="C172" s="34" t="n"/>
      <c r="D172" s="34" t="n"/>
      <c r="E172" s="34" t="n"/>
      <c r="F172" s="34" t="n"/>
      <c r="G172" s="34" t="n"/>
      <c r="H172" s="30" t="inlineStr">
        <is>
          <t>Oui</t>
        </is>
      </c>
    </row>
    <row r="173">
      <c r="A173" s="31" t="inlineStr">
        <is>
          <t>Nom</t>
        </is>
      </c>
      <c r="B173" s="32" t="inlineStr">
        <is>
          <t>Pêcheur Auffray</t>
        </is>
      </c>
      <c r="C173" s="32" t="n"/>
      <c r="D173" s="32" t="n"/>
      <c r="E173" s="32" t="n"/>
      <c r="F173" s="32" t="n"/>
      <c r="G173" s="32" t="n"/>
      <c r="H173" s="30" t="inlineStr">
        <is>
          <t>Oui</t>
        </is>
      </c>
    </row>
    <row r="174">
      <c r="A174" s="31" t="inlineStr">
        <is>
          <t>Pokémon</t>
        </is>
      </c>
      <c r="B174" s="33" t="inlineStr">
        <is>
          <t>POISSIRENE</t>
        </is>
      </c>
      <c r="C174" s="33" t="n"/>
      <c r="D174" s="33" t="n"/>
      <c r="E174" s="33" t="n"/>
      <c r="F174" s="33" t="n"/>
      <c r="G174" s="33" t="n"/>
      <c r="H174" s="30" t="inlineStr">
        <is>
          <t>Oui</t>
        </is>
      </c>
    </row>
    <row r="175">
      <c r="A175" s="31" t="inlineStr">
        <is>
          <t>Niveau</t>
        </is>
      </c>
      <c r="B175" s="33" t="n">
        <v>8</v>
      </c>
      <c r="C175" s="33" t="n"/>
      <c r="D175" s="33" t="n"/>
      <c r="E175" s="33" t="n"/>
      <c r="F175" s="33" t="n"/>
      <c r="G175" s="33" t="n"/>
      <c r="H175" s="30" t="inlineStr">
        <is>
          <t>Oui</t>
        </is>
      </c>
    </row>
    <row r="176">
      <c r="A176" s="31" t="inlineStr">
        <is>
          <t>Objet</t>
        </is>
      </c>
      <c r="B176" s="33" t="inlineStr">
        <is>
          <t>Aucun</t>
        </is>
      </c>
      <c r="C176" s="33" t="n"/>
      <c r="D176" s="33" t="n"/>
      <c r="E176" s="33" t="n"/>
      <c r="F176" s="33" t="n"/>
      <c r="G176" s="33" t="n"/>
      <c r="H176" s="30" t="inlineStr">
        <is>
          <t>Oui</t>
        </is>
      </c>
    </row>
    <row r="177">
      <c r="A177" s="31" t="inlineStr">
        <is>
          <t>Talent</t>
        </is>
      </c>
      <c r="B177" s="33" t="inlineStr">
        <is>
          <t>Glissade</t>
        </is>
      </c>
      <c r="C177" s="33" t="n"/>
      <c r="D177" s="33" t="n"/>
      <c r="E177" s="33" t="n"/>
      <c r="F177" s="33" t="n"/>
      <c r="G177" s="33" t="n"/>
      <c r="H177" s="30" t="inlineStr">
        <is>
          <t>Oui</t>
        </is>
      </c>
    </row>
    <row r="178">
      <c r="A178" s="31" t="inlineStr">
        <is>
          <t>Capacités</t>
        </is>
      </c>
      <c r="B178" s="34" t="inlineStr">
        <is>
          <t>Tourniquet</t>
        </is>
      </c>
      <c r="C178" s="34" t="n"/>
      <c r="D178" s="34" t="n"/>
      <c r="E178" s="34" t="n"/>
      <c r="F178" s="34" t="n"/>
      <c r="G178" s="34" t="n"/>
      <c r="H178" s="30" t="inlineStr">
        <is>
          <t>Oui</t>
        </is>
      </c>
    </row>
    <row r="179">
      <c r="A179" s="31" t="n"/>
      <c r="B179" s="34" t="inlineStr">
        <is>
          <t>Écume</t>
        </is>
      </c>
      <c r="C179" s="34" t="n"/>
      <c r="D179" s="34" t="n"/>
      <c r="E179" s="34" t="n"/>
      <c r="F179" s="34" t="n"/>
      <c r="G179" s="34" t="n"/>
      <c r="H179" s="30" t="inlineStr">
        <is>
          <t>Oui</t>
        </is>
      </c>
    </row>
    <row r="180">
      <c r="A180" s="31" t="n"/>
      <c r="B180" s="34" t="inlineStr">
        <is>
          <t>Ultrason</t>
        </is>
      </c>
      <c r="C180" s="34" t="n"/>
      <c r="D180" s="34" t="n"/>
      <c r="E180" s="34" t="n"/>
      <c r="F180" s="34" t="n"/>
      <c r="G180" s="34" t="n"/>
      <c r="H180" s="30" t="inlineStr">
        <is>
          <t>Oui</t>
        </is>
      </c>
    </row>
    <row r="181">
      <c r="A181" s="31" t="n"/>
      <c r="B181" s="34" t="inlineStr">
        <is>
          <t>Koud'Korne</t>
        </is>
      </c>
      <c r="C181" s="34" t="n"/>
      <c r="D181" s="34" t="n"/>
      <c r="E181" s="34" t="n"/>
      <c r="F181" s="34" t="n"/>
      <c r="G181" s="34" t="n"/>
      <c r="H181" s="30" t="inlineStr">
        <is>
          <t>Oui</t>
        </is>
      </c>
    </row>
    <row r="182">
      <c r="A182" s="31" t="inlineStr">
        <is>
          <t>Nom</t>
        </is>
      </c>
      <c r="B182" s="32" t="inlineStr">
        <is>
          <t>Pêcheur Loïc</t>
        </is>
      </c>
      <c r="C182" s="32" t="n"/>
      <c r="D182" s="32" t="n"/>
      <c r="E182" s="32" t="n"/>
      <c r="F182" s="32" t="n"/>
      <c r="G182" s="32" t="n"/>
      <c r="H182" s="30" t="inlineStr">
        <is>
          <t>Oui</t>
        </is>
      </c>
    </row>
    <row r="183">
      <c r="A183" s="31" t="inlineStr">
        <is>
          <t>Pokémon</t>
        </is>
      </c>
      <c r="B183" s="33" t="inlineStr">
        <is>
          <t>MARILL</t>
        </is>
      </c>
      <c r="C183" s="33" t="inlineStr">
        <is>
          <t>PTITARD</t>
        </is>
      </c>
      <c r="D183" s="33" t="n"/>
      <c r="E183" s="33" t="n"/>
      <c r="F183" s="33" t="n"/>
      <c r="G183" s="33" t="n"/>
      <c r="H183" s="30" t="inlineStr">
        <is>
          <t>Oui</t>
        </is>
      </c>
    </row>
    <row r="184">
      <c r="A184" s="31" t="inlineStr">
        <is>
          <t>Niveau</t>
        </is>
      </c>
      <c r="B184" s="33" t="n">
        <v>7</v>
      </c>
      <c r="C184" s="33" t="n">
        <v>7</v>
      </c>
      <c r="D184" s="33" t="n"/>
      <c r="E184" s="33" t="n"/>
      <c r="F184" s="33" t="n"/>
      <c r="G184" s="33" t="n"/>
      <c r="H184" s="30" t="inlineStr">
        <is>
          <t>Oui</t>
        </is>
      </c>
    </row>
    <row r="185">
      <c r="A185" s="31" t="inlineStr">
        <is>
          <t>Objet</t>
        </is>
      </c>
      <c r="B185" s="33" t="inlineStr">
        <is>
          <t>Aucun</t>
        </is>
      </c>
      <c r="C185" s="33" t="inlineStr">
        <is>
          <t>Aucun</t>
        </is>
      </c>
      <c r="D185" s="33" t="n"/>
      <c r="E185" s="33" t="n"/>
      <c r="F185" s="33" t="n"/>
      <c r="G185" s="33" t="n"/>
      <c r="H185" s="30" t="inlineStr">
        <is>
          <t>Oui</t>
        </is>
      </c>
    </row>
    <row r="186">
      <c r="A186" s="31" t="inlineStr">
        <is>
          <t>Talent</t>
        </is>
      </c>
      <c r="B186" s="33" t="inlineStr">
        <is>
          <t>Isograisse</t>
        </is>
      </c>
      <c r="C186" s="33" t="inlineStr">
        <is>
          <t>Absorbe-Eau</t>
        </is>
      </c>
      <c r="D186" s="33" t="n"/>
      <c r="E186" s="33" t="n"/>
      <c r="F186" s="33" t="n"/>
      <c r="G186" s="33" t="n"/>
      <c r="H186" s="30" t="inlineStr">
        <is>
          <t>Oui</t>
        </is>
      </c>
    </row>
    <row r="187">
      <c r="A187" s="31" t="inlineStr">
        <is>
          <t>Capacités</t>
        </is>
      </c>
      <c r="B187" s="34" t="inlineStr">
        <is>
          <t>Pistolet à O</t>
        </is>
      </c>
      <c r="C187" s="34" t="inlineStr">
        <is>
          <t>Tourniquet</t>
        </is>
      </c>
      <c r="D187" s="34" t="n"/>
      <c r="E187" s="34" t="n"/>
      <c r="F187" s="34" t="n"/>
      <c r="G187" s="34" t="n"/>
      <c r="H187" s="30" t="inlineStr">
        <is>
          <t>Oui</t>
        </is>
      </c>
    </row>
    <row r="188">
      <c r="A188" s="31" t="n"/>
      <c r="B188" s="34" t="inlineStr">
        <is>
          <t>Mimi-Queue</t>
        </is>
      </c>
      <c r="C188" s="34" t="inlineStr">
        <is>
          <t>Pistolet à O</t>
        </is>
      </c>
      <c r="D188" s="34" t="n"/>
      <c r="E188" s="34" t="n"/>
      <c r="F188" s="34" t="n"/>
      <c r="G188" s="34" t="n"/>
      <c r="H188" s="30" t="inlineStr">
        <is>
          <t>Oui</t>
        </is>
      </c>
    </row>
    <row r="189">
      <c r="A189" s="31" t="n"/>
      <c r="B189" s="34" t="inlineStr">
        <is>
          <t>Tourniquet</t>
        </is>
      </c>
      <c r="C189" s="34" t="n"/>
      <c r="D189" s="34" t="n"/>
      <c r="E189" s="34" t="n"/>
      <c r="F189" s="34" t="n"/>
      <c r="G189" s="34" t="n"/>
      <c r="H189" s="30" t="inlineStr">
        <is>
          <t>Oui</t>
        </is>
      </c>
    </row>
    <row r="190">
      <c r="A190" s="31" t="n"/>
      <c r="B190" s="34" t="inlineStr">
        <is>
          <t>Écume</t>
        </is>
      </c>
      <c r="C190" s="34" t="n"/>
      <c r="D190" s="34" t="n"/>
      <c r="E190" s="34" t="n"/>
      <c r="F190" s="34" t="n"/>
      <c r="G190" s="34" t="n"/>
      <c r="H190" s="30" t="inlineStr">
        <is>
          <t>Oui</t>
        </is>
      </c>
    </row>
    <row r="191">
      <c r="A191" s="31" t="inlineStr">
        <is>
          <t>Nom</t>
        </is>
      </c>
      <c r="B191" s="32" t="inlineStr">
        <is>
          <t>Gamin Roméo</t>
        </is>
      </c>
      <c r="C191" s="32" t="n"/>
      <c r="D191" s="32" t="n"/>
      <c r="E191" s="32" t="n"/>
      <c r="F191" s="32" t="n"/>
      <c r="G191" s="32" t="n"/>
      <c r="H191" s="30" t="inlineStr">
        <is>
          <t>Oui</t>
        </is>
      </c>
    </row>
    <row r="192">
      <c r="A192" s="31" t="inlineStr">
        <is>
          <t>Pokémon</t>
        </is>
      </c>
      <c r="B192" s="33" t="inlineStr">
        <is>
          <t>FOUINETTE</t>
        </is>
      </c>
      <c r="C192" s="33" t="inlineStr">
        <is>
          <t>NOSFERAPTI</t>
        </is>
      </c>
      <c r="D192" s="33" t="n"/>
      <c r="E192" s="33" t="n"/>
      <c r="F192" s="33" t="n"/>
      <c r="G192" s="33" t="n"/>
      <c r="H192" s="30" t="inlineStr">
        <is>
          <t>Oui</t>
        </is>
      </c>
    </row>
    <row r="193">
      <c r="A193" s="31" t="inlineStr">
        <is>
          <t>Niveau</t>
        </is>
      </c>
      <c r="B193" s="33" t="n">
        <v>7</v>
      </c>
      <c r="C193" s="33" t="n">
        <v>7</v>
      </c>
      <c r="D193" s="33" t="n"/>
      <c r="E193" s="33" t="n"/>
      <c r="F193" s="33" t="n"/>
      <c r="G193" s="33" t="n"/>
      <c r="H193" s="30" t="inlineStr">
        <is>
          <t>Oui</t>
        </is>
      </c>
    </row>
    <row r="194">
      <c r="A194" s="31" t="inlineStr">
        <is>
          <t>Objet</t>
        </is>
      </c>
      <c r="B194" s="33" t="inlineStr">
        <is>
          <t>Aucun</t>
        </is>
      </c>
      <c r="C194" s="33" t="inlineStr">
        <is>
          <t>Aucun</t>
        </is>
      </c>
      <c r="D194" s="33" t="n"/>
      <c r="E194" s="33" t="n"/>
      <c r="F194" s="33" t="n"/>
      <c r="G194" s="33" t="n"/>
      <c r="H194" s="30" t="inlineStr">
        <is>
          <t>Oui</t>
        </is>
      </c>
    </row>
    <row r="195">
      <c r="A195" s="31" t="inlineStr">
        <is>
          <t>Talent</t>
        </is>
      </c>
      <c r="B195" s="33" t="inlineStr">
        <is>
          <t>Fuite</t>
        </is>
      </c>
      <c r="C195" s="33" t="inlineStr">
        <is>
          <t>Attention</t>
        </is>
      </c>
      <c r="D195" s="33" t="n"/>
      <c r="E195" s="33" t="n"/>
      <c r="F195" s="33" t="n"/>
      <c r="G195" s="33" t="n"/>
      <c r="H195" s="30" t="inlineStr">
        <is>
          <t>Oui</t>
        </is>
      </c>
    </row>
    <row r="196">
      <c r="A196" s="31" t="inlineStr">
        <is>
          <t>Capacités</t>
        </is>
      </c>
      <c r="B196" s="34" t="inlineStr">
        <is>
          <t>Griffe</t>
        </is>
      </c>
      <c r="C196" s="34" t="inlineStr">
        <is>
          <t>Vole-Vie</t>
        </is>
      </c>
      <c r="D196" s="34" t="n"/>
      <c r="E196" s="34" t="n"/>
      <c r="F196" s="34" t="n"/>
      <c r="G196" s="34" t="n"/>
      <c r="H196" s="30" t="inlineStr">
        <is>
          <t>Oui</t>
        </is>
      </c>
    </row>
    <row r="197">
      <c r="A197" s="31" t="n"/>
      <c r="B197" s="34" t="inlineStr">
        <is>
          <t>Clairvoyance</t>
        </is>
      </c>
      <c r="C197" s="34" t="inlineStr">
        <is>
          <t>Ultrason</t>
        </is>
      </c>
      <c r="D197" s="34" t="n"/>
      <c r="E197" s="34" t="n"/>
      <c r="F197" s="34" t="n"/>
      <c r="G197" s="34" t="n"/>
      <c r="H197" s="30" t="inlineStr">
        <is>
          <t>Oui</t>
        </is>
      </c>
    </row>
    <row r="198">
      <c r="A198" s="31" t="n"/>
      <c r="B198" s="34" t="inlineStr">
        <is>
          <t>Boul'Armure</t>
        </is>
      </c>
      <c r="C198" s="34" t="inlineStr">
        <is>
          <t>Étonnement</t>
        </is>
      </c>
      <c r="D198" s="34" t="n"/>
      <c r="E198" s="34" t="n"/>
      <c r="F198" s="34" t="n"/>
      <c r="G198" s="34" t="n"/>
      <c r="H198" s="30" t="inlineStr">
        <is>
          <t>Oui</t>
        </is>
      </c>
    </row>
    <row r="199">
      <c r="A199" s="31" t="n"/>
      <c r="B199" s="34" t="inlineStr">
        <is>
          <t>Vive-Attaque</t>
        </is>
      </c>
      <c r="C199" s="34" t="n"/>
      <c r="D199" s="34" t="n"/>
      <c r="E199" s="34" t="n"/>
      <c r="F199" s="34" t="n"/>
      <c r="G199" s="34" t="n"/>
      <c r="H199" s="30" t="inlineStr">
        <is>
          <t>Oui</t>
        </is>
      </c>
    </row>
    <row r="200">
      <c r="A200" s="31" t="inlineStr">
        <is>
          <t>Nom</t>
        </is>
      </c>
      <c r="B200" s="32" t="inlineStr">
        <is>
          <t>Gamin Momo</t>
        </is>
      </c>
      <c r="C200" s="32" t="n"/>
      <c r="D200" s="32" t="n"/>
      <c r="E200" s="32" t="n"/>
      <c r="F200" s="32" t="n"/>
      <c r="G200" s="32" t="n"/>
      <c r="H200" s="30" t="inlineStr">
        <is>
          <t>Oui</t>
        </is>
      </c>
    </row>
    <row r="201">
      <c r="A201" s="31" t="inlineStr">
        <is>
          <t>Pokémon</t>
        </is>
      </c>
      <c r="B201" s="33" t="inlineStr">
        <is>
          <t>AXOLOTO</t>
        </is>
      </c>
      <c r="C201" s="33" t="n"/>
      <c r="D201" s="33" t="n"/>
      <c r="E201" s="33" t="n"/>
      <c r="F201" s="33" t="n"/>
      <c r="G201" s="33" t="n"/>
      <c r="H201" s="30" t="inlineStr">
        <is>
          <t>Oui</t>
        </is>
      </c>
    </row>
    <row r="202">
      <c r="A202" s="31" t="inlineStr">
        <is>
          <t>Niveau</t>
        </is>
      </c>
      <c r="B202" s="33" t="n">
        <v>10</v>
      </c>
      <c r="C202" s="33" t="n"/>
      <c r="D202" s="33" t="n"/>
      <c r="E202" s="33" t="n"/>
      <c r="F202" s="33" t="n"/>
      <c r="G202" s="33" t="n"/>
      <c r="H202" s="30" t="inlineStr">
        <is>
          <t>Oui</t>
        </is>
      </c>
    </row>
    <row r="203">
      <c r="A203" s="31" t="inlineStr">
        <is>
          <t>Objet</t>
        </is>
      </c>
      <c r="B203" s="33" t="inlineStr">
        <is>
          <t>Aucun</t>
        </is>
      </c>
      <c r="C203" s="33" t="n"/>
      <c r="D203" s="33" t="n"/>
      <c r="E203" s="33" t="n"/>
      <c r="F203" s="33" t="n"/>
      <c r="G203" s="33" t="n"/>
      <c r="H203" s="30" t="inlineStr">
        <is>
          <t>Oui</t>
        </is>
      </c>
    </row>
    <row r="204">
      <c r="A204" s="31" t="inlineStr">
        <is>
          <t>Talent</t>
        </is>
      </c>
      <c r="B204" s="33" t="inlineStr">
        <is>
          <t>Moiteur</t>
        </is>
      </c>
      <c r="C204" s="33" t="n"/>
      <c r="D204" s="33" t="n"/>
      <c r="E204" s="33" t="n"/>
      <c r="F204" s="33" t="n"/>
      <c r="G204" s="33" t="n"/>
      <c r="H204" s="30" t="inlineStr">
        <is>
          <t>Oui</t>
        </is>
      </c>
    </row>
    <row r="205">
      <c r="A205" s="31" t="inlineStr">
        <is>
          <t>Capacités</t>
        </is>
      </c>
      <c r="B205" s="34" t="inlineStr">
        <is>
          <t>Pistolet à O</t>
        </is>
      </c>
      <c r="C205" s="34" t="n"/>
      <c r="D205" s="34" t="n"/>
      <c r="E205" s="34" t="n"/>
      <c r="F205" s="34" t="n"/>
      <c r="G205" s="34" t="n"/>
      <c r="H205" s="30" t="inlineStr">
        <is>
          <t>Oui</t>
        </is>
      </c>
    </row>
    <row r="206">
      <c r="A206" s="31" t="n"/>
      <c r="B206" s="34" t="inlineStr">
        <is>
          <t>Mimi-Queue</t>
        </is>
      </c>
      <c r="C206" s="34" t="n"/>
      <c r="D206" s="34" t="n"/>
      <c r="E206" s="34" t="n"/>
      <c r="F206" s="34" t="n"/>
      <c r="G206" s="34" t="n"/>
      <c r="H206" s="30" t="inlineStr">
        <is>
          <t>Oui</t>
        </is>
      </c>
    </row>
    <row r="207">
      <c r="A207" s="31" t="n"/>
      <c r="B207" s="34" t="inlineStr">
        <is>
          <t>Lance-Boue</t>
        </is>
      </c>
      <c r="C207" s="34" t="n"/>
      <c r="D207" s="34" t="n"/>
      <c r="E207" s="34" t="n"/>
      <c r="F207" s="34" t="n"/>
      <c r="G207" s="34" t="n"/>
      <c r="H207" s="30" t="inlineStr">
        <is>
          <t>Oui</t>
        </is>
      </c>
    </row>
    <row r="208">
      <c r="A208" s="31" t="n"/>
      <c r="B208" s="34" t="inlineStr">
        <is>
          <t>Tir de Boue</t>
        </is>
      </c>
      <c r="C208" s="34" t="n"/>
      <c r="D208" s="34" t="n"/>
      <c r="E208" s="34" t="n"/>
      <c r="F208" s="34" t="n"/>
      <c r="G208" s="34" t="n"/>
      <c r="H208" s="30" t="inlineStr">
        <is>
          <t>Oui</t>
        </is>
      </c>
    </row>
    <row r="209">
      <c r="A209" s="31" t="inlineStr">
        <is>
          <t>Nom</t>
        </is>
      </c>
      <c r="B209" s="32" t="inlineStr">
        <is>
          <t>Campeur Raymond</t>
        </is>
      </c>
      <c r="C209" s="32" t="n"/>
      <c r="D209" s="32" t="n"/>
      <c r="E209" s="32" t="n"/>
      <c r="F209" s="32" t="n"/>
      <c r="G209" s="32" t="n"/>
      <c r="H209" s="30" t="inlineStr">
        <is>
          <t>Oui</t>
        </is>
      </c>
    </row>
    <row r="210">
      <c r="A210" s="31" t="inlineStr">
        <is>
          <t>Pokémon</t>
        </is>
      </c>
      <c r="B210" s="33" t="inlineStr">
        <is>
          <t>NIDORAN♂</t>
        </is>
      </c>
      <c r="C210" s="33" t="n"/>
      <c r="D210" s="33" t="n"/>
      <c r="E210" s="33" t="n"/>
      <c r="F210" s="33" t="n"/>
      <c r="G210" s="33" t="n"/>
      <c r="H210" s="30" t="inlineStr">
        <is>
          <t>Oui</t>
        </is>
      </c>
    </row>
    <row r="211">
      <c r="A211" s="31" t="inlineStr">
        <is>
          <t>Niveau</t>
        </is>
      </c>
      <c r="B211" s="33" t="n">
        <v>9</v>
      </c>
      <c r="C211" s="33" t="n"/>
      <c r="D211" s="33" t="n"/>
      <c r="E211" s="33" t="n"/>
      <c r="F211" s="33" t="n"/>
      <c r="G211" s="33" t="n"/>
      <c r="H211" s="30" t="inlineStr">
        <is>
          <t>Oui</t>
        </is>
      </c>
    </row>
    <row r="212">
      <c r="A212" s="31" t="inlineStr">
        <is>
          <t>Objet</t>
        </is>
      </c>
      <c r="B212" s="33" t="inlineStr">
        <is>
          <t>Aucun</t>
        </is>
      </c>
      <c r="C212" s="33" t="n"/>
      <c r="D212" s="33" t="n"/>
      <c r="E212" s="33" t="n"/>
      <c r="F212" s="33" t="n"/>
      <c r="G212" s="33" t="n"/>
      <c r="H212" s="30" t="inlineStr">
        <is>
          <t>Oui</t>
        </is>
      </c>
    </row>
    <row r="213">
      <c r="A213" s="31" t="inlineStr">
        <is>
          <t>Talent</t>
        </is>
      </c>
      <c r="B213" s="33" t="inlineStr">
        <is>
          <t>Point Poison</t>
        </is>
      </c>
      <c r="C213" s="33" t="n"/>
      <c r="D213" s="33" t="n"/>
      <c r="E213" s="33" t="n"/>
      <c r="F213" s="33" t="n"/>
      <c r="G213" s="33" t="n"/>
      <c r="H213" s="30" t="inlineStr">
        <is>
          <t>Oui</t>
        </is>
      </c>
    </row>
    <row r="214">
      <c r="A214" s="31" t="inlineStr">
        <is>
          <t>Capacités</t>
        </is>
      </c>
      <c r="B214" s="34" t="inlineStr">
        <is>
          <t>Picpic</t>
        </is>
      </c>
      <c r="C214" s="34" t="n"/>
      <c r="D214" s="34" t="n"/>
      <c r="E214" s="34" t="n"/>
      <c r="F214" s="34" t="n"/>
      <c r="G214" s="34" t="n"/>
      <c r="H214" s="30" t="inlineStr">
        <is>
          <t>Oui</t>
        </is>
      </c>
    </row>
    <row r="215">
      <c r="A215" s="31" t="n"/>
      <c r="B215" s="34" t="inlineStr">
        <is>
          <t>Coud'Boue</t>
        </is>
      </c>
      <c r="C215" s="34" t="n"/>
      <c r="D215" s="34" t="n"/>
      <c r="E215" s="34" t="n"/>
      <c r="F215" s="34" t="n"/>
      <c r="G215" s="34" t="n"/>
      <c r="H215" s="30" t="inlineStr">
        <is>
          <t>Oui</t>
        </is>
      </c>
    </row>
    <row r="216">
      <c r="A216" s="31" t="n"/>
      <c r="B216" s="34" t="inlineStr">
        <is>
          <t>Puissance</t>
        </is>
      </c>
      <c r="C216" s="34" t="n"/>
      <c r="D216" s="34" t="n"/>
      <c r="E216" s="34" t="n"/>
      <c r="F216" s="34" t="n"/>
      <c r="G216" s="34" t="n"/>
      <c r="H216" s="30" t="inlineStr">
        <is>
          <t>Oui</t>
        </is>
      </c>
    </row>
    <row r="217">
      <c r="A217" s="31" t="n"/>
      <c r="B217" s="34" t="inlineStr">
        <is>
          <t>Double Pied</t>
        </is>
      </c>
      <c r="C217" s="34" t="n"/>
      <c r="D217" s="34" t="n"/>
      <c r="E217" s="34" t="n"/>
      <c r="F217" s="34" t="n"/>
      <c r="G217" s="34" t="n"/>
      <c r="H217" s="30" t="inlineStr">
        <is>
          <t>Oui</t>
        </is>
      </c>
    </row>
    <row r="218">
      <c r="A218" s="31" t="inlineStr">
        <is>
          <t>Nom</t>
        </is>
      </c>
      <c r="B218" s="32" t="inlineStr">
        <is>
          <t>Pique-Nique Elisabeth</t>
        </is>
      </c>
      <c r="C218" s="32" t="n"/>
      <c r="D218" s="32" t="n"/>
      <c r="E218" s="32" t="n"/>
      <c r="F218" s="32" t="n"/>
      <c r="G218" s="32" t="n"/>
      <c r="H218" s="30" t="inlineStr">
        <is>
          <t>Oui</t>
        </is>
      </c>
    </row>
    <row r="219">
      <c r="A219" s="31" t="inlineStr">
        <is>
          <t>Pokémon</t>
        </is>
      </c>
      <c r="B219" s="33" t="inlineStr">
        <is>
          <t>NIDORAN♀</t>
        </is>
      </c>
      <c r="C219" s="33" t="n"/>
      <c r="D219" s="33" t="n"/>
      <c r="E219" s="33" t="n"/>
      <c r="F219" s="33" t="n"/>
      <c r="G219" s="33" t="n"/>
      <c r="H219" s="30" t="inlineStr">
        <is>
          <t>Oui</t>
        </is>
      </c>
    </row>
    <row r="220">
      <c r="A220" s="31" t="inlineStr">
        <is>
          <t>Niveau</t>
        </is>
      </c>
      <c r="B220" s="33" t="n">
        <v>9</v>
      </c>
      <c r="C220" s="33" t="n"/>
      <c r="D220" s="33" t="n"/>
      <c r="E220" s="33" t="n"/>
      <c r="F220" s="33" t="n"/>
      <c r="G220" s="33" t="n"/>
      <c r="H220" s="30" t="inlineStr">
        <is>
          <t>Oui</t>
        </is>
      </c>
    </row>
    <row r="221">
      <c r="A221" s="31" t="inlineStr">
        <is>
          <t>Objet</t>
        </is>
      </c>
      <c r="B221" s="33" t="inlineStr">
        <is>
          <t>Aucun</t>
        </is>
      </c>
      <c r="C221" s="33" t="n"/>
      <c r="D221" s="33" t="n"/>
      <c r="E221" s="33" t="n"/>
      <c r="F221" s="33" t="n"/>
      <c r="G221" s="33" t="n"/>
      <c r="H221" s="30" t="inlineStr">
        <is>
          <t>Oui</t>
        </is>
      </c>
    </row>
    <row r="222">
      <c r="A222" s="31" t="inlineStr">
        <is>
          <t>Talent</t>
        </is>
      </c>
      <c r="B222" s="33" t="inlineStr">
        <is>
          <t>Point Poison</t>
        </is>
      </c>
      <c r="C222" s="33" t="n"/>
      <c r="D222" s="33" t="n"/>
      <c r="E222" s="33" t="n"/>
      <c r="F222" s="33" t="n"/>
      <c r="G222" s="33" t="n"/>
      <c r="H222" s="30" t="inlineStr">
        <is>
          <t>Oui</t>
        </is>
      </c>
    </row>
    <row r="223">
      <c r="A223" s="31" t="inlineStr">
        <is>
          <t>Capacités</t>
        </is>
      </c>
      <c r="B223" s="34" t="inlineStr">
        <is>
          <t>Griffe</t>
        </is>
      </c>
      <c r="C223" s="34" t="n"/>
      <c r="D223" s="34" t="n"/>
      <c r="E223" s="34" t="n"/>
      <c r="F223" s="34" t="n"/>
      <c r="G223" s="34" t="n"/>
      <c r="H223" s="30" t="inlineStr">
        <is>
          <t>Oui</t>
        </is>
      </c>
    </row>
    <row r="224">
      <c r="A224" s="31" t="n"/>
      <c r="B224" s="34" t="inlineStr">
        <is>
          <t>Coud'Boue</t>
        </is>
      </c>
      <c r="C224" s="34" t="n"/>
      <c r="D224" s="34" t="n"/>
      <c r="E224" s="34" t="n"/>
      <c r="F224" s="34" t="n"/>
      <c r="G224" s="34" t="n"/>
      <c r="H224" s="30" t="inlineStr">
        <is>
          <t>Oui</t>
        </is>
      </c>
    </row>
    <row r="225">
      <c r="A225" s="31" t="n"/>
      <c r="B225" s="34" t="inlineStr">
        <is>
          <t>Mimi-Queue</t>
        </is>
      </c>
      <c r="C225" s="34" t="n"/>
      <c r="D225" s="34" t="n"/>
      <c r="E225" s="34" t="n"/>
      <c r="F225" s="34" t="n"/>
      <c r="G225" s="34" t="n"/>
      <c r="H225" s="30" t="inlineStr">
        <is>
          <t>Oui</t>
        </is>
      </c>
    </row>
    <row r="226">
      <c r="A226" s="31" t="n"/>
      <c r="B226" s="34" t="inlineStr">
        <is>
          <t>Double Pied</t>
        </is>
      </c>
      <c r="C226" s="34" t="n"/>
      <c r="D226" s="34" t="n"/>
      <c r="E226" s="34" t="n"/>
      <c r="F226" s="34" t="n"/>
      <c r="G226" s="34" t="n"/>
      <c r="H226" s="30" t="inlineStr">
        <is>
          <t>Oui</t>
        </is>
      </c>
    </row>
    <row r="227">
      <c r="A227" s="31" t="inlineStr">
        <is>
          <t>Nom</t>
        </is>
      </c>
      <c r="B227" s="32" t="inlineStr">
        <is>
          <t>Ornithologue Joe</t>
        </is>
      </c>
      <c r="C227" s="32" t="n"/>
      <c r="D227" s="32" t="n"/>
      <c r="E227" s="32" t="n"/>
      <c r="F227" s="32" t="n"/>
      <c r="G227" s="32" t="n"/>
      <c r="H227" s="30" t="inlineStr">
        <is>
          <t>Oui</t>
        </is>
      </c>
    </row>
    <row r="228">
      <c r="A228" s="31" t="inlineStr">
        <is>
          <t>Pokémon</t>
        </is>
      </c>
      <c r="B228" s="33" t="inlineStr">
        <is>
          <t>PIAFABEC</t>
        </is>
      </c>
      <c r="C228" s="33" t="inlineStr">
        <is>
          <t>NATU</t>
        </is>
      </c>
      <c r="D228" s="33" t="n"/>
      <c r="E228" s="33" t="n"/>
      <c r="F228" s="33" t="n"/>
      <c r="G228" s="33" t="n"/>
      <c r="H228" s="30" t="inlineStr">
        <is>
          <t>Oui</t>
        </is>
      </c>
    </row>
    <row r="229">
      <c r="A229" s="31" t="inlineStr">
        <is>
          <t>Niveau</t>
        </is>
      </c>
      <c r="B229" s="33" t="n">
        <v>8</v>
      </c>
      <c r="C229" s="33" t="n">
        <v>8</v>
      </c>
      <c r="D229" s="33" t="n"/>
      <c r="E229" s="33" t="n"/>
      <c r="F229" s="33" t="n"/>
      <c r="G229" s="33" t="n"/>
      <c r="H229" s="30" t="inlineStr">
        <is>
          <t>Oui</t>
        </is>
      </c>
    </row>
    <row r="230">
      <c r="A230" s="31" t="inlineStr">
        <is>
          <t>Objet</t>
        </is>
      </c>
      <c r="B230" s="33" t="inlineStr">
        <is>
          <t>Aucun</t>
        </is>
      </c>
      <c r="C230" s="33" t="inlineStr">
        <is>
          <t>Aucun</t>
        </is>
      </c>
      <c r="D230" s="33" t="n"/>
      <c r="E230" s="33" t="n"/>
      <c r="F230" s="33" t="n"/>
      <c r="G230" s="33" t="n"/>
      <c r="H230" s="30" t="inlineStr">
        <is>
          <t>Oui</t>
        </is>
      </c>
    </row>
    <row r="231">
      <c r="A231" s="31" t="inlineStr">
        <is>
          <t>Talent</t>
        </is>
      </c>
      <c r="B231" s="33" t="inlineStr">
        <is>
          <t>Regard Vif</t>
        </is>
      </c>
      <c r="C231" s="33" t="inlineStr">
        <is>
          <t>Synchro</t>
        </is>
      </c>
      <c r="D231" s="33" t="n"/>
      <c r="E231" s="33" t="n"/>
      <c r="F231" s="33" t="n"/>
      <c r="G231" s="33" t="n"/>
      <c r="H231" s="30" t="inlineStr">
        <is>
          <t>Oui</t>
        </is>
      </c>
    </row>
    <row r="232">
      <c r="A232" s="31" t="inlineStr">
        <is>
          <t>Capacités</t>
        </is>
      </c>
      <c r="B232" s="34" t="inlineStr">
        <is>
          <t>Picpic</t>
        </is>
      </c>
      <c r="C232" s="34" t="inlineStr">
        <is>
          <t>Picpic</t>
        </is>
      </c>
      <c r="D232" s="34" t="n"/>
      <c r="E232" s="34" t="n"/>
      <c r="F232" s="34" t="n"/>
      <c r="G232" s="34" t="n"/>
      <c r="H232" s="30" t="inlineStr">
        <is>
          <t>Oui</t>
        </is>
      </c>
    </row>
    <row r="233">
      <c r="A233" s="31" t="n"/>
      <c r="B233" s="34" t="inlineStr">
        <is>
          <t>Rugissement</t>
        </is>
      </c>
      <c r="C233" s="34" t="inlineStr">
        <is>
          <t>Groz'Yeux</t>
        </is>
      </c>
      <c r="D233" s="34" t="n"/>
      <c r="E233" s="34" t="n"/>
      <c r="F233" s="34" t="n"/>
      <c r="G233" s="34" t="n"/>
      <c r="H233" s="30" t="inlineStr">
        <is>
          <t>Oui</t>
        </is>
      </c>
    </row>
    <row r="234">
      <c r="A234" s="31" t="n"/>
      <c r="B234" s="34" t="inlineStr">
        <is>
          <t>Groz'Yeux</t>
        </is>
      </c>
      <c r="C234" s="34" t="inlineStr">
        <is>
          <t>Ombre Nocturne</t>
        </is>
      </c>
      <c r="D234" s="34" t="n"/>
      <c r="E234" s="34" t="n"/>
      <c r="F234" s="34" t="n"/>
      <c r="G234" s="34" t="n"/>
      <c r="H234" s="30" t="inlineStr">
        <is>
          <t>Oui</t>
        </is>
      </c>
    </row>
    <row r="235">
      <c r="A235" s="31" t="n"/>
      <c r="B235" s="34" t="inlineStr">
        <is>
          <t>Poursuite</t>
        </is>
      </c>
      <c r="C235" s="34" t="n"/>
      <c r="D235" s="34" t="n"/>
      <c r="E235" s="34" t="n"/>
      <c r="F235" s="34" t="n"/>
      <c r="G235" s="34" t="n"/>
      <c r="H235" s="30" t="inlineStr">
        <is>
          <t>Oui</t>
        </is>
      </c>
    </row>
    <row r="236" ht="18" customHeight="1">
      <c r="A236" s="26" t="inlineStr">
        <is>
          <t>Caves Jumelles — 1F</t>
        </is>
      </c>
      <c r="B236" s="26" t="n"/>
      <c r="C236" s="26" t="n"/>
      <c r="D236" s="26" t="n"/>
      <c r="E236" s="26" t="n"/>
      <c r="F236" s="26" t="n"/>
      <c r="G236" s="26" t="n"/>
      <c r="H236" s="30" t="inlineStr">
        <is>
          <t>Oui</t>
        </is>
      </c>
    </row>
    <row r="237">
      <c r="A237" s="31" t="inlineStr">
        <is>
          <t>Nom</t>
        </is>
      </c>
      <c r="B237" s="32" t="inlineStr">
        <is>
          <t>Montagnard Aubin</t>
        </is>
      </c>
      <c r="C237" s="32" t="n"/>
      <c r="D237" s="32" t="n"/>
      <c r="E237" s="32" t="n"/>
      <c r="F237" s="32" t="n"/>
      <c r="G237" s="32" t="n"/>
      <c r="H237" s="30" t="inlineStr">
        <is>
          <t>Oui</t>
        </is>
      </c>
    </row>
    <row r="238">
      <c r="A238" s="31" t="inlineStr">
        <is>
          <t>Pokémon</t>
        </is>
      </c>
      <c r="B238" s="33" t="inlineStr">
        <is>
          <t>RACAILLOU</t>
        </is>
      </c>
      <c r="C238" s="33" t="inlineStr">
        <is>
          <t>OSSELAIT</t>
        </is>
      </c>
      <c r="D238" s="33" t="n"/>
      <c r="E238" s="33" t="n"/>
      <c r="F238" s="33" t="n"/>
      <c r="G238" s="33" t="n"/>
      <c r="H238" s="30" t="inlineStr">
        <is>
          <t>Oui</t>
        </is>
      </c>
    </row>
    <row r="239">
      <c r="A239" s="31" t="inlineStr">
        <is>
          <t>Niveau</t>
        </is>
      </c>
      <c r="B239" s="33" t="n">
        <v>9</v>
      </c>
      <c r="C239" s="33" t="n">
        <v>8</v>
      </c>
      <c r="D239" s="33" t="n"/>
      <c r="E239" s="33" t="n"/>
      <c r="F239" s="33" t="n"/>
      <c r="G239" s="33" t="n"/>
      <c r="H239" s="30" t="inlineStr">
        <is>
          <t>Oui</t>
        </is>
      </c>
    </row>
    <row r="240">
      <c r="A240" s="31" t="inlineStr">
        <is>
          <t>Objet</t>
        </is>
      </c>
      <c r="B240" s="33" t="inlineStr">
        <is>
          <t>Aucun</t>
        </is>
      </c>
      <c r="C240" s="33" t="inlineStr">
        <is>
          <t>Aucun</t>
        </is>
      </c>
      <c r="D240" s="33" t="n"/>
      <c r="E240" s="33" t="n"/>
      <c r="F240" s="33" t="n"/>
      <c r="G240" s="33" t="n"/>
      <c r="H240" s="30" t="inlineStr">
        <is>
          <t>Oui</t>
        </is>
      </c>
    </row>
    <row r="241">
      <c r="A241" s="31" t="inlineStr">
        <is>
          <t>Talent</t>
        </is>
      </c>
      <c r="B241" s="33" t="inlineStr">
        <is>
          <t>Tête de Roc</t>
        </is>
      </c>
      <c r="C241" s="33" t="inlineStr">
        <is>
          <t>Tête de Roc</t>
        </is>
      </c>
      <c r="D241" s="33" t="n"/>
      <c r="E241" s="33" t="n"/>
      <c r="F241" s="33" t="n"/>
      <c r="G241" s="33" t="n"/>
      <c r="H241" s="30" t="inlineStr">
        <is>
          <t>Oui</t>
        </is>
      </c>
    </row>
    <row r="242">
      <c r="A242" s="31" t="inlineStr">
        <is>
          <t>Capacités</t>
        </is>
      </c>
      <c r="B242" s="34" t="inlineStr">
        <is>
          <t>Charge</t>
        </is>
      </c>
      <c r="C242" s="34" t="inlineStr">
        <is>
          <t>Rugissement</t>
        </is>
      </c>
      <c r="D242" s="34" t="n"/>
      <c r="E242" s="34" t="n"/>
      <c r="F242" s="34" t="n"/>
      <c r="G242" s="34" t="n"/>
      <c r="H242" s="30" t="inlineStr">
        <is>
          <t>Oui</t>
        </is>
      </c>
    </row>
    <row r="243">
      <c r="A243" s="31" t="n"/>
      <c r="B243" s="34" t="inlineStr">
        <is>
          <t>Boul'Armure</t>
        </is>
      </c>
      <c r="C243" s="34" t="inlineStr">
        <is>
          <t>Mimi-Queue</t>
        </is>
      </c>
      <c r="D243" s="34" t="n"/>
      <c r="E243" s="34" t="n"/>
      <c r="F243" s="34" t="n"/>
      <c r="G243" s="34" t="n"/>
      <c r="H243" s="30" t="inlineStr">
        <is>
          <t>Oui</t>
        </is>
      </c>
    </row>
    <row r="244">
      <c r="A244" s="31" t="n"/>
      <c r="B244" s="34" t="inlineStr">
        <is>
          <t>Lance-Boue</t>
        </is>
      </c>
      <c r="C244" s="34" t="inlineStr">
        <is>
          <t>Massd'Os</t>
        </is>
      </c>
      <c r="D244" s="34" t="n"/>
      <c r="E244" s="34" t="n"/>
      <c r="F244" s="34" t="n"/>
      <c r="G244" s="34" t="n"/>
      <c r="H244" s="30" t="inlineStr">
        <is>
          <t>Oui</t>
        </is>
      </c>
    </row>
    <row r="245">
      <c r="A245" s="31" t="n"/>
      <c r="B245" s="34" t="inlineStr">
        <is>
          <t>Poliroche</t>
        </is>
      </c>
      <c r="C245" s="34" t="n"/>
      <c r="D245" s="34" t="n"/>
      <c r="E245" s="34" t="n"/>
      <c r="F245" s="34" t="n"/>
      <c r="G245" s="34" t="n"/>
      <c r="H245" s="30" t="inlineStr">
        <is>
          <t>Oui</t>
        </is>
      </c>
    </row>
    <row r="246">
      <c r="A246" s="31" t="inlineStr">
        <is>
          <t>Nom</t>
        </is>
      </c>
      <c r="B246" s="32" t="inlineStr">
        <is>
          <t>Pokémaniac Raynal</t>
        </is>
      </c>
      <c r="C246" s="32" t="n"/>
      <c r="D246" s="32" t="n"/>
      <c r="E246" s="32" t="n"/>
      <c r="F246" s="32" t="n"/>
      <c r="G246" s="32" t="n"/>
      <c r="H246" s="30" t="inlineStr">
        <is>
          <t>Oui</t>
        </is>
      </c>
    </row>
    <row r="247">
      <c r="A247" s="31" t="inlineStr">
        <is>
          <t>Pokémon</t>
        </is>
      </c>
      <c r="B247" s="33" t="inlineStr">
        <is>
          <t>EMBRYLEX</t>
        </is>
      </c>
      <c r="C247" s="33" t="n"/>
      <c r="D247" s="33" t="n"/>
      <c r="E247" s="33" t="n"/>
      <c r="F247" s="33" t="n"/>
      <c r="G247" s="33" t="n"/>
      <c r="H247" s="30" t="inlineStr">
        <is>
          <t>Oui</t>
        </is>
      </c>
    </row>
    <row r="248">
      <c r="A248" s="31" t="inlineStr">
        <is>
          <t>Niveau</t>
        </is>
      </c>
      <c r="B248" s="33" t="n">
        <v>10</v>
      </c>
      <c r="C248" s="33" t="n"/>
      <c r="D248" s="33" t="n"/>
      <c r="E248" s="33" t="n"/>
      <c r="F248" s="33" t="n"/>
      <c r="G248" s="33" t="n"/>
      <c r="H248" s="30" t="inlineStr">
        <is>
          <t>Oui</t>
        </is>
      </c>
    </row>
    <row r="249">
      <c r="A249" s="31" t="inlineStr">
        <is>
          <t>Objet</t>
        </is>
      </c>
      <c r="B249" s="33" t="inlineStr">
        <is>
          <t>Aucun</t>
        </is>
      </c>
      <c r="C249" s="33" t="n"/>
      <c r="D249" s="33" t="n"/>
      <c r="E249" s="33" t="n"/>
      <c r="F249" s="33" t="n"/>
      <c r="G249" s="33" t="n"/>
      <c r="H249" s="30" t="inlineStr">
        <is>
          <t>Oui</t>
        </is>
      </c>
    </row>
    <row r="250">
      <c r="A250" s="31" t="inlineStr">
        <is>
          <t>Talent</t>
        </is>
      </c>
      <c r="B250" s="33" t="inlineStr">
        <is>
          <t>Cran</t>
        </is>
      </c>
      <c r="C250" s="33" t="n"/>
      <c r="D250" s="33" t="n"/>
      <c r="E250" s="33" t="n"/>
      <c r="F250" s="33" t="n"/>
      <c r="G250" s="33" t="n"/>
      <c r="H250" s="30" t="inlineStr">
        <is>
          <t>Oui</t>
        </is>
      </c>
    </row>
    <row r="251">
      <c r="A251" s="31" t="inlineStr">
        <is>
          <t>Capacités</t>
        </is>
      </c>
      <c r="B251" s="34" t="inlineStr">
        <is>
          <t>Groz'Yeux</t>
        </is>
      </c>
      <c r="C251" s="34" t="n"/>
      <c r="D251" s="34" t="n"/>
      <c r="E251" s="34" t="n"/>
      <c r="F251" s="34" t="n"/>
      <c r="G251" s="34" t="n"/>
      <c r="H251" s="30" t="inlineStr">
        <is>
          <t>Oui</t>
        </is>
      </c>
    </row>
    <row r="252">
      <c r="A252" s="31" t="n"/>
      <c r="B252" s="34" t="inlineStr">
        <is>
          <t>Jet-Pierres</t>
        </is>
      </c>
      <c r="C252" s="34" t="n"/>
      <c r="D252" s="34" t="n"/>
      <c r="E252" s="34" t="n"/>
      <c r="F252" s="34" t="n"/>
      <c r="G252" s="34" t="n"/>
      <c r="H252" s="30" t="inlineStr">
        <is>
          <t>Oui</t>
        </is>
      </c>
    </row>
    <row r="253">
      <c r="A253" s="31" t="n"/>
      <c r="B253" s="34" t="inlineStr">
        <is>
          <t>Tempête de Sable</t>
        </is>
      </c>
      <c r="C253" s="34" t="n"/>
      <c r="D253" s="34" t="n"/>
      <c r="E253" s="34" t="n"/>
      <c r="F253" s="34" t="n"/>
      <c r="G253" s="34" t="n"/>
      <c r="H253" s="30" t="inlineStr">
        <is>
          <t>Oui</t>
        </is>
      </c>
    </row>
    <row r="254">
      <c r="A254" s="31" t="n"/>
      <c r="B254" s="34" t="inlineStr">
        <is>
          <t>Grincement</t>
        </is>
      </c>
      <c r="C254" s="34" t="n"/>
      <c r="D254" s="34" t="n"/>
      <c r="E254" s="34" t="n"/>
      <c r="F254" s="34" t="n"/>
      <c r="G254" s="34" t="n"/>
      <c r="H254" s="30" t="inlineStr">
        <is>
          <t>Oui</t>
        </is>
      </c>
    </row>
    <row r="255">
      <c r="A255" s="31" t="inlineStr">
        <is>
          <t>Nom</t>
        </is>
      </c>
      <c r="B255" s="32" t="inlineStr">
        <is>
          <t>Montagnard Sammy</t>
        </is>
      </c>
      <c r="C255" s="32" t="n"/>
      <c r="D255" s="32" t="n"/>
      <c r="E255" s="32" t="n"/>
      <c r="F255" s="32" t="n"/>
      <c r="G255" s="32" t="n"/>
      <c r="H255" s="30" t="inlineStr">
        <is>
          <t>Oui</t>
        </is>
      </c>
    </row>
    <row r="256">
      <c r="A256" s="31" t="inlineStr">
        <is>
          <t>Pokémon</t>
        </is>
      </c>
      <c r="B256" s="33" t="inlineStr">
        <is>
          <t>ONIX</t>
        </is>
      </c>
      <c r="C256" s="33" t="n"/>
      <c r="D256" s="33" t="n"/>
      <c r="E256" s="33" t="n"/>
      <c r="F256" s="33" t="n"/>
      <c r="G256" s="33" t="n"/>
      <c r="H256" s="30" t="inlineStr">
        <is>
          <t>Oui</t>
        </is>
      </c>
    </row>
    <row r="257">
      <c r="A257" s="31" t="inlineStr">
        <is>
          <t>Niveau</t>
        </is>
      </c>
      <c r="B257" s="33" t="n">
        <v>11</v>
      </c>
      <c r="C257" s="33" t="n"/>
      <c r="D257" s="33" t="n"/>
      <c r="E257" s="33" t="n"/>
      <c r="F257" s="33" t="n"/>
      <c r="G257" s="33" t="n"/>
      <c r="H257" s="30" t="inlineStr">
        <is>
          <t>Oui</t>
        </is>
      </c>
    </row>
    <row r="258">
      <c r="A258" s="31" t="inlineStr">
        <is>
          <t>Objet</t>
        </is>
      </c>
      <c r="B258" s="33" t="inlineStr">
        <is>
          <t>Aucun</t>
        </is>
      </c>
      <c r="C258" s="33" t="n"/>
      <c r="D258" s="33" t="n"/>
      <c r="E258" s="33" t="n"/>
      <c r="F258" s="33" t="n"/>
      <c r="G258" s="33" t="n"/>
      <c r="H258" s="30" t="inlineStr">
        <is>
          <t>Oui</t>
        </is>
      </c>
    </row>
    <row r="259">
      <c r="A259" s="31" t="inlineStr">
        <is>
          <t>Talent</t>
        </is>
      </c>
      <c r="B259" s="33" t="inlineStr">
        <is>
          <t>Tête de Roc</t>
        </is>
      </c>
      <c r="C259" s="33" t="n"/>
      <c r="D259" s="33" t="n"/>
      <c r="E259" s="33" t="n"/>
      <c r="F259" s="33" t="n"/>
      <c r="G259" s="33" t="n"/>
      <c r="H259" s="30" t="inlineStr">
        <is>
          <t>Oui</t>
        </is>
      </c>
    </row>
    <row r="260">
      <c r="A260" s="31" t="inlineStr">
        <is>
          <t>Capacités</t>
        </is>
      </c>
      <c r="B260" s="34" t="inlineStr">
        <is>
          <t>Étreinte</t>
        </is>
      </c>
      <c r="C260" s="34" t="n"/>
      <c r="D260" s="34" t="n"/>
      <c r="E260" s="34" t="n"/>
      <c r="F260" s="34" t="n"/>
      <c r="G260" s="34" t="n"/>
      <c r="H260" s="30" t="inlineStr">
        <is>
          <t>Oui</t>
        </is>
      </c>
    </row>
    <row r="261">
      <c r="A261" s="31" t="n"/>
      <c r="B261" s="34" t="inlineStr">
        <is>
          <t>Malédiction</t>
        </is>
      </c>
      <c r="C261" s="34" t="n"/>
      <c r="D261" s="34" t="n"/>
      <c r="E261" s="34" t="n"/>
      <c r="F261" s="34" t="n"/>
      <c r="G261" s="34" t="n"/>
      <c r="H261" s="30" t="inlineStr">
        <is>
          <t>Oui</t>
        </is>
      </c>
    </row>
    <row r="262">
      <c r="A262" s="31" t="n"/>
      <c r="B262" s="34" t="inlineStr">
        <is>
          <t>Jet-Pierres</t>
        </is>
      </c>
      <c r="C262" s="34" t="n"/>
      <c r="D262" s="34" t="n"/>
      <c r="E262" s="34" t="n"/>
      <c r="F262" s="34" t="n"/>
      <c r="G262" s="34" t="n"/>
      <c r="H262" s="30" t="inlineStr">
        <is>
          <t>Oui</t>
        </is>
      </c>
    </row>
    <row r="263">
      <c r="A263" s="31" t="n"/>
      <c r="B263" s="34" t="inlineStr">
        <is>
          <t>Tomberoche</t>
        </is>
      </c>
      <c r="C263" s="34" t="n"/>
      <c r="D263" s="34" t="n"/>
      <c r="E263" s="34" t="n"/>
      <c r="F263" s="34" t="n"/>
      <c r="G263" s="34" t="n"/>
      <c r="H263" s="30" t="inlineStr">
        <is>
          <t>Oui</t>
        </is>
      </c>
    </row>
    <row r="264">
      <c r="A264" s="31" t="inlineStr">
        <is>
          <t>Nom</t>
        </is>
      </c>
      <c r="B264" s="32" t="inlineStr">
        <is>
          <t>Crache-Feu Andréa</t>
        </is>
      </c>
      <c r="C264" s="32" t="n"/>
      <c r="D264" s="32" t="n"/>
      <c r="E264" s="32" t="n"/>
      <c r="F264" s="32" t="n"/>
      <c r="G264" s="32" t="n"/>
      <c r="H264" s="30" t="inlineStr">
        <is>
          <t>Oui</t>
        </is>
      </c>
    </row>
    <row r="265">
      <c r="A265" s="31" t="inlineStr">
        <is>
          <t>Pokémon</t>
        </is>
      </c>
      <c r="B265" s="33" t="inlineStr">
        <is>
          <t>CANINOS</t>
        </is>
      </c>
      <c r="C265" s="33" t="n"/>
      <c r="D265" s="33" t="n"/>
      <c r="E265" s="33" t="n"/>
      <c r="F265" s="33" t="n"/>
      <c r="G265" s="33" t="n"/>
      <c r="H265" s="30" t="inlineStr">
        <is>
          <t>Oui</t>
        </is>
      </c>
    </row>
    <row r="266">
      <c r="A266" s="31" t="inlineStr">
        <is>
          <t>Niveau</t>
        </is>
      </c>
      <c r="B266" s="33" t="n">
        <v>11</v>
      </c>
      <c r="C266" s="33" t="n"/>
      <c r="D266" s="33" t="n"/>
      <c r="E266" s="33" t="n"/>
      <c r="F266" s="33" t="n"/>
      <c r="G266" s="33" t="n"/>
      <c r="H266" s="30" t="inlineStr">
        <is>
          <t>Oui</t>
        </is>
      </c>
    </row>
    <row r="267">
      <c r="A267" s="31" t="inlineStr">
        <is>
          <t>Objet</t>
        </is>
      </c>
      <c r="B267" s="33" t="inlineStr">
        <is>
          <t>Aucun</t>
        </is>
      </c>
      <c r="C267" s="33" t="n"/>
      <c r="D267" s="33" t="n"/>
      <c r="E267" s="33" t="n"/>
      <c r="F267" s="33" t="n"/>
      <c r="G267" s="33" t="n"/>
      <c r="H267" s="30" t="inlineStr">
        <is>
          <t>Oui</t>
        </is>
      </c>
    </row>
    <row r="268">
      <c r="A268" s="31" t="inlineStr">
        <is>
          <t>Talent</t>
        </is>
      </c>
      <c r="B268" s="33" t="inlineStr">
        <is>
          <t>Intimidation</t>
        </is>
      </c>
      <c r="C268" s="33" t="n"/>
      <c r="D268" s="33" t="n"/>
      <c r="E268" s="33" t="n"/>
      <c r="F268" s="33" t="n"/>
      <c r="G268" s="33" t="n"/>
      <c r="H268" s="30" t="inlineStr">
        <is>
          <t>Oui</t>
        </is>
      </c>
    </row>
    <row r="269">
      <c r="A269" s="31" t="inlineStr">
        <is>
          <t>Capacités</t>
        </is>
      </c>
      <c r="B269" s="34" t="inlineStr">
        <is>
          <t>Hurlement</t>
        </is>
      </c>
      <c r="C269" s="34" t="n"/>
      <c r="D269" s="34" t="n"/>
      <c r="E269" s="34" t="n"/>
      <c r="F269" s="34" t="n"/>
      <c r="G269" s="34" t="n"/>
      <c r="H269" s="30" t="inlineStr">
        <is>
          <t>Oui</t>
        </is>
      </c>
    </row>
    <row r="270">
      <c r="A270" s="31" t="n"/>
      <c r="B270" s="34" t="inlineStr">
        <is>
          <t>Flammèche</t>
        </is>
      </c>
      <c r="C270" s="34" t="n"/>
      <c r="D270" s="34" t="n"/>
      <c r="E270" s="34" t="n"/>
      <c r="F270" s="34" t="n"/>
      <c r="G270" s="34" t="n"/>
      <c r="H270" s="30" t="inlineStr">
        <is>
          <t>Oui</t>
        </is>
      </c>
    </row>
    <row r="271">
      <c r="A271" s="31" t="n"/>
      <c r="B271" s="34" t="inlineStr">
        <is>
          <t>Groz'Yeux</t>
        </is>
      </c>
      <c r="C271" s="34" t="n"/>
      <c r="D271" s="34" t="n"/>
      <c r="E271" s="34" t="n"/>
      <c r="F271" s="34" t="n"/>
      <c r="G271" s="34" t="n"/>
      <c r="H271" s="30" t="inlineStr">
        <is>
          <t>Oui</t>
        </is>
      </c>
    </row>
    <row r="272">
      <c r="A272" s="31" t="n"/>
      <c r="B272" s="34" t="inlineStr">
        <is>
          <t>Flair</t>
        </is>
      </c>
      <c r="C272" s="34" t="n"/>
      <c r="D272" s="34" t="n"/>
      <c r="E272" s="34" t="n"/>
      <c r="F272" s="34" t="n"/>
      <c r="G272" s="34" t="n"/>
      <c r="H272" s="30" t="inlineStr">
        <is>
          <t>Oui</t>
        </is>
      </c>
    </row>
    <row r="273">
      <c r="A273" s="31" t="inlineStr">
        <is>
          <t>Nom</t>
        </is>
      </c>
      <c r="B273" s="32" t="inlineStr">
        <is>
          <t>Crache-Feu Luigi</t>
        </is>
      </c>
      <c r="C273" s="32" t="n"/>
      <c r="D273" s="32" t="n"/>
      <c r="E273" s="32" t="n"/>
      <c r="F273" s="32" t="n"/>
      <c r="G273" s="32" t="n"/>
      <c r="H273" s="30" t="inlineStr">
        <is>
          <t>Oui</t>
        </is>
      </c>
    </row>
    <row r="274">
      <c r="A274" s="31" t="inlineStr">
        <is>
          <t>Pokémon</t>
        </is>
      </c>
      <c r="B274" s="33" t="inlineStr">
        <is>
          <t>GOUPIX</t>
        </is>
      </c>
      <c r="C274" s="33" t="n"/>
      <c r="D274" s="33" t="n"/>
      <c r="E274" s="33" t="n"/>
      <c r="F274" s="33" t="n"/>
      <c r="G274" s="33" t="n"/>
      <c r="H274" s="30" t="inlineStr">
        <is>
          <t>Oui</t>
        </is>
      </c>
    </row>
    <row r="275">
      <c r="A275" s="31" t="inlineStr">
        <is>
          <t>Niveau</t>
        </is>
      </c>
      <c r="B275" s="33" t="n">
        <v>9</v>
      </c>
      <c r="C275" s="33" t="n"/>
      <c r="D275" s="33" t="n"/>
      <c r="E275" s="33" t="n"/>
      <c r="F275" s="33" t="n"/>
      <c r="G275" s="33" t="n"/>
      <c r="H275" s="30" t="inlineStr">
        <is>
          <t>Oui</t>
        </is>
      </c>
    </row>
    <row r="276">
      <c r="A276" s="31" t="inlineStr">
        <is>
          <t>Objet</t>
        </is>
      </c>
      <c r="B276" s="33" t="inlineStr">
        <is>
          <t>Aucun</t>
        </is>
      </c>
      <c r="C276" s="33" t="n"/>
      <c r="D276" s="33" t="n"/>
      <c r="E276" s="33" t="n"/>
      <c r="F276" s="33" t="n"/>
      <c r="G276" s="33" t="n"/>
      <c r="H276" s="30" t="inlineStr">
        <is>
          <t>Oui</t>
        </is>
      </c>
    </row>
    <row r="277">
      <c r="A277" s="31" t="inlineStr">
        <is>
          <t>Talent</t>
        </is>
      </c>
      <c r="B277" s="33" t="inlineStr">
        <is>
          <t>Torche</t>
        </is>
      </c>
      <c r="C277" s="33" t="n"/>
      <c r="D277" s="33" t="n"/>
      <c r="E277" s="33" t="n"/>
      <c r="F277" s="33" t="n"/>
      <c r="G277" s="33" t="n"/>
      <c r="H277" s="30" t="inlineStr">
        <is>
          <t>Oui</t>
        </is>
      </c>
    </row>
    <row r="278">
      <c r="A278" s="31" t="inlineStr">
        <is>
          <t>Capacités</t>
        </is>
      </c>
      <c r="B278" s="34" t="inlineStr">
        <is>
          <t>Flammèche</t>
        </is>
      </c>
      <c r="C278" s="34" t="n"/>
      <c r="D278" s="34" t="n"/>
      <c r="E278" s="34" t="n"/>
      <c r="F278" s="34" t="n"/>
      <c r="G278" s="34" t="n"/>
      <c r="H278" s="30" t="inlineStr">
        <is>
          <t>Oui</t>
        </is>
      </c>
    </row>
    <row r="279">
      <c r="A279" s="31" t="n"/>
      <c r="B279" s="34" t="inlineStr">
        <is>
          <t>Mimi-Queue</t>
        </is>
      </c>
      <c r="C279" s="34" t="n"/>
      <c r="D279" s="34" t="n"/>
      <c r="E279" s="34" t="n"/>
      <c r="F279" s="34" t="n"/>
      <c r="G279" s="34" t="n"/>
      <c r="H279" s="30" t="inlineStr">
        <is>
          <t>Oui</t>
        </is>
      </c>
    </row>
    <row r="280">
      <c r="A280" s="31" t="n"/>
      <c r="B280" s="34" t="inlineStr">
        <is>
          <t>Hurlement</t>
        </is>
      </c>
      <c r="C280" s="34" t="n"/>
      <c r="D280" s="34" t="n"/>
      <c r="E280" s="34" t="n"/>
      <c r="F280" s="34" t="n"/>
      <c r="G280" s="34" t="n"/>
      <c r="H280" s="30" t="inlineStr">
        <is>
          <t>Oui</t>
        </is>
      </c>
    </row>
    <row r="281">
      <c r="A281" s="31" t="n"/>
      <c r="B281" s="34" t="inlineStr">
        <is>
          <t>Regard Touchant</t>
        </is>
      </c>
      <c r="C281" s="34" t="n"/>
      <c r="D281" s="34" t="n"/>
      <c r="E281" s="34" t="n"/>
      <c r="F281" s="34" t="n"/>
      <c r="G281" s="34" t="n"/>
      <c r="H281" s="30" t="inlineStr">
        <is>
          <t>Oui</t>
        </is>
      </c>
    </row>
    <row r="282" ht="18" customHeight="1">
      <c r="A282" s="26" t="inlineStr">
        <is>
          <t>Route 33</t>
        </is>
      </c>
      <c r="B282" s="26" t="n"/>
      <c r="C282" s="26" t="n"/>
      <c r="D282" s="26" t="n"/>
      <c r="E282" s="26" t="n"/>
      <c r="F282" s="26" t="n"/>
      <c r="G282" s="26" t="n"/>
      <c r="H282" s="30" t="inlineStr">
        <is>
          <t>Oui</t>
        </is>
      </c>
    </row>
    <row r="283">
      <c r="A283" s="31" t="inlineStr">
        <is>
          <t>Nom</t>
        </is>
      </c>
      <c r="B283" s="32" t="inlineStr">
        <is>
          <t>Montagnard Olwen</t>
        </is>
      </c>
      <c r="C283" s="32" t="n"/>
      <c r="D283" s="32" t="n"/>
      <c r="E283" s="32" t="n"/>
      <c r="F283" s="32" t="n"/>
      <c r="G283" s="32" t="n"/>
      <c r="H283" s="30" t="inlineStr">
        <is>
          <t>Oui</t>
        </is>
      </c>
    </row>
    <row r="284">
      <c r="A284" s="31" t="inlineStr">
        <is>
          <t>Pokémon</t>
        </is>
      </c>
      <c r="B284" s="33" t="inlineStr">
        <is>
          <t>RACAILLOU</t>
        </is>
      </c>
      <c r="C284" s="33" t="inlineStr">
        <is>
          <t>MACHOC</t>
        </is>
      </c>
      <c r="D284" s="33" t="n"/>
      <c r="E284" s="33" t="n"/>
      <c r="F284" s="33" t="n"/>
      <c r="G284" s="33" t="n"/>
      <c r="H284" s="30" t="inlineStr">
        <is>
          <t>Oui</t>
        </is>
      </c>
    </row>
    <row r="285">
      <c r="A285" s="31" t="inlineStr">
        <is>
          <t>Niveau</t>
        </is>
      </c>
      <c r="B285" s="33" t="n">
        <v>11</v>
      </c>
      <c r="C285" s="33" t="n">
        <v>11</v>
      </c>
      <c r="D285" s="33" t="n"/>
      <c r="E285" s="33" t="n"/>
      <c r="F285" s="33" t="n"/>
      <c r="G285" s="33" t="n"/>
      <c r="H285" s="30" t="inlineStr">
        <is>
          <t>Oui</t>
        </is>
      </c>
    </row>
    <row r="286">
      <c r="A286" s="31" t="inlineStr">
        <is>
          <t>Objet</t>
        </is>
      </c>
      <c r="B286" s="33" t="inlineStr">
        <is>
          <t>Aucun</t>
        </is>
      </c>
      <c r="C286" s="33" t="inlineStr">
        <is>
          <t>Aucun</t>
        </is>
      </c>
      <c r="D286" s="33" t="n"/>
      <c r="E286" s="33" t="n"/>
      <c r="F286" s="33" t="n"/>
      <c r="G286" s="33" t="n"/>
      <c r="H286" s="30" t="inlineStr">
        <is>
          <t>Oui</t>
        </is>
      </c>
    </row>
    <row r="287">
      <c r="A287" s="31" t="inlineStr">
        <is>
          <t>Talent</t>
        </is>
      </c>
      <c r="B287" s="33" t="inlineStr">
        <is>
          <t>Tête de Roc</t>
        </is>
      </c>
      <c r="C287" s="33" t="inlineStr">
        <is>
          <t>Cran</t>
        </is>
      </c>
      <c r="D287" s="33" t="n"/>
      <c r="E287" s="33" t="n"/>
      <c r="F287" s="33" t="n"/>
      <c r="G287" s="33" t="n"/>
      <c r="H287" s="30" t="inlineStr">
        <is>
          <t>Oui</t>
        </is>
      </c>
    </row>
    <row r="288">
      <c r="A288" s="31" t="inlineStr">
        <is>
          <t>Capacités</t>
        </is>
      </c>
      <c r="B288" s="34" t="inlineStr">
        <is>
          <t>Boul'Armure</t>
        </is>
      </c>
      <c r="C288" s="34" t="inlineStr">
        <is>
          <t>Groz'Yeux</t>
        </is>
      </c>
      <c r="D288" s="34" t="n"/>
      <c r="E288" s="34" t="n"/>
      <c r="F288" s="34" t="n"/>
      <c r="G288" s="34" t="n"/>
      <c r="H288" s="30" t="inlineStr">
        <is>
          <t>Oui</t>
        </is>
      </c>
    </row>
    <row r="289">
      <c r="A289" s="31" t="n"/>
      <c r="B289" s="34" t="inlineStr">
        <is>
          <t>Lance-Boue</t>
        </is>
      </c>
      <c r="C289" s="34" t="inlineStr">
        <is>
          <t>Puissance</t>
        </is>
      </c>
      <c r="D289" s="34" t="n"/>
      <c r="E289" s="34" t="n"/>
      <c r="F289" s="34" t="n"/>
      <c r="G289" s="34" t="n"/>
      <c r="H289" s="30" t="inlineStr">
        <is>
          <t>Oui</t>
        </is>
      </c>
    </row>
    <row r="290">
      <c r="A290" s="31" t="n"/>
      <c r="B290" s="34" t="inlineStr">
        <is>
          <t>Poliroche</t>
        </is>
      </c>
      <c r="C290" s="34" t="inlineStr">
        <is>
          <t>Poing Karaté</t>
        </is>
      </c>
      <c r="D290" s="34" t="n"/>
      <c r="E290" s="34" t="n"/>
      <c r="F290" s="34" t="n"/>
      <c r="G290" s="34" t="n"/>
      <c r="H290" s="30" t="inlineStr">
        <is>
          <t>Oui</t>
        </is>
      </c>
    </row>
    <row r="291">
      <c r="A291" s="31" t="n"/>
      <c r="B291" s="34" t="inlineStr">
        <is>
          <t>Roulade</t>
        </is>
      </c>
      <c r="C291" s="34" t="inlineStr">
        <is>
          <t>Clairvoyance</t>
        </is>
      </c>
      <c r="D291" s="34" t="n"/>
      <c r="E291" s="34" t="n"/>
      <c r="F291" s="34" t="n"/>
      <c r="G291" s="34" t="n"/>
      <c r="H291" s="30" t="inlineStr">
        <is>
          <t>Oui</t>
        </is>
      </c>
    </row>
    <row r="292" ht="18" customHeight="1">
      <c r="A292" s="26" t="inlineStr">
        <is>
          <t>Ecorcia — Arène</t>
        </is>
      </c>
      <c r="B292" s="26" t="n"/>
      <c r="C292" s="26" t="n"/>
      <c r="D292" s="26" t="n"/>
      <c r="E292" s="26" t="n"/>
      <c r="F292" s="26" t="n"/>
      <c r="G292" s="26" t="n"/>
      <c r="H292" s="30" t="inlineStr">
        <is>
          <t>Oui</t>
        </is>
      </c>
    </row>
    <row r="293">
      <c r="A293" s="31" t="inlineStr">
        <is>
          <t>Nom</t>
        </is>
      </c>
      <c r="B293" s="32" t="inlineStr">
        <is>
          <t>Scout Jean-Loïc</t>
        </is>
      </c>
      <c r="C293" s="32" t="n"/>
      <c r="D293" s="32" t="n"/>
      <c r="E293" s="32" t="n"/>
      <c r="F293" s="32" t="n"/>
      <c r="G293" s="32" t="n"/>
      <c r="H293" s="30" t="inlineStr">
        <is>
          <t>Oui</t>
        </is>
      </c>
    </row>
    <row r="294">
      <c r="A294" s="31" t="inlineStr">
        <is>
          <t>Pokémon</t>
        </is>
      </c>
      <c r="B294" s="33" t="inlineStr">
        <is>
          <t>CHRYSACIER</t>
        </is>
      </c>
      <c r="C294" s="33" t="inlineStr">
        <is>
          <t>PAPILUSION</t>
        </is>
      </c>
      <c r="D294" s="33" t="n"/>
      <c r="E294" s="33" t="n"/>
      <c r="F294" s="33" t="n"/>
      <c r="G294" s="33" t="n"/>
      <c r="H294" s="30" t="inlineStr">
        <is>
          <t>Oui</t>
        </is>
      </c>
    </row>
    <row r="295">
      <c r="A295" s="31" t="inlineStr">
        <is>
          <t>Niveau</t>
        </is>
      </c>
      <c r="B295" s="33" t="n">
        <v>9</v>
      </c>
      <c r="C295" s="33" t="n">
        <v>12</v>
      </c>
      <c r="D295" s="33" t="n"/>
      <c r="E295" s="33" t="n"/>
      <c r="F295" s="33" t="n"/>
      <c r="G295" s="33" t="n"/>
      <c r="H295" s="30" t="inlineStr">
        <is>
          <t>Oui</t>
        </is>
      </c>
    </row>
    <row r="296">
      <c r="A296" s="31" t="inlineStr">
        <is>
          <t>Objet</t>
        </is>
      </c>
      <c r="B296" s="33" t="inlineStr">
        <is>
          <t>Aucun</t>
        </is>
      </c>
      <c r="C296" s="33" t="inlineStr">
        <is>
          <t>Aucun</t>
        </is>
      </c>
      <c r="D296" s="33" t="n"/>
      <c r="E296" s="33" t="n"/>
      <c r="F296" s="33" t="n"/>
      <c r="G296" s="33" t="n"/>
      <c r="H296" s="30" t="inlineStr">
        <is>
          <t>Oui</t>
        </is>
      </c>
    </row>
    <row r="297">
      <c r="A297" s="31" t="inlineStr">
        <is>
          <t>Talent</t>
        </is>
      </c>
      <c r="B297" s="33" t="inlineStr">
        <is>
          <t>Mue</t>
        </is>
      </c>
      <c r="C297" s="33" t="inlineStr">
        <is>
          <t>Œil Composé</t>
        </is>
      </c>
      <c r="D297" s="33" t="n"/>
      <c r="E297" s="33" t="n"/>
      <c r="F297" s="33" t="n"/>
      <c r="G297" s="33" t="n"/>
      <c r="H297" s="30" t="inlineStr">
        <is>
          <t>Oui</t>
        </is>
      </c>
    </row>
    <row r="298">
      <c r="A298" s="31" t="inlineStr">
        <is>
          <t>Capacités</t>
        </is>
      </c>
      <c r="B298" s="34" t="inlineStr">
        <is>
          <t>Armure</t>
        </is>
      </c>
      <c r="C298" s="34" t="inlineStr">
        <is>
          <t>Tornade</t>
        </is>
      </c>
      <c r="D298" s="34" t="n"/>
      <c r="E298" s="34" t="n"/>
      <c r="F298" s="34" t="n"/>
      <c r="G298" s="34" t="n"/>
      <c r="H298" s="30" t="inlineStr">
        <is>
          <t>Oui</t>
        </is>
      </c>
    </row>
    <row r="299">
      <c r="A299" s="31" t="n"/>
      <c r="B299" s="34" t="n"/>
      <c r="C299" s="34" t="inlineStr">
        <is>
          <t>Choc Mental</t>
        </is>
      </c>
      <c r="D299" s="34" t="n"/>
      <c r="E299" s="34" t="n"/>
      <c r="F299" s="34" t="n"/>
      <c r="G299" s="34" t="n"/>
      <c r="H299" s="30" t="inlineStr">
        <is>
          <t>Oui</t>
        </is>
      </c>
    </row>
    <row r="300">
      <c r="A300" s="31" t="n"/>
      <c r="B300" s="34" t="n"/>
      <c r="C300" s="34" t="n"/>
      <c r="D300" s="34" t="n"/>
      <c r="E300" s="34" t="n"/>
      <c r="F300" s="34" t="n"/>
      <c r="G300" s="34" t="n"/>
      <c r="H300" s="30" t="inlineStr">
        <is>
          <t>Oui</t>
        </is>
      </c>
    </row>
    <row r="301">
      <c r="A301" s="31" t="n"/>
      <c r="B301" s="34" t="n"/>
      <c r="C301" s="34" t="n"/>
      <c r="D301" s="34" t="n"/>
      <c r="E301" s="34" t="n"/>
      <c r="F301" s="34" t="n"/>
      <c r="G301" s="34" t="n"/>
      <c r="H301" s="30" t="inlineStr">
        <is>
          <t>Oui</t>
        </is>
      </c>
    </row>
    <row r="302">
      <c r="A302" s="31" t="inlineStr">
        <is>
          <t>Nom</t>
        </is>
      </c>
      <c r="B302" s="32" t="inlineStr">
        <is>
          <t>Scout Arnaud</t>
        </is>
      </c>
      <c r="C302" s="32" t="n"/>
      <c r="D302" s="32" t="n"/>
      <c r="E302" s="32" t="n"/>
      <c r="F302" s="32" t="n"/>
      <c r="G302" s="32" t="n"/>
      <c r="H302" s="30" t="inlineStr">
        <is>
          <t>Oui</t>
        </is>
      </c>
    </row>
    <row r="303">
      <c r="A303" s="31" t="inlineStr">
        <is>
          <t>Pokémon</t>
        </is>
      </c>
      <c r="B303" s="33" t="inlineStr">
        <is>
          <t>YANMA</t>
        </is>
      </c>
      <c r="C303" s="33" t="n"/>
      <c r="D303" s="33" t="n"/>
      <c r="E303" s="33" t="n"/>
      <c r="F303" s="33" t="n"/>
      <c r="G303" s="33" t="n"/>
      <c r="H303" s="30" t="inlineStr">
        <is>
          <t>Oui</t>
        </is>
      </c>
    </row>
    <row r="304">
      <c r="A304" s="31" t="inlineStr">
        <is>
          <t>Niveau</t>
        </is>
      </c>
      <c r="B304" s="33" t="n">
        <v>12</v>
      </c>
      <c r="C304" s="33" t="n"/>
      <c r="D304" s="33" t="n"/>
      <c r="E304" s="33" t="n"/>
      <c r="F304" s="33" t="n"/>
      <c r="G304" s="33" t="n"/>
      <c r="H304" s="30" t="inlineStr">
        <is>
          <t>Oui</t>
        </is>
      </c>
    </row>
    <row r="305">
      <c r="A305" s="31" t="inlineStr">
        <is>
          <t>Objet</t>
        </is>
      </c>
      <c r="B305" s="33" t="inlineStr">
        <is>
          <t>Aucun</t>
        </is>
      </c>
      <c r="C305" s="33" t="n"/>
      <c r="D305" s="33" t="n"/>
      <c r="E305" s="33" t="n"/>
      <c r="F305" s="33" t="n"/>
      <c r="G305" s="33" t="n"/>
      <c r="H305" s="30" t="inlineStr">
        <is>
          <t>Oui</t>
        </is>
      </c>
    </row>
    <row r="306">
      <c r="A306" s="31" t="inlineStr">
        <is>
          <t>Talent</t>
        </is>
      </c>
      <c r="B306" s="33" t="inlineStr">
        <is>
          <t>Turbo</t>
        </is>
      </c>
      <c r="C306" s="33" t="n"/>
      <c r="D306" s="33" t="n"/>
      <c r="E306" s="33" t="n"/>
      <c r="F306" s="33" t="n"/>
      <c r="G306" s="33" t="n"/>
      <c r="H306" s="30" t="inlineStr">
        <is>
          <t>Oui</t>
        </is>
      </c>
    </row>
    <row r="307">
      <c r="A307" s="31" t="inlineStr">
        <is>
          <t>Capacités</t>
        </is>
      </c>
      <c r="B307" s="34" t="inlineStr">
        <is>
          <t>Clairvoyance</t>
        </is>
      </c>
      <c r="C307" s="34" t="n"/>
      <c r="D307" s="34" t="n"/>
      <c r="E307" s="34" t="n"/>
      <c r="F307" s="34" t="n"/>
      <c r="G307" s="34" t="n"/>
      <c r="H307" s="30" t="inlineStr">
        <is>
          <t>Oui</t>
        </is>
      </c>
    </row>
    <row r="308">
      <c r="A308" s="31" t="n"/>
      <c r="B308" s="34" t="inlineStr">
        <is>
          <t>Vive-Attaque</t>
        </is>
      </c>
      <c r="C308" s="34" t="n"/>
      <c r="D308" s="34" t="n"/>
      <c r="E308" s="34" t="n"/>
      <c r="F308" s="34" t="n"/>
      <c r="G308" s="34" t="n"/>
      <c r="H308" s="30" t="inlineStr">
        <is>
          <t>Oui</t>
        </is>
      </c>
    </row>
    <row r="309">
      <c r="A309" s="31" t="n"/>
      <c r="B309" s="34" t="inlineStr">
        <is>
          <t>Reflet</t>
        </is>
      </c>
      <c r="C309" s="34" t="n"/>
      <c r="D309" s="34" t="n"/>
      <c r="E309" s="34" t="n"/>
      <c r="F309" s="34" t="n"/>
      <c r="G309" s="34" t="n"/>
      <c r="H309" s="30" t="inlineStr">
        <is>
          <t>Oui</t>
        </is>
      </c>
    </row>
    <row r="310">
      <c r="A310" s="31" t="n"/>
      <c r="B310" s="34" t="inlineStr">
        <is>
          <t>Tornade</t>
        </is>
      </c>
      <c r="C310" s="34" t="n"/>
      <c r="D310" s="34" t="n"/>
      <c r="E310" s="34" t="n"/>
      <c r="F310" s="34" t="n"/>
      <c r="G310" s="34" t="n"/>
      <c r="H310" s="30" t="inlineStr">
        <is>
          <t>Oui</t>
        </is>
      </c>
    </row>
    <row r="311">
      <c r="A311" s="31" t="inlineStr">
        <is>
          <t>Nom</t>
        </is>
      </c>
      <c r="B311" s="32" t="inlineStr">
        <is>
          <t>Scout Foulque</t>
        </is>
      </c>
      <c r="C311" s="32" t="n"/>
      <c r="D311" s="32" t="n"/>
      <c r="E311" s="32" t="n"/>
      <c r="F311" s="32" t="n"/>
      <c r="G311" s="32" t="n"/>
      <c r="H311" s="30" t="inlineStr">
        <is>
          <t>Oui</t>
        </is>
      </c>
    </row>
    <row r="312">
      <c r="A312" s="31" t="inlineStr">
        <is>
          <t>Pokémon</t>
        </is>
      </c>
      <c r="B312" s="33" t="inlineStr">
        <is>
          <t>COCONFORT</t>
        </is>
      </c>
      <c r="C312" s="33" t="inlineStr">
        <is>
          <t>DARDARGNAN</t>
        </is>
      </c>
      <c r="D312" s="33" t="n"/>
      <c r="E312" s="33" t="n"/>
      <c r="F312" s="33" t="n"/>
      <c r="G312" s="33" t="n"/>
      <c r="H312" s="30" t="inlineStr">
        <is>
          <t>Oui</t>
        </is>
      </c>
    </row>
    <row r="313">
      <c r="A313" s="31" t="inlineStr">
        <is>
          <t>Niveau</t>
        </is>
      </c>
      <c r="B313" s="33" t="n">
        <v>9</v>
      </c>
      <c r="C313" s="33" t="n">
        <v>12</v>
      </c>
      <c r="D313" s="33" t="n"/>
      <c r="E313" s="33" t="n"/>
      <c r="F313" s="33" t="n"/>
      <c r="G313" s="33" t="n"/>
      <c r="H313" s="30" t="inlineStr">
        <is>
          <t>Oui</t>
        </is>
      </c>
    </row>
    <row r="314">
      <c r="A314" s="31" t="inlineStr">
        <is>
          <t>Objet</t>
        </is>
      </c>
      <c r="B314" s="33" t="inlineStr">
        <is>
          <t>Aucun</t>
        </is>
      </c>
      <c r="C314" s="33" t="inlineStr">
        <is>
          <t>Aucun</t>
        </is>
      </c>
      <c r="D314" s="33" t="n"/>
      <c r="E314" s="33" t="n"/>
      <c r="F314" s="33" t="n"/>
      <c r="G314" s="33" t="n"/>
      <c r="H314" s="30" t="inlineStr">
        <is>
          <t>Oui</t>
        </is>
      </c>
    </row>
    <row r="315">
      <c r="A315" s="31" t="inlineStr">
        <is>
          <t>Talent</t>
        </is>
      </c>
      <c r="B315" s="33" t="inlineStr">
        <is>
          <t>Mue</t>
        </is>
      </c>
      <c r="C315" s="33" t="inlineStr">
        <is>
          <t>Essaim</t>
        </is>
      </c>
      <c r="D315" s="33" t="n"/>
      <c r="E315" s="33" t="n"/>
      <c r="F315" s="33" t="n"/>
      <c r="G315" s="33" t="n"/>
      <c r="H315" s="30" t="inlineStr">
        <is>
          <t>Oui</t>
        </is>
      </c>
    </row>
    <row r="316">
      <c r="A316" s="31" t="inlineStr">
        <is>
          <t>Capacités</t>
        </is>
      </c>
      <c r="B316" s="34" t="inlineStr">
        <is>
          <t>Armure</t>
        </is>
      </c>
      <c r="C316" s="34" t="inlineStr">
        <is>
          <t>Double Dard</t>
        </is>
      </c>
      <c r="D316" s="34" t="n"/>
      <c r="E316" s="34" t="n"/>
      <c r="F316" s="34" t="n"/>
      <c r="G316" s="34" t="n"/>
      <c r="H316" s="30" t="inlineStr">
        <is>
          <t>Oui</t>
        </is>
      </c>
    </row>
    <row r="317">
      <c r="A317" s="31" t="n"/>
      <c r="B317" s="34" t="n"/>
      <c r="C317" s="34" t="inlineStr">
        <is>
          <t>Furie</t>
        </is>
      </c>
      <c r="D317" s="34" t="n"/>
      <c r="E317" s="34" t="n"/>
      <c r="F317" s="34" t="n"/>
      <c r="G317" s="34" t="n"/>
      <c r="H317" s="30" t="inlineStr">
        <is>
          <t>Oui</t>
        </is>
      </c>
    </row>
    <row r="318">
      <c r="A318" s="31" t="n"/>
      <c r="B318" s="34" t="n"/>
      <c r="C318" s="34" t="n"/>
      <c r="D318" s="34" t="n"/>
      <c r="E318" s="34" t="n"/>
      <c r="F318" s="34" t="n"/>
      <c r="G318" s="34" t="n"/>
      <c r="H318" s="30" t="inlineStr">
        <is>
          <t>Oui</t>
        </is>
      </c>
    </row>
    <row r="319">
      <c r="A319" s="31" t="n"/>
      <c r="B319" s="34" t="n"/>
      <c r="C319" s="34" t="n"/>
      <c r="D319" s="34" t="n"/>
      <c r="E319" s="34" t="n"/>
      <c r="F319" s="34" t="n"/>
      <c r="G319" s="34" t="n"/>
      <c r="H319" s="30" t="inlineStr">
        <is>
          <t>Oui</t>
        </is>
      </c>
    </row>
    <row r="320">
      <c r="A320" s="31" t="inlineStr">
        <is>
          <t>Nom</t>
        </is>
      </c>
      <c r="B320" s="32" t="inlineStr">
        <is>
          <t>Jumelles Lia &amp; Liz (combat double)</t>
        </is>
      </c>
      <c r="C320" s="32" t="n"/>
      <c r="D320" s="32" t="n"/>
      <c r="E320" s="32" t="n"/>
      <c r="F320" s="32" t="n"/>
      <c r="G320" s="32" t="n"/>
      <c r="H320" s="30" t="inlineStr">
        <is>
          <t>Oui</t>
        </is>
      </c>
    </row>
    <row r="321">
      <c r="A321" s="31" t="inlineStr">
        <is>
          <t>Pokémon</t>
        </is>
      </c>
      <c r="B321" s="33" t="inlineStr">
        <is>
          <t>COXY</t>
        </is>
      </c>
      <c r="C321" s="33" t="inlineStr">
        <is>
          <t>MIMIGAL</t>
        </is>
      </c>
      <c r="D321" s="33" t="n"/>
      <c r="E321" s="33" t="n"/>
      <c r="F321" s="33" t="n"/>
      <c r="G321" s="33" t="n"/>
      <c r="H321" s="30" t="inlineStr">
        <is>
          <t>Oui</t>
        </is>
      </c>
    </row>
    <row r="322">
      <c r="A322" s="31" t="inlineStr">
        <is>
          <t>Niveau</t>
        </is>
      </c>
      <c r="B322" s="33" t="n">
        <v>12</v>
      </c>
      <c r="C322" s="33" t="n">
        <v>12</v>
      </c>
      <c r="D322" s="33" t="n"/>
      <c r="E322" s="33" t="n"/>
      <c r="F322" s="33" t="n"/>
      <c r="G322" s="33" t="n"/>
      <c r="H322" s="30" t="inlineStr">
        <is>
          <t>Oui</t>
        </is>
      </c>
    </row>
    <row r="323">
      <c r="A323" s="31" t="inlineStr">
        <is>
          <t>Objet</t>
        </is>
      </c>
      <c r="B323" s="33" t="inlineStr">
        <is>
          <t>Aucun</t>
        </is>
      </c>
      <c r="C323" s="33" t="inlineStr">
        <is>
          <t>Aucun</t>
        </is>
      </c>
      <c r="D323" s="33" t="n"/>
      <c r="E323" s="33" t="n"/>
      <c r="F323" s="33" t="n"/>
      <c r="G323" s="33" t="n"/>
      <c r="H323" s="30" t="inlineStr">
        <is>
          <t>Oui</t>
        </is>
      </c>
    </row>
    <row r="324">
      <c r="A324" s="31" t="inlineStr">
        <is>
          <t>Talent</t>
        </is>
      </c>
      <c r="B324" s="33" t="inlineStr">
        <is>
          <t>Essaim</t>
        </is>
      </c>
      <c r="C324" s="33" t="inlineStr">
        <is>
          <t>Essaim</t>
        </is>
      </c>
      <c r="D324" s="33" t="n"/>
      <c r="E324" s="33" t="n"/>
      <c r="F324" s="33" t="n"/>
      <c r="G324" s="33" t="n"/>
      <c r="H324" s="30" t="inlineStr">
        <is>
          <t>Oui</t>
        </is>
      </c>
    </row>
    <row r="325">
      <c r="A325" s="31" t="inlineStr">
        <is>
          <t>Capacités</t>
        </is>
      </c>
      <c r="B325" s="34" t="inlineStr">
        <is>
          <t>Harcèlement</t>
        </is>
      </c>
      <c r="C325" s="34" t="inlineStr">
        <is>
          <t>Constriction</t>
        </is>
      </c>
      <c r="D325" s="34" t="n"/>
      <c r="E325" s="34" t="n"/>
      <c r="F325" s="34" t="n"/>
      <c r="G325" s="34" t="n"/>
      <c r="H325" s="30" t="inlineStr">
        <is>
          <t>Oui</t>
        </is>
      </c>
    </row>
    <row r="326">
      <c r="A326" s="31" t="n"/>
      <c r="B326" s="34" t="inlineStr">
        <is>
          <t>Mur Lumière</t>
        </is>
      </c>
      <c r="C326" s="34" t="inlineStr">
        <is>
          <t>Vole-Vie</t>
        </is>
      </c>
      <c r="D326" s="34" t="n"/>
      <c r="E326" s="34" t="n"/>
      <c r="F326" s="34" t="n"/>
      <c r="G326" s="34" t="n"/>
      <c r="H326" s="30" t="inlineStr">
        <is>
          <t>Oui</t>
        </is>
      </c>
    </row>
    <row r="327">
      <c r="A327" s="31" t="n"/>
      <c r="B327" s="34" t="inlineStr">
        <is>
          <t>Protection</t>
        </is>
      </c>
      <c r="C327" s="34" t="inlineStr">
        <is>
          <t>Harcèlement</t>
        </is>
      </c>
      <c r="D327" s="34" t="n"/>
      <c r="E327" s="34" t="n"/>
      <c r="F327" s="34" t="n"/>
      <c r="G327" s="34" t="n"/>
      <c r="H327" s="30" t="inlineStr">
        <is>
          <t>Oui</t>
        </is>
      </c>
    </row>
    <row r="328">
      <c r="A328" s="31" t="n"/>
      <c r="B328" s="34" t="inlineStr">
        <is>
          <t>Rune Protect</t>
        </is>
      </c>
      <c r="C328" s="34" t="inlineStr">
        <is>
          <t>Grimace</t>
        </is>
      </c>
      <c r="D328" s="34" t="n"/>
      <c r="E328" s="34" t="n"/>
      <c r="F328" s="34" t="n"/>
      <c r="G328" s="34" t="n"/>
      <c r="H328" s="30" t="inlineStr">
        <is>
          <t>Oui</t>
        </is>
      </c>
    </row>
    <row r="329">
      <c r="A329" s="31" t="inlineStr">
        <is>
          <t>Nom</t>
        </is>
      </c>
      <c r="B329" s="32" t="inlineStr">
        <is>
          <t>Champion Hector</t>
        </is>
      </c>
      <c r="C329" s="32" t="n"/>
      <c r="D329" s="32" t="n"/>
      <c r="E329" s="32" t="n"/>
      <c r="F329" s="32" t="n"/>
      <c r="G329" s="32" t="n"/>
      <c r="H329" s="30" t="inlineStr">
        <is>
          <t>Oui</t>
        </is>
      </c>
    </row>
    <row r="330">
      <c r="A330" s="31" t="inlineStr">
        <is>
          <t>Pokémon</t>
        </is>
      </c>
      <c r="B330" s="33" t="inlineStr">
        <is>
          <t>POMDEPIK</t>
        </is>
      </c>
      <c r="C330" s="33" t="inlineStr">
        <is>
          <t>COXYCLAQUE</t>
        </is>
      </c>
      <c r="D330" s="33" t="inlineStr">
        <is>
          <t>INSECATEUR</t>
        </is>
      </c>
      <c r="E330" s="33" t="n"/>
      <c r="F330" s="33" t="n"/>
      <c r="G330" s="33" t="n"/>
      <c r="H330" s="30" t="inlineStr">
        <is>
          <t>Oui</t>
        </is>
      </c>
    </row>
    <row r="331">
      <c r="A331" s="31" t="inlineStr">
        <is>
          <t>Niveau</t>
        </is>
      </c>
      <c r="B331" s="33" t="n">
        <v>15</v>
      </c>
      <c r="C331" s="33" t="n">
        <v>15</v>
      </c>
      <c r="D331" s="33" t="n">
        <v>16</v>
      </c>
      <c r="E331" s="33" t="n"/>
      <c r="F331" s="33" t="n"/>
      <c r="G331" s="33" t="n"/>
      <c r="H331" s="30" t="inlineStr">
        <is>
          <t>Oui</t>
        </is>
      </c>
    </row>
    <row r="332">
      <c r="A332" s="31" t="inlineStr">
        <is>
          <t>Objet</t>
        </is>
      </c>
      <c r="B332" s="33" t="inlineStr">
        <is>
          <t>Aucun</t>
        </is>
      </c>
      <c r="C332" s="33" t="inlineStr">
        <is>
          <t>Aucun</t>
        </is>
      </c>
      <c r="D332" s="33" t="inlineStr">
        <is>
          <t>Jus de Baie</t>
        </is>
      </c>
      <c r="E332" s="33" t="n"/>
      <c r="F332" s="33" t="n"/>
      <c r="G332" s="33" t="n"/>
      <c r="H332" s="30" t="inlineStr">
        <is>
          <t>Oui</t>
        </is>
      </c>
    </row>
    <row r="333">
      <c r="A333" s="31" t="inlineStr">
        <is>
          <t>Talent</t>
        </is>
      </c>
      <c r="B333" s="33" t="inlineStr">
        <is>
          <t>Fermeté</t>
        </is>
      </c>
      <c r="C333" s="33" t="inlineStr">
        <is>
          <t>Essaim</t>
        </is>
      </c>
      <c r="D333" s="33" t="inlineStr">
        <is>
          <t>Essaim</t>
        </is>
      </c>
      <c r="E333" s="33" t="n"/>
      <c r="F333" s="33" t="n"/>
      <c r="G333" s="33" t="n"/>
      <c r="H333" s="30" t="inlineStr">
        <is>
          <t>Oui</t>
        </is>
      </c>
    </row>
    <row r="334">
      <c r="A334" s="31" t="inlineStr">
        <is>
          <t>Capacités</t>
        </is>
      </c>
      <c r="B334" s="34" t="inlineStr">
        <is>
          <t>Dard-Nuée</t>
        </is>
      </c>
      <c r="C334" s="34" t="inlineStr">
        <is>
          <t>Poing Éclair</t>
        </is>
      </c>
      <c r="D334" s="34" t="inlineStr">
        <is>
          <t>Vive-Attaque</t>
        </is>
      </c>
      <c r="E334" s="34" t="n"/>
      <c r="F334" s="34" t="n"/>
      <c r="G334" s="34" t="n"/>
      <c r="H334" s="30" t="inlineStr">
        <is>
          <t>Oui</t>
        </is>
      </c>
    </row>
    <row r="335">
      <c r="A335" s="31" t="n"/>
      <c r="B335" s="34" t="inlineStr">
        <is>
          <t>Coup d'Boule</t>
        </is>
      </c>
      <c r="C335" s="34" t="inlineStr">
        <is>
          <t>Poing Comète</t>
        </is>
      </c>
      <c r="D335" s="34" t="inlineStr">
        <is>
          <t>Taillade</t>
        </is>
      </c>
      <c r="E335" s="34" t="n"/>
      <c r="F335" s="34" t="n"/>
      <c r="G335" s="34" t="n"/>
      <c r="H335" s="30" t="inlineStr">
        <is>
          <t>Oui</t>
        </is>
      </c>
    </row>
    <row r="336">
      <c r="A336" s="31" t="n"/>
      <c r="B336" s="34" t="inlineStr">
        <is>
          <t>Roulade</t>
        </is>
      </c>
      <c r="C336" s="34" t="inlineStr">
        <is>
          <t>Ultrason</t>
        </is>
      </c>
      <c r="D336" s="34" t="inlineStr">
        <is>
          <t>Demi-Tour</t>
        </is>
      </c>
      <c r="E336" s="34" t="n"/>
      <c r="F336" s="34" t="n"/>
      <c r="G336" s="34" t="n"/>
      <c r="H336" s="30" t="inlineStr">
        <is>
          <t>Oui</t>
        </is>
      </c>
    </row>
    <row r="337">
      <c r="A337" s="31" t="n"/>
      <c r="B337" s="34" t="inlineStr">
        <is>
          <t>Armure</t>
        </is>
      </c>
      <c r="C337" s="34" t="inlineStr">
        <is>
          <t>Protection</t>
        </is>
      </c>
      <c r="D337" s="34" t="inlineStr">
        <is>
          <t>Poursuite</t>
        </is>
      </c>
      <c r="E337" s="34" t="n"/>
      <c r="F337" s="34" t="n"/>
      <c r="G337" s="34" t="n"/>
      <c r="H337" s="30" t="inlineStr">
        <is>
          <t>Oui</t>
        </is>
      </c>
    </row>
    <row r="338" ht="18" customHeight="1">
      <c r="A338" s="26" t="inlineStr">
        <is>
          <t>Ecorcia</t>
        </is>
      </c>
      <c r="B338" s="26" t="n"/>
      <c r="C338" s="26" t="n"/>
      <c r="D338" s="26" t="n"/>
      <c r="E338" s="26" t="n"/>
      <c r="F338" s="26" t="n"/>
      <c r="G338" s="26" t="n"/>
      <c r="H338" s="30" t="inlineStr">
        <is>
          <t>Oui</t>
        </is>
      </c>
    </row>
    <row r="339">
      <c r="A339" s="31" t="inlineStr">
        <is>
          <t>Nom</t>
        </is>
      </c>
      <c r="B339" s="32" t="inlineStr">
        <is>
          <t>Rival (si vous avez choisi GERMIGNON)</t>
        </is>
      </c>
      <c r="C339" s="32" t="n"/>
      <c r="D339" s="32" t="n"/>
      <c r="E339" s="32" t="n"/>
      <c r="F339" s="32" t="n"/>
      <c r="G339" s="32" t="n"/>
      <c r="H339" s="30">
        <f>IF(OR($B$1="Tous",$B$1="GERMIGNON"),"Oui","Non")</f>
        <v/>
      </c>
    </row>
    <row r="340">
      <c r="A340" s="31" t="inlineStr">
        <is>
          <t>Pokémon</t>
        </is>
      </c>
      <c r="B340" s="33" t="inlineStr">
        <is>
          <t>NOSFERAPTI</t>
        </is>
      </c>
      <c r="C340" s="33" t="inlineStr">
        <is>
          <t>EMBRYLEX</t>
        </is>
      </c>
      <c r="D340" s="33" t="inlineStr">
        <is>
          <t>FEURISSON</t>
        </is>
      </c>
      <c r="E340" s="33" t="n"/>
      <c r="F340" s="33" t="n"/>
      <c r="G340" s="33" t="n"/>
      <c r="H340" s="30">
        <f>IF(OR($B$1="Tous",$B$1="GERMIGNON"),"Oui","Non")</f>
        <v/>
      </c>
    </row>
    <row r="341">
      <c r="A341" s="31" t="inlineStr">
        <is>
          <t>Niveau</t>
        </is>
      </c>
      <c r="B341" s="33" t="n">
        <v>15</v>
      </c>
      <c r="C341" s="33" t="n">
        <v>16</v>
      </c>
      <c r="D341" s="33" t="n">
        <v>18</v>
      </c>
      <c r="E341" s="33" t="n"/>
      <c r="F341" s="33" t="n"/>
      <c r="G341" s="33" t="n"/>
      <c r="H341" s="30">
        <f>IF(OR($B$1="Tous",$B$1="GERMIGNON"),"Oui","Non")</f>
        <v/>
      </c>
    </row>
    <row r="342">
      <c r="A342" s="31" t="inlineStr">
        <is>
          <t>Objet</t>
        </is>
      </c>
      <c r="B342" s="33" t="inlineStr">
        <is>
          <t>Aucun</t>
        </is>
      </c>
      <c r="C342" s="33" t="inlineStr">
        <is>
          <t>Aucun</t>
        </is>
      </c>
      <c r="D342" s="33" t="inlineStr">
        <is>
          <t>Aucun</t>
        </is>
      </c>
      <c r="E342" s="33" t="n"/>
      <c r="F342" s="33" t="n"/>
      <c r="G342" s="33" t="n"/>
      <c r="H342" s="30">
        <f>IF(OR($B$1="Tous",$B$1="GERMIGNON"),"Oui","Non")</f>
        <v/>
      </c>
    </row>
    <row r="343">
      <c r="A343" s="31" t="inlineStr">
        <is>
          <t>Talent</t>
        </is>
      </c>
      <c r="B343" s="33" t="inlineStr">
        <is>
          <t>Attention</t>
        </is>
      </c>
      <c r="C343" s="33" t="inlineStr">
        <is>
          <t>Cran</t>
        </is>
      </c>
      <c r="D343" s="33" t="inlineStr">
        <is>
          <t>Brasier</t>
        </is>
      </c>
      <c r="E343" s="33" t="n"/>
      <c r="F343" s="33" t="n"/>
      <c r="G343" s="33" t="n"/>
      <c r="H343" s="30">
        <f>IF(OR($B$1="Tous",$B$1="GERMIGNON"),"Oui","Non")</f>
        <v/>
      </c>
    </row>
    <row r="344">
      <c r="A344" s="31" t="inlineStr">
        <is>
          <t>Capacités</t>
        </is>
      </c>
      <c r="B344" s="34" t="inlineStr">
        <is>
          <t>Vole-Vie</t>
        </is>
      </c>
      <c r="C344" s="34" t="inlineStr">
        <is>
          <t>Morsure</t>
        </is>
      </c>
      <c r="D344" s="34" t="inlineStr">
        <is>
          <t>Groz'Yeux</t>
        </is>
      </c>
      <c r="E344" s="34" t="n"/>
      <c r="F344" s="34" t="n"/>
      <c r="G344" s="34" t="n"/>
      <c r="H344" s="30">
        <f>IF(OR($B$1="Tous",$B$1="GERMIGNON"),"Oui","Non")</f>
        <v/>
      </c>
    </row>
    <row r="345">
      <c r="A345" s="31" t="n"/>
      <c r="B345" s="34" t="inlineStr">
        <is>
          <t>Ultrason</t>
        </is>
      </c>
      <c r="C345" s="34" t="inlineStr">
        <is>
          <t>Jet-Pierres</t>
        </is>
      </c>
      <c r="D345" s="34" t="inlineStr">
        <is>
          <t>Brouillard</t>
        </is>
      </c>
      <c r="E345" s="34" t="n"/>
      <c r="F345" s="34" t="n"/>
      <c r="G345" s="34" t="n"/>
      <c r="H345" s="30">
        <f>IF(OR($B$1="Tous",$B$1="GERMIGNON"),"Oui","Non")</f>
        <v/>
      </c>
    </row>
    <row r="346">
      <c r="A346" s="31" t="n"/>
      <c r="B346" s="34" t="inlineStr">
        <is>
          <t>Dard-Venin</t>
        </is>
      </c>
      <c r="C346" s="34" t="inlineStr">
        <is>
          <t>Grincement</t>
        </is>
      </c>
      <c r="D346" s="34" t="inlineStr">
        <is>
          <t>Flammèche</t>
        </is>
      </c>
      <c r="E346" s="34" t="n"/>
      <c r="F346" s="34" t="n"/>
      <c r="G346" s="34" t="n"/>
      <c r="H346" s="30">
        <f>IF(OR($B$1="Tous",$B$1="GERMIGNON"),"Oui","Non")</f>
        <v/>
      </c>
    </row>
    <row r="347">
      <c r="A347" s="31" t="n"/>
      <c r="B347" s="34" t="inlineStr">
        <is>
          <t>Étonnement</t>
        </is>
      </c>
      <c r="C347" s="34" t="inlineStr">
        <is>
          <t>Tempête de Sable</t>
        </is>
      </c>
      <c r="D347" s="34" t="inlineStr">
        <is>
          <t>Charge</t>
        </is>
      </c>
      <c r="E347" s="34" t="n"/>
      <c r="F347" s="34" t="n"/>
      <c r="G347" s="34" t="n"/>
      <c r="H347" s="30">
        <f>IF(OR($B$1="Tous",$B$1="GERMIGNON"),"Oui","Non")</f>
        <v/>
      </c>
    </row>
    <row r="348">
      <c r="A348" s="31" t="inlineStr">
        <is>
          <t>Nom</t>
        </is>
      </c>
      <c r="B348" s="32" t="inlineStr">
        <is>
          <t>Rival (si vous avez choisi HERICENDRE)</t>
        </is>
      </c>
      <c r="C348" s="32" t="n"/>
      <c r="D348" s="32" t="n"/>
      <c r="E348" s="32" t="n"/>
      <c r="F348" s="32" t="n"/>
      <c r="G348" s="32" t="n"/>
      <c r="H348" s="30">
        <f>IF(OR($B$1="Tous",$B$1="HERICENDRE"),"Oui","Non")</f>
        <v/>
      </c>
    </row>
    <row r="349">
      <c r="A349" s="31" t="inlineStr">
        <is>
          <t>Pokémon</t>
        </is>
      </c>
      <c r="B349" s="33" t="inlineStr">
        <is>
          <t>NOSFERAPTI</t>
        </is>
      </c>
      <c r="C349" s="33" t="inlineStr">
        <is>
          <t>EMBRYLEX</t>
        </is>
      </c>
      <c r="D349" s="33" t="inlineStr">
        <is>
          <t>CROCRODIL</t>
        </is>
      </c>
      <c r="E349" s="33" t="n"/>
      <c r="F349" s="33" t="n"/>
      <c r="G349" s="33" t="n"/>
      <c r="H349" s="30">
        <f>IF(OR($B$1="Tous",$B$1="HERICENDRE"),"Oui","Non")</f>
        <v/>
      </c>
    </row>
    <row r="350">
      <c r="A350" s="31" t="inlineStr">
        <is>
          <t>Niveau</t>
        </is>
      </c>
      <c r="B350" s="33" t="n">
        <v>15</v>
      </c>
      <c r="C350" s="33" t="n">
        <v>16</v>
      </c>
      <c r="D350" s="33" t="n">
        <v>18</v>
      </c>
      <c r="E350" s="33" t="n"/>
      <c r="F350" s="33" t="n"/>
      <c r="G350" s="33" t="n"/>
      <c r="H350" s="30">
        <f>IF(OR($B$1="Tous",$B$1="HERICENDRE"),"Oui","Non")</f>
        <v/>
      </c>
    </row>
    <row r="351">
      <c r="A351" s="31" t="inlineStr">
        <is>
          <t>Objet</t>
        </is>
      </c>
      <c r="B351" s="33" t="inlineStr">
        <is>
          <t>Aucun</t>
        </is>
      </c>
      <c r="C351" s="33" t="inlineStr">
        <is>
          <t>Aucun</t>
        </is>
      </c>
      <c r="D351" s="33" t="inlineStr">
        <is>
          <t>Aucun</t>
        </is>
      </c>
      <c r="E351" s="33" t="n"/>
      <c r="F351" s="33" t="n"/>
      <c r="G351" s="33" t="n"/>
      <c r="H351" s="30">
        <f>IF(OR($B$1="Tous",$B$1="HERICENDRE"),"Oui","Non")</f>
        <v/>
      </c>
    </row>
    <row r="352">
      <c r="A352" s="31" t="inlineStr">
        <is>
          <t>Talent</t>
        </is>
      </c>
      <c r="B352" s="33" t="inlineStr">
        <is>
          <t>Attention</t>
        </is>
      </c>
      <c r="C352" s="33" t="inlineStr">
        <is>
          <t>Cran</t>
        </is>
      </c>
      <c r="D352" s="33" t="inlineStr">
        <is>
          <t>Torrent</t>
        </is>
      </c>
      <c r="E352" s="33" t="n"/>
      <c r="F352" s="33" t="n"/>
      <c r="G352" s="33" t="n"/>
      <c r="H352" s="30">
        <f>IF(OR($B$1="Tous",$B$1="HERICENDRE"),"Oui","Non")</f>
        <v/>
      </c>
    </row>
    <row r="353">
      <c r="A353" s="31" t="inlineStr">
        <is>
          <t>Capacités</t>
        </is>
      </c>
      <c r="B353" s="34" t="inlineStr">
        <is>
          <t>Vole-Vie</t>
        </is>
      </c>
      <c r="C353" s="34" t="inlineStr">
        <is>
          <t>Morsure</t>
        </is>
      </c>
      <c r="D353" s="34" t="inlineStr">
        <is>
          <t>Griffe</t>
        </is>
      </c>
      <c r="E353" s="34" t="n"/>
      <c r="F353" s="34" t="n"/>
      <c r="G353" s="34" t="n"/>
      <c r="H353" s="30">
        <f>IF(OR($B$1="Tous",$B$1="HERICENDRE"),"Oui","Non")</f>
        <v/>
      </c>
    </row>
    <row r="354">
      <c r="A354" s="31" t="n"/>
      <c r="B354" s="34" t="inlineStr">
        <is>
          <t>Ultrason</t>
        </is>
      </c>
      <c r="C354" s="34" t="inlineStr">
        <is>
          <t>Jet-Pierres</t>
        </is>
      </c>
      <c r="D354" s="34" t="inlineStr">
        <is>
          <t>Frénésie</t>
        </is>
      </c>
      <c r="E354" s="34" t="n"/>
      <c r="F354" s="34" t="n"/>
      <c r="G354" s="34" t="n"/>
      <c r="H354" s="30">
        <f>IF(OR($B$1="Tous",$B$1="HERICENDRE"),"Oui","Non")</f>
        <v/>
      </c>
    </row>
    <row r="355">
      <c r="A355" s="31" t="n"/>
      <c r="B355" s="34" t="inlineStr">
        <is>
          <t>Dard-Venin</t>
        </is>
      </c>
      <c r="C355" s="34" t="inlineStr">
        <is>
          <t>Grincement</t>
        </is>
      </c>
      <c r="D355" s="34" t="inlineStr">
        <is>
          <t>Bulles d'O</t>
        </is>
      </c>
      <c r="E355" s="34" t="n"/>
      <c r="F355" s="34" t="n"/>
      <c r="G355" s="34" t="n"/>
      <c r="H355" s="30">
        <f>IF(OR($B$1="Tous",$B$1="HERICENDRE"),"Oui","Non")</f>
        <v/>
      </c>
    </row>
    <row r="356">
      <c r="A356" s="31" t="n"/>
      <c r="B356" s="34" t="inlineStr">
        <is>
          <t>Étonnement</t>
        </is>
      </c>
      <c r="C356" s="34" t="inlineStr">
        <is>
          <t>Tempête de Sable</t>
        </is>
      </c>
      <c r="D356" s="34" t="inlineStr">
        <is>
          <t>Groz'Yeux</t>
        </is>
      </c>
      <c r="E356" s="34" t="n"/>
      <c r="F356" s="34" t="n"/>
      <c r="G356" s="34" t="n"/>
      <c r="H356" s="30">
        <f>IF(OR($B$1="Tous",$B$1="HERICENDRE"),"Oui","Non")</f>
        <v/>
      </c>
    </row>
    <row r="357">
      <c r="A357" s="31" t="inlineStr">
        <is>
          <t>Nom</t>
        </is>
      </c>
      <c r="B357" s="32" t="inlineStr">
        <is>
          <t>Rival (si vous avez choisi KAIMINUS)</t>
        </is>
      </c>
      <c r="C357" s="32" t="n"/>
      <c r="D357" s="32" t="n"/>
      <c r="E357" s="32" t="n"/>
      <c r="F357" s="32" t="n"/>
      <c r="G357" s="32" t="n"/>
      <c r="H357" s="30">
        <f>IF(OR($B$1="Tous",$B$1="KAIMINUS"),"Oui","Non")</f>
        <v/>
      </c>
    </row>
    <row r="358">
      <c r="A358" s="31" t="inlineStr">
        <is>
          <t>Pokémon</t>
        </is>
      </c>
      <c r="B358" s="33" t="inlineStr">
        <is>
          <t>NOSFERAPTI</t>
        </is>
      </c>
      <c r="C358" s="33" t="inlineStr">
        <is>
          <t>EMBRYLEX</t>
        </is>
      </c>
      <c r="D358" s="33" t="inlineStr">
        <is>
          <t>MACRONIUM</t>
        </is>
      </c>
      <c r="E358" s="33" t="n"/>
      <c r="F358" s="33" t="n"/>
      <c r="G358" s="33" t="n"/>
      <c r="H358" s="30">
        <f>IF(OR($B$1="Tous",$B$1="KAIMINUS"),"Oui","Non")</f>
        <v/>
      </c>
    </row>
    <row r="359">
      <c r="A359" s="31" t="inlineStr">
        <is>
          <t>Niveau</t>
        </is>
      </c>
      <c r="B359" s="33" t="n">
        <v>15</v>
      </c>
      <c r="C359" s="33" t="n">
        <v>16</v>
      </c>
      <c r="D359" s="33" t="n">
        <v>18</v>
      </c>
      <c r="E359" s="33" t="n"/>
      <c r="F359" s="33" t="n"/>
      <c r="G359" s="33" t="n"/>
      <c r="H359" s="30">
        <f>IF(OR($B$1="Tous",$B$1="KAIMINUS"),"Oui","Non")</f>
        <v/>
      </c>
    </row>
    <row r="360">
      <c r="A360" s="31" t="inlineStr">
        <is>
          <t>Objet</t>
        </is>
      </c>
      <c r="B360" s="33" t="inlineStr">
        <is>
          <t>Aucun</t>
        </is>
      </c>
      <c r="C360" s="33" t="inlineStr">
        <is>
          <t>Aucun</t>
        </is>
      </c>
      <c r="D360" s="33" t="inlineStr">
        <is>
          <t>Aucun</t>
        </is>
      </c>
      <c r="E360" s="33" t="n"/>
      <c r="F360" s="33" t="n"/>
      <c r="G360" s="33" t="n"/>
      <c r="H360" s="30">
        <f>IF(OR($B$1="Tous",$B$1="KAIMINUS"),"Oui","Non")</f>
        <v/>
      </c>
    </row>
    <row r="361">
      <c r="A361" s="31" t="inlineStr">
        <is>
          <t>Talent</t>
        </is>
      </c>
      <c r="B361" s="33" t="inlineStr">
        <is>
          <t>Attention</t>
        </is>
      </c>
      <c r="C361" s="33" t="inlineStr">
        <is>
          <t>Cran</t>
        </is>
      </c>
      <c r="D361" s="33" t="inlineStr">
        <is>
          <t>Engrais</t>
        </is>
      </c>
      <c r="E361" s="33" t="n"/>
      <c r="F361" s="33" t="n"/>
      <c r="G361" s="33" t="n"/>
      <c r="H361" s="30">
        <f>IF(OR($B$1="Tous",$B$1="KAIMINUS"),"Oui","Non")</f>
        <v/>
      </c>
    </row>
    <row r="362">
      <c r="A362" s="31" t="inlineStr">
        <is>
          <t>Capacités</t>
        </is>
      </c>
      <c r="B362" s="34" t="inlineStr">
        <is>
          <t>Vole-Vie</t>
        </is>
      </c>
      <c r="C362" s="34" t="inlineStr">
        <is>
          <t>Morsure</t>
        </is>
      </c>
      <c r="D362" s="34" t="inlineStr">
        <is>
          <t>Tranch'Herbe</t>
        </is>
      </c>
      <c r="E362" s="34" t="n"/>
      <c r="F362" s="34" t="n"/>
      <c r="G362" s="34" t="n"/>
      <c r="H362" s="30">
        <f>IF(OR($B$1="Tous",$B$1="KAIMINUS"),"Oui","Non")</f>
        <v/>
      </c>
    </row>
    <row r="363">
      <c r="A363" s="31" t="n"/>
      <c r="B363" s="34" t="inlineStr">
        <is>
          <t>Ultrason</t>
        </is>
      </c>
      <c r="C363" s="34" t="inlineStr">
        <is>
          <t>Jet-Pierres</t>
        </is>
      </c>
      <c r="D363" s="34" t="inlineStr">
        <is>
          <t>Protection</t>
        </is>
      </c>
      <c r="E363" s="34" t="n"/>
      <c r="F363" s="34" t="n"/>
      <c r="G363" s="34" t="n"/>
      <c r="H363" s="30">
        <f>IF(OR($B$1="Tous",$B$1="KAIMINUS"),"Oui","Non")</f>
        <v/>
      </c>
    </row>
    <row r="364">
      <c r="A364" s="31" t="n"/>
      <c r="B364" s="34" t="inlineStr">
        <is>
          <t>Dard-Venin</t>
        </is>
      </c>
      <c r="C364" s="34" t="inlineStr">
        <is>
          <t>Grincement</t>
        </is>
      </c>
      <c r="D364" s="34" t="inlineStr">
        <is>
          <t>Poudre Toxik</t>
        </is>
      </c>
      <c r="E364" s="34" t="n"/>
      <c r="F364" s="34" t="n"/>
      <c r="G364" s="34" t="n"/>
      <c r="H364" s="30">
        <f>IF(OR($B$1="Tous",$B$1="KAIMINUS"),"Oui","Non")</f>
        <v/>
      </c>
    </row>
    <row r="365">
      <c r="A365" s="31" t="n"/>
      <c r="B365" s="34" t="inlineStr">
        <is>
          <t>Étonnement</t>
        </is>
      </c>
      <c r="C365" s="34" t="inlineStr">
        <is>
          <t>Tempête de Sable</t>
        </is>
      </c>
      <c r="D365" s="34" t="inlineStr">
        <is>
          <t>Charge</t>
        </is>
      </c>
      <c r="E365" s="34" t="n"/>
      <c r="F365" s="34" t="n"/>
      <c r="G365" s="34" t="n"/>
      <c r="H365" s="30">
        <f>IF(OR($B$1="Tous",$B$1="KAIMINUS"),"Oui","Non")</f>
        <v/>
      </c>
    </row>
    <row r="366" ht="18" customHeight="1">
      <c r="A366" s="26" t="inlineStr">
        <is>
          <t>Puits RAMOLOSS — B1F</t>
        </is>
      </c>
      <c r="B366" s="26" t="n"/>
      <c r="C366" s="26" t="n"/>
      <c r="D366" s="26" t="n"/>
      <c r="E366" s="26" t="n"/>
      <c r="F366" s="26" t="n"/>
      <c r="G366" s="26" t="n"/>
      <c r="H366" s="30" t="inlineStr">
        <is>
          <t>Oui</t>
        </is>
      </c>
    </row>
    <row r="367">
      <c r="A367" s="31" t="inlineStr">
        <is>
          <t>Nom</t>
        </is>
      </c>
      <c r="B367" s="32" t="inlineStr">
        <is>
          <t>Rocket Sbire</t>
        </is>
      </c>
      <c r="C367" s="32" t="n"/>
      <c r="D367" s="32" t="n"/>
      <c r="E367" s="32" t="n"/>
      <c r="F367" s="32" t="n"/>
      <c r="G367" s="32" t="n"/>
      <c r="H367" s="30" t="inlineStr">
        <is>
          <t>Oui</t>
        </is>
      </c>
    </row>
    <row r="368">
      <c r="A368" s="31" t="inlineStr">
        <is>
          <t>Pokémon</t>
        </is>
      </c>
      <c r="B368" s="33" t="inlineStr">
        <is>
          <t>RATTATA</t>
        </is>
      </c>
      <c r="C368" s="33" t="inlineStr">
        <is>
          <t>RATTATA</t>
        </is>
      </c>
      <c r="D368" s="33" t="n"/>
      <c r="E368" s="33" t="n"/>
      <c r="F368" s="33" t="n"/>
      <c r="G368" s="33" t="n"/>
      <c r="H368" s="30" t="inlineStr">
        <is>
          <t>Oui</t>
        </is>
      </c>
    </row>
    <row r="369">
      <c r="A369" s="31" t="inlineStr">
        <is>
          <t>Niveau</t>
        </is>
      </c>
      <c r="B369" s="33" t="n">
        <v>9</v>
      </c>
      <c r="C369" s="33" t="n">
        <v>11</v>
      </c>
      <c r="D369" s="33" t="n"/>
      <c r="E369" s="33" t="n"/>
      <c r="F369" s="33" t="n"/>
      <c r="G369" s="33" t="n"/>
      <c r="H369" s="30" t="inlineStr">
        <is>
          <t>Oui</t>
        </is>
      </c>
    </row>
    <row r="370">
      <c r="A370" s="31" t="inlineStr">
        <is>
          <t>Objet</t>
        </is>
      </c>
      <c r="B370" s="33" t="inlineStr">
        <is>
          <t>Aucun</t>
        </is>
      </c>
      <c r="C370" s="33" t="inlineStr">
        <is>
          <t>Aucun</t>
        </is>
      </c>
      <c r="D370" s="33" t="n"/>
      <c r="E370" s="33" t="n"/>
      <c r="F370" s="33" t="n"/>
      <c r="G370" s="33" t="n"/>
      <c r="H370" s="30" t="inlineStr">
        <is>
          <t>Oui</t>
        </is>
      </c>
    </row>
    <row r="371">
      <c r="A371" s="31" t="inlineStr">
        <is>
          <t>Talent</t>
        </is>
      </c>
      <c r="B371" s="33" t="inlineStr">
        <is>
          <t>Fuite</t>
        </is>
      </c>
      <c r="C371" s="33" t="inlineStr">
        <is>
          <t>Fuite</t>
        </is>
      </c>
      <c r="D371" s="33" t="n"/>
      <c r="E371" s="33" t="n"/>
      <c r="F371" s="33" t="n"/>
      <c r="G371" s="33" t="n"/>
      <c r="H371" s="30" t="inlineStr">
        <is>
          <t>Oui</t>
        </is>
      </c>
    </row>
    <row r="372">
      <c r="A372" s="31" t="inlineStr">
        <is>
          <t>Capacités</t>
        </is>
      </c>
      <c r="B372" s="34" t="inlineStr">
        <is>
          <t>Charge</t>
        </is>
      </c>
      <c r="C372" s="34" t="inlineStr">
        <is>
          <t>Mimi-Queue</t>
        </is>
      </c>
      <c r="D372" s="34" t="n"/>
      <c r="E372" s="34" t="n"/>
      <c r="F372" s="34" t="n"/>
      <c r="G372" s="34" t="n"/>
      <c r="H372" s="30" t="inlineStr">
        <is>
          <t>Oui</t>
        </is>
      </c>
    </row>
    <row r="373">
      <c r="A373" s="31" t="n"/>
      <c r="B373" s="34" t="inlineStr">
        <is>
          <t>Mimi-Queue</t>
        </is>
      </c>
      <c r="C373" s="34" t="inlineStr">
        <is>
          <t>Vive-Attaque</t>
        </is>
      </c>
      <c r="D373" s="34" t="n"/>
      <c r="E373" s="34" t="n"/>
      <c r="F373" s="34" t="n"/>
      <c r="G373" s="34" t="n"/>
      <c r="H373" s="30" t="inlineStr">
        <is>
          <t>Oui</t>
        </is>
      </c>
    </row>
    <row r="374">
      <c r="A374" s="31" t="n"/>
      <c r="B374" s="34" t="inlineStr">
        <is>
          <t>Vive-Attaque</t>
        </is>
      </c>
      <c r="C374" s="34" t="inlineStr">
        <is>
          <t>Puissance</t>
        </is>
      </c>
      <c r="D374" s="34" t="n"/>
      <c r="E374" s="34" t="n"/>
      <c r="F374" s="34" t="n"/>
      <c r="G374" s="34" t="n"/>
      <c r="H374" s="30" t="inlineStr">
        <is>
          <t>Oui</t>
        </is>
      </c>
    </row>
    <row r="375">
      <c r="A375" s="31" t="n"/>
      <c r="B375" s="34" t="inlineStr">
        <is>
          <t>Puissance</t>
        </is>
      </c>
      <c r="C375" s="34" t="inlineStr">
        <is>
          <t>Morsure</t>
        </is>
      </c>
      <c r="D375" s="34" t="n"/>
      <c r="E375" s="34" t="n"/>
      <c r="F375" s="34" t="n"/>
      <c r="G375" s="34" t="n"/>
      <c r="H375" s="30" t="inlineStr">
        <is>
          <t>Oui</t>
        </is>
      </c>
    </row>
    <row r="376">
      <c r="A376" s="31" t="inlineStr">
        <is>
          <t>Nom</t>
        </is>
      </c>
      <c r="B376" s="32" t="inlineStr">
        <is>
          <t>Rocket Sbire</t>
        </is>
      </c>
      <c r="C376" s="32" t="n"/>
      <c r="D376" s="32" t="n"/>
      <c r="E376" s="32" t="n"/>
      <c r="F376" s="32" t="n"/>
      <c r="G376" s="32" t="n"/>
      <c r="H376" s="30" t="inlineStr">
        <is>
          <t>Oui</t>
        </is>
      </c>
    </row>
    <row r="377">
      <c r="A377" s="31" t="inlineStr">
        <is>
          <t>Pokémon</t>
        </is>
      </c>
      <c r="B377" s="33" t="inlineStr">
        <is>
          <t>RATTATA</t>
        </is>
      </c>
      <c r="C377" s="33" t="inlineStr">
        <is>
          <t>NOSFERAPTI</t>
        </is>
      </c>
      <c r="D377" s="33" t="n"/>
      <c r="E377" s="33" t="n"/>
      <c r="F377" s="33" t="n"/>
      <c r="G377" s="33" t="n"/>
      <c r="H377" s="30" t="inlineStr">
        <is>
          <t>Oui</t>
        </is>
      </c>
    </row>
    <row r="378">
      <c r="A378" s="31" t="inlineStr">
        <is>
          <t>Niveau</t>
        </is>
      </c>
      <c r="B378" s="33" t="n">
        <v>9</v>
      </c>
      <c r="C378" s="33" t="n">
        <v>9</v>
      </c>
      <c r="D378" s="33" t="n"/>
      <c r="E378" s="33" t="n"/>
      <c r="F378" s="33" t="n"/>
      <c r="G378" s="33" t="n"/>
      <c r="H378" s="30" t="inlineStr">
        <is>
          <t>Oui</t>
        </is>
      </c>
    </row>
    <row r="379">
      <c r="A379" s="31" t="inlineStr">
        <is>
          <t>Objet</t>
        </is>
      </c>
      <c r="B379" s="33" t="inlineStr">
        <is>
          <t>Aucun</t>
        </is>
      </c>
      <c r="C379" s="33" t="inlineStr">
        <is>
          <t>Aucun</t>
        </is>
      </c>
      <c r="D379" s="33" t="n"/>
      <c r="E379" s="33" t="n"/>
      <c r="F379" s="33" t="n"/>
      <c r="G379" s="33" t="n"/>
      <c r="H379" s="30" t="inlineStr">
        <is>
          <t>Oui</t>
        </is>
      </c>
    </row>
    <row r="380">
      <c r="A380" s="31" t="inlineStr">
        <is>
          <t>Talent</t>
        </is>
      </c>
      <c r="B380" s="33" t="inlineStr">
        <is>
          <t>Fuite</t>
        </is>
      </c>
      <c r="C380" s="33" t="inlineStr">
        <is>
          <t>Attention</t>
        </is>
      </c>
      <c r="D380" s="33" t="n"/>
      <c r="E380" s="33" t="n"/>
      <c r="F380" s="33" t="n"/>
      <c r="G380" s="33" t="n"/>
      <c r="H380" s="30" t="inlineStr">
        <is>
          <t>Oui</t>
        </is>
      </c>
    </row>
    <row r="381">
      <c r="A381" s="31" t="inlineStr">
        <is>
          <t>Capacités</t>
        </is>
      </c>
      <c r="B381" s="34" t="inlineStr">
        <is>
          <t>Charge</t>
        </is>
      </c>
      <c r="C381" s="34" t="inlineStr">
        <is>
          <t>Vole-Vie</t>
        </is>
      </c>
      <c r="D381" s="34" t="n"/>
      <c r="E381" s="34" t="n"/>
      <c r="F381" s="34" t="n"/>
      <c r="G381" s="34" t="n"/>
      <c r="H381" s="30" t="inlineStr">
        <is>
          <t>Oui</t>
        </is>
      </c>
    </row>
    <row r="382">
      <c r="A382" s="31" t="n"/>
      <c r="B382" s="34" t="inlineStr">
        <is>
          <t>Mimi-Queue</t>
        </is>
      </c>
      <c r="C382" s="34" t="inlineStr">
        <is>
          <t>Ultrason</t>
        </is>
      </c>
      <c r="D382" s="34" t="n"/>
      <c r="E382" s="34" t="n"/>
      <c r="F382" s="34" t="n"/>
      <c r="G382" s="34" t="n"/>
      <c r="H382" s="30" t="inlineStr">
        <is>
          <t>Oui</t>
        </is>
      </c>
    </row>
    <row r="383">
      <c r="A383" s="31" t="n"/>
      <c r="B383" s="34" t="inlineStr">
        <is>
          <t>Vive-Attaque</t>
        </is>
      </c>
      <c r="C383" s="34" t="inlineStr">
        <is>
          <t>Étonnement</t>
        </is>
      </c>
      <c r="D383" s="34" t="n"/>
      <c r="E383" s="34" t="n"/>
      <c r="F383" s="34" t="n"/>
      <c r="G383" s="34" t="n"/>
      <c r="H383" s="30" t="inlineStr">
        <is>
          <t>Oui</t>
        </is>
      </c>
    </row>
    <row r="384">
      <c r="A384" s="31" t="n"/>
      <c r="B384" s="34" t="inlineStr">
        <is>
          <t>Puissance</t>
        </is>
      </c>
      <c r="C384" s="34" t="inlineStr">
        <is>
          <t>Dard-Venin</t>
        </is>
      </c>
      <c r="D384" s="34" t="n"/>
      <c r="E384" s="34" t="n"/>
      <c r="F384" s="34" t="n"/>
      <c r="G384" s="34" t="n"/>
      <c r="H384" s="30" t="inlineStr">
        <is>
          <t>Oui</t>
        </is>
      </c>
    </row>
    <row r="385">
      <c r="A385" s="31" t="inlineStr">
        <is>
          <t>Nom</t>
        </is>
      </c>
      <c r="B385" s="32" t="inlineStr">
        <is>
          <t>Rocket Eto</t>
        </is>
      </c>
      <c r="C385" s="32" t="n"/>
      <c r="D385" s="32" t="n"/>
      <c r="E385" s="32" t="n"/>
      <c r="F385" s="32" t="n"/>
      <c r="G385" s="32" t="n"/>
      <c r="H385" s="30" t="inlineStr">
        <is>
          <t>Oui</t>
        </is>
      </c>
    </row>
    <row r="386">
      <c r="A386" s="31" t="inlineStr">
        <is>
          <t>Pokémon</t>
        </is>
      </c>
      <c r="B386" s="33" t="inlineStr">
        <is>
          <t>ELEKID</t>
        </is>
      </c>
      <c r="C386" s="33" t="inlineStr">
        <is>
          <t>MAGBY</t>
        </is>
      </c>
      <c r="D386" s="33" t="inlineStr">
        <is>
          <t>LIPPOUTI</t>
        </is>
      </c>
      <c r="E386" s="33" t="n"/>
      <c r="F386" s="33" t="n"/>
      <c r="G386" s="33" t="n"/>
      <c r="H386" s="30" t="inlineStr">
        <is>
          <t>Oui</t>
        </is>
      </c>
    </row>
    <row r="387">
      <c r="A387" s="31" t="inlineStr">
        <is>
          <t>Niveau</t>
        </is>
      </c>
      <c r="B387" s="33" t="n">
        <v>11</v>
      </c>
      <c r="C387" s="33" t="n">
        <v>11</v>
      </c>
      <c r="D387" s="33" t="n">
        <v>11</v>
      </c>
      <c r="E387" s="33" t="n"/>
      <c r="F387" s="33" t="n"/>
      <c r="G387" s="33" t="n"/>
      <c r="H387" s="30" t="inlineStr">
        <is>
          <t>Oui</t>
        </is>
      </c>
    </row>
    <row r="388">
      <c r="A388" s="31" t="inlineStr">
        <is>
          <t>Objet</t>
        </is>
      </c>
      <c r="B388" s="33" t="inlineStr">
        <is>
          <t>Aucun</t>
        </is>
      </c>
      <c r="C388" s="33" t="inlineStr">
        <is>
          <t>Aucun</t>
        </is>
      </c>
      <c r="D388" s="33" t="inlineStr">
        <is>
          <t>Aucun</t>
        </is>
      </c>
      <c r="E388" s="33" t="n"/>
      <c r="F388" s="33" t="n"/>
      <c r="G388" s="33" t="n"/>
      <c r="H388" s="30" t="inlineStr">
        <is>
          <t>Oui</t>
        </is>
      </c>
    </row>
    <row r="389">
      <c r="A389" s="31" t="inlineStr">
        <is>
          <t>Talent</t>
        </is>
      </c>
      <c r="B389" s="33" t="inlineStr">
        <is>
          <t>Statik</t>
        </is>
      </c>
      <c r="C389" s="33" t="inlineStr">
        <is>
          <t>Corps Ardent</t>
        </is>
      </c>
      <c r="D389" s="33" t="inlineStr">
        <is>
          <t>Benêt</t>
        </is>
      </c>
      <c r="E389" s="33" t="n"/>
      <c r="F389" s="33" t="n"/>
      <c r="G389" s="33" t="n"/>
      <c r="H389" s="30" t="inlineStr">
        <is>
          <t>Oui</t>
        </is>
      </c>
    </row>
    <row r="390">
      <c r="A390" s="31" t="inlineStr">
        <is>
          <t>Capacités</t>
        </is>
      </c>
      <c r="B390" s="34" t="inlineStr">
        <is>
          <t>Vive-Attaque</t>
        </is>
      </c>
      <c r="C390" s="34" t="inlineStr">
        <is>
          <t>Purédpois</t>
        </is>
      </c>
      <c r="D390" s="34" t="inlineStr">
        <is>
          <t>Écras'Face</t>
        </is>
      </c>
      <c r="E390" s="34" t="n"/>
      <c r="F390" s="34" t="n"/>
      <c r="G390" s="34" t="n"/>
      <c r="H390" s="30" t="inlineStr">
        <is>
          <t>Oui</t>
        </is>
      </c>
    </row>
    <row r="391">
      <c r="A391" s="31" t="n"/>
      <c r="B391" s="34" t="inlineStr">
        <is>
          <t>Groz'Yeux</t>
        </is>
      </c>
      <c r="C391" s="34" t="inlineStr">
        <is>
          <t>Groz'Yeux</t>
        </is>
      </c>
      <c r="D391" s="34" t="inlineStr">
        <is>
          <t>Léchouille</t>
        </is>
      </c>
      <c r="E391" s="34" t="n"/>
      <c r="F391" s="34" t="n"/>
      <c r="G391" s="34" t="n"/>
      <c r="H391" s="30" t="inlineStr">
        <is>
          <t>Oui</t>
        </is>
      </c>
    </row>
    <row r="392">
      <c r="A392" s="31" t="n"/>
      <c r="B392" s="34" t="inlineStr">
        <is>
          <t>Éclair</t>
        </is>
      </c>
      <c r="C392" s="34" t="inlineStr">
        <is>
          <t>Flammèche</t>
        </is>
      </c>
      <c r="D392" s="34" t="inlineStr">
        <is>
          <t>Doux Baiser</t>
        </is>
      </c>
      <c r="E392" s="34" t="n"/>
      <c r="F392" s="34" t="n"/>
      <c r="G392" s="34" t="n"/>
      <c r="H392" s="30" t="inlineStr">
        <is>
          <t>Oui</t>
        </is>
      </c>
    </row>
    <row r="393">
      <c r="A393" s="31" t="n"/>
      <c r="B393" s="34" t="inlineStr">
        <is>
          <t>Balayage</t>
        </is>
      </c>
      <c r="C393" s="34" t="inlineStr">
        <is>
          <t>Brouillard</t>
        </is>
      </c>
      <c r="D393" s="34" t="inlineStr">
        <is>
          <t>Poudreuse</t>
        </is>
      </c>
      <c r="E393" s="34" t="n"/>
      <c r="F393" s="34" t="n"/>
      <c r="G393" s="34" t="n"/>
      <c r="H393" s="30" t="inlineStr">
        <is>
          <t>Oui</t>
        </is>
      </c>
    </row>
    <row r="394">
      <c r="A394" s="31" t="inlineStr">
        <is>
          <t>Nom</t>
        </is>
      </c>
      <c r="B394" s="32" t="inlineStr">
        <is>
          <t>Commandant Lance</t>
        </is>
      </c>
      <c r="C394" s="32" t="n"/>
      <c r="D394" s="32" t="n"/>
      <c r="E394" s="32" t="n"/>
      <c r="F394" s="32" t="n"/>
      <c r="G394" s="32" t="n"/>
      <c r="H394" s="30" t="inlineStr">
        <is>
          <t>Oui</t>
        </is>
      </c>
    </row>
    <row r="395">
      <c r="A395" s="31" t="inlineStr">
        <is>
          <t>Pokémon</t>
        </is>
      </c>
      <c r="B395" s="33" t="inlineStr">
        <is>
          <t>SMOGO</t>
        </is>
      </c>
      <c r="C395" s="33" t="inlineStr">
        <is>
          <t>RAMOLOSS</t>
        </is>
      </c>
      <c r="D395" s="33" t="inlineStr">
        <is>
          <t>MALOSSE</t>
        </is>
      </c>
      <c r="E395" s="33" t="n"/>
      <c r="F395" s="33" t="n"/>
      <c r="G395" s="33" t="n"/>
      <c r="H395" s="30" t="inlineStr">
        <is>
          <t>Oui</t>
        </is>
      </c>
    </row>
    <row r="396">
      <c r="A396" s="31" t="inlineStr">
        <is>
          <t>Niveau</t>
        </is>
      </c>
      <c r="B396" s="33" t="n">
        <v>12</v>
      </c>
      <c r="C396" s="33" t="n">
        <v>13</v>
      </c>
      <c r="D396" s="33" t="n">
        <v>15</v>
      </c>
      <c r="E396" s="33" t="n"/>
      <c r="F396" s="33" t="n"/>
      <c r="G396" s="33" t="n"/>
      <c r="H396" s="30" t="inlineStr">
        <is>
          <t>Oui</t>
        </is>
      </c>
    </row>
    <row r="397">
      <c r="A397" s="31" t="inlineStr">
        <is>
          <t>Objet</t>
        </is>
      </c>
      <c r="B397" s="33" t="inlineStr">
        <is>
          <t>Aucun</t>
        </is>
      </c>
      <c r="C397" s="33" t="inlineStr">
        <is>
          <t>Aucun</t>
        </is>
      </c>
      <c r="D397" s="33" t="inlineStr">
        <is>
          <t>Aucun</t>
        </is>
      </c>
      <c r="E397" s="33" t="n"/>
      <c r="F397" s="33" t="n"/>
      <c r="G397" s="33" t="n"/>
      <c r="H397" s="30" t="inlineStr">
        <is>
          <t>Oui</t>
        </is>
      </c>
    </row>
    <row r="398">
      <c r="A398" s="31" t="inlineStr">
        <is>
          <t>Talent</t>
        </is>
      </c>
      <c r="B398" s="33" t="inlineStr">
        <is>
          <t>Lévitation</t>
        </is>
      </c>
      <c r="C398" s="33" t="inlineStr">
        <is>
          <t>Benêt</t>
        </is>
      </c>
      <c r="D398" s="33" t="inlineStr">
        <is>
          <t>Matinal</t>
        </is>
      </c>
      <c r="E398" s="33" t="n"/>
      <c r="F398" s="33" t="n"/>
      <c r="G398" s="33" t="n"/>
      <c r="H398" s="30" t="inlineStr">
        <is>
          <t>Oui</t>
        </is>
      </c>
    </row>
    <row r="399">
      <c r="A399" s="31" t="inlineStr">
        <is>
          <t>Capacités</t>
        </is>
      </c>
      <c r="B399" s="34" t="inlineStr">
        <is>
          <t>Charge</t>
        </is>
      </c>
      <c r="C399" s="34" t="inlineStr">
        <is>
          <t>Bâillement</t>
        </is>
      </c>
      <c r="D399" s="34" t="inlineStr">
        <is>
          <t>Flammèche</t>
        </is>
      </c>
      <c r="E399" s="34" t="n"/>
      <c r="F399" s="34" t="n"/>
      <c r="G399" s="34" t="n"/>
      <c r="H399" s="30" t="inlineStr">
        <is>
          <t>Oui</t>
        </is>
      </c>
    </row>
    <row r="400">
      <c r="A400" s="31" t="n"/>
      <c r="B400" s="34" t="inlineStr">
        <is>
          <t>Purédpois</t>
        </is>
      </c>
      <c r="C400" s="34" t="inlineStr">
        <is>
          <t>Charge</t>
        </is>
      </c>
      <c r="D400" s="34" t="inlineStr">
        <is>
          <t>Grondement</t>
        </is>
      </c>
      <c r="E400" s="34" t="n"/>
      <c r="F400" s="34" t="n"/>
      <c r="G400" s="34" t="n"/>
      <c r="H400" s="30" t="inlineStr">
        <is>
          <t>Oui</t>
        </is>
      </c>
    </row>
    <row r="401">
      <c r="A401" s="31" t="n"/>
      <c r="B401" s="34" t="inlineStr">
        <is>
          <t>Brouillard</t>
        </is>
      </c>
      <c r="C401" s="34" t="inlineStr">
        <is>
          <t>Rugissement</t>
        </is>
      </c>
      <c r="D401" s="34" t="inlineStr">
        <is>
          <t>Purédpois</t>
        </is>
      </c>
      <c r="E401" s="34" t="n"/>
      <c r="F401" s="34" t="n"/>
      <c r="G401" s="34" t="n"/>
      <c r="H401" s="30" t="inlineStr">
        <is>
          <t>Oui</t>
        </is>
      </c>
    </row>
    <row r="402">
      <c r="A402" s="31" t="n"/>
      <c r="B402" s="34" t="inlineStr">
        <is>
          <t>Assurance</t>
        </is>
      </c>
      <c r="C402" s="34" t="inlineStr">
        <is>
          <t>Pistolet à O</t>
        </is>
      </c>
      <c r="D402" s="34" t="inlineStr">
        <is>
          <t>Hurlement</t>
        </is>
      </c>
      <c r="E402" s="34" t="n"/>
      <c r="F402" s="34" t="n"/>
      <c r="G402" s="34" t="n"/>
      <c r="H402" s="30" t="inlineStr">
        <is>
          <t>Oui</t>
        </is>
      </c>
    </row>
    <row r="403" ht="18" customHeight="1">
      <c r="A403" s="26" t="inlineStr">
        <is>
          <t>Bois aux Chênes</t>
        </is>
      </c>
      <c r="B403" s="26" t="n"/>
      <c r="C403" s="26" t="n"/>
      <c r="D403" s="26" t="n"/>
      <c r="E403" s="26" t="n"/>
      <c r="F403" s="26" t="n"/>
      <c r="G403" s="26" t="n"/>
      <c r="H403" s="30" t="inlineStr">
        <is>
          <t>Oui</t>
        </is>
      </c>
    </row>
    <row r="404">
      <c r="A404" s="31" t="inlineStr">
        <is>
          <t>Nom</t>
        </is>
      </c>
      <c r="B404" s="32" t="inlineStr">
        <is>
          <t>Scout Léopold</t>
        </is>
      </c>
      <c r="C404" s="32" t="n"/>
      <c r="D404" s="32" t="n"/>
      <c r="E404" s="32" t="n"/>
      <c r="F404" s="32" t="n"/>
      <c r="G404" s="32" t="n"/>
      <c r="H404" s="30" t="inlineStr">
        <is>
          <t>Oui</t>
        </is>
      </c>
    </row>
    <row r="405">
      <c r="A405" s="31" t="inlineStr">
        <is>
          <t>Pokémon</t>
        </is>
      </c>
      <c r="B405" s="33" t="inlineStr">
        <is>
          <t>PARAS</t>
        </is>
      </c>
      <c r="C405" s="33" t="inlineStr">
        <is>
          <t>MYSTHERBE</t>
        </is>
      </c>
      <c r="D405" s="33" t="n"/>
      <c r="E405" s="33" t="n"/>
      <c r="F405" s="33" t="n"/>
      <c r="G405" s="33" t="n"/>
      <c r="H405" s="30" t="inlineStr">
        <is>
          <t>Oui</t>
        </is>
      </c>
    </row>
    <row r="406">
      <c r="A406" s="31" t="inlineStr">
        <is>
          <t>Niveau</t>
        </is>
      </c>
      <c r="B406" s="33" t="n">
        <v>15</v>
      </c>
      <c r="C406" s="33" t="n">
        <v>15</v>
      </c>
      <c r="D406" s="33" t="n"/>
      <c r="E406" s="33" t="n"/>
      <c r="F406" s="33" t="n"/>
      <c r="G406" s="33" t="n"/>
      <c r="H406" s="30" t="inlineStr">
        <is>
          <t>Oui</t>
        </is>
      </c>
    </row>
    <row r="407">
      <c r="A407" s="31" t="inlineStr">
        <is>
          <t>Objet</t>
        </is>
      </c>
      <c r="B407" s="33" t="inlineStr">
        <is>
          <t>Aucun</t>
        </is>
      </c>
      <c r="C407" s="33" t="inlineStr">
        <is>
          <t>Aucun</t>
        </is>
      </c>
      <c r="D407" s="33" t="n"/>
      <c r="E407" s="33" t="n"/>
      <c r="F407" s="33" t="n"/>
      <c r="G407" s="33" t="n"/>
      <c r="H407" s="30" t="inlineStr">
        <is>
          <t>Oui</t>
        </is>
      </c>
    </row>
    <row r="408">
      <c r="A408" s="31" t="inlineStr">
        <is>
          <t>Talent</t>
        </is>
      </c>
      <c r="B408" s="33" t="inlineStr">
        <is>
          <t>Pose Spore</t>
        </is>
      </c>
      <c r="C408" s="33" t="inlineStr">
        <is>
          <t>Chlorophylle</t>
        </is>
      </c>
      <c r="D408" s="33" t="n"/>
      <c r="E408" s="33" t="n"/>
      <c r="F408" s="33" t="n"/>
      <c r="G408" s="33" t="n"/>
      <c r="H408" s="30" t="inlineStr">
        <is>
          <t>Oui</t>
        </is>
      </c>
    </row>
    <row r="409">
      <c r="A409" s="31" t="inlineStr">
        <is>
          <t>Capacités</t>
        </is>
      </c>
      <c r="B409" s="34" t="inlineStr">
        <is>
          <t>Griffe</t>
        </is>
      </c>
      <c r="C409" s="34" t="inlineStr">
        <is>
          <t>Acide</t>
        </is>
      </c>
      <c r="D409" s="34" t="n"/>
      <c r="E409" s="34" t="n"/>
      <c r="F409" s="34" t="n"/>
      <c r="G409" s="34" t="n"/>
      <c r="H409" s="30" t="inlineStr">
        <is>
          <t>Oui</t>
        </is>
      </c>
    </row>
    <row r="410">
      <c r="A410" s="31" t="n"/>
      <c r="B410" s="34" t="inlineStr">
        <is>
          <t>Para-Spore</t>
        </is>
      </c>
      <c r="C410" s="34" t="inlineStr">
        <is>
          <t>Poudre Toxik</t>
        </is>
      </c>
      <c r="D410" s="34" t="n"/>
      <c r="E410" s="34" t="n"/>
      <c r="F410" s="34" t="n"/>
      <c r="G410" s="34" t="n"/>
      <c r="H410" s="30" t="inlineStr">
        <is>
          <t>Oui</t>
        </is>
      </c>
    </row>
    <row r="411">
      <c r="A411" s="31" t="n"/>
      <c r="B411" s="34" t="inlineStr">
        <is>
          <t>Poudre Toxik</t>
        </is>
      </c>
      <c r="C411" s="34" t="inlineStr">
        <is>
          <t>Para-Spore</t>
        </is>
      </c>
      <c r="D411" s="34" t="n"/>
      <c r="E411" s="34" t="n"/>
      <c r="F411" s="34" t="n"/>
      <c r="G411" s="34" t="n"/>
      <c r="H411" s="30" t="inlineStr">
        <is>
          <t>Oui</t>
        </is>
      </c>
    </row>
    <row r="412">
      <c r="A412" s="31" t="n"/>
      <c r="B412" s="34" t="inlineStr">
        <is>
          <t>Vole-Vie</t>
        </is>
      </c>
      <c r="C412" s="34" t="inlineStr">
        <is>
          <t>Poudre Dodo</t>
        </is>
      </c>
      <c r="D412" s="34" t="n"/>
      <c r="E412" s="34" t="n"/>
      <c r="F412" s="34" t="n"/>
      <c r="G412" s="34" t="n"/>
      <c r="H412" s="30" t="inlineStr">
        <is>
          <t>Oui</t>
        </is>
      </c>
    </row>
    <row r="413" ht="18" customHeight="1">
      <c r="A413" s="26" t="inlineStr">
        <is>
          <t>Route 34</t>
        </is>
      </c>
      <c r="B413" s="26" t="n"/>
      <c r="C413" s="26" t="n"/>
      <c r="D413" s="26" t="n"/>
      <c r="E413" s="26" t="n"/>
      <c r="F413" s="26" t="n"/>
      <c r="G413" s="26" t="n"/>
      <c r="H413" s="30" t="inlineStr">
        <is>
          <t>Oui</t>
        </is>
      </c>
    </row>
    <row r="414">
      <c r="A414" s="31" t="inlineStr">
        <is>
          <t>Nom</t>
        </is>
      </c>
      <c r="B414" s="32" t="inlineStr">
        <is>
          <t>Gamin Gontran</t>
        </is>
      </c>
      <c r="C414" s="32" t="n"/>
      <c r="D414" s="32" t="n"/>
      <c r="E414" s="32" t="n"/>
      <c r="F414" s="32" t="n"/>
      <c r="G414" s="32" t="n"/>
      <c r="H414" s="30" t="inlineStr">
        <is>
          <t>Oui</t>
        </is>
      </c>
    </row>
    <row r="415">
      <c r="A415" s="31" t="inlineStr">
        <is>
          <t>Pokémon</t>
        </is>
      </c>
      <c r="B415" s="33" t="inlineStr">
        <is>
          <t>TEDDIURSA</t>
        </is>
      </c>
      <c r="C415" s="33" t="inlineStr">
        <is>
          <t>SABELETTE</t>
        </is>
      </c>
      <c r="D415" s="33" t="inlineStr">
        <is>
          <t>PIAFABEC</t>
        </is>
      </c>
      <c r="E415" s="33" t="n"/>
      <c r="F415" s="33" t="n"/>
      <c r="G415" s="33" t="n"/>
      <c r="H415" s="30" t="inlineStr">
        <is>
          <t>Oui</t>
        </is>
      </c>
    </row>
    <row r="416">
      <c r="A416" s="31" t="inlineStr">
        <is>
          <t>Niveau</t>
        </is>
      </c>
      <c r="B416" s="33" t="n">
        <v>12</v>
      </c>
      <c r="C416" s="33" t="n">
        <v>10</v>
      </c>
      <c r="D416" s="33" t="n">
        <v>12</v>
      </c>
      <c r="E416" s="33" t="n"/>
      <c r="F416" s="33" t="n"/>
      <c r="G416" s="33" t="n"/>
      <c r="H416" s="30" t="inlineStr">
        <is>
          <t>Oui</t>
        </is>
      </c>
    </row>
    <row r="417">
      <c r="A417" s="31" t="inlineStr">
        <is>
          <t>Objet</t>
        </is>
      </c>
      <c r="B417" s="33" t="inlineStr">
        <is>
          <t>Aucun</t>
        </is>
      </c>
      <c r="C417" s="33" t="inlineStr">
        <is>
          <t>Aucun</t>
        </is>
      </c>
      <c r="D417" s="33" t="inlineStr">
        <is>
          <t>Aucun</t>
        </is>
      </c>
      <c r="E417" s="33" t="n"/>
      <c r="F417" s="33" t="n"/>
      <c r="G417" s="33" t="n"/>
      <c r="H417" s="30" t="inlineStr">
        <is>
          <t>Oui</t>
        </is>
      </c>
    </row>
    <row r="418">
      <c r="A418" s="31" t="inlineStr">
        <is>
          <t>Talent</t>
        </is>
      </c>
      <c r="B418" s="33" t="inlineStr">
        <is>
          <t>Ramassage</t>
        </is>
      </c>
      <c r="C418" s="33" t="inlineStr">
        <is>
          <t>Voile Sable</t>
        </is>
      </c>
      <c r="D418" s="33" t="inlineStr">
        <is>
          <t>Regard Vif</t>
        </is>
      </c>
      <c r="E418" s="33" t="n"/>
      <c r="F418" s="33" t="n"/>
      <c r="G418" s="33" t="n"/>
      <c r="H418" s="30" t="inlineStr">
        <is>
          <t>Oui</t>
        </is>
      </c>
    </row>
    <row r="419">
      <c r="A419" s="31" t="inlineStr">
        <is>
          <t>Capacités</t>
        </is>
      </c>
      <c r="B419" s="34" t="inlineStr">
        <is>
          <t>Regard Touchant</t>
        </is>
      </c>
      <c r="C419" s="34" t="inlineStr">
        <is>
          <t>Coud'Boue</t>
        </is>
      </c>
      <c r="D419" s="34" t="inlineStr">
        <is>
          <t>Rugissement</t>
        </is>
      </c>
      <c r="E419" s="34" t="n"/>
      <c r="F419" s="34" t="n"/>
      <c r="G419" s="34" t="n"/>
      <c r="H419" s="30" t="inlineStr">
        <is>
          <t>Oui</t>
        </is>
      </c>
    </row>
    <row r="420">
      <c r="A420" s="31" t="n"/>
      <c r="B420" s="34" t="inlineStr">
        <is>
          <t>Léchouille</t>
        </is>
      </c>
      <c r="C420" s="34" t="inlineStr">
        <is>
          <t>Dard-Venin</t>
        </is>
      </c>
      <c r="D420" s="34" t="inlineStr">
        <is>
          <t>Groz'Yeux</t>
        </is>
      </c>
      <c r="E420" s="34" t="n"/>
      <c r="F420" s="34" t="n"/>
      <c r="G420" s="34" t="n"/>
      <c r="H420" s="30" t="inlineStr">
        <is>
          <t>Oui</t>
        </is>
      </c>
    </row>
    <row r="421">
      <c r="A421" s="31" t="n"/>
      <c r="B421" s="34" t="inlineStr">
        <is>
          <t>Croco Larme</t>
        </is>
      </c>
      <c r="C421" s="34" t="inlineStr">
        <is>
          <t>Roulade</t>
        </is>
      </c>
      <c r="D421" s="34" t="inlineStr">
        <is>
          <t>Poursuite</t>
        </is>
      </c>
      <c r="E421" s="34" t="n"/>
      <c r="F421" s="34" t="n"/>
      <c r="G421" s="34" t="n"/>
      <c r="H421" s="30" t="inlineStr">
        <is>
          <t>Oui</t>
        </is>
      </c>
    </row>
    <row r="422">
      <c r="A422" s="31" t="n"/>
      <c r="B422" s="34" t="inlineStr">
        <is>
          <t>Combo-Griffe</t>
        </is>
      </c>
      <c r="C422" s="34" t="inlineStr">
        <is>
          <t>Tour Rapide</t>
        </is>
      </c>
      <c r="D422" s="34" t="inlineStr">
        <is>
          <t>Furie</t>
        </is>
      </c>
      <c r="E422" s="34" t="n"/>
      <c r="F422" s="34" t="n"/>
      <c r="G422" s="34" t="n"/>
      <c r="H422" s="30" t="inlineStr">
        <is>
          <t>Oui</t>
        </is>
      </c>
    </row>
    <row r="423">
      <c r="A423" s="31" t="inlineStr">
        <is>
          <t>Nom</t>
        </is>
      </c>
      <c r="B423" s="32" t="inlineStr">
        <is>
          <t>Gamin Ian</t>
        </is>
      </c>
      <c r="C423" s="32" t="n"/>
      <c r="D423" s="32" t="n"/>
      <c r="E423" s="32" t="n"/>
      <c r="F423" s="32" t="n"/>
      <c r="G423" s="32" t="n"/>
      <c r="H423" s="30" t="inlineStr">
        <is>
          <t>Oui</t>
        </is>
      </c>
    </row>
    <row r="424">
      <c r="A424" s="31" t="inlineStr">
        <is>
          <t>Pokémon</t>
        </is>
      </c>
      <c r="B424" s="33" t="inlineStr">
        <is>
          <t>FEROSINGE</t>
        </is>
      </c>
      <c r="C424" s="33" t="inlineStr">
        <is>
          <t>TAUPIQUEUR</t>
        </is>
      </c>
      <c r="D424" s="33" t="n"/>
      <c r="E424" s="33" t="n"/>
      <c r="F424" s="33" t="n"/>
      <c r="G424" s="33" t="n"/>
      <c r="H424" s="30" t="inlineStr">
        <is>
          <t>Oui</t>
        </is>
      </c>
    </row>
    <row r="425">
      <c r="A425" s="31" t="inlineStr">
        <is>
          <t>Niveau</t>
        </is>
      </c>
      <c r="B425" s="33" t="n">
        <v>12</v>
      </c>
      <c r="C425" s="33" t="n">
        <v>14</v>
      </c>
      <c r="D425" s="33" t="n"/>
      <c r="E425" s="33" t="n"/>
      <c r="F425" s="33" t="n"/>
      <c r="G425" s="33" t="n"/>
      <c r="H425" s="30" t="inlineStr">
        <is>
          <t>Oui</t>
        </is>
      </c>
    </row>
    <row r="426">
      <c r="A426" s="31" t="inlineStr">
        <is>
          <t>Objet</t>
        </is>
      </c>
      <c r="B426" s="33" t="inlineStr">
        <is>
          <t>Aucun</t>
        </is>
      </c>
      <c r="C426" s="33" t="inlineStr">
        <is>
          <t>Aucun</t>
        </is>
      </c>
      <c r="D426" s="33" t="n"/>
      <c r="E426" s="33" t="n"/>
      <c r="F426" s="33" t="n"/>
      <c r="G426" s="33" t="n"/>
      <c r="H426" s="30" t="inlineStr">
        <is>
          <t>Oui</t>
        </is>
      </c>
    </row>
    <row r="427">
      <c r="A427" s="31" t="inlineStr">
        <is>
          <t>Talent</t>
        </is>
      </c>
      <c r="B427" s="33" t="inlineStr">
        <is>
          <t>Esprit Vital</t>
        </is>
      </c>
      <c r="C427" s="33" t="inlineStr">
        <is>
          <t>Voile Sable</t>
        </is>
      </c>
      <c r="D427" s="33" t="n"/>
      <c r="E427" s="33" t="n"/>
      <c r="F427" s="33" t="n"/>
      <c r="G427" s="33" t="n"/>
      <c r="H427" s="30" t="inlineStr">
        <is>
          <t>Oui</t>
        </is>
      </c>
    </row>
    <row r="428">
      <c r="A428" s="31" t="inlineStr">
        <is>
          <t>Capacités</t>
        </is>
      </c>
      <c r="B428" s="34" t="inlineStr">
        <is>
          <t>Puissance</t>
        </is>
      </c>
      <c r="C428" s="34" t="inlineStr">
        <is>
          <t>Rugissement</t>
        </is>
      </c>
      <c r="D428" s="34" t="n"/>
      <c r="E428" s="34" t="n"/>
      <c r="F428" s="34" t="n"/>
      <c r="G428" s="34" t="n"/>
      <c r="H428" s="30" t="inlineStr">
        <is>
          <t>Oui</t>
        </is>
      </c>
    </row>
    <row r="429">
      <c r="A429" s="31" t="n"/>
      <c r="B429" s="34" t="inlineStr">
        <is>
          <t>Combo-Griffe</t>
        </is>
      </c>
      <c r="C429" s="34" t="inlineStr">
        <is>
          <t>Étonnement</t>
        </is>
      </c>
      <c r="D429" s="34" t="n"/>
      <c r="E429" s="34" t="n"/>
      <c r="F429" s="34" t="n"/>
      <c r="G429" s="34" t="n"/>
      <c r="H429" s="30" t="inlineStr">
        <is>
          <t>Oui</t>
        </is>
      </c>
    </row>
    <row r="430">
      <c r="A430" s="31" t="n"/>
      <c r="B430" s="34" t="inlineStr">
        <is>
          <t>Poing Karaté</t>
        </is>
      </c>
      <c r="C430" s="34" t="inlineStr">
        <is>
          <t>Coud'Boue</t>
        </is>
      </c>
      <c r="D430" s="34" t="n"/>
      <c r="E430" s="34" t="n"/>
      <c r="F430" s="34" t="n"/>
      <c r="G430" s="34" t="n"/>
      <c r="H430" s="30" t="inlineStr">
        <is>
          <t>Oui</t>
        </is>
      </c>
    </row>
    <row r="431">
      <c r="A431" s="31" t="n"/>
      <c r="B431" s="34" t="inlineStr">
        <is>
          <t>Poursuite</t>
        </is>
      </c>
      <c r="C431" s="34" t="inlineStr">
        <is>
          <t>Ampleur</t>
        </is>
      </c>
      <c r="D431" s="34" t="n"/>
      <c r="E431" s="34" t="n"/>
      <c r="F431" s="34" t="n"/>
      <c r="G431" s="34" t="n"/>
      <c r="H431" s="30" t="inlineStr">
        <is>
          <t>Oui</t>
        </is>
      </c>
    </row>
    <row r="432">
      <c r="A432" s="31" t="inlineStr">
        <is>
          <t>Nom</t>
        </is>
      </c>
      <c r="B432" s="32" t="inlineStr">
        <is>
          <t>Campeur Matthias</t>
        </is>
      </c>
      <c r="C432" s="32" t="n"/>
      <c r="D432" s="32" t="n"/>
      <c r="E432" s="32" t="n"/>
      <c r="F432" s="32" t="n"/>
      <c r="G432" s="32" t="n"/>
      <c r="H432" s="30" t="inlineStr">
        <is>
          <t>Oui</t>
        </is>
      </c>
    </row>
    <row r="433">
      <c r="A433" s="31" t="inlineStr">
        <is>
          <t>Pokémon</t>
        </is>
      </c>
      <c r="B433" s="33" t="inlineStr">
        <is>
          <t>AZUMARILL</t>
        </is>
      </c>
      <c r="C433" s="33" t="n"/>
      <c r="D433" s="33" t="n"/>
      <c r="E433" s="33" t="n"/>
      <c r="F433" s="33" t="n"/>
      <c r="G433" s="33" t="n"/>
      <c r="H433" s="30" t="inlineStr">
        <is>
          <t>Oui</t>
        </is>
      </c>
    </row>
    <row r="434">
      <c r="A434" s="31" t="inlineStr">
        <is>
          <t>Niveau</t>
        </is>
      </c>
      <c r="B434" s="33" t="n">
        <v>15</v>
      </c>
      <c r="C434" s="33" t="n"/>
      <c r="D434" s="33" t="n"/>
      <c r="E434" s="33" t="n"/>
      <c r="F434" s="33" t="n"/>
      <c r="G434" s="33" t="n"/>
      <c r="H434" s="30" t="inlineStr">
        <is>
          <t>Oui</t>
        </is>
      </c>
    </row>
    <row r="435">
      <c r="A435" s="31" t="inlineStr">
        <is>
          <t>Objet</t>
        </is>
      </c>
      <c r="B435" s="33" t="inlineStr">
        <is>
          <t>Aucun</t>
        </is>
      </c>
      <c r="C435" s="33" t="n"/>
      <c r="D435" s="33" t="n"/>
      <c r="E435" s="33" t="n"/>
      <c r="F435" s="33" t="n"/>
      <c r="G435" s="33" t="n"/>
      <c r="H435" s="30" t="inlineStr">
        <is>
          <t>Oui</t>
        </is>
      </c>
    </row>
    <row r="436">
      <c r="A436" s="31" t="inlineStr">
        <is>
          <t>Talent</t>
        </is>
      </c>
      <c r="B436" s="33" t="inlineStr">
        <is>
          <t>Isograisse</t>
        </is>
      </c>
      <c r="C436" s="33" t="n"/>
      <c r="D436" s="33" t="n"/>
      <c r="E436" s="33" t="n"/>
      <c r="F436" s="33" t="n"/>
      <c r="G436" s="33" t="n"/>
      <c r="H436" s="30" t="inlineStr">
        <is>
          <t>Oui</t>
        </is>
      </c>
    </row>
    <row r="437">
      <c r="A437" s="31" t="inlineStr">
        <is>
          <t>Capacités</t>
        </is>
      </c>
      <c r="B437" s="34" t="inlineStr">
        <is>
          <t>Écume</t>
        </is>
      </c>
      <c r="C437" s="34" t="n"/>
      <c r="D437" s="34" t="n"/>
      <c r="E437" s="34" t="n"/>
      <c r="F437" s="34" t="n"/>
      <c r="G437" s="34" t="n"/>
      <c r="H437" s="30" t="inlineStr">
        <is>
          <t>Oui</t>
        </is>
      </c>
    </row>
    <row r="438">
      <c r="A438" s="31" t="n"/>
      <c r="B438" s="34" t="inlineStr">
        <is>
          <t>Boul'Armure</t>
        </is>
      </c>
      <c r="C438" s="34" t="n"/>
      <c r="D438" s="34" t="n"/>
      <c r="E438" s="34" t="n"/>
      <c r="F438" s="34" t="n"/>
      <c r="G438" s="34" t="n"/>
      <c r="H438" s="30" t="inlineStr">
        <is>
          <t>Oui</t>
        </is>
      </c>
    </row>
    <row r="439">
      <c r="A439" s="31" t="n"/>
      <c r="B439" s="34" t="inlineStr">
        <is>
          <t>Roulade</t>
        </is>
      </c>
      <c r="C439" s="34" t="n"/>
      <c r="D439" s="34" t="n"/>
      <c r="E439" s="34" t="n"/>
      <c r="F439" s="34" t="n"/>
      <c r="G439" s="34" t="n"/>
      <c r="H439" s="30" t="inlineStr">
        <is>
          <t>Oui</t>
        </is>
      </c>
    </row>
    <row r="440">
      <c r="A440" s="31" t="n"/>
      <c r="B440" s="34" t="inlineStr">
        <is>
          <t>Bulles d'O</t>
        </is>
      </c>
      <c r="C440" s="34" t="n"/>
      <c r="D440" s="34" t="n"/>
      <c r="E440" s="34" t="n"/>
      <c r="F440" s="34" t="n"/>
      <c r="G440" s="34" t="n"/>
      <c r="H440" s="30" t="inlineStr">
        <is>
          <t>Oui</t>
        </is>
      </c>
    </row>
    <row r="441">
      <c r="A441" s="31" t="inlineStr">
        <is>
          <t>Nom</t>
        </is>
      </c>
      <c r="B441" s="32" t="inlineStr">
        <is>
          <t>Pique-Nique Albertine</t>
        </is>
      </c>
      <c r="C441" s="32" t="n"/>
      <c r="D441" s="32" t="n"/>
      <c r="E441" s="32" t="n"/>
      <c r="F441" s="32" t="n"/>
      <c r="G441" s="32" t="n"/>
      <c r="H441" s="30" t="inlineStr">
        <is>
          <t>Oui</t>
        </is>
      </c>
    </row>
    <row r="442">
      <c r="A442" s="31" t="inlineStr">
        <is>
          <t>Pokémon</t>
        </is>
      </c>
      <c r="B442" s="33" t="inlineStr">
        <is>
          <t>FLORAVOL</t>
        </is>
      </c>
      <c r="C442" s="33" t="inlineStr">
        <is>
          <t>BULBIZARRE</t>
        </is>
      </c>
      <c r="D442" s="33" t="n"/>
      <c r="E442" s="33" t="n"/>
      <c r="F442" s="33" t="n"/>
      <c r="G442" s="33" t="n"/>
      <c r="H442" s="30" t="inlineStr">
        <is>
          <t>Oui</t>
        </is>
      </c>
    </row>
    <row r="443">
      <c r="A443" s="31" t="inlineStr">
        <is>
          <t>Niveau</t>
        </is>
      </c>
      <c r="B443" s="33" t="n">
        <v>14</v>
      </c>
      <c r="C443" s="33" t="n">
        <v>14</v>
      </c>
      <c r="D443" s="33" t="n"/>
      <c r="E443" s="33" t="n"/>
      <c r="F443" s="33" t="n"/>
      <c r="G443" s="33" t="n"/>
      <c r="H443" s="30" t="inlineStr">
        <is>
          <t>Oui</t>
        </is>
      </c>
    </row>
    <row r="444">
      <c r="A444" s="31" t="inlineStr">
        <is>
          <t>Objet</t>
        </is>
      </c>
      <c r="B444" s="33" t="inlineStr">
        <is>
          <t>Aucun</t>
        </is>
      </c>
      <c r="C444" s="33" t="inlineStr">
        <is>
          <t>Aucun</t>
        </is>
      </c>
      <c r="D444" s="33" t="n"/>
      <c r="E444" s="33" t="n"/>
      <c r="F444" s="33" t="n"/>
      <c r="G444" s="33" t="n"/>
      <c r="H444" s="30" t="inlineStr">
        <is>
          <t>Oui</t>
        </is>
      </c>
    </row>
    <row r="445">
      <c r="A445" s="31" t="inlineStr">
        <is>
          <t>Talent</t>
        </is>
      </c>
      <c r="B445" s="33" t="inlineStr">
        <is>
          <t>Chlorophylle</t>
        </is>
      </c>
      <c r="C445" s="33" t="inlineStr">
        <is>
          <t>Engrais</t>
        </is>
      </c>
      <c r="D445" s="33" t="n"/>
      <c r="E445" s="33" t="n"/>
      <c r="F445" s="33" t="n"/>
      <c r="G445" s="33" t="n"/>
      <c r="H445" s="30" t="inlineStr">
        <is>
          <t>Oui</t>
        </is>
      </c>
    </row>
    <row r="446">
      <c r="A446" s="31" t="inlineStr">
        <is>
          <t>Capacités</t>
        </is>
      </c>
      <c r="B446" s="34" t="inlineStr">
        <is>
          <t>Charge</t>
        </is>
      </c>
      <c r="C446" s="34" t="inlineStr">
        <is>
          <t>Vampigraine</t>
        </is>
      </c>
      <c r="D446" s="34" t="n"/>
      <c r="E446" s="34" t="n"/>
      <c r="F446" s="34" t="n"/>
      <c r="G446" s="34" t="n"/>
      <c r="H446" s="30" t="inlineStr">
        <is>
          <t>Oui</t>
        </is>
      </c>
    </row>
    <row r="447">
      <c r="A447" s="31" t="n"/>
      <c r="B447" s="34" t="inlineStr">
        <is>
          <t>Vent Féérique</t>
        </is>
      </c>
      <c r="C447" s="34" t="inlineStr">
        <is>
          <t>Fouet Lianes</t>
        </is>
      </c>
      <c r="D447" s="34" t="n"/>
      <c r="E447" s="34" t="n"/>
      <c r="F447" s="34" t="n"/>
      <c r="G447" s="34" t="n"/>
      <c r="H447" s="30" t="inlineStr">
        <is>
          <t>Oui</t>
        </is>
      </c>
    </row>
    <row r="448">
      <c r="A448" s="31" t="n"/>
      <c r="B448" s="34" t="inlineStr">
        <is>
          <t>Poudre Toxik</t>
        </is>
      </c>
      <c r="C448" s="34" t="inlineStr">
        <is>
          <t>Poudre Toxik</t>
        </is>
      </c>
      <c r="D448" s="34" t="n"/>
      <c r="E448" s="34" t="n"/>
      <c r="F448" s="34" t="n"/>
      <c r="G448" s="34" t="n"/>
      <c r="H448" s="30" t="inlineStr">
        <is>
          <t>Oui</t>
        </is>
      </c>
    </row>
    <row r="449">
      <c r="A449" s="31" t="n"/>
      <c r="B449" s="34" t="inlineStr">
        <is>
          <t>Para-Spore</t>
        </is>
      </c>
      <c r="C449" s="34" t="inlineStr">
        <is>
          <t>Poudre Dodo</t>
        </is>
      </c>
      <c r="D449" s="34" t="n"/>
      <c r="E449" s="34" t="n"/>
      <c r="F449" s="34" t="n"/>
      <c r="G449" s="34" t="n"/>
      <c r="H449" s="30" t="inlineStr">
        <is>
          <t>Oui</t>
        </is>
      </c>
    </row>
    <row r="450">
      <c r="A450" s="31" t="inlineStr">
        <is>
          <t>Nom</t>
        </is>
      </c>
      <c r="B450" s="32" t="inlineStr">
        <is>
          <t>Agent Nicolas</t>
        </is>
      </c>
      <c r="C450" s="32" t="n"/>
      <c r="D450" s="32" t="n"/>
      <c r="E450" s="32" t="n"/>
      <c r="F450" s="32" t="n"/>
      <c r="G450" s="32" t="n"/>
      <c r="H450" s="30" t="inlineStr">
        <is>
          <t>Oui</t>
        </is>
      </c>
    </row>
    <row r="451">
      <c r="A451" s="31" t="inlineStr">
        <is>
          <t>Pokémon</t>
        </is>
      </c>
      <c r="B451" s="33" t="inlineStr">
        <is>
          <t>CANINOS</t>
        </is>
      </c>
      <c r="C451" s="33" t="n"/>
      <c r="D451" s="33" t="n"/>
      <c r="E451" s="33" t="n"/>
      <c r="F451" s="33" t="n"/>
      <c r="G451" s="33" t="n"/>
      <c r="H451" s="30" t="inlineStr">
        <is>
          <t>Oui</t>
        </is>
      </c>
    </row>
    <row r="452">
      <c r="A452" s="31" t="inlineStr">
        <is>
          <t>Niveau</t>
        </is>
      </c>
      <c r="B452" s="33" t="n">
        <v>16</v>
      </c>
      <c r="C452" s="33" t="n"/>
      <c r="D452" s="33" t="n"/>
      <c r="E452" s="33" t="n"/>
      <c r="F452" s="33" t="n"/>
      <c r="G452" s="33" t="n"/>
      <c r="H452" s="30" t="inlineStr">
        <is>
          <t>Oui</t>
        </is>
      </c>
    </row>
    <row r="453">
      <c r="A453" s="31" t="inlineStr">
        <is>
          <t>Objet</t>
        </is>
      </c>
      <c r="B453" s="33" t="inlineStr">
        <is>
          <t>Aucun</t>
        </is>
      </c>
      <c r="C453" s="33" t="n"/>
      <c r="D453" s="33" t="n"/>
      <c r="E453" s="33" t="n"/>
      <c r="F453" s="33" t="n"/>
      <c r="G453" s="33" t="n"/>
      <c r="H453" s="30" t="inlineStr">
        <is>
          <t>Oui</t>
        </is>
      </c>
    </row>
    <row r="454">
      <c r="A454" s="31" t="inlineStr">
        <is>
          <t>Talent</t>
        </is>
      </c>
      <c r="B454" s="33" t="inlineStr">
        <is>
          <t>Intimidation</t>
        </is>
      </c>
      <c r="C454" s="33" t="n"/>
      <c r="D454" s="33" t="n"/>
      <c r="E454" s="33" t="n"/>
      <c r="F454" s="33" t="n"/>
      <c r="G454" s="33" t="n"/>
      <c r="H454" s="30" t="inlineStr">
        <is>
          <t>Oui</t>
        </is>
      </c>
    </row>
    <row r="455">
      <c r="A455" s="31" t="inlineStr">
        <is>
          <t>Capacités</t>
        </is>
      </c>
      <c r="B455" s="34" t="inlineStr">
        <is>
          <t>Flammèche</t>
        </is>
      </c>
      <c r="C455" s="34" t="n"/>
      <c r="D455" s="34" t="n"/>
      <c r="E455" s="34" t="n"/>
      <c r="F455" s="34" t="n"/>
      <c r="G455" s="34" t="n"/>
      <c r="H455" s="30" t="inlineStr">
        <is>
          <t>Oui</t>
        </is>
      </c>
    </row>
    <row r="456">
      <c r="A456" s="31" t="n"/>
      <c r="B456" s="34" t="inlineStr">
        <is>
          <t>Groz'Yeux</t>
        </is>
      </c>
      <c r="C456" s="34" t="n"/>
      <c r="D456" s="34" t="n"/>
      <c r="E456" s="34" t="n"/>
      <c r="F456" s="34" t="n"/>
      <c r="G456" s="34" t="n"/>
      <c r="H456" s="30" t="inlineStr">
        <is>
          <t>Oui</t>
        </is>
      </c>
    </row>
    <row r="457">
      <c r="A457" s="31" t="n"/>
      <c r="B457" s="34" t="inlineStr">
        <is>
          <t>Flair</t>
        </is>
      </c>
      <c r="C457" s="34" t="n"/>
      <c r="D457" s="34" t="n"/>
      <c r="E457" s="34" t="n"/>
      <c r="F457" s="34" t="n"/>
      <c r="G457" s="34" t="n"/>
      <c r="H457" s="30" t="inlineStr">
        <is>
          <t>Oui</t>
        </is>
      </c>
    </row>
    <row r="458">
      <c r="A458" s="31" t="n"/>
      <c r="B458" s="34" t="inlineStr">
        <is>
          <t>Coup d'Main</t>
        </is>
      </c>
      <c r="C458" s="34" t="n"/>
      <c r="D458" s="34" t="n"/>
      <c r="E458" s="34" t="n"/>
      <c r="F458" s="34" t="n"/>
      <c r="G458" s="34" t="n"/>
      <c r="H458" s="30" t="inlineStr">
        <is>
          <t>Oui</t>
        </is>
      </c>
    </row>
    <row r="459">
      <c r="A459" s="31" t="inlineStr">
        <is>
          <t>Nom</t>
        </is>
      </c>
      <c r="B459" s="32" t="inlineStr">
        <is>
          <t>Pokéfan Brandon</t>
        </is>
      </c>
      <c r="C459" s="32" t="n"/>
      <c r="D459" s="32" t="n"/>
      <c r="E459" s="32" t="n"/>
      <c r="F459" s="32" t="n"/>
      <c r="G459" s="32" t="n"/>
      <c r="H459" s="30" t="inlineStr">
        <is>
          <t>Oui</t>
        </is>
      </c>
    </row>
    <row r="460">
      <c r="A460" s="31" t="inlineStr">
        <is>
          <t>Pokémon</t>
        </is>
      </c>
      <c r="B460" s="33" t="inlineStr">
        <is>
          <t>SNUBBULL</t>
        </is>
      </c>
      <c r="C460" s="33" t="n"/>
      <c r="D460" s="33" t="n"/>
      <c r="E460" s="33" t="n"/>
      <c r="F460" s="33" t="n"/>
      <c r="G460" s="33" t="n"/>
      <c r="H460" s="30" t="inlineStr">
        <is>
          <t>Oui</t>
        </is>
      </c>
    </row>
    <row r="461">
      <c r="A461" s="31" t="inlineStr">
        <is>
          <t>Niveau</t>
        </is>
      </c>
      <c r="B461" s="33" t="n">
        <v>15</v>
      </c>
      <c r="C461" s="33" t="n"/>
      <c r="D461" s="33" t="n"/>
      <c r="E461" s="33" t="n"/>
      <c r="F461" s="33" t="n"/>
      <c r="G461" s="33" t="n"/>
      <c r="H461" s="30" t="inlineStr">
        <is>
          <t>Oui</t>
        </is>
      </c>
    </row>
    <row r="462">
      <c r="A462" s="31" t="inlineStr">
        <is>
          <t>Objet</t>
        </is>
      </c>
      <c r="B462" s="33" t="inlineStr">
        <is>
          <t>Aucun</t>
        </is>
      </c>
      <c r="C462" s="33" t="n"/>
      <c r="D462" s="33" t="n"/>
      <c r="E462" s="33" t="n"/>
      <c r="F462" s="33" t="n"/>
      <c r="G462" s="33" t="n"/>
      <c r="H462" s="30" t="inlineStr">
        <is>
          <t>Oui</t>
        </is>
      </c>
    </row>
    <row r="463">
      <c r="A463" s="31" t="inlineStr">
        <is>
          <t>Talent</t>
        </is>
      </c>
      <c r="B463" s="33" t="inlineStr">
        <is>
          <t>Intimidation</t>
        </is>
      </c>
      <c r="C463" s="33" t="n"/>
      <c r="D463" s="33" t="n"/>
      <c r="E463" s="33" t="n"/>
      <c r="F463" s="33" t="n"/>
      <c r="G463" s="33" t="n"/>
      <c r="H463" s="30" t="inlineStr">
        <is>
          <t>Oui</t>
        </is>
      </c>
    </row>
    <row r="464">
      <c r="A464" s="31" t="inlineStr">
        <is>
          <t>Capacités</t>
        </is>
      </c>
      <c r="B464" s="34" t="inlineStr">
        <is>
          <t>Charme</t>
        </is>
      </c>
      <c r="C464" s="34" t="n"/>
      <c r="D464" s="34" t="n"/>
      <c r="E464" s="34" t="n"/>
      <c r="F464" s="34" t="n"/>
      <c r="G464" s="34" t="n"/>
      <c r="H464" s="30" t="inlineStr">
        <is>
          <t>Oui</t>
        </is>
      </c>
    </row>
    <row r="465">
      <c r="A465" s="31" t="n"/>
      <c r="B465" s="34" t="inlineStr">
        <is>
          <t>Voix Enjôleuse</t>
        </is>
      </c>
      <c r="C465" s="34" t="n"/>
      <c r="D465" s="34" t="n"/>
      <c r="E465" s="34" t="n"/>
      <c r="F465" s="34" t="n"/>
      <c r="G465" s="34" t="n"/>
      <c r="H465" s="30" t="inlineStr">
        <is>
          <t>Oui</t>
        </is>
      </c>
    </row>
    <row r="466">
      <c r="A466" s="31" t="n"/>
      <c r="B466" s="34" t="inlineStr">
        <is>
          <t>Morsure</t>
        </is>
      </c>
      <c r="C466" s="34" t="n"/>
      <c r="D466" s="34" t="n"/>
      <c r="E466" s="34" t="n"/>
      <c r="F466" s="34" t="n"/>
      <c r="G466" s="34" t="n"/>
      <c r="H466" s="30" t="inlineStr">
        <is>
          <t>Oui</t>
        </is>
      </c>
    </row>
    <row r="467">
      <c r="A467" s="31" t="n"/>
      <c r="B467" s="34" t="inlineStr">
        <is>
          <t>Léchouille</t>
        </is>
      </c>
      <c r="C467" s="34" t="n"/>
      <c r="D467" s="34" t="n"/>
      <c r="E467" s="34" t="n"/>
      <c r="F467" s="34" t="n"/>
      <c r="G467" s="34" t="n"/>
      <c r="H467" s="30" t="inlineStr">
        <is>
          <t>Oui</t>
        </is>
      </c>
    </row>
    <row r="468" ht="18" customHeight="1">
      <c r="A468" s="26" t="inlineStr">
        <is>
          <t>Doublonville — Arène</t>
        </is>
      </c>
      <c r="B468" s="26" t="n"/>
      <c r="C468" s="26" t="n"/>
      <c r="D468" s="26" t="n"/>
      <c r="E468" s="26" t="n"/>
      <c r="F468" s="26" t="n"/>
      <c r="G468" s="26" t="n"/>
      <c r="H468" s="30" t="inlineStr">
        <is>
          <t>Oui</t>
        </is>
      </c>
    </row>
    <row r="469">
      <c r="A469" s="31" t="inlineStr">
        <is>
          <t>Nom</t>
        </is>
      </c>
      <c r="B469" s="32" t="inlineStr">
        <is>
          <t>Fillette Jennifer</t>
        </is>
      </c>
      <c r="C469" s="32" t="n"/>
      <c r="D469" s="32" t="n"/>
      <c r="E469" s="32" t="n"/>
      <c r="F469" s="32" t="n"/>
      <c r="G469" s="32" t="n"/>
      <c r="H469" s="30" t="inlineStr">
        <is>
          <t>Oui</t>
        </is>
      </c>
    </row>
    <row r="470">
      <c r="A470" s="31" t="inlineStr">
        <is>
          <t>Pokémon</t>
        </is>
      </c>
      <c r="B470" s="33" t="inlineStr">
        <is>
          <t>PTIRAVI</t>
        </is>
      </c>
      <c r="C470" s="33" t="n"/>
      <c r="D470" s="33" t="n"/>
      <c r="E470" s="33" t="n"/>
      <c r="F470" s="33" t="n"/>
      <c r="G470" s="33" t="n"/>
      <c r="H470" s="30" t="inlineStr">
        <is>
          <t>Oui</t>
        </is>
      </c>
    </row>
    <row r="471">
      <c r="A471" s="31" t="inlineStr">
        <is>
          <t>Niveau</t>
        </is>
      </c>
      <c r="B471" s="33" t="n">
        <v>18</v>
      </c>
      <c r="C471" s="33" t="n"/>
      <c r="D471" s="33" t="n"/>
      <c r="E471" s="33" t="n"/>
      <c r="F471" s="33" t="n"/>
      <c r="G471" s="33" t="n"/>
      <c r="H471" s="30" t="inlineStr">
        <is>
          <t>Oui</t>
        </is>
      </c>
    </row>
    <row r="472">
      <c r="A472" s="31" t="inlineStr">
        <is>
          <t>Objet</t>
        </is>
      </c>
      <c r="B472" s="33" t="inlineStr">
        <is>
          <t>Aucun</t>
        </is>
      </c>
      <c r="C472" s="33" t="n"/>
      <c r="D472" s="33" t="n"/>
      <c r="E472" s="33" t="n"/>
      <c r="F472" s="33" t="n"/>
      <c r="G472" s="33" t="n"/>
      <c r="H472" s="30" t="inlineStr">
        <is>
          <t>Oui</t>
        </is>
      </c>
    </row>
    <row r="473">
      <c r="A473" s="31" t="inlineStr">
        <is>
          <t>Talent</t>
        </is>
      </c>
      <c r="B473" s="33" t="inlineStr">
        <is>
          <t>Médic Nature</t>
        </is>
      </c>
      <c r="C473" s="33" t="n"/>
      <c r="D473" s="33" t="n"/>
      <c r="E473" s="33" t="n"/>
      <c r="F473" s="33" t="n"/>
      <c r="G473" s="33" t="n"/>
      <c r="H473" s="30" t="inlineStr">
        <is>
          <t>Oui</t>
        </is>
      </c>
    </row>
    <row r="474">
      <c r="A474" s="31" t="inlineStr">
        <is>
          <t>Capacités</t>
        </is>
      </c>
      <c r="B474" s="34" t="inlineStr">
        <is>
          <t>Charme</t>
        </is>
      </c>
      <c r="C474" s="34" t="n"/>
      <c r="D474" s="34" t="n"/>
      <c r="E474" s="34" t="n"/>
      <c r="F474" s="34" t="n"/>
      <c r="G474" s="34" t="n"/>
      <c r="H474" s="30" t="inlineStr">
        <is>
          <t>Oui</t>
        </is>
      </c>
    </row>
    <row r="475">
      <c r="A475" s="31" t="n"/>
      <c r="B475" s="34" t="inlineStr">
        <is>
          <t>Photocopie</t>
        </is>
      </c>
      <c r="C475" s="34" t="n"/>
      <c r="D475" s="34" t="n"/>
      <c r="E475" s="34" t="n"/>
      <c r="F475" s="34" t="n"/>
      <c r="G475" s="34" t="n"/>
      <c r="H475" s="30" t="inlineStr">
        <is>
          <t>Oui</t>
        </is>
      </c>
    </row>
    <row r="476">
      <c r="A476" s="31" t="n"/>
      <c r="B476" s="34" t="inlineStr">
        <is>
          <t>Régénération</t>
        </is>
      </c>
      <c r="C476" s="34" t="n"/>
      <c r="D476" s="34" t="n"/>
      <c r="E476" s="34" t="n"/>
      <c r="F476" s="34" t="n"/>
      <c r="G476" s="34" t="n"/>
      <c r="H476" s="30" t="inlineStr">
        <is>
          <t>Oui</t>
        </is>
      </c>
    </row>
    <row r="477">
      <c r="A477" s="31" t="n"/>
      <c r="B477" s="34" t="inlineStr">
        <is>
          <t>Doux Baiser</t>
        </is>
      </c>
      <c r="C477" s="34" t="n"/>
      <c r="D477" s="34" t="n"/>
      <c r="E477" s="34" t="n"/>
      <c r="F477" s="34" t="n"/>
      <c r="G477" s="34" t="n"/>
      <c r="H477" s="30" t="inlineStr">
        <is>
          <t>Oui</t>
        </is>
      </c>
    </row>
    <row r="478">
      <c r="A478" s="31" t="inlineStr">
        <is>
          <t>Nom</t>
        </is>
      </c>
      <c r="B478" s="32" t="inlineStr">
        <is>
          <t>Fillette Bridget</t>
        </is>
      </c>
      <c r="C478" s="32" t="n"/>
      <c r="D478" s="32" t="n"/>
      <c r="E478" s="32" t="n"/>
      <c r="F478" s="32" t="n"/>
      <c r="G478" s="32" t="n"/>
      <c r="H478" s="30" t="inlineStr">
        <is>
          <t>Oui</t>
        </is>
      </c>
    </row>
    <row r="479">
      <c r="A479" s="31" t="inlineStr">
        <is>
          <t>Pokémon</t>
        </is>
      </c>
      <c r="B479" s="33" t="inlineStr">
        <is>
          <t>CAPUMAIN</t>
        </is>
      </c>
      <c r="C479" s="33" t="inlineStr">
        <is>
          <t>GOINFREX</t>
        </is>
      </c>
      <c r="D479" s="33" t="n"/>
      <c r="E479" s="33" t="n"/>
      <c r="F479" s="33" t="n"/>
      <c r="G479" s="33" t="n"/>
      <c r="H479" s="30" t="inlineStr">
        <is>
          <t>Oui</t>
        </is>
      </c>
    </row>
    <row r="480">
      <c r="A480" s="31" t="inlineStr">
        <is>
          <t>Niveau</t>
        </is>
      </c>
      <c r="B480" s="33" t="n">
        <v>16</v>
      </c>
      <c r="C480" s="33" t="n">
        <v>16</v>
      </c>
      <c r="D480" s="33" t="n"/>
      <c r="E480" s="33" t="n"/>
      <c r="F480" s="33" t="n"/>
      <c r="G480" s="33" t="n"/>
      <c r="H480" s="30" t="inlineStr">
        <is>
          <t>Oui</t>
        </is>
      </c>
    </row>
    <row r="481">
      <c r="A481" s="31" t="inlineStr">
        <is>
          <t>Objet</t>
        </is>
      </c>
      <c r="B481" s="33" t="inlineStr">
        <is>
          <t>Aucun</t>
        </is>
      </c>
      <c r="C481" s="33" t="inlineStr">
        <is>
          <t>Aucun</t>
        </is>
      </c>
      <c r="D481" s="33" t="n"/>
      <c r="E481" s="33" t="n"/>
      <c r="F481" s="33" t="n"/>
      <c r="G481" s="33" t="n"/>
      <c r="H481" s="30" t="inlineStr">
        <is>
          <t>Oui</t>
        </is>
      </c>
    </row>
    <row r="482">
      <c r="A482" s="31" t="inlineStr">
        <is>
          <t>Talent</t>
        </is>
      </c>
      <c r="B482" s="33" t="inlineStr">
        <is>
          <t>Fuite</t>
        </is>
      </c>
      <c r="C482" s="33" t="inlineStr">
        <is>
          <t>Ramassage</t>
        </is>
      </c>
      <c r="D482" s="33" t="n"/>
      <c r="E482" s="33" t="n"/>
      <c r="F482" s="33" t="n"/>
      <c r="G482" s="33" t="n"/>
      <c r="H482" s="30" t="inlineStr">
        <is>
          <t>Oui</t>
        </is>
      </c>
    </row>
    <row r="483">
      <c r="A483" s="31" t="inlineStr">
        <is>
          <t>Capacités</t>
        </is>
      </c>
      <c r="B483" s="34" t="inlineStr">
        <is>
          <t>Jet de Sable</t>
        </is>
      </c>
      <c r="C483" s="34" t="inlineStr">
        <is>
          <t>Charge</t>
        </is>
      </c>
      <c r="D483" s="34" t="n"/>
      <c r="E483" s="34" t="n"/>
      <c r="F483" s="34" t="n"/>
      <c r="G483" s="34" t="n"/>
      <c r="H483" s="30" t="inlineStr">
        <is>
          <t>Oui</t>
        </is>
      </c>
    </row>
    <row r="484">
      <c r="A484" s="31" t="n"/>
      <c r="B484" s="34" t="inlineStr">
        <is>
          <t>Étonnement</t>
        </is>
      </c>
      <c r="C484" s="34" t="inlineStr">
        <is>
          <t>Boul'Armure</t>
        </is>
      </c>
      <c r="D484" s="34" t="n"/>
      <c r="E484" s="34" t="n"/>
      <c r="F484" s="34" t="n"/>
      <c r="G484" s="34" t="n"/>
      <c r="H484" s="30" t="inlineStr">
        <is>
          <t>Oui</t>
        </is>
      </c>
    </row>
    <row r="485">
      <c r="A485" s="31" t="n"/>
      <c r="B485" s="34" t="inlineStr">
        <is>
          <t>Relais</t>
        </is>
      </c>
      <c r="C485" s="34" t="inlineStr">
        <is>
          <t>Amnésie</t>
        </is>
      </c>
      <c r="D485" s="34" t="n"/>
      <c r="E485" s="34" t="n"/>
      <c r="F485" s="34" t="n"/>
      <c r="G485" s="34" t="n"/>
      <c r="H485" s="30" t="inlineStr">
        <is>
          <t>Oui</t>
        </is>
      </c>
    </row>
    <row r="486">
      <c r="A486" s="31" t="n"/>
      <c r="B486" s="34" t="inlineStr">
        <is>
          <t>Chatouille</t>
        </is>
      </c>
      <c r="C486" s="34" t="inlineStr">
        <is>
          <t>Léchouille</t>
        </is>
      </c>
      <c r="D486" s="34" t="n"/>
      <c r="E486" s="34" t="n"/>
      <c r="F486" s="34" t="n"/>
      <c r="G486" s="34" t="n"/>
      <c r="H486" s="30" t="inlineStr">
        <is>
          <t>Oui</t>
        </is>
      </c>
    </row>
    <row r="487">
      <c r="A487" s="31" t="inlineStr">
        <is>
          <t>Nom</t>
        </is>
      </c>
      <c r="B487" s="32" t="inlineStr">
        <is>
          <t>Canon Victoria</t>
        </is>
      </c>
      <c r="C487" s="32" t="n"/>
      <c r="D487" s="32" t="n"/>
      <c r="E487" s="32" t="n"/>
      <c r="F487" s="32" t="n"/>
      <c r="G487" s="32" t="n"/>
      <c r="H487" s="30" t="inlineStr">
        <is>
          <t>Oui</t>
        </is>
      </c>
    </row>
    <row r="488">
      <c r="A488" s="31" t="inlineStr">
        <is>
          <t>Pokémon</t>
        </is>
      </c>
      <c r="B488" s="33" t="inlineStr">
        <is>
          <t>TEDDIURSA</t>
        </is>
      </c>
      <c r="C488" s="33" t="inlineStr">
        <is>
          <t>FOUINAR</t>
        </is>
      </c>
      <c r="D488" s="33" t="n"/>
      <c r="E488" s="33" t="n"/>
      <c r="F488" s="33" t="n"/>
      <c r="G488" s="33" t="n"/>
      <c r="H488" s="30" t="inlineStr">
        <is>
          <t>Oui</t>
        </is>
      </c>
    </row>
    <row r="489">
      <c r="A489" s="31" t="inlineStr">
        <is>
          <t>Niveau</t>
        </is>
      </c>
      <c r="B489" s="33" t="n">
        <v>15</v>
      </c>
      <c r="C489" s="33" t="n">
        <v>17</v>
      </c>
      <c r="D489" s="33" t="n"/>
      <c r="E489" s="33" t="n"/>
      <c r="F489" s="33" t="n"/>
      <c r="G489" s="33" t="n"/>
      <c r="H489" s="30" t="inlineStr">
        <is>
          <t>Oui</t>
        </is>
      </c>
    </row>
    <row r="490">
      <c r="A490" s="31" t="inlineStr">
        <is>
          <t>Objet</t>
        </is>
      </c>
      <c r="B490" s="33" t="inlineStr">
        <is>
          <t>Aucun</t>
        </is>
      </c>
      <c r="C490" s="33" t="inlineStr">
        <is>
          <t>Aucun</t>
        </is>
      </c>
      <c r="D490" s="33" t="n"/>
      <c r="E490" s="33" t="n"/>
      <c r="F490" s="33" t="n"/>
      <c r="G490" s="33" t="n"/>
      <c r="H490" s="30" t="inlineStr">
        <is>
          <t>Oui</t>
        </is>
      </c>
    </row>
    <row r="491">
      <c r="A491" s="31" t="inlineStr">
        <is>
          <t>Talent</t>
        </is>
      </c>
      <c r="B491" s="33" t="inlineStr">
        <is>
          <t>Ramassage</t>
        </is>
      </c>
      <c r="C491" s="33" t="inlineStr">
        <is>
          <t>Fuite</t>
        </is>
      </c>
      <c r="D491" s="33" t="n"/>
      <c r="E491" s="33" t="n"/>
      <c r="F491" s="33" t="n"/>
      <c r="G491" s="33" t="n"/>
      <c r="H491" s="30" t="inlineStr">
        <is>
          <t>Oui</t>
        </is>
      </c>
    </row>
    <row r="492">
      <c r="A492" s="31" t="inlineStr">
        <is>
          <t>Capacités</t>
        </is>
      </c>
      <c r="B492" s="34" t="inlineStr">
        <is>
          <t>Léchouille</t>
        </is>
      </c>
      <c r="C492" s="34" t="inlineStr">
        <is>
          <t>Boul'Armure</t>
        </is>
      </c>
      <c r="D492" s="34" t="n"/>
      <c r="E492" s="34" t="n"/>
      <c r="F492" s="34" t="n"/>
      <c r="G492" s="34" t="n"/>
      <c r="H492" s="30" t="inlineStr">
        <is>
          <t>Oui</t>
        </is>
      </c>
    </row>
    <row r="493">
      <c r="A493" s="31" t="n"/>
      <c r="B493" s="34" t="inlineStr">
        <is>
          <t>Croco Larme</t>
        </is>
      </c>
      <c r="C493" s="34" t="inlineStr">
        <is>
          <t>Vive-Attaque</t>
        </is>
      </c>
      <c r="D493" s="34" t="n"/>
      <c r="E493" s="34" t="n"/>
      <c r="F493" s="34" t="n"/>
      <c r="G493" s="34" t="n"/>
      <c r="H493" s="30" t="inlineStr">
        <is>
          <t>Oui</t>
        </is>
      </c>
    </row>
    <row r="494">
      <c r="A494" s="31" t="n"/>
      <c r="B494" s="34" t="inlineStr">
        <is>
          <t>Combo-Griffe</t>
        </is>
      </c>
      <c r="C494" s="34" t="inlineStr">
        <is>
          <t>Combo-Griffe</t>
        </is>
      </c>
      <c r="D494" s="34" t="n"/>
      <c r="E494" s="34" t="n"/>
      <c r="F494" s="34" t="n"/>
      <c r="G494" s="34" t="n"/>
      <c r="H494" s="30" t="inlineStr">
        <is>
          <t>Oui</t>
        </is>
      </c>
    </row>
    <row r="495">
      <c r="A495" s="31" t="n"/>
      <c r="B495" s="34" t="inlineStr">
        <is>
          <t>Feinte</t>
        </is>
      </c>
      <c r="C495" s="34" t="inlineStr">
        <is>
          <t>Coup d'Main</t>
        </is>
      </c>
      <c r="D495" s="34" t="n"/>
      <c r="E495" s="34" t="n"/>
      <c r="F495" s="34" t="n"/>
      <c r="G495" s="34" t="n"/>
      <c r="H495" s="30" t="inlineStr">
        <is>
          <t>Oui</t>
        </is>
      </c>
    </row>
    <row r="496">
      <c r="A496" s="31" t="inlineStr">
        <is>
          <t>Nom</t>
        </is>
      </c>
      <c r="B496" s="32" t="inlineStr">
        <is>
          <t>Canon Carla</t>
        </is>
      </c>
      <c r="C496" s="32" t="n"/>
      <c r="D496" s="32" t="n"/>
      <c r="E496" s="32" t="n"/>
      <c r="F496" s="32" t="n"/>
      <c r="G496" s="32" t="n"/>
      <c r="H496" s="30" t="inlineStr">
        <is>
          <t>Oui</t>
        </is>
      </c>
    </row>
    <row r="497">
      <c r="A497" s="31" t="inlineStr">
        <is>
          <t>Pokémon</t>
        </is>
      </c>
      <c r="B497" s="33" t="inlineStr">
        <is>
          <t>MIAOUSS</t>
        </is>
      </c>
      <c r="C497" s="33" t="n"/>
      <c r="D497" s="33" t="n"/>
      <c r="E497" s="33" t="n"/>
      <c r="F497" s="33" t="n"/>
      <c r="G497" s="33" t="n"/>
      <c r="H497" s="30" t="inlineStr">
        <is>
          <t>Oui</t>
        </is>
      </c>
    </row>
    <row r="498">
      <c r="A498" s="31" t="inlineStr">
        <is>
          <t>Niveau</t>
        </is>
      </c>
      <c r="B498" s="33" t="n">
        <v>18</v>
      </c>
      <c r="C498" s="33" t="n"/>
      <c r="D498" s="33" t="n"/>
      <c r="E498" s="33" t="n"/>
      <c r="F498" s="33" t="n"/>
      <c r="G498" s="33" t="n"/>
      <c r="H498" s="30" t="inlineStr">
        <is>
          <t>Oui</t>
        </is>
      </c>
    </row>
    <row r="499">
      <c r="A499" s="31" t="inlineStr">
        <is>
          <t>Objet</t>
        </is>
      </c>
      <c r="B499" s="33" t="inlineStr">
        <is>
          <t>Aucun</t>
        </is>
      </c>
      <c r="C499" s="33" t="n"/>
      <c r="D499" s="33" t="n"/>
      <c r="E499" s="33" t="n"/>
      <c r="F499" s="33" t="n"/>
      <c r="G499" s="33" t="n"/>
      <c r="H499" s="30" t="inlineStr">
        <is>
          <t>Oui</t>
        </is>
      </c>
    </row>
    <row r="500">
      <c r="A500" s="31" t="inlineStr">
        <is>
          <t>Talent</t>
        </is>
      </c>
      <c r="B500" s="33" t="inlineStr">
        <is>
          <t>Ramassage</t>
        </is>
      </c>
      <c r="C500" s="33" t="n"/>
      <c r="D500" s="33" t="n"/>
      <c r="E500" s="33" t="n"/>
      <c r="F500" s="33" t="n"/>
      <c r="G500" s="33" t="n"/>
      <c r="H500" s="30" t="inlineStr">
        <is>
          <t>Oui</t>
        </is>
      </c>
    </row>
    <row r="501">
      <c r="A501" s="31" t="inlineStr">
        <is>
          <t>Capacités</t>
        </is>
      </c>
      <c r="B501" s="34" t="inlineStr">
        <is>
          <t>Morsure</t>
        </is>
      </c>
      <c r="C501" s="34" t="n"/>
      <c r="D501" s="34" t="n"/>
      <c r="E501" s="34" t="n"/>
      <c r="F501" s="34" t="n"/>
      <c r="G501" s="34" t="n"/>
      <c r="H501" s="30" t="inlineStr">
        <is>
          <t>Oui</t>
        </is>
      </c>
    </row>
    <row r="502">
      <c r="A502" s="31" t="n"/>
      <c r="B502" s="34" t="inlineStr">
        <is>
          <t>Bluff</t>
        </is>
      </c>
      <c r="C502" s="34" t="n"/>
      <c r="D502" s="34" t="n"/>
      <c r="E502" s="34" t="n"/>
      <c r="F502" s="34" t="n"/>
      <c r="G502" s="34" t="n"/>
      <c r="H502" s="30" t="inlineStr">
        <is>
          <t>Oui</t>
        </is>
      </c>
    </row>
    <row r="503">
      <c r="A503" s="31" t="n"/>
      <c r="B503" s="34" t="inlineStr">
        <is>
          <t>Combo-Griffe</t>
        </is>
      </c>
      <c r="C503" s="34" t="n"/>
      <c r="D503" s="34" t="n"/>
      <c r="E503" s="34" t="n"/>
      <c r="F503" s="34" t="n"/>
      <c r="G503" s="34" t="n"/>
      <c r="H503" s="30" t="inlineStr">
        <is>
          <t>Oui</t>
        </is>
      </c>
    </row>
    <row r="504">
      <c r="A504" s="31" t="n"/>
      <c r="B504" s="34" t="inlineStr">
        <is>
          <t>Grincement</t>
        </is>
      </c>
      <c r="C504" s="34" t="n"/>
      <c r="D504" s="34" t="n"/>
      <c r="E504" s="34" t="n"/>
      <c r="F504" s="34" t="n"/>
      <c r="G504" s="34" t="n"/>
      <c r="H504" s="30" t="inlineStr">
        <is>
          <t>Oui</t>
        </is>
      </c>
    </row>
    <row r="505">
      <c r="A505" s="31" t="inlineStr">
        <is>
          <t>Nom</t>
        </is>
      </c>
      <c r="B505" s="32" t="inlineStr">
        <is>
          <t>Champion Blanche</t>
        </is>
      </c>
      <c r="C505" s="32" t="n"/>
      <c r="D505" s="32" t="n"/>
      <c r="E505" s="32" t="n"/>
      <c r="F505" s="32" t="n"/>
      <c r="G505" s="32" t="n"/>
      <c r="H505" s="30" t="inlineStr">
        <is>
          <t>Oui</t>
        </is>
      </c>
    </row>
    <row r="506">
      <c r="A506" s="31" t="inlineStr">
        <is>
          <t>Pokémon</t>
        </is>
      </c>
      <c r="B506" s="33" t="inlineStr">
        <is>
          <t>MELOFEE</t>
        </is>
      </c>
      <c r="C506" s="33" t="inlineStr">
        <is>
          <t>TEDDIURSA</t>
        </is>
      </c>
      <c r="D506" s="33" t="inlineStr">
        <is>
          <t>ECREMEUH</t>
        </is>
      </c>
      <c r="E506" s="33" t="n"/>
      <c r="F506" s="33" t="n"/>
      <c r="G506" s="33" t="n"/>
      <c r="H506" s="30" t="inlineStr">
        <is>
          <t>Oui</t>
        </is>
      </c>
    </row>
    <row r="507">
      <c r="A507" s="31" t="inlineStr">
        <is>
          <t>Niveau</t>
        </is>
      </c>
      <c r="B507" s="33" t="n">
        <v>20</v>
      </c>
      <c r="C507" s="33" t="n">
        <v>20</v>
      </c>
      <c r="D507" s="33" t="n">
        <v>21</v>
      </c>
      <c r="E507" s="33" t="n"/>
      <c r="F507" s="33" t="n"/>
      <c r="G507" s="33" t="n"/>
      <c r="H507" s="30" t="inlineStr">
        <is>
          <t>Oui</t>
        </is>
      </c>
    </row>
    <row r="508">
      <c r="A508" s="31" t="inlineStr">
        <is>
          <t>Objet</t>
        </is>
      </c>
      <c r="B508" s="33" t="inlineStr">
        <is>
          <t>Aucun</t>
        </is>
      </c>
      <c r="C508" s="33" t="inlineStr">
        <is>
          <t>Aucun</t>
        </is>
      </c>
      <c r="D508" s="33" t="inlineStr">
        <is>
          <t>Baie Sitrus</t>
        </is>
      </c>
      <c r="E508" s="33" t="n"/>
      <c r="F508" s="33" t="n"/>
      <c r="G508" s="33" t="n"/>
      <c r="H508" s="30" t="inlineStr">
        <is>
          <t>Oui</t>
        </is>
      </c>
    </row>
    <row r="509">
      <c r="A509" s="31" t="inlineStr">
        <is>
          <t>Talent</t>
        </is>
      </c>
      <c r="B509" s="33" t="inlineStr">
        <is>
          <t>Joli Sourire</t>
        </is>
      </c>
      <c r="C509" s="33" t="inlineStr">
        <is>
          <t>Ramassage</t>
        </is>
      </c>
      <c r="D509" s="33" t="inlineStr">
        <is>
          <t>Isograisse</t>
        </is>
      </c>
      <c r="E509" s="33" t="n"/>
      <c r="F509" s="33" t="n"/>
      <c r="G509" s="33" t="n"/>
      <c r="H509" s="30" t="inlineStr">
        <is>
          <t>Oui</t>
        </is>
      </c>
    </row>
    <row r="510">
      <c r="A510" s="31" t="inlineStr">
        <is>
          <t>Capacités</t>
        </is>
      </c>
      <c r="B510" s="34" t="inlineStr">
        <is>
          <t>Coup d'Boule</t>
        </is>
      </c>
      <c r="C510" s="34" t="inlineStr">
        <is>
          <t>Combo-Griffe</t>
        </is>
      </c>
      <c r="D510" s="34" t="inlineStr">
        <is>
          <t>Roulade</t>
        </is>
      </c>
      <c r="E510" s="34" t="n"/>
      <c r="F510" s="34" t="n"/>
      <c r="G510" s="34" t="n"/>
      <c r="H510" s="30" t="inlineStr">
        <is>
          <t>Oui</t>
        </is>
      </c>
    </row>
    <row r="511">
      <c r="A511" s="31" t="n"/>
      <c r="B511" s="34" t="inlineStr">
        <is>
          <t>Charme</t>
        </is>
      </c>
      <c r="C511" s="34" t="inlineStr">
        <is>
          <t>Croco Larme</t>
        </is>
      </c>
      <c r="D511" s="34" t="inlineStr">
        <is>
          <t>Attraction</t>
        </is>
      </c>
      <c r="E511" s="34" t="n"/>
      <c r="F511" s="34" t="n"/>
      <c r="G511" s="34" t="n"/>
      <c r="H511" s="30" t="inlineStr">
        <is>
          <t>Oui</t>
        </is>
      </c>
    </row>
    <row r="512">
      <c r="A512" s="31" t="n"/>
      <c r="B512" s="34" t="inlineStr">
        <is>
          <t>Doux Baiser</t>
        </is>
      </c>
      <c r="C512" s="34" t="inlineStr">
        <is>
          <t>Léchouille</t>
        </is>
      </c>
      <c r="D512" s="34" t="inlineStr">
        <is>
          <t>Écrasement</t>
        </is>
      </c>
      <c r="E512" s="34" t="n"/>
      <c r="F512" s="34" t="n"/>
      <c r="G512" s="34" t="n"/>
      <c r="H512" s="30" t="inlineStr">
        <is>
          <t>Oui</t>
        </is>
      </c>
    </row>
    <row r="513">
      <c r="A513" s="31" t="n"/>
      <c r="B513" s="34" t="inlineStr">
        <is>
          <t>Métronome</t>
        </is>
      </c>
      <c r="C513" s="34" t="inlineStr">
        <is>
          <t>Coud'Boue</t>
        </is>
      </c>
      <c r="D513" s="34" t="inlineStr">
        <is>
          <t>Lait à Boire</t>
        </is>
      </c>
      <c r="E513" s="34" t="n"/>
      <c r="F513" s="34" t="n"/>
      <c r="G513" s="34" t="n"/>
      <c r="H513" s="30" t="inlineStr">
        <is>
          <t>Oui</t>
        </is>
      </c>
    </row>
    <row r="514" ht="18" customHeight="1">
      <c r="A514" s="26" t="inlineStr">
        <is>
          <t>Doublonville — Souterrain</t>
        </is>
      </c>
      <c r="B514" s="26" t="n"/>
      <c r="C514" s="26" t="n"/>
      <c r="D514" s="26" t="n"/>
      <c r="E514" s="26" t="n"/>
      <c r="F514" s="26" t="n"/>
      <c r="G514" s="26" t="n"/>
      <c r="H514" s="30" t="inlineStr">
        <is>
          <t>Oui</t>
        </is>
      </c>
    </row>
    <row r="515">
      <c r="A515" s="31" t="inlineStr">
        <is>
          <t>Nom</t>
        </is>
      </c>
      <c r="B515" s="32" t="inlineStr">
        <is>
          <t>Intello Steven</t>
        </is>
      </c>
      <c r="C515" s="32" t="n"/>
      <c r="D515" s="32" t="n"/>
      <c r="E515" s="32" t="n"/>
      <c r="F515" s="32" t="n"/>
      <c r="G515" s="32" t="n"/>
      <c r="H515" s="30" t="inlineStr">
        <is>
          <t>Oui</t>
        </is>
      </c>
    </row>
    <row r="516">
      <c r="A516" s="31" t="inlineStr">
        <is>
          <t>Pokémon</t>
        </is>
      </c>
      <c r="B516" s="33" t="inlineStr">
        <is>
          <t>TADMORV</t>
        </is>
      </c>
      <c r="C516" s="33" t="inlineStr">
        <is>
          <t>OSSELAIT</t>
        </is>
      </c>
      <c r="D516" s="33" t="n"/>
      <c r="E516" s="33" t="n"/>
      <c r="F516" s="33" t="n"/>
      <c r="G516" s="33" t="n"/>
      <c r="H516" s="30" t="inlineStr">
        <is>
          <t>Oui</t>
        </is>
      </c>
    </row>
    <row r="517">
      <c r="A517" s="31" t="inlineStr">
        <is>
          <t>Niveau</t>
        </is>
      </c>
      <c r="B517" s="33" t="n">
        <v>15</v>
      </c>
      <c r="C517" s="33" t="n">
        <v>15</v>
      </c>
      <c r="D517" s="33" t="n"/>
      <c r="E517" s="33" t="n"/>
      <c r="F517" s="33" t="n"/>
      <c r="G517" s="33" t="n"/>
      <c r="H517" s="30" t="inlineStr">
        <is>
          <t>Oui</t>
        </is>
      </c>
    </row>
    <row r="518">
      <c r="A518" s="31" t="inlineStr">
        <is>
          <t>Objet</t>
        </is>
      </c>
      <c r="B518" s="33" t="inlineStr">
        <is>
          <t>Aucun</t>
        </is>
      </c>
      <c r="C518" s="33" t="inlineStr">
        <is>
          <t>Aucun</t>
        </is>
      </c>
      <c r="D518" s="33" t="n"/>
      <c r="E518" s="33" t="n"/>
      <c r="F518" s="33" t="n"/>
      <c r="G518" s="33" t="n"/>
      <c r="H518" s="30" t="inlineStr">
        <is>
          <t>Oui</t>
        </is>
      </c>
    </row>
    <row r="519">
      <c r="A519" s="31" t="inlineStr">
        <is>
          <t>Talent</t>
        </is>
      </c>
      <c r="B519" s="33" t="inlineStr">
        <is>
          <t>Puanteur</t>
        </is>
      </c>
      <c r="C519" s="33" t="inlineStr">
        <is>
          <t>Tête de Roc</t>
        </is>
      </c>
      <c r="D519" s="33" t="n"/>
      <c r="E519" s="33" t="n"/>
      <c r="F519" s="33" t="n"/>
      <c r="G519" s="33" t="n"/>
      <c r="H519" s="30" t="inlineStr">
        <is>
          <t>Oui</t>
        </is>
      </c>
    </row>
    <row r="520">
      <c r="A520" s="31" t="inlineStr">
        <is>
          <t>Capacités</t>
        </is>
      </c>
      <c r="B520" s="34" t="inlineStr">
        <is>
          <t>Purédpois</t>
        </is>
      </c>
      <c r="C520" s="34" t="inlineStr">
        <is>
          <t>Mimi-Queue</t>
        </is>
      </c>
      <c r="D520" s="34" t="n"/>
      <c r="E520" s="34" t="n"/>
      <c r="F520" s="34" t="n"/>
      <c r="G520" s="34" t="n"/>
      <c r="H520" s="30" t="inlineStr">
        <is>
          <t>Oui</t>
        </is>
      </c>
    </row>
    <row r="521">
      <c r="A521" s="31" t="n"/>
      <c r="B521" s="34" t="inlineStr">
        <is>
          <t>Coud'Boue</t>
        </is>
      </c>
      <c r="C521" s="34" t="inlineStr">
        <is>
          <t>Massd'Os</t>
        </is>
      </c>
      <c r="D521" s="34" t="n"/>
      <c r="E521" s="34" t="n"/>
      <c r="F521" s="34" t="n"/>
      <c r="G521" s="34" t="n"/>
      <c r="H521" s="30" t="inlineStr">
        <is>
          <t>Oui</t>
        </is>
      </c>
    </row>
    <row r="522">
      <c r="A522" s="31" t="n"/>
      <c r="B522" s="34" t="inlineStr">
        <is>
          <t>Entrave</t>
        </is>
      </c>
      <c r="C522" s="34" t="inlineStr">
        <is>
          <t>Coup d'Boule</t>
        </is>
      </c>
      <c r="D522" s="34" t="n"/>
      <c r="E522" s="34" t="n"/>
      <c r="F522" s="34" t="n"/>
      <c r="G522" s="34" t="n"/>
      <c r="H522" s="30" t="inlineStr">
        <is>
          <t>Oui</t>
        </is>
      </c>
    </row>
    <row r="523">
      <c r="A523" s="31" t="n"/>
      <c r="B523" s="34" t="inlineStr">
        <is>
          <t>Détritus</t>
        </is>
      </c>
      <c r="C523" s="34" t="inlineStr">
        <is>
          <t>Groz'Yeux</t>
        </is>
      </c>
      <c r="D523" s="34" t="n"/>
      <c r="E523" s="34" t="n"/>
      <c r="F523" s="34" t="n"/>
      <c r="G523" s="34" t="n"/>
      <c r="H523" s="30" t="inlineStr">
        <is>
          <t>Oui</t>
        </is>
      </c>
    </row>
    <row r="524">
      <c r="A524" s="31" t="inlineStr">
        <is>
          <t>Nom</t>
        </is>
      </c>
      <c r="B524" s="32" t="inlineStr">
        <is>
          <t>Intello Gibus</t>
        </is>
      </c>
      <c r="C524" s="32" t="n"/>
      <c r="D524" s="32" t="n"/>
      <c r="E524" s="32" t="n"/>
      <c r="F524" s="32" t="n"/>
      <c r="G524" s="32" t="n"/>
      <c r="H524" s="30" t="inlineStr">
        <is>
          <t>Oui</t>
        </is>
      </c>
    </row>
    <row r="525">
      <c r="A525" s="31" t="inlineStr">
        <is>
          <t>Pokémon</t>
        </is>
      </c>
      <c r="B525" s="33" t="inlineStr">
        <is>
          <t>VOLTORBE</t>
        </is>
      </c>
      <c r="C525" s="33" t="inlineStr">
        <is>
          <t>MAGNETI</t>
        </is>
      </c>
      <c r="D525" s="33" t="inlineStr">
        <is>
          <t>PORYGON</t>
        </is>
      </c>
      <c r="E525" s="33" t="n"/>
      <c r="F525" s="33" t="n"/>
      <c r="G525" s="33" t="n"/>
      <c r="H525" s="30" t="inlineStr">
        <is>
          <t>Oui</t>
        </is>
      </c>
    </row>
    <row r="526">
      <c r="A526" s="31" t="inlineStr">
        <is>
          <t>Niveau</t>
        </is>
      </c>
      <c r="B526" s="33" t="n">
        <v>14</v>
      </c>
      <c r="C526" s="33" t="n">
        <v>14</v>
      </c>
      <c r="D526" s="33" t="n">
        <v>14</v>
      </c>
      <c r="E526" s="33" t="n"/>
      <c r="F526" s="33" t="n"/>
      <c r="G526" s="33" t="n"/>
      <c r="H526" s="30" t="inlineStr">
        <is>
          <t>Oui</t>
        </is>
      </c>
    </row>
    <row r="527">
      <c r="A527" s="31" t="inlineStr">
        <is>
          <t>Objet</t>
        </is>
      </c>
      <c r="B527" s="33" t="inlineStr">
        <is>
          <t>Aucun</t>
        </is>
      </c>
      <c r="C527" s="33" t="inlineStr">
        <is>
          <t>Aucun</t>
        </is>
      </c>
      <c r="D527" s="33" t="inlineStr">
        <is>
          <t>Aucun</t>
        </is>
      </c>
      <c r="E527" s="33" t="n"/>
      <c r="F527" s="33" t="n"/>
      <c r="G527" s="33" t="n"/>
      <c r="H527" s="30" t="inlineStr">
        <is>
          <t>Oui</t>
        </is>
      </c>
    </row>
    <row r="528">
      <c r="A528" s="31" t="inlineStr">
        <is>
          <t>Talent</t>
        </is>
      </c>
      <c r="B528" s="33" t="inlineStr">
        <is>
          <t>Anti-Bruit</t>
        </is>
      </c>
      <c r="C528" s="33" t="inlineStr">
        <is>
          <t>Magnépiège</t>
        </is>
      </c>
      <c r="D528" s="33" t="inlineStr">
        <is>
          <t>Calque</t>
        </is>
      </c>
      <c r="E528" s="33" t="n"/>
      <c r="F528" s="33" t="n"/>
      <c r="G528" s="33" t="n"/>
      <c r="H528" s="30" t="inlineStr">
        <is>
          <t>Oui</t>
        </is>
      </c>
    </row>
    <row r="529">
      <c r="A529" s="31" t="inlineStr">
        <is>
          <t>Capacités</t>
        </is>
      </c>
      <c r="B529" s="34" t="inlineStr">
        <is>
          <t>Ondes Étranges</t>
        </is>
      </c>
      <c r="C529" s="34" t="inlineStr">
        <is>
          <t>Éclair</t>
        </is>
      </c>
      <c r="D529" s="34" t="inlineStr">
        <is>
          <t>Conversion</t>
        </is>
      </c>
      <c r="E529" s="34" t="n"/>
      <c r="F529" s="34" t="n"/>
      <c r="G529" s="34" t="n"/>
      <c r="H529" s="30" t="inlineStr">
        <is>
          <t>Oui</t>
        </is>
      </c>
    </row>
    <row r="530">
      <c r="A530" s="31" t="n"/>
      <c r="B530" s="34" t="inlineStr">
        <is>
          <t>Étincelle</t>
        </is>
      </c>
      <c r="C530" s="34" t="inlineStr">
        <is>
          <t>Cage Éclair</t>
        </is>
      </c>
      <c r="D530" s="34" t="inlineStr">
        <is>
          <t>Affûtage</t>
        </is>
      </c>
      <c r="E530" s="34" t="n"/>
      <c r="F530" s="34" t="n"/>
      <c r="G530" s="34" t="n"/>
      <c r="H530" s="30" t="inlineStr">
        <is>
          <t>Oui</t>
        </is>
      </c>
    </row>
    <row r="531">
      <c r="A531" s="31" t="n"/>
      <c r="B531" s="34" t="inlineStr">
        <is>
          <t>Roulade</t>
        </is>
      </c>
      <c r="C531" s="34" t="inlineStr">
        <is>
          <t>Bombe Aimant</t>
        </is>
      </c>
      <c r="D531" s="34" t="inlineStr">
        <is>
          <t>Rafale Psy</t>
        </is>
      </c>
      <c r="E531" s="34" t="n"/>
      <c r="F531" s="34" t="n"/>
      <c r="G531" s="34" t="n"/>
      <c r="H531" s="30" t="inlineStr">
        <is>
          <t>Oui</t>
        </is>
      </c>
    </row>
    <row r="532">
      <c r="A532" s="31" t="n"/>
      <c r="B532" s="34" t="inlineStr">
        <is>
          <t>Grincement</t>
        </is>
      </c>
      <c r="C532" s="34" t="inlineStr">
        <is>
          <t>Mur Lumière</t>
        </is>
      </c>
      <c r="D532" s="34" t="inlineStr">
        <is>
          <t>Hâte</t>
        </is>
      </c>
      <c r="E532" s="34" t="n"/>
      <c r="F532" s="34" t="n"/>
      <c r="G532" s="34" t="n"/>
      <c r="H532" s="30" t="inlineStr">
        <is>
          <t>Oui</t>
        </is>
      </c>
    </row>
    <row r="533">
      <c r="A533" s="31" t="inlineStr">
        <is>
          <t>Nom</t>
        </is>
      </c>
      <c r="B533" s="32" t="inlineStr">
        <is>
          <t>Pokémaniac Matias</t>
        </is>
      </c>
      <c r="C533" s="32" t="n"/>
      <c r="D533" s="32" t="n"/>
      <c r="E533" s="32" t="n"/>
      <c r="F533" s="32" t="n"/>
      <c r="G533" s="32" t="n"/>
      <c r="H533" s="30" t="inlineStr">
        <is>
          <t>Oui</t>
        </is>
      </c>
    </row>
    <row r="534">
      <c r="A534" s="31" t="inlineStr">
        <is>
          <t>Pokémon</t>
        </is>
      </c>
      <c r="B534" s="33" t="inlineStr">
        <is>
          <t>EXCELANGUE</t>
        </is>
      </c>
      <c r="C534" s="33" t="n"/>
      <c r="D534" s="33" t="n"/>
      <c r="E534" s="33" t="n"/>
      <c r="F534" s="33" t="n"/>
      <c r="G534" s="33" t="n"/>
      <c r="H534" s="30" t="inlineStr">
        <is>
          <t>Oui</t>
        </is>
      </c>
    </row>
    <row r="535">
      <c r="A535" s="31" t="inlineStr">
        <is>
          <t>Niveau</t>
        </is>
      </c>
      <c r="B535" s="33" t="n">
        <v>14</v>
      </c>
      <c r="C535" s="33" t="n"/>
      <c r="D535" s="33" t="n"/>
      <c r="E535" s="33" t="n"/>
      <c r="F535" s="33" t="n"/>
      <c r="G535" s="33" t="n"/>
      <c r="H535" s="30" t="inlineStr">
        <is>
          <t>Oui</t>
        </is>
      </c>
    </row>
    <row r="536">
      <c r="A536" s="31" t="inlineStr">
        <is>
          <t>Objet</t>
        </is>
      </c>
      <c r="B536" s="33" t="inlineStr">
        <is>
          <t>Aucun</t>
        </is>
      </c>
      <c r="C536" s="33" t="n"/>
      <c r="D536" s="33" t="n"/>
      <c r="E536" s="33" t="n"/>
      <c r="F536" s="33" t="n"/>
      <c r="G536" s="33" t="n"/>
      <c r="H536" s="30" t="inlineStr">
        <is>
          <t>Oui</t>
        </is>
      </c>
    </row>
    <row r="537">
      <c r="A537" s="31" t="inlineStr">
        <is>
          <t>Talent</t>
        </is>
      </c>
      <c r="B537" s="33" t="inlineStr">
        <is>
          <t>Tempo Perso</t>
        </is>
      </c>
      <c r="C537" s="33" t="n"/>
      <c r="D537" s="33" t="n"/>
      <c r="E537" s="33" t="n"/>
      <c r="F537" s="33" t="n"/>
      <c r="G537" s="33" t="n"/>
      <c r="H537" s="30" t="inlineStr">
        <is>
          <t>Oui</t>
        </is>
      </c>
    </row>
    <row r="538">
      <c r="A538" s="31" t="inlineStr">
        <is>
          <t>Capacités</t>
        </is>
      </c>
      <c r="B538" s="34" t="inlineStr">
        <is>
          <t>Léchouille</t>
        </is>
      </c>
      <c r="C538" s="34" t="n"/>
      <c r="D538" s="34" t="n"/>
      <c r="E538" s="34" t="n"/>
      <c r="F538" s="34" t="n"/>
      <c r="G538" s="34" t="n"/>
      <c r="H538" s="30" t="inlineStr">
        <is>
          <t>Oui</t>
        </is>
      </c>
    </row>
    <row r="539">
      <c r="A539" s="31" t="n"/>
      <c r="B539" s="34" t="inlineStr">
        <is>
          <t>Ultrason</t>
        </is>
      </c>
      <c r="C539" s="34" t="n"/>
      <c r="D539" s="34" t="n"/>
      <c r="E539" s="34" t="n"/>
      <c r="F539" s="34" t="n"/>
      <c r="G539" s="34" t="n"/>
      <c r="H539" s="30" t="inlineStr">
        <is>
          <t>Oui</t>
        </is>
      </c>
    </row>
    <row r="540">
      <c r="A540" s="31" t="n"/>
      <c r="B540" s="34" t="inlineStr">
        <is>
          <t>Boul'Armure</t>
        </is>
      </c>
      <c r="C540" s="34" t="n"/>
      <c r="D540" s="34" t="n"/>
      <c r="E540" s="34" t="n"/>
      <c r="F540" s="34" t="n"/>
      <c r="G540" s="34" t="n"/>
      <c r="H540" s="30" t="inlineStr">
        <is>
          <t>Oui</t>
        </is>
      </c>
    </row>
    <row r="541">
      <c r="A541" s="31" t="n"/>
      <c r="B541" s="34" t="inlineStr">
        <is>
          <t>Sabotage</t>
        </is>
      </c>
      <c r="C541" s="34" t="n"/>
      <c r="D541" s="34" t="n"/>
      <c r="E541" s="34" t="n"/>
      <c r="F541" s="34" t="n"/>
      <c r="G541" s="34" t="n"/>
      <c r="H541" s="30" t="inlineStr">
        <is>
          <t>Oui</t>
        </is>
      </c>
    </row>
    <row r="542">
      <c r="A542" s="31" t="inlineStr">
        <is>
          <t>Nom</t>
        </is>
      </c>
      <c r="B542" s="32" t="inlineStr">
        <is>
          <t>Pokémaniac Daniel</t>
        </is>
      </c>
      <c r="C542" s="32" t="n"/>
      <c r="D542" s="32" t="n"/>
      <c r="E542" s="32" t="n"/>
      <c r="F542" s="32" t="n"/>
      <c r="G542" s="32" t="n"/>
      <c r="H542" s="30" t="inlineStr">
        <is>
          <t>Oui</t>
        </is>
      </c>
    </row>
    <row r="543">
      <c r="A543" s="31" t="inlineStr">
        <is>
          <t>Pokémon</t>
        </is>
      </c>
      <c r="B543" s="33" t="inlineStr">
        <is>
          <t>RAMOLOSS</t>
        </is>
      </c>
      <c r="C543" s="33" t="inlineStr">
        <is>
          <t>RAMOLOSS</t>
        </is>
      </c>
      <c r="D543" s="33" t="n"/>
      <c r="E543" s="33" t="n"/>
      <c r="F543" s="33" t="n"/>
      <c r="G543" s="33" t="n"/>
      <c r="H543" s="30" t="inlineStr">
        <is>
          <t>Oui</t>
        </is>
      </c>
    </row>
    <row r="544">
      <c r="A544" s="31" t="inlineStr">
        <is>
          <t>Niveau</t>
        </is>
      </c>
      <c r="B544" s="33" t="n">
        <v>15</v>
      </c>
      <c r="C544" s="33" t="n">
        <v>15</v>
      </c>
      <c r="D544" s="33" t="n"/>
      <c r="E544" s="33" t="n"/>
      <c r="F544" s="33" t="n"/>
      <c r="G544" s="33" t="n"/>
      <c r="H544" s="30" t="inlineStr">
        <is>
          <t>Oui</t>
        </is>
      </c>
    </row>
    <row r="545">
      <c r="A545" s="31" t="inlineStr">
        <is>
          <t>Objet</t>
        </is>
      </c>
      <c r="B545" s="33" t="inlineStr">
        <is>
          <t>Aucun</t>
        </is>
      </c>
      <c r="C545" s="33" t="inlineStr">
        <is>
          <t>Aucun</t>
        </is>
      </c>
      <c r="D545" s="33" t="n"/>
      <c r="E545" s="33" t="n"/>
      <c r="F545" s="33" t="n"/>
      <c r="G545" s="33" t="n"/>
      <c r="H545" s="30" t="inlineStr">
        <is>
          <t>Oui</t>
        </is>
      </c>
    </row>
    <row r="546">
      <c r="A546" s="31" t="inlineStr">
        <is>
          <t>Talent</t>
        </is>
      </c>
      <c r="B546" s="33" t="inlineStr">
        <is>
          <t>Benêt</t>
        </is>
      </c>
      <c r="C546" s="33" t="inlineStr">
        <is>
          <t>Benêt</t>
        </is>
      </c>
      <c r="D546" s="33" t="n"/>
      <c r="E546" s="33" t="n"/>
      <c r="F546" s="33" t="n"/>
      <c r="G546" s="33" t="n"/>
      <c r="H546" s="30" t="inlineStr">
        <is>
          <t>Oui</t>
        </is>
      </c>
    </row>
    <row r="547">
      <c r="A547" s="31" t="inlineStr">
        <is>
          <t>Capacités</t>
        </is>
      </c>
      <c r="B547" s="34" t="inlineStr">
        <is>
          <t>Charge</t>
        </is>
      </c>
      <c r="C547" s="34" t="inlineStr">
        <is>
          <t>Charge</t>
        </is>
      </c>
      <c r="D547" s="34" t="n"/>
      <c r="E547" s="34" t="n"/>
      <c r="F547" s="34" t="n"/>
      <c r="G547" s="34" t="n"/>
      <c r="H547" s="30" t="inlineStr">
        <is>
          <t>Oui</t>
        </is>
      </c>
    </row>
    <row r="548">
      <c r="A548" s="31" t="n"/>
      <c r="B548" s="34" t="inlineStr">
        <is>
          <t>Rugissement</t>
        </is>
      </c>
      <c r="C548" s="34" t="inlineStr">
        <is>
          <t>Rugissement</t>
        </is>
      </c>
      <c r="D548" s="34" t="n"/>
      <c r="E548" s="34" t="n"/>
      <c r="F548" s="34" t="n"/>
      <c r="G548" s="34" t="n"/>
      <c r="H548" s="30" t="inlineStr">
        <is>
          <t>Oui</t>
        </is>
      </c>
    </row>
    <row r="549">
      <c r="A549" s="31" t="n"/>
      <c r="B549" s="34" t="inlineStr">
        <is>
          <t>Pistolet à O</t>
        </is>
      </c>
      <c r="C549" s="34" t="inlineStr">
        <is>
          <t>Pistolet à O</t>
        </is>
      </c>
      <c r="D549" s="34" t="n"/>
      <c r="E549" s="34" t="n"/>
      <c r="F549" s="34" t="n"/>
      <c r="G549" s="34" t="n"/>
      <c r="H549" s="30" t="inlineStr">
        <is>
          <t>Oui</t>
        </is>
      </c>
    </row>
    <row r="550">
      <c r="A550" s="31" t="n"/>
      <c r="B550" s="34" t="inlineStr">
        <is>
          <t>Choc Mental</t>
        </is>
      </c>
      <c r="C550" s="34" t="inlineStr">
        <is>
          <t>Choc Mental</t>
        </is>
      </c>
      <c r="D550" s="34" t="n"/>
      <c r="E550" s="34" t="n"/>
      <c r="F550" s="34" t="n"/>
      <c r="G550" s="34" t="n"/>
      <c r="H550" s="30" t="inlineStr">
        <is>
          <t>Oui</t>
        </is>
      </c>
    </row>
    <row r="551" ht="18" customHeight="1">
      <c r="A551" s="26" t="inlineStr">
        <is>
          <t>Route 35</t>
        </is>
      </c>
      <c r="B551" s="26" t="n"/>
      <c r="C551" s="26" t="n"/>
      <c r="D551" s="26" t="n"/>
      <c r="E551" s="26" t="n"/>
      <c r="F551" s="26" t="n"/>
      <c r="G551" s="26" t="n"/>
      <c r="H551" s="30" t="inlineStr">
        <is>
          <t>Oui</t>
        </is>
      </c>
    </row>
    <row r="552">
      <c r="A552" s="31" t="inlineStr">
        <is>
          <t>Nom</t>
        </is>
      </c>
      <c r="B552" s="32" t="inlineStr">
        <is>
          <t>Campeur Yvan</t>
        </is>
      </c>
      <c r="C552" s="32" t="n"/>
      <c r="D552" s="32" t="n"/>
      <c r="E552" s="32" t="n"/>
      <c r="F552" s="32" t="n"/>
      <c r="G552" s="32" t="n"/>
      <c r="H552" s="30" t="inlineStr">
        <is>
          <t>Oui</t>
        </is>
      </c>
    </row>
    <row r="553">
      <c r="A553" s="31" t="inlineStr">
        <is>
          <t>Pokémon</t>
        </is>
      </c>
      <c r="B553" s="33" t="inlineStr">
        <is>
          <t>EVOLI</t>
        </is>
      </c>
      <c r="C553" s="33" t="inlineStr">
        <is>
          <t>TAUPIQUEUR</t>
        </is>
      </c>
      <c r="D553" s="33" t="n"/>
      <c r="E553" s="33" t="n"/>
      <c r="F553" s="33" t="n"/>
      <c r="G553" s="33" t="n"/>
      <c r="H553" s="30" t="inlineStr">
        <is>
          <t>Oui</t>
        </is>
      </c>
    </row>
    <row r="554">
      <c r="A554" s="31" t="inlineStr">
        <is>
          <t>Niveau</t>
        </is>
      </c>
      <c r="B554" s="33" t="n">
        <v>16</v>
      </c>
      <c r="C554" s="33" t="n">
        <v>16</v>
      </c>
      <c r="D554" s="33" t="n"/>
      <c r="E554" s="33" t="n"/>
      <c r="F554" s="33" t="n"/>
      <c r="G554" s="33" t="n"/>
      <c r="H554" s="30" t="inlineStr">
        <is>
          <t>Oui</t>
        </is>
      </c>
    </row>
    <row r="555">
      <c r="A555" s="31" t="inlineStr">
        <is>
          <t>Objet</t>
        </is>
      </c>
      <c r="B555" s="33" t="inlineStr">
        <is>
          <t>Aucun</t>
        </is>
      </c>
      <c r="C555" s="33" t="inlineStr">
        <is>
          <t>Aucun</t>
        </is>
      </c>
      <c r="D555" s="33" t="n"/>
      <c r="E555" s="33" t="n"/>
      <c r="F555" s="33" t="n"/>
      <c r="G555" s="33" t="n"/>
      <c r="H555" s="30" t="inlineStr">
        <is>
          <t>Oui</t>
        </is>
      </c>
    </row>
    <row r="556">
      <c r="A556" s="31" t="inlineStr">
        <is>
          <t>Talent</t>
        </is>
      </c>
      <c r="B556" s="33" t="inlineStr">
        <is>
          <t>Fuite</t>
        </is>
      </c>
      <c r="C556" s="33" t="inlineStr">
        <is>
          <t>Voile Sable</t>
        </is>
      </c>
      <c r="D556" s="33" t="n"/>
      <c r="E556" s="33" t="n"/>
      <c r="F556" s="33" t="n"/>
      <c r="G556" s="33" t="n"/>
      <c r="H556" s="30" t="inlineStr">
        <is>
          <t>Oui</t>
        </is>
      </c>
    </row>
    <row r="557">
      <c r="A557" s="31" t="inlineStr">
        <is>
          <t>Capacités</t>
        </is>
      </c>
      <c r="B557" s="34" t="inlineStr">
        <is>
          <t>Mimi-Queue</t>
        </is>
      </c>
      <c r="C557" s="34" t="inlineStr">
        <is>
          <t>Rugissement</t>
        </is>
      </c>
      <c r="D557" s="34" t="n"/>
      <c r="E557" s="34" t="n"/>
      <c r="F557" s="34" t="n"/>
      <c r="G557" s="34" t="n"/>
      <c r="H557" s="30" t="inlineStr">
        <is>
          <t>Oui</t>
        </is>
      </c>
    </row>
    <row r="558">
      <c r="A558" s="31" t="n"/>
      <c r="B558" s="34" t="inlineStr">
        <is>
          <t>Jet de Sable</t>
        </is>
      </c>
      <c r="C558" s="34" t="inlineStr">
        <is>
          <t>Étonnement</t>
        </is>
      </c>
      <c r="D558" s="34" t="n"/>
      <c r="E558" s="34" t="n"/>
      <c r="F558" s="34" t="n"/>
      <c r="G558" s="34" t="n"/>
      <c r="H558" s="30" t="inlineStr">
        <is>
          <t>Oui</t>
        </is>
      </c>
    </row>
    <row r="559">
      <c r="A559" s="31" t="n"/>
      <c r="B559" s="34" t="inlineStr">
        <is>
          <t>Regard Touchant</t>
        </is>
      </c>
      <c r="C559" s="34" t="inlineStr">
        <is>
          <t>Coud'Boue</t>
        </is>
      </c>
      <c r="D559" s="34" t="n"/>
      <c r="E559" s="34" t="n"/>
      <c r="F559" s="34" t="n"/>
      <c r="G559" s="34" t="n"/>
      <c r="H559" s="30" t="inlineStr">
        <is>
          <t>Oui</t>
        </is>
      </c>
    </row>
    <row r="560">
      <c r="A560" s="31" t="n"/>
      <c r="B560" s="34" t="inlineStr">
        <is>
          <t>Vive-Attaque</t>
        </is>
      </c>
      <c r="C560" s="34" t="inlineStr">
        <is>
          <t>Ampleur</t>
        </is>
      </c>
      <c r="D560" s="34" t="n"/>
      <c r="E560" s="34" t="n"/>
      <c r="F560" s="34" t="n"/>
      <c r="G560" s="34" t="n"/>
      <c r="H560" s="30" t="inlineStr">
        <is>
          <t>Oui</t>
        </is>
      </c>
    </row>
    <row r="561">
      <c r="A561" s="31" t="inlineStr">
        <is>
          <t>Nom</t>
        </is>
      </c>
      <c r="B561" s="32" t="inlineStr">
        <is>
          <t>Campeur Amilcar</t>
        </is>
      </c>
      <c r="C561" s="32" t="n"/>
      <c r="D561" s="32" t="n"/>
      <c r="E561" s="32" t="n"/>
      <c r="F561" s="32" t="n"/>
      <c r="G561" s="32" t="n"/>
      <c r="H561" s="30" t="inlineStr">
        <is>
          <t>Oui</t>
        </is>
      </c>
    </row>
    <row r="562">
      <c r="A562" s="31" t="inlineStr">
        <is>
          <t>Pokémon</t>
        </is>
      </c>
      <c r="B562" s="33" t="inlineStr">
        <is>
          <t>SABELETTE</t>
        </is>
      </c>
      <c r="C562" s="33" t="inlineStr">
        <is>
          <t>MARILL</t>
        </is>
      </c>
      <c r="D562" s="33" t="n"/>
      <c r="E562" s="33" t="n"/>
      <c r="F562" s="33" t="n"/>
      <c r="G562" s="33" t="n"/>
      <c r="H562" s="30" t="inlineStr">
        <is>
          <t>Oui</t>
        </is>
      </c>
    </row>
    <row r="563">
      <c r="A563" s="31" t="inlineStr">
        <is>
          <t>Niveau</t>
        </is>
      </c>
      <c r="B563" s="33" t="n">
        <v>16</v>
      </c>
      <c r="C563" s="33" t="n">
        <v>16</v>
      </c>
      <c r="D563" s="33" t="n"/>
      <c r="E563" s="33" t="n"/>
      <c r="F563" s="33" t="n"/>
      <c r="G563" s="33" t="n"/>
      <c r="H563" s="30" t="inlineStr">
        <is>
          <t>Oui</t>
        </is>
      </c>
    </row>
    <row r="564">
      <c r="A564" s="31" t="inlineStr">
        <is>
          <t>Objet</t>
        </is>
      </c>
      <c r="B564" s="33" t="inlineStr">
        <is>
          <t>Aucun</t>
        </is>
      </c>
      <c r="C564" s="33" t="inlineStr">
        <is>
          <t>Aucun</t>
        </is>
      </c>
      <c r="D564" s="33" t="n"/>
      <c r="E564" s="33" t="n"/>
      <c r="F564" s="33" t="n"/>
      <c r="G564" s="33" t="n"/>
      <c r="H564" s="30" t="inlineStr">
        <is>
          <t>Oui</t>
        </is>
      </c>
    </row>
    <row r="565">
      <c r="A565" s="31" t="inlineStr">
        <is>
          <t>Talent</t>
        </is>
      </c>
      <c r="B565" s="33" t="inlineStr">
        <is>
          <t>Voile Sable</t>
        </is>
      </c>
      <c r="C565" s="33" t="inlineStr">
        <is>
          <t>Isograisse</t>
        </is>
      </c>
      <c r="D565" s="33" t="n"/>
      <c r="E565" s="33" t="n"/>
      <c r="F565" s="33" t="n"/>
      <c r="G565" s="33" t="n"/>
      <c r="H565" s="30" t="inlineStr">
        <is>
          <t>Oui</t>
        </is>
      </c>
    </row>
    <row r="566">
      <c r="A566" s="31" t="inlineStr">
        <is>
          <t>Capacités</t>
        </is>
      </c>
      <c r="B566" s="34" t="inlineStr">
        <is>
          <t>Roulade</t>
        </is>
      </c>
      <c r="C566" s="34" t="inlineStr">
        <is>
          <t>Boul'Armure</t>
        </is>
      </c>
      <c r="D566" s="34" t="n"/>
      <c r="E566" s="34" t="n"/>
      <c r="F566" s="34" t="n"/>
      <c r="G566" s="34" t="n"/>
      <c r="H566" s="30" t="inlineStr">
        <is>
          <t>Oui</t>
        </is>
      </c>
    </row>
    <row r="567">
      <c r="A567" s="31" t="n"/>
      <c r="B567" s="34" t="inlineStr">
        <is>
          <t>Tour Rapide</t>
        </is>
      </c>
      <c r="C567" s="34" t="inlineStr">
        <is>
          <t>Roulade</t>
        </is>
      </c>
      <c r="D567" s="34" t="n"/>
      <c r="E567" s="34" t="n"/>
      <c r="F567" s="34" t="n"/>
      <c r="G567" s="34" t="n"/>
      <c r="H567" s="30" t="inlineStr">
        <is>
          <t>Oui</t>
        </is>
      </c>
    </row>
    <row r="568">
      <c r="A568" s="31" t="n"/>
      <c r="B568" s="34" t="inlineStr">
        <is>
          <t>Taillade</t>
        </is>
      </c>
      <c r="C568" s="34" t="inlineStr">
        <is>
          <t>Bulles d'O</t>
        </is>
      </c>
      <c r="D568" s="34" t="n"/>
      <c r="E568" s="34" t="n"/>
      <c r="F568" s="34" t="n"/>
      <c r="G568" s="34" t="n"/>
      <c r="H568" s="30" t="inlineStr">
        <is>
          <t>Oui</t>
        </is>
      </c>
    </row>
    <row r="569">
      <c r="A569" s="31" t="n"/>
      <c r="B569" s="34" t="inlineStr">
        <is>
          <t>Ampleur</t>
        </is>
      </c>
      <c r="C569" s="34" t="inlineStr">
        <is>
          <t>Coup d'Main</t>
        </is>
      </c>
      <c r="D569" s="34" t="n"/>
      <c r="E569" s="34" t="n"/>
      <c r="F569" s="34" t="n"/>
      <c r="G569" s="34" t="n"/>
      <c r="H569" s="30" t="inlineStr">
        <is>
          <t>Oui</t>
        </is>
      </c>
    </row>
    <row r="570">
      <c r="A570" s="31" t="inlineStr">
        <is>
          <t>Nom</t>
        </is>
      </c>
      <c r="B570" s="32" t="inlineStr">
        <is>
          <t>Pique-Nique Brooke</t>
        </is>
      </c>
      <c r="C570" s="32" t="n"/>
      <c r="D570" s="32" t="n"/>
      <c r="E570" s="32" t="n"/>
      <c r="F570" s="32" t="n"/>
      <c r="G570" s="32" t="n"/>
      <c r="H570" s="30" t="inlineStr">
        <is>
          <t>Oui</t>
        </is>
      </c>
    </row>
    <row r="571">
      <c r="A571" s="31" t="inlineStr">
        <is>
          <t>Pokémon</t>
        </is>
      </c>
      <c r="B571" s="33" t="inlineStr">
        <is>
          <t>PIKACHU</t>
        </is>
      </c>
      <c r="C571" s="33" t="n"/>
      <c r="D571" s="33" t="n"/>
      <c r="E571" s="33" t="n"/>
      <c r="F571" s="33" t="n"/>
      <c r="G571" s="33" t="n"/>
      <c r="H571" s="30" t="inlineStr">
        <is>
          <t>Oui</t>
        </is>
      </c>
    </row>
    <row r="572">
      <c r="A572" s="31" t="inlineStr">
        <is>
          <t>Niveau</t>
        </is>
      </c>
      <c r="B572" s="33" t="n">
        <v>18</v>
      </c>
      <c r="C572" s="33" t="n"/>
      <c r="D572" s="33" t="n"/>
      <c r="E572" s="33" t="n"/>
      <c r="F572" s="33" t="n"/>
      <c r="G572" s="33" t="n"/>
      <c r="H572" s="30" t="inlineStr">
        <is>
          <t>Oui</t>
        </is>
      </c>
    </row>
    <row r="573">
      <c r="A573" s="31" t="inlineStr">
        <is>
          <t>Objet</t>
        </is>
      </c>
      <c r="B573" s="33" t="inlineStr">
        <is>
          <t>Aucun</t>
        </is>
      </c>
      <c r="C573" s="33" t="n"/>
      <c r="D573" s="33" t="n"/>
      <c r="E573" s="33" t="n"/>
      <c r="F573" s="33" t="n"/>
      <c r="G573" s="33" t="n"/>
      <c r="H573" s="30" t="inlineStr">
        <is>
          <t>Oui</t>
        </is>
      </c>
    </row>
    <row r="574">
      <c r="A574" s="31" t="inlineStr">
        <is>
          <t>Talent</t>
        </is>
      </c>
      <c r="B574" s="33" t="inlineStr">
        <is>
          <t>Statik</t>
        </is>
      </c>
      <c r="C574" s="33" t="n"/>
      <c r="D574" s="33" t="n"/>
      <c r="E574" s="33" t="n"/>
      <c r="F574" s="33" t="n"/>
      <c r="G574" s="33" t="n"/>
      <c r="H574" s="30" t="inlineStr">
        <is>
          <t>Oui</t>
        </is>
      </c>
    </row>
    <row r="575">
      <c r="A575" s="31" t="inlineStr">
        <is>
          <t>Capacités</t>
        </is>
      </c>
      <c r="B575" s="34" t="inlineStr">
        <is>
          <t>Camaraderie</t>
        </is>
      </c>
      <c r="C575" s="34" t="n"/>
      <c r="D575" s="34" t="n"/>
      <c r="E575" s="34" t="n"/>
      <c r="F575" s="34" t="n"/>
      <c r="G575" s="34" t="n"/>
      <c r="H575" s="30" t="inlineStr">
        <is>
          <t>Oui</t>
        </is>
      </c>
    </row>
    <row r="576">
      <c r="A576" s="31" t="n"/>
      <c r="B576" s="34" t="inlineStr">
        <is>
          <t>Vive-Attaque</t>
        </is>
      </c>
      <c r="C576" s="34" t="n"/>
      <c r="D576" s="34" t="n"/>
      <c r="E576" s="34" t="n"/>
      <c r="F576" s="34" t="n"/>
      <c r="G576" s="34" t="n"/>
      <c r="H576" s="30" t="inlineStr">
        <is>
          <t>Oui</t>
        </is>
      </c>
    </row>
    <row r="577">
      <c r="A577" s="31" t="n"/>
      <c r="B577" s="34" t="inlineStr">
        <is>
          <t>Boule Élek</t>
        </is>
      </c>
      <c r="C577" s="34" t="n"/>
      <c r="D577" s="34" t="n"/>
      <c r="E577" s="34" t="n"/>
      <c r="F577" s="34" t="n"/>
      <c r="G577" s="34" t="n"/>
      <c r="H577" s="30" t="inlineStr">
        <is>
          <t>Oui</t>
        </is>
      </c>
    </row>
    <row r="578">
      <c r="A578" s="31" t="n"/>
      <c r="B578" s="34" t="inlineStr">
        <is>
          <t>Cage Éclair</t>
        </is>
      </c>
      <c r="C578" s="34" t="n"/>
      <c r="D578" s="34" t="n"/>
      <c r="E578" s="34" t="n"/>
      <c r="F578" s="34" t="n"/>
      <c r="G578" s="34" t="n"/>
      <c r="H578" s="30" t="inlineStr">
        <is>
          <t>Oui</t>
        </is>
      </c>
    </row>
    <row r="579">
      <c r="A579" s="31" t="inlineStr">
        <is>
          <t>Nom</t>
        </is>
      </c>
      <c r="B579" s="32" t="inlineStr">
        <is>
          <t>Pique-Nique Kala</t>
        </is>
      </c>
      <c r="C579" s="32" t="n"/>
      <c r="D579" s="32" t="n"/>
      <c r="E579" s="32" t="n"/>
      <c r="F579" s="32" t="n"/>
      <c r="G579" s="32" t="n"/>
      <c r="H579" s="30" t="inlineStr">
        <is>
          <t>Oui</t>
        </is>
      </c>
    </row>
    <row r="580">
      <c r="A580" s="31" t="inlineStr">
        <is>
          <t>Pokémon</t>
        </is>
      </c>
      <c r="B580" s="33" t="inlineStr">
        <is>
          <t>GOUPIX</t>
        </is>
      </c>
      <c r="C580" s="33" t="n"/>
      <c r="D580" s="33" t="n"/>
      <c r="E580" s="33" t="n"/>
      <c r="F580" s="33" t="n"/>
      <c r="G580" s="33" t="n"/>
      <c r="H580" s="30" t="inlineStr">
        <is>
          <t>Oui</t>
        </is>
      </c>
    </row>
    <row r="581">
      <c r="A581" s="31" t="inlineStr">
        <is>
          <t>Niveau</t>
        </is>
      </c>
      <c r="B581" s="33" t="n">
        <v>18</v>
      </c>
      <c r="C581" s="33" t="n"/>
      <c r="D581" s="33" t="n"/>
      <c r="E581" s="33" t="n"/>
      <c r="F581" s="33" t="n"/>
      <c r="G581" s="33" t="n"/>
      <c r="H581" s="30" t="inlineStr">
        <is>
          <t>Oui</t>
        </is>
      </c>
    </row>
    <row r="582">
      <c r="A582" s="31" t="inlineStr">
        <is>
          <t>Objet</t>
        </is>
      </c>
      <c r="B582" s="33" t="inlineStr">
        <is>
          <t>Aucun</t>
        </is>
      </c>
      <c r="C582" s="33" t="n"/>
      <c r="D582" s="33" t="n"/>
      <c r="E582" s="33" t="n"/>
      <c r="F582" s="33" t="n"/>
      <c r="G582" s="33" t="n"/>
      <c r="H582" s="30" t="inlineStr">
        <is>
          <t>Oui</t>
        </is>
      </c>
    </row>
    <row r="583">
      <c r="A583" s="31" t="inlineStr">
        <is>
          <t>Talent</t>
        </is>
      </c>
      <c r="B583" s="33" t="inlineStr">
        <is>
          <t>Torche</t>
        </is>
      </c>
      <c r="C583" s="33" t="n"/>
      <c r="D583" s="33" t="n"/>
      <c r="E583" s="33" t="n"/>
      <c r="F583" s="33" t="n"/>
      <c r="G583" s="33" t="n"/>
      <c r="H583" s="30" t="inlineStr">
        <is>
          <t>Oui</t>
        </is>
      </c>
    </row>
    <row r="584">
      <c r="A584" s="31" t="inlineStr">
        <is>
          <t>Capacités</t>
        </is>
      </c>
      <c r="B584" s="34" t="inlineStr">
        <is>
          <t>Vive-Attaque</t>
        </is>
      </c>
      <c r="C584" s="34" t="n"/>
      <c r="D584" s="34" t="n"/>
      <c r="E584" s="34" t="n"/>
      <c r="F584" s="34" t="n"/>
      <c r="G584" s="34" t="n"/>
      <c r="H584" s="30" t="inlineStr">
        <is>
          <t>Oui</t>
        </is>
      </c>
    </row>
    <row r="585">
      <c r="A585" s="31" t="n"/>
      <c r="B585" s="34" t="inlineStr">
        <is>
          <t>Onde Folie</t>
        </is>
      </c>
      <c r="C585" s="34" t="n"/>
      <c r="D585" s="34" t="n"/>
      <c r="E585" s="34" t="n"/>
      <c r="F585" s="34" t="n"/>
      <c r="G585" s="34" t="n"/>
      <c r="H585" s="30" t="inlineStr">
        <is>
          <t>Oui</t>
        </is>
      </c>
    </row>
    <row r="586">
      <c r="A586" s="31" t="n"/>
      <c r="B586" s="34" t="inlineStr">
        <is>
          <t>Danse Flammes</t>
        </is>
      </c>
      <c r="C586" s="34" t="n"/>
      <c r="D586" s="34" t="n"/>
      <c r="E586" s="34" t="n"/>
      <c r="F586" s="34" t="n"/>
      <c r="G586" s="34" t="n"/>
      <c r="H586" s="30" t="inlineStr">
        <is>
          <t>Oui</t>
        </is>
      </c>
    </row>
    <row r="587">
      <c r="A587" s="31" t="n"/>
      <c r="B587" s="34" t="inlineStr">
        <is>
          <t>Représailles</t>
        </is>
      </c>
      <c r="C587" s="34" t="n"/>
      <c r="D587" s="34" t="n"/>
      <c r="E587" s="34" t="n"/>
      <c r="F587" s="34" t="n"/>
      <c r="G587" s="34" t="n"/>
      <c r="H587" s="30" t="inlineStr">
        <is>
          <t>Oui</t>
        </is>
      </c>
    </row>
    <row r="588">
      <c r="A588" s="31" t="inlineStr">
        <is>
          <t>Nom</t>
        </is>
      </c>
      <c r="B588" s="32" t="inlineStr">
        <is>
          <t>Ornithologue Greg</t>
        </is>
      </c>
      <c r="C588" s="32" t="n"/>
      <c r="D588" s="32" t="n"/>
      <c r="E588" s="32" t="n"/>
      <c r="F588" s="32" t="n"/>
      <c r="G588" s="32" t="n"/>
      <c r="H588" s="30" t="inlineStr">
        <is>
          <t>Oui</t>
        </is>
      </c>
    </row>
    <row r="589">
      <c r="A589" s="31" t="inlineStr">
        <is>
          <t>Pokémon</t>
        </is>
      </c>
      <c r="B589" s="33" t="inlineStr">
        <is>
          <t>ROUCOOL</t>
        </is>
      </c>
      <c r="C589" s="33" t="inlineStr">
        <is>
          <t>ROUCOUPS</t>
        </is>
      </c>
      <c r="D589" s="33" t="inlineStr">
        <is>
          <t>PIAFABEC</t>
        </is>
      </c>
      <c r="E589" s="33" t="n"/>
      <c r="F589" s="33" t="n"/>
      <c r="G589" s="33" t="n"/>
      <c r="H589" s="30" t="inlineStr">
        <is>
          <t>Oui</t>
        </is>
      </c>
    </row>
    <row r="590">
      <c r="A590" s="31" t="inlineStr">
        <is>
          <t>Niveau</t>
        </is>
      </c>
      <c r="B590" s="33" t="n">
        <v>16</v>
      </c>
      <c r="C590" s="33" t="n">
        <v>18</v>
      </c>
      <c r="D590" s="33" t="n">
        <v>18</v>
      </c>
      <c r="E590" s="33" t="n"/>
      <c r="F590" s="33" t="n"/>
      <c r="G590" s="33" t="n"/>
      <c r="H590" s="30" t="inlineStr">
        <is>
          <t>Oui</t>
        </is>
      </c>
    </row>
    <row r="591">
      <c r="A591" s="31" t="inlineStr">
        <is>
          <t>Objet</t>
        </is>
      </c>
      <c r="B591" s="33" t="inlineStr">
        <is>
          <t>Aucun</t>
        </is>
      </c>
      <c r="C591" s="33" t="inlineStr">
        <is>
          <t>Aucun</t>
        </is>
      </c>
      <c r="D591" s="33" t="inlineStr">
        <is>
          <t>Aucun</t>
        </is>
      </c>
      <c r="E591" s="33" t="n"/>
      <c r="F591" s="33" t="n"/>
      <c r="G591" s="33" t="n"/>
      <c r="H591" s="30" t="inlineStr">
        <is>
          <t>Oui</t>
        </is>
      </c>
    </row>
    <row r="592">
      <c r="A592" s="31" t="inlineStr">
        <is>
          <t>Talent</t>
        </is>
      </c>
      <c r="B592" s="33" t="inlineStr">
        <is>
          <t>Regard Vif</t>
        </is>
      </c>
      <c r="C592" s="33" t="inlineStr">
        <is>
          <t>Regard Vif</t>
        </is>
      </c>
      <c r="D592" s="33" t="inlineStr">
        <is>
          <t>Regard Vif</t>
        </is>
      </c>
      <c r="E592" s="33" t="n"/>
      <c r="F592" s="33" t="n"/>
      <c r="G592" s="33" t="n"/>
      <c r="H592" s="30" t="inlineStr">
        <is>
          <t>Oui</t>
        </is>
      </c>
    </row>
    <row r="593">
      <c r="A593" s="31" t="inlineStr">
        <is>
          <t>Capacités</t>
        </is>
      </c>
      <c r="B593" s="34" t="inlineStr">
        <is>
          <t>Picpic</t>
        </is>
      </c>
      <c r="C593" s="34" t="inlineStr">
        <is>
          <t>Jet de Sable</t>
        </is>
      </c>
      <c r="D593" s="34" t="inlineStr">
        <is>
          <t>Poursuite</t>
        </is>
      </c>
      <c r="E593" s="34" t="n"/>
      <c r="F593" s="34" t="n"/>
      <c r="G593" s="34" t="n"/>
      <c r="H593" s="30" t="inlineStr">
        <is>
          <t>Oui</t>
        </is>
      </c>
    </row>
    <row r="594">
      <c r="A594" s="31" t="n"/>
      <c r="B594" s="34" t="inlineStr">
        <is>
          <t>Jet de Sable</t>
        </is>
      </c>
      <c r="C594" s="34" t="inlineStr">
        <is>
          <t>Tornade</t>
        </is>
      </c>
      <c r="D594" s="34" t="inlineStr">
        <is>
          <t>Furie</t>
        </is>
      </c>
      <c r="E594" s="34" t="n"/>
      <c r="F594" s="34" t="n"/>
      <c r="G594" s="34" t="n"/>
      <c r="H594" s="30" t="inlineStr">
        <is>
          <t>Oui</t>
        </is>
      </c>
    </row>
    <row r="595">
      <c r="A595" s="31" t="n"/>
      <c r="B595" s="34" t="inlineStr">
        <is>
          <t>Tornade</t>
        </is>
      </c>
      <c r="C595" s="34" t="inlineStr">
        <is>
          <t>Vive-Attaque</t>
        </is>
      </c>
      <c r="D595" s="34" t="inlineStr">
        <is>
          <t>Aéropique</t>
        </is>
      </c>
      <c r="E595" s="34" t="n"/>
      <c r="F595" s="34" t="n"/>
      <c r="G595" s="34" t="n"/>
      <c r="H595" s="30" t="inlineStr">
        <is>
          <t>Oui</t>
        </is>
      </c>
    </row>
    <row r="596">
      <c r="A596" s="31" t="n"/>
      <c r="B596" s="34" t="inlineStr">
        <is>
          <t>Vive-Attaque</t>
        </is>
      </c>
      <c r="C596" s="34" t="inlineStr">
        <is>
          <t>Cyclone</t>
        </is>
      </c>
      <c r="D596" s="34" t="inlineStr">
        <is>
          <t>Mimique</t>
        </is>
      </c>
      <c r="E596" s="34" t="n"/>
      <c r="F596" s="34" t="n"/>
      <c r="G596" s="34" t="n"/>
      <c r="H596" s="30" t="inlineStr">
        <is>
          <t>Oui</t>
        </is>
      </c>
    </row>
    <row r="597">
      <c r="A597" s="31" t="inlineStr">
        <is>
          <t>Nom</t>
        </is>
      </c>
      <c r="B597" s="32" t="inlineStr">
        <is>
          <t>Jongleur Anthony</t>
        </is>
      </c>
      <c r="C597" s="32" t="n"/>
      <c r="D597" s="32" t="n"/>
      <c r="E597" s="32" t="n"/>
      <c r="F597" s="32" t="n"/>
      <c r="G597" s="32" t="n"/>
      <c r="H597" s="30" t="inlineStr">
        <is>
          <t>Oui</t>
        </is>
      </c>
    </row>
    <row r="598">
      <c r="A598" s="31" t="inlineStr">
        <is>
          <t>Pokémon</t>
        </is>
      </c>
      <c r="B598" s="33" t="inlineStr">
        <is>
          <t>VOLTORBE</t>
        </is>
      </c>
      <c r="C598" s="33" t="inlineStr">
        <is>
          <t>POMDEPIK</t>
        </is>
      </c>
      <c r="D598" s="33" t="inlineStr">
        <is>
          <t>VOLTORBE</t>
        </is>
      </c>
      <c r="E598" s="33" t="n"/>
      <c r="F598" s="33" t="n"/>
      <c r="G598" s="33" t="n"/>
      <c r="H598" s="30" t="inlineStr">
        <is>
          <t>Oui</t>
        </is>
      </c>
    </row>
    <row r="599">
      <c r="A599" s="31" t="inlineStr">
        <is>
          <t>Niveau</t>
        </is>
      </c>
      <c r="B599" s="33" t="n">
        <v>16</v>
      </c>
      <c r="C599" s="33" t="n">
        <v>16</v>
      </c>
      <c r="D599" s="33" t="n">
        <v>16</v>
      </c>
      <c r="E599" s="33" t="n"/>
      <c r="F599" s="33" t="n"/>
      <c r="G599" s="33" t="n"/>
      <c r="H599" s="30" t="inlineStr">
        <is>
          <t>Oui</t>
        </is>
      </c>
    </row>
    <row r="600">
      <c r="A600" s="31" t="inlineStr">
        <is>
          <t>Objet</t>
        </is>
      </c>
      <c r="B600" s="33" t="inlineStr">
        <is>
          <t>Aucun</t>
        </is>
      </c>
      <c r="C600" s="33" t="inlineStr">
        <is>
          <t>Aucun</t>
        </is>
      </c>
      <c r="D600" s="33" t="inlineStr">
        <is>
          <t>Aucun</t>
        </is>
      </c>
      <c r="E600" s="33" t="n"/>
      <c r="F600" s="33" t="n"/>
      <c r="G600" s="33" t="n"/>
      <c r="H600" s="30" t="inlineStr">
        <is>
          <t>Oui</t>
        </is>
      </c>
    </row>
    <row r="601">
      <c r="A601" s="31" t="inlineStr">
        <is>
          <t>Talent</t>
        </is>
      </c>
      <c r="B601" s="33" t="inlineStr">
        <is>
          <t>Anti-Bruit</t>
        </is>
      </c>
      <c r="C601" s="33" t="inlineStr">
        <is>
          <t>Fermeté</t>
        </is>
      </c>
      <c r="D601" s="33" t="inlineStr">
        <is>
          <t>Anti-Bruit</t>
        </is>
      </c>
      <c r="E601" s="33" t="n"/>
      <c r="F601" s="33" t="n"/>
      <c r="G601" s="33" t="n"/>
      <c r="H601" s="30" t="inlineStr">
        <is>
          <t>Oui</t>
        </is>
      </c>
    </row>
    <row r="602">
      <c r="A602" s="31" t="inlineStr">
        <is>
          <t>Capacités</t>
        </is>
      </c>
      <c r="B602" s="34" t="inlineStr">
        <is>
          <t>Étincelle</t>
        </is>
      </c>
      <c r="C602" s="34" t="inlineStr">
        <is>
          <t>Abri</t>
        </is>
      </c>
      <c r="D602" s="34" t="inlineStr">
        <is>
          <t>Étincelle</t>
        </is>
      </c>
      <c r="E602" s="34" t="n"/>
      <c r="F602" s="34" t="n"/>
      <c r="G602" s="34" t="n"/>
      <c r="H602" s="30" t="inlineStr">
        <is>
          <t>Oui</t>
        </is>
      </c>
    </row>
    <row r="603">
      <c r="A603" s="31" t="n"/>
      <c r="B603" s="34" t="inlineStr">
        <is>
          <t>Roulade</t>
        </is>
      </c>
      <c r="C603" s="34" t="inlineStr">
        <is>
          <t>Destruction</t>
        </is>
      </c>
      <c r="D603" s="34" t="inlineStr">
        <is>
          <t>Roulade</t>
        </is>
      </c>
      <c r="E603" s="34" t="n"/>
      <c r="F603" s="34" t="n"/>
      <c r="G603" s="34" t="n"/>
      <c r="H603" s="30" t="inlineStr">
        <is>
          <t>Oui</t>
        </is>
      </c>
    </row>
    <row r="604">
      <c r="A604" s="31" t="n"/>
      <c r="B604" s="34" t="inlineStr">
        <is>
          <t>Grincement</t>
        </is>
      </c>
      <c r="C604" s="34" t="inlineStr">
        <is>
          <t>Piqûre</t>
        </is>
      </c>
      <c r="D604" s="34" t="inlineStr">
        <is>
          <t>Grincement</t>
        </is>
      </c>
      <c r="E604" s="34" t="n"/>
      <c r="F604" s="34" t="n"/>
      <c r="G604" s="34" t="n"/>
      <c r="H604" s="30" t="inlineStr">
        <is>
          <t>Oui</t>
        </is>
      </c>
    </row>
    <row r="605">
      <c r="A605" s="31" t="n"/>
      <c r="B605" s="34" t="inlineStr">
        <is>
          <t>Rayon Chargé</t>
        </is>
      </c>
      <c r="C605" s="34" t="inlineStr">
        <is>
          <t>Bélier</t>
        </is>
      </c>
      <c r="D605" s="34" t="inlineStr">
        <is>
          <t>Rayon Chargé</t>
        </is>
      </c>
      <c r="E605" s="34" t="n"/>
      <c r="F605" s="34" t="n"/>
      <c r="G605" s="34" t="n"/>
      <c r="H605" s="30" t="inlineStr">
        <is>
          <t>Oui</t>
        </is>
      </c>
    </row>
    <row r="606">
      <c r="A606" s="31" t="inlineStr">
        <is>
          <t>Nom</t>
        </is>
      </c>
      <c r="B606" s="32" t="inlineStr">
        <is>
          <t>Scout Henri</t>
        </is>
      </c>
      <c r="C606" s="32" t="n"/>
      <c r="D606" s="32" t="n"/>
      <c r="E606" s="32" t="n"/>
      <c r="F606" s="32" t="n"/>
      <c r="G606" s="32" t="n"/>
      <c r="H606" s="30" t="inlineStr">
        <is>
          <t>Oui</t>
        </is>
      </c>
    </row>
    <row r="607">
      <c r="A607" s="31" t="inlineStr">
        <is>
          <t>Pokémon</t>
        </is>
      </c>
      <c r="B607" s="33" t="inlineStr">
        <is>
          <t>YANMA</t>
        </is>
      </c>
      <c r="C607" s="33" t="inlineStr">
        <is>
          <t>MIMITOSS</t>
        </is>
      </c>
      <c r="D607" s="33" t="n"/>
      <c r="E607" s="33" t="n"/>
      <c r="F607" s="33" t="n"/>
      <c r="G607" s="33" t="n"/>
      <c r="H607" s="30" t="inlineStr">
        <is>
          <t>Oui</t>
        </is>
      </c>
    </row>
    <row r="608">
      <c r="A608" s="31" t="inlineStr">
        <is>
          <t>Niveau</t>
        </is>
      </c>
      <c r="B608" s="33" t="n">
        <v>18</v>
      </c>
      <c r="C608" s="33" t="n">
        <v>18</v>
      </c>
      <c r="D608" s="33" t="n"/>
      <c r="E608" s="33" t="n"/>
      <c r="F608" s="33" t="n"/>
      <c r="G608" s="33" t="n"/>
      <c r="H608" s="30" t="inlineStr">
        <is>
          <t>Oui</t>
        </is>
      </c>
    </row>
    <row r="609">
      <c r="A609" s="31" t="inlineStr">
        <is>
          <t>Objet</t>
        </is>
      </c>
      <c r="B609" s="33" t="inlineStr">
        <is>
          <t>Aucun</t>
        </is>
      </c>
      <c r="C609" s="33" t="inlineStr">
        <is>
          <t>Aucun</t>
        </is>
      </c>
      <c r="D609" s="33" t="n"/>
      <c r="E609" s="33" t="n"/>
      <c r="F609" s="33" t="n"/>
      <c r="G609" s="33" t="n"/>
      <c r="H609" s="30" t="inlineStr">
        <is>
          <t>Oui</t>
        </is>
      </c>
    </row>
    <row r="610">
      <c r="A610" s="31" t="inlineStr">
        <is>
          <t>Talent</t>
        </is>
      </c>
      <c r="B610" s="33" t="inlineStr">
        <is>
          <t>Turbo</t>
        </is>
      </c>
      <c r="C610" s="33" t="inlineStr">
        <is>
          <t>Œil Composé</t>
        </is>
      </c>
      <c r="D610" s="33" t="n"/>
      <c r="E610" s="33" t="n"/>
      <c r="F610" s="33" t="n"/>
      <c r="G610" s="33" t="n"/>
      <c r="H610" s="30" t="inlineStr">
        <is>
          <t>Oui</t>
        </is>
      </c>
    </row>
    <row r="611">
      <c r="A611" s="31" t="inlineStr">
        <is>
          <t>Capacités</t>
        </is>
      </c>
      <c r="B611" s="34" t="inlineStr">
        <is>
          <t>Reflet</t>
        </is>
      </c>
      <c r="C611" s="34" t="inlineStr">
        <is>
          <t>Vampirisme</t>
        </is>
      </c>
      <c r="D611" s="34" t="n"/>
      <c r="E611" s="34" t="n"/>
      <c r="F611" s="34" t="n"/>
      <c r="G611" s="34" t="n"/>
      <c r="H611" s="30" t="inlineStr">
        <is>
          <t>Oui</t>
        </is>
      </c>
    </row>
    <row r="612">
      <c r="A612" s="31" t="n"/>
      <c r="B612" s="34" t="inlineStr">
        <is>
          <t>Tornade</t>
        </is>
      </c>
      <c r="C612" s="34" t="inlineStr">
        <is>
          <t>Choc Mental</t>
        </is>
      </c>
      <c r="D612" s="34" t="n"/>
      <c r="E612" s="34" t="n"/>
      <c r="F612" s="34" t="n"/>
      <c r="G612" s="34" t="n"/>
      <c r="H612" s="30" t="inlineStr">
        <is>
          <t>Oui</t>
        </is>
      </c>
    </row>
    <row r="613">
      <c r="A613" s="31" t="n"/>
      <c r="B613" s="34" t="inlineStr">
        <is>
          <t>Sonic Boom</t>
        </is>
      </c>
      <c r="C613" s="34" t="inlineStr">
        <is>
          <t>Poudre Toxik</t>
        </is>
      </c>
      <c r="D613" s="34" t="n"/>
      <c r="E613" s="34" t="n"/>
      <c r="F613" s="34" t="n"/>
      <c r="G613" s="34" t="n"/>
      <c r="H613" s="30" t="inlineStr">
        <is>
          <t>Oui</t>
        </is>
      </c>
    </row>
    <row r="614">
      <c r="A614" s="31" t="n"/>
      <c r="B614" s="34" t="inlineStr">
        <is>
          <t>Détection</t>
        </is>
      </c>
      <c r="C614" s="34" t="inlineStr">
        <is>
          <t>Rafale Psy</t>
        </is>
      </c>
      <c r="D614" s="34" t="n"/>
      <c r="E614" s="34" t="n"/>
      <c r="F614" s="34" t="n"/>
      <c r="G614" s="34" t="n"/>
      <c r="H614" s="30" t="inlineStr">
        <is>
          <t>Oui</t>
        </is>
      </c>
    </row>
    <row r="615">
      <c r="A615" s="31" t="inlineStr">
        <is>
          <t>Nom</t>
        </is>
      </c>
      <c r="B615" s="32" t="inlineStr">
        <is>
          <t>Crache-Feu Bimbo</t>
        </is>
      </c>
      <c r="C615" s="32" t="n"/>
      <c r="D615" s="32" t="n"/>
      <c r="E615" s="32" t="n"/>
      <c r="F615" s="32" t="n"/>
      <c r="G615" s="32" t="n"/>
      <c r="H615" s="30" t="inlineStr">
        <is>
          <t>Oui</t>
        </is>
      </c>
    </row>
    <row r="616">
      <c r="A616" s="31" t="inlineStr">
        <is>
          <t>Pokémon</t>
        </is>
      </c>
      <c r="B616" s="33" t="inlineStr">
        <is>
          <t>MAGMAR</t>
        </is>
      </c>
      <c r="C616" s="33" t="inlineStr">
        <is>
          <t>MAGMAR</t>
        </is>
      </c>
      <c r="D616" s="33" t="n"/>
      <c r="E616" s="33" t="n"/>
      <c r="F616" s="33" t="n"/>
      <c r="G616" s="33" t="n"/>
      <c r="H616" s="30" t="inlineStr">
        <is>
          <t>Oui</t>
        </is>
      </c>
    </row>
    <row r="617">
      <c r="A617" s="31" t="inlineStr">
        <is>
          <t>Niveau</t>
        </is>
      </c>
      <c r="B617" s="33" t="n">
        <v>15</v>
      </c>
      <c r="C617" s="33" t="n">
        <v>15</v>
      </c>
      <c r="D617" s="33" t="n"/>
      <c r="E617" s="33" t="n"/>
      <c r="F617" s="33" t="n"/>
      <c r="G617" s="33" t="n"/>
      <c r="H617" s="30" t="inlineStr">
        <is>
          <t>Oui</t>
        </is>
      </c>
    </row>
    <row r="618">
      <c r="A618" s="31" t="inlineStr">
        <is>
          <t>Objet</t>
        </is>
      </c>
      <c r="B618" s="33" t="inlineStr">
        <is>
          <t>Aucun</t>
        </is>
      </c>
      <c r="C618" s="33" t="inlineStr">
        <is>
          <t>Aucun</t>
        </is>
      </c>
      <c r="D618" s="33" t="n"/>
      <c r="E618" s="33" t="n"/>
      <c r="F618" s="33" t="n"/>
      <c r="G618" s="33" t="n"/>
      <c r="H618" s="30" t="inlineStr">
        <is>
          <t>Oui</t>
        </is>
      </c>
    </row>
    <row r="619">
      <c r="A619" s="31" t="inlineStr">
        <is>
          <t>Talent</t>
        </is>
      </c>
      <c r="B619" s="33" t="inlineStr">
        <is>
          <t>Corps Ardent</t>
        </is>
      </c>
      <c r="C619" s="33" t="inlineStr">
        <is>
          <t>Corps Ardent</t>
        </is>
      </c>
      <c r="D619" s="33" t="n"/>
      <c r="E619" s="33" t="n"/>
      <c r="F619" s="33" t="n"/>
      <c r="G619" s="33" t="n"/>
      <c r="H619" s="30" t="inlineStr">
        <is>
          <t>Oui</t>
        </is>
      </c>
    </row>
    <row r="620">
      <c r="A620" s="31" t="inlineStr">
        <is>
          <t>Capacités</t>
        </is>
      </c>
      <c r="B620" s="34" t="inlineStr">
        <is>
          <t>Flammèche</t>
        </is>
      </c>
      <c r="C620" s="34" t="inlineStr">
        <is>
          <t>Flammèche</t>
        </is>
      </c>
      <c r="D620" s="34" t="n"/>
      <c r="E620" s="34" t="n"/>
      <c r="F620" s="34" t="n"/>
      <c r="G620" s="34" t="n"/>
      <c r="H620" s="30" t="inlineStr">
        <is>
          <t>Oui</t>
        </is>
      </c>
    </row>
    <row r="621">
      <c r="A621" s="31" t="n"/>
      <c r="B621" s="34" t="inlineStr">
        <is>
          <t>Brouillard</t>
        </is>
      </c>
      <c r="C621" s="34" t="inlineStr">
        <is>
          <t>Brouillard</t>
        </is>
      </c>
      <c r="D621" s="34" t="n"/>
      <c r="E621" s="34" t="n"/>
      <c r="F621" s="34" t="n"/>
      <c r="G621" s="34" t="n"/>
      <c r="H621" s="30" t="inlineStr">
        <is>
          <t>Oui</t>
        </is>
      </c>
    </row>
    <row r="622">
      <c r="A622" s="31" t="n"/>
      <c r="B622" s="34" t="inlineStr">
        <is>
          <t>Feinte</t>
        </is>
      </c>
      <c r="C622" s="34" t="inlineStr">
        <is>
          <t>Feinte</t>
        </is>
      </c>
      <c r="D622" s="34" t="n"/>
      <c r="E622" s="34" t="n"/>
      <c r="F622" s="34" t="n"/>
      <c r="G622" s="34" t="n"/>
      <c r="H622" s="30" t="inlineStr">
        <is>
          <t>Oui</t>
        </is>
      </c>
    </row>
    <row r="623">
      <c r="A623" s="31" t="n"/>
      <c r="B623" s="34" t="inlineStr">
        <is>
          <t>Danse Flammes</t>
        </is>
      </c>
      <c r="C623" s="34" t="inlineStr">
        <is>
          <t>Danse Flammes</t>
        </is>
      </c>
      <c r="D623" s="34" t="n"/>
      <c r="E623" s="34" t="n"/>
      <c r="F623" s="34" t="n"/>
      <c r="G623" s="34" t="n"/>
      <c r="H623" s="30" t="inlineStr">
        <is>
          <t>Oui</t>
        </is>
      </c>
    </row>
    <row r="624">
      <c r="A624" s="31" t="inlineStr">
        <is>
          <t>Nom</t>
        </is>
      </c>
      <c r="B624" s="32" t="inlineStr">
        <is>
          <t>Agent Baptiste</t>
        </is>
      </c>
      <c r="C624" s="32" t="n"/>
      <c r="D624" s="32" t="n"/>
      <c r="E624" s="32" t="n"/>
      <c r="F624" s="32" t="n"/>
      <c r="G624" s="32" t="n"/>
      <c r="H624" s="30" t="inlineStr">
        <is>
          <t>Oui</t>
        </is>
      </c>
    </row>
    <row r="625">
      <c r="A625" s="31" t="inlineStr">
        <is>
          <t>Pokémon</t>
        </is>
      </c>
      <c r="B625" s="33" t="inlineStr">
        <is>
          <t>CANINOS</t>
        </is>
      </c>
      <c r="C625" s="33" t="inlineStr">
        <is>
          <t>MALOSSE</t>
        </is>
      </c>
      <c r="D625" s="33" t="n"/>
      <c r="E625" s="33" t="n"/>
      <c r="F625" s="33" t="n"/>
      <c r="G625" s="33" t="n"/>
      <c r="H625" s="30" t="inlineStr">
        <is>
          <t>Oui</t>
        </is>
      </c>
    </row>
    <row r="626">
      <c r="A626" s="31" t="inlineStr">
        <is>
          <t>Niveau</t>
        </is>
      </c>
      <c r="B626" s="33" t="n">
        <v>16</v>
      </c>
      <c r="C626" s="33" t="n">
        <v>16</v>
      </c>
      <c r="D626" s="33" t="n"/>
      <c r="E626" s="33" t="n"/>
      <c r="F626" s="33" t="n"/>
      <c r="G626" s="33" t="n"/>
      <c r="H626" s="30" t="inlineStr">
        <is>
          <t>Oui</t>
        </is>
      </c>
    </row>
    <row r="627">
      <c r="A627" s="31" t="inlineStr">
        <is>
          <t>Objet</t>
        </is>
      </c>
      <c r="B627" s="33" t="inlineStr">
        <is>
          <t>Aucun</t>
        </is>
      </c>
      <c r="C627" s="33" t="inlineStr">
        <is>
          <t>Aucun</t>
        </is>
      </c>
      <c r="D627" s="33" t="n"/>
      <c r="E627" s="33" t="n"/>
      <c r="F627" s="33" t="n"/>
      <c r="G627" s="33" t="n"/>
      <c r="H627" s="30" t="inlineStr">
        <is>
          <t>Oui</t>
        </is>
      </c>
    </row>
    <row r="628">
      <c r="A628" s="31" t="inlineStr">
        <is>
          <t>Talent</t>
        </is>
      </c>
      <c r="B628" s="33" t="inlineStr">
        <is>
          <t>Intimidation</t>
        </is>
      </c>
      <c r="C628" s="33" t="inlineStr">
        <is>
          <t>Matinal</t>
        </is>
      </c>
      <c r="D628" s="33" t="n"/>
      <c r="E628" s="33" t="n"/>
      <c r="F628" s="33" t="n"/>
      <c r="G628" s="33" t="n"/>
      <c r="H628" s="30" t="inlineStr">
        <is>
          <t>Oui</t>
        </is>
      </c>
    </row>
    <row r="629">
      <c r="A629" s="31" t="inlineStr">
        <is>
          <t>Capacités</t>
        </is>
      </c>
      <c r="B629" s="34" t="inlineStr">
        <is>
          <t>Flammèche</t>
        </is>
      </c>
      <c r="C629" s="34" t="inlineStr">
        <is>
          <t>Grondement</t>
        </is>
      </c>
      <c r="D629" s="34" t="n"/>
      <c r="E629" s="34" t="n"/>
      <c r="F629" s="34" t="n"/>
      <c r="G629" s="34" t="n"/>
      <c r="H629" s="30" t="inlineStr">
        <is>
          <t>Oui</t>
        </is>
      </c>
    </row>
    <row r="630">
      <c r="A630" s="31" t="n"/>
      <c r="B630" s="34" t="inlineStr">
        <is>
          <t>Groz'Yeux</t>
        </is>
      </c>
      <c r="C630" s="34" t="inlineStr">
        <is>
          <t>Purédpois</t>
        </is>
      </c>
      <c r="D630" s="34" t="n"/>
      <c r="E630" s="34" t="n"/>
      <c r="F630" s="34" t="n"/>
      <c r="G630" s="34" t="n"/>
      <c r="H630" s="30" t="inlineStr">
        <is>
          <t>Oui</t>
        </is>
      </c>
    </row>
    <row r="631">
      <c r="A631" s="31" t="n"/>
      <c r="B631" s="34" t="inlineStr">
        <is>
          <t>Flair</t>
        </is>
      </c>
      <c r="C631" s="34" t="inlineStr">
        <is>
          <t>Hurlement</t>
        </is>
      </c>
      <c r="D631" s="34" t="n"/>
      <c r="E631" s="34" t="n"/>
      <c r="F631" s="34" t="n"/>
      <c r="G631" s="34" t="n"/>
      <c r="H631" s="30" t="inlineStr">
        <is>
          <t>Oui</t>
        </is>
      </c>
    </row>
    <row r="632">
      <c r="A632" s="31" t="n"/>
      <c r="B632" s="34" t="inlineStr">
        <is>
          <t>Coup d'Main</t>
        </is>
      </c>
      <c r="C632" s="34" t="inlineStr">
        <is>
          <t>Morsure</t>
        </is>
      </c>
      <c r="D632" s="34" t="n"/>
      <c r="E632" s="34" t="n"/>
      <c r="F632" s="34" t="n"/>
      <c r="G632" s="34" t="n"/>
      <c r="H632" s="30" t="inlineStr">
        <is>
          <t>Oui</t>
        </is>
      </c>
    </row>
    <row r="633" ht="18" customHeight="1">
      <c r="A633" s="26" t="inlineStr">
        <is>
          <t>Parc Naturel</t>
        </is>
      </c>
      <c r="B633" s="26" t="n"/>
      <c r="C633" s="26" t="n"/>
      <c r="D633" s="26" t="n"/>
      <c r="E633" s="26" t="n"/>
      <c r="F633" s="26" t="n"/>
      <c r="G633" s="26" t="n"/>
      <c r="H633" s="30" t="inlineStr">
        <is>
          <t>Oui</t>
        </is>
      </c>
    </row>
    <row r="634">
      <c r="A634" s="31" t="inlineStr">
        <is>
          <t>Nom</t>
        </is>
      </c>
      <c r="B634" s="32" t="inlineStr">
        <is>
          <t>Élève Timéo</t>
        </is>
      </c>
      <c r="C634" s="32" t="n"/>
      <c r="D634" s="32" t="n"/>
      <c r="E634" s="32" t="n"/>
      <c r="F634" s="32" t="n"/>
      <c r="G634" s="32" t="n"/>
      <c r="H634" s="30" t="inlineStr">
        <is>
          <t>Oui</t>
        </is>
      </c>
    </row>
    <row r="635">
      <c r="A635" s="31" t="inlineStr">
        <is>
          <t>Pokémon</t>
        </is>
      </c>
      <c r="B635" s="33" t="inlineStr">
        <is>
          <t>HELIATRONC</t>
        </is>
      </c>
      <c r="C635" s="33" t="inlineStr">
        <is>
          <t>VOLTORBE</t>
        </is>
      </c>
      <c r="D635" s="33" t="n"/>
      <c r="E635" s="33" t="n"/>
      <c r="F635" s="33" t="n"/>
      <c r="G635" s="33" t="n"/>
      <c r="H635" s="30" t="inlineStr">
        <is>
          <t>Oui</t>
        </is>
      </c>
    </row>
    <row r="636">
      <c r="A636" s="31" t="inlineStr">
        <is>
          <t>Niveau</t>
        </is>
      </c>
      <c r="B636" s="33" t="n">
        <v>16</v>
      </c>
      <c r="C636" s="33" t="n">
        <v>17</v>
      </c>
      <c r="D636" s="33" t="n"/>
      <c r="E636" s="33" t="n"/>
      <c r="F636" s="33" t="n"/>
      <c r="G636" s="33" t="n"/>
      <c r="H636" s="30" t="inlineStr">
        <is>
          <t>Oui</t>
        </is>
      </c>
    </row>
    <row r="637">
      <c r="A637" s="31" t="inlineStr">
        <is>
          <t>Objet</t>
        </is>
      </c>
      <c r="B637" s="33" t="inlineStr">
        <is>
          <t>Aucun</t>
        </is>
      </c>
      <c r="C637" s="33" t="inlineStr">
        <is>
          <t>Aucun</t>
        </is>
      </c>
      <c r="D637" s="33" t="n"/>
      <c r="E637" s="33" t="n"/>
      <c r="F637" s="33" t="n"/>
      <c r="G637" s="33" t="n"/>
      <c r="H637" s="30" t="inlineStr">
        <is>
          <t>Oui</t>
        </is>
      </c>
    </row>
    <row r="638">
      <c r="A638" s="31" t="inlineStr">
        <is>
          <t>Talent</t>
        </is>
      </c>
      <c r="B638" s="33" t="inlineStr">
        <is>
          <t>Chlorophylle</t>
        </is>
      </c>
      <c r="C638" s="33" t="inlineStr">
        <is>
          <t>Anti-Bruit</t>
        </is>
      </c>
      <c r="D638" s="33" t="n"/>
      <c r="E638" s="33" t="n"/>
      <c r="F638" s="33" t="n"/>
      <c r="G638" s="33" t="n"/>
      <c r="H638" s="30" t="inlineStr">
        <is>
          <t>Oui</t>
        </is>
      </c>
    </row>
    <row r="639">
      <c r="A639" s="31" t="inlineStr">
        <is>
          <t>Capacités</t>
        </is>
      </c>
      <c r="B639" s="34" t="inlineStr">
        <is>
          <t>Siffl'Herbe</t>
        </is>
      </c>
      <c r="C639" s="34" t="inlineStr">
        <is>
          <t>Étincelle</t>
        </is>
      </c>
      <c r="D639" s="34" t="n"/>
      <c r="E639" s="34" t="n"/>
      <c r="F639" s="34" t="n"/>
      <c r="G639" s="34" t="n"/>
      <c r="H639" s="30" t="inlineStr">
        <is>
          <t>Oui</t>
        </is>
      </c>
    </row>
    <row r="640">
      <c r="A640" s="31" t="n"/>
      <c r="B640" s="34" t="inlineStr">
        <is>
          <t>Méga-Sangsue</t>
        </is>
      </c>
      <c r="C640" s="34" t="inlineStr">
        <is>
          <t>Roulade</t>
        </is>
      </c>
      <c r="D640" s="34" t="n"/>
      <c r="E640" s="34" t="n"/>
      <c r="F640" s="34" t="n"/>
      <c r="G640" s="34" t="n"/>
      <c r="H640" s="30" t="inlineStr">
        <is>
          <t>Oui</t>
        </is>
      </c>
    </row>
    <row r="641">
      <c r="A641" s="31" t="n"/>
      <c r="B641" s="34" t="inlineStr">
        <is>
          <t>Vampigraine</t>
        </is>
      </c>
      <c r="C641" s="34" t="inlineStr">
        <is>
          <t>Grincement</t>
        </is>
      </c>
      <c r="D641" s="34" t="n"/>
      <c r="E641" s="34" t="n"/>
      <c r="F641" s="34" t="n"/>
      <c r="G641" s="34" t="n"/>
      <c r="H641" s="30" t="inlineStr">
        <is>
          <t>Oui</t>
        </is>
      </c>
    </row>
    <row r="642">
      <c r="A642" s="31" t="n"/>
      <c r="B642" s="34" t="inlineStr">
        <is>
          <t>Tranch'Herbe</t>
        </is>
      </c>
      <c r="C642" s="34" t="inlineStr">
        <is>
          <t>Rayon Chargé</t>
        </is>
      </c>
      <c r="D642" s="34" t="n"/>
      <c r="E642" s="34" t="n"/>
      <c r="F642" s="34" t="n"/>
      <c r="G642" s="34" t="n"/>
      <c r="H642" s="30" t="inlineStr">
        <is>
          <t>Oui</t>
        </is>
      </c>
    </row>
    <row r="643">
      <c r="A643" s="31" t="inlineStr">
        <is>
          <t>Nom</t>
        </is>
      </c>
      <c r="B643" s="32" t="inlineStr">
        <is>
          <t>Sœur Parasol Jade</t>
        </is>
      </c>
      <c r="C643" s="32" t="n"/>
      <c r="D643" s="32" t="n"/>
      <c r="E643" s="32" t="n"/>
      <c r="F643" s="32" t="n"/>
      <c r="G643" s="32" t="n"/>
      <c r="H643" s="30" t="inlineStr">
        <is>
          <t>Oui</t>
        </is>
      </c>
    </row>
    <row r="644">
      <c r="A644" s="31" t="inlineStr">
        <is>
          <t>Pokémon</t>
        </is>
      </c>
      <c r="B644" s="33" t="inlineStr">
        <is>
          <t>SNUBBULL</t>
        </is>
      </c>
      <c r="C644" s="33" t="n"/>
      <c r="D644" s="33" t="n"/>
      <c r="E644" s="33" t="n"/>
      <c r="F644" s="33" t="n"/>
      <c r="G644" s="33" t="n"/>
      <c r="H644" s="30" t="inlineStr">
        <is>
          <t>Oui</t>
        </is>
      </c>
    </row>
    <row r="645">
      <c r="A645" s="31" t="inlineStr">
        <is>
          <t>Niveau</t>
        </is>
      </c>
      <c r="B645" s="33" t="n">
        <v>20</v>
      </c>
      <c r="C645" s="33" t="n"/>
      <c r="D645" s="33" t="n"/>
      <c r="E645" s="33" t="n"/>
      <c r="F645" s="33" t="n"/>
      <c r="G645" s="33" t="n"/>
      <c r="H645" s="30" t="inlineStr">
        <is>
          <t>Oui</t>
        </is>
      </c>
    </row>
    <row r="646">
      <c r="A646" s="31" t="inlineStr">
        <is>
          <t>Objet</t>
        </is>
      </c>
      <c r="B646" s="33" t="inlineStr">
        <is>
          <t>Aucun</t>
        </is>
      </c>
      <c r="C646" s="33" t="n"/>
      <c r="D646" s="33" t="n"/>
      <c r="E646" s="33" t="n"/>
      <c r="F646" s="33" t="n"/>
      <c r="G646" s="33" t="n"/>
      <c r="H646" s="30" t="inlineStr">
        <is>
          <t>Oui</t>
        </is>
      </c>
    </row>
    <row r="647">
      <c r="A647" s="31" t="inlineStr">
        <is>
          <t>Talent</t>
        </is>
      </c>
      <c r="B647" s="33" t="inlineStr">
        <is>
          <t>Intimidation</t>
        </is>
      </c>
      <c r="C647" s="33" t="n"/>
      <c r="D647" s="33" t="n"/>
      <c r="E647" s="33" t="n"/>
      <c r="F647" s="33" t="n"/>
      <c r="G647" s="33" t="n"/>
      <c r="H647" s="30" t="inlineStr">
        <is>
          <t>Oui</t>
        </is>
      </c>
    </row>
    <row r="648">
      <c r="A648" s="31" t="inlineStr">
        <is>
          <t>Capacités</t>
        </is>
      </c>
      <c r="B648" s="34" t="inlineStr">
        <is>
          <t>Voix Enjôleuse</t>
        </is>
      </c>
      <c r="C648" s="34" t="n"/>
      <c r="D648" s="34" t="n"/>
      <c r="E648" s="34" t="n"/>
      <c r="F648" s="34" t="n"/>
      <c r="G648" s="34" t="n"/>
      <c r="H648" s="30" t="inlineStr">
        <is>
          <t>Oui</t>
        </is>
      </c>
    </row>
    <row r="649">
      <c r="A649" s="31" t="n"/>
      <c r="B649" s="34" t="inlineStr">
        <is>
          <t>Morsure</t>
        </is>
      </c>
      <c r="C649" s="34" t="n"/>
      <c r="D649" s="34" t="n"/>
      <c r="E649" s="34" t="n"/>
      <c r="F649" s="34" t="n"/>
      <c r="G649" s="34" t="n"/>
      <c r="H649" s="30" t="inlineStr">
        <is>
          <t>Oui</t>
        </is>
      </c>
    </row>
    <row r="650">
      <c r="A650" s="31" t="n"/>
      <c r="B650" s="34" t="inlineStr">
        <is>
          <t>Léchouille</t>
        </is>
      </c>
      <c r="C650" s="34" t="n"/>
      <c r="D650" s="34" t="n"/>
      <c r="E650" s="34" t="n"/>
      <c r="F650" s="34" t="n"/>
      <c r="G650" s="34" t="n"/>
      <c r="H650" s="30" t="inlineStr">
        <is>
          <t>Oui</t>
        </is>
      </c>
    </row>
    <row r="651">
      <c r="A651" s="31" t="n"/>
      <c r="B651" s="34" t="inlineStr">
        <is>
          <t>Coup d'Boule</t>
        </is>
      </c>
      <c r="C651" s="34" t="n"/>
      <c r="D651" s="34" t="n"/>
      <c r="E651" s="34" t="n"/>
      <c r="F651" s="34" t="n"/>
      <c r="G651" s="34" t="n"/>
      <c r="H651" s="30" t="inlineStr">
        <is>
          <t>Oui</t>
        </is>
      </c>
    </row>
    <row r="652">
      <c r="A652" s="31" t="inlineStr">
        <is>
          <t>Nom</t>
        </is>
      </c>
      <c r="B652" s="32" t="inlineStr">
        <is>
          <t>Pokéfan Marcel</t>
        </is>
      </c>
      <c r="C652" s="32" t="n"/>
      <c r="D652" s="32" t="n"/>
      <c r="E652" s="32" t="n"/>
      <c r="F652" s="32" t="n"/>
      <c r="G652" s="32" t="n"/>
      <c r="H652" s="30" t="inlineStr">
        <is>
          <t>Oui</t>
        </is>
      </c>
    </row>
    <row r="653">
      <c r="A653" s="31" t="inlineStr">
        <is>
          <t>Pokémon</t>
        </is>
      </c>
      <c r="B653" s="33" t="inlineStr">
        <is>
          <t>RAICHU</t>
        </is>
      </c>
      <c r="C653" s="33" t="n"/>
      <c r="D653" s="33" t="n"/>
      <c r="E653" s="33" t="n"/>
      <c r="F653" s="33" t="n"/>
      <c r="G653" s="33" t="n"/>
      <c r="H653" s="30" t="inlineStr">
        <is>
          <t>Oui</t>
        </is>
      </c>
    </row>
    <row r="654">
      <c r="A654" s="31" t="inlineStr">
        <is>
          <t>Niveau</t>
        </is>
      </c>
      <c r="B654" s="33" t="n">
        <v>15</v>
      </c>
      <c r="C654" s="33" t="n"/>
      <c r="D654" s="33" t="n"/>
      <c r="E654" s="33" t="n"/>
      <c r="F654" s="33" t="n"/>
      <c r="G654" s="33" t="n"/>
      <c r="H654" s="30" t="inlineStr">
        <is>
          <t>Oui</t>
        </is>
      </c>
    </row>
    <row r="655">
      <c r="A655" s="31" t="inlineStr">
        <is>
          <t>Objet</t>
        </is>
      </c>
      <c r="B655" s="33" t="inlineStr">
        <is>
          <t>Aucun</t>
        </is>
      </c>
      <c r="C655" s="33" t="n"/>
      <c r="D655" s="33" t="n"/>
      <c r="E655" s="33" t="n"/>
      <c r="F655" s="33" t="n"/>
      <c r="G655" s="33" t="n"/>
      <c r="H655" s="30" t="inlineStr">
        <is>
          <t>Oui</t>
        </is>
      </c>
    </row>
    <row r="656">
      <c r="A656" s="31" t="inlineStr">
        <is>
          <t>Talent</t>
        </is>
      </c>
      <c r="B656" s="33" t="inlineStr">
        <is>
          <t>Statik</t>
        </is>
      </c>
      <c r="C656" s="33" t="n"/>
      <c r="D656" s="33" t="n"/>
      <c r="E656" s="33" t="n"/>
      <c r="F656" s="33" t="n"/>
      <c r="G656" s="33" t="n"/>
      <c r="H656" s="30" t="inlineStr">
        <is>
          <t>Oui</t>
        </is>
      </c>
    </row>
    <row r="657">
      <c r="A657" s="31" t="inlineStr">
        <is>
          <t>Capacités</t>
        </is>
      </c>
      <c r="B657" s="34" t="inlineStr">
        <is>
          <t>Éclair</t>
        </is>
      </c>
      <c r="C657" s="34" t="n"/>
      <c r="D657" s="34" t="n"/>
      <c r="E657" s="34" t="n"/>
      <c r="F657" s="34" t="n"/>
      <c r="G657" s="34" t="n"/>
      <c r="H657" s="30" t="inlineStr">
        <is>
          <t>Oui</t>
        </is>
      </c>
    </row>
    <row r="658">
      <c r="A658" s="31" t="n"/>
      <c r="B658" s="34" t="inlineStr">
        <is>
          <t>Mimi-Queue</t>
        </is>
      </c>
      <c r="C658" s="34" t="n"/>
      <c r="D658" s="34" t="n"/>
      <c r="E658" s="34" t="n"/>
      <c r="F658" s="34" t="n"/>
      <c r="G658" s="34" t="n"/>
      <c r="H658" s="30" t="inlineStr">
        <is>
          <t>Oui</t>
        </is>
      </c>
    </row>
    <row r="659">
      <c r="A659" s="31" t="n"/>
      <c r="B659" s="34" t="inlineStr">
        <is>
          <t>Vive-Attaque</t>
        </is>
      </c>
      <c r="C659" s="34" t="n"/>
      <c r="D659" s="34" t="n"/>
      <c r="E659" s="34" t="n"/>
      <c r="F659" s="34" t="n"/>
      <c r="G659" s="34" t="n"/>
      <c r="H659" s="30" t="inlineStr">
        <is>
          <t>Oui</t>
        </is>
      </c>
    </row>
    <row r="660">
      <c r="A660" s="31" t="n"/>
      <c r="B660" s="34" t="inlineStr">
        <is>
          <t>Tonnerre</t>
        </is>
      </c>
      <c r="C660" s="34" t="n"/>
      <c r="D660" s="34" t="n"/>
      <c r="E660" s="34" t="n"/>
      <c r="F660" s="34" t="n"/>
      <c r="G660" s="34" t="n"/>
      <c r="H660" s="30" t="inlineStr">
        <is>
          <t>Oui</t>
        </is>
      </c>
    </row>
    <row r="661">
      <c r="A661" s="31" t="inlineStr">
        <is>
          <t>Nom</t>
        </is>
      </c>
      <c r="B661" s="32" t="inlineStr">
        <is>
          <t>Fillette Jezebel</t>
        </is>
      </c>
      <c r="C661" s="32" t="n"/>
      <c r="D661" s="32" t="n"/>
      <c r="E661" s="32" t="n"/>
      <c r="F661" s="32" t="n"/>
      <c r="G661" s="32" t="n"/>
      <c r="H661" s="30" t="inlineStr">
        <is>
          <t>Oui</t>
        </is>
      </c>
    </row>
    <row r="662">
      <c r="A662" s="31" t="inlineStr">
        <is>
          <t>Pokémon</t>
        </is>
      </c>
      <c r="B662" s="33" t="inlineStr">
        <is>
          <t>FLORAVOL</t>
        </is>
      </c>
      <c r="C662" s="33" t="inlineStr">
        <is>
          <t>OSSELAIT</t>
        </is>
      </c>
      <c r="D662" s="33" t="n"/>
      <c r="E662" s="33" t="n"/>
      <c r="F662" s="33" t="n"/>
      <c r="G662" s="33" t="n"/>
      <c r="H662" s="30" t="inlineStr">
        <is>
          <t>Oui</t>
        </is>
      </c>
    </row>
    <row r="663">
      <c r="A663" s="31" t="inlineStr">
        <is>
          <t>Niveau</t>
        </is>
      </c>
      <c r="B663" s="33" t="n">
        <v>17</v>
      </c>
      <c r="C663" s="33" t="n">
        <v>16</v>
      </c>
      <c r="D663" s="33" t="n"/>
      <c r="E663" s="33" t="n"/>
      <c r="F663" s="33" t="n"/>
      <c r="G663" s="33" t="n"/>
      <c r="H663" s="30" t="inlineStr">
        <is>
          <t>Oui</t>
        </is>
      </c>
    </row>
    <row r="664">
      <c r="A664" s="31" t="inlineStr">
        <is>
          <t>Objet</t>
        </is>
      </c>
      <c r="B664" s="33" t="inlineStr">
        <is>
          <t>Aucun</t>
        </is>
      </c>
      <c r="C664" s="33" t="inlineStr">
        <is>
          <t>Aucun</t>
        </is>
      </c>
      <c r="D664" s="33" t="n"/>
      <c r="E664" s="33" t="n"/>
      <c r="F664" s="33" t="n"/>
      <c r="G664" s="33" t="n"/>
      <c r="H664" s="30" t="inlineStr">
        <is>
          <t>Oui</t>
        </is>
      </c>
    </row>
    <row r="665">
      <c r="A665" s="31" t="inlineStr">
        <is>
          <t>Talent</t>
        </is>
      </c>
      <c r="B665" s="33" t="inlineStr">
        <is>
          <t>Chlorophylle</t>
        </is>
      </c>
      <c r="C665" s="33" t="inlineStr">
        <is>
          <t>Tête de Roc</t>
        </is>
      </c>
      <c r="D665" s="33" t="n"/>
      <c r="E665" s="33" t="n"/>
      <c r="F665" s="33" t="n"/>
      <c r="G665" s="33" t="n"/>
      <c r="H665" s="30" t="inlineStr">
        <is>
          <t>Oui</t>
        </is>
      </c>
    </row>
    <row r="666">
      <c r="A666" s="31" t="inlineStr">
        <is>
          <t>Capacités</t>
        </is>
      </c>
      <c r="B666" s="34" t="inlineStr">
        <is>
          <t>Vent Féérique</t>
        </is>
      </c>
      <c r="C666" s="34" t="inlineStr">
        <is>
          <t>Mimi-Queue</t>
        </is>
      </c>
      <c r="D666" s="34" t="n"/>
      <c r="E666" s="34" t="n"/>
      <c r="F666" s="34" t="n"/>
      <c r="G666" s="34" t="n"/>
      <c r="H666" s="30" t="inlineStr">
        <is>
          <t>Oui</t>
        </is>
      </c>
    </row>
    <row r="667">
      <c r="A667" s="31" t="n"/>
      <c r="B667" s="34" t="inlineStr">
        <is>
          <t>Poudre Toxik</t>
        </is>
      </c>
      <c r="C667" s="34" t="inlineStr">
        <is>
          <t>Massd'Os</t>
        </is>
      </c>
      <c r="D667" s="34" t="n"/>
      <c r="E667" s="34" t="n"/>
      <c r="F667" s="34" t="n"/>
      <c r="G667" s="34" t="n"/>
      <c r="H667" s="30" t="inlineStr">
        <is>
          <t>Oui</t>
        </is>
      </c>
    </row>
    <row r="668">
      <c r="A668" s="31" t="n"/>
      <c r="B668" s="34" t="inlineStr">
        <is>
          <t>Para-Spore</t>
        </is>
      </c>
      <c r="C668" s="34" t="inlineStr">
        <is>
          <t>Coup d'Boule</t>
        </is>
      </c>
      <c r="D668" s="34" t="n"/>
      <c r="E668" s="34" t="n"/>
      <c r="F668" s="34" t="n"/>
      <c r="G668" s="34" t="n"/>
      <c r="H668" s="30" t="inlineStr">
        <is>
          <t>Oui</t>
        </is>
      </c>
    </row>
    <row r="669">
      <c r="A669" s="31" t="n"/>
      <c r="B669" s="34" t="inlineStr">
        <is>
          <t>Poudre Dodo</t>
        </is>
      </c>
      <c r="C669" s="34" t="inlineStr">
        <is>
          <t>Groz'Yeux</t>
        </is>
      </c>
      <c r="D669" s="34" t="n"/>
      <c r="E669" s="34" t="n"/>
      <c r="F669" s="34" t="n"/>
      <c r="G669" s="34" t="n"/>
      <c r="H669" s="30" t="inlineStr">
        <is>
          <t>Oui</t>
        </is>
      </c>
    </row>
    <row r="670" ht="18" customHeight="1">
      <c r="A670" s="26" t="inlineStr">
        <is>
          <t>Route 36</t>
        </is>
      </c>
      <c r="B670" s="26" t="n"/>
      <c r="C670" s="26" t="n"/>
      <c r="D670" s="26" t="n"/>
      <c r="E670" s="26" t="n"/>
      <c r="F670" s="26" t="n"/>
      <c r="G670" s="26" t="n"/>
      <c r="H670" s="30" t="inlineStr">
        <is>
          <t>Oui</t>
        </is>
      </c>
    </row>
    <row r="671">
      <c r="A671" s="31" t="inlineStr">
        <is>
          <t>Nom</t>
        </is>
      </c>
      <c r="B671" s="32" t="inlineStr">
        <is>
          <t>Kinésiste Freddy</t>
        </is>
      </c>
      <c r="C671" s="32" t="n"/>
      <c r="D671" s="32" t="n"/>
      <c r="E671" s="32" t="n"/>
      <c r="F671" s="32" t="n"/>
      <c r="G671" s="32" t="n"/>
      <c r="H671" s="30" t="inlineStr">
        <is>
          <t>Oui</t>
        </is>
      </c>
    </row>
    <row r="672">
      <c r="A672" s="31" t="inlineStr">
        <is>
          <t>Pokémon</t>
        </is>
      </c>
      <c r="B672" s="33" t="inlineStr">
        <is>
          <t>ABRA</t>
        </is>
      </c>
      <c r="C672" s="33" t="inlineStr">
        <is>
          <t>ABRA</t>
        </is>
      </c>
      <c r="D672" s="33" t="inlineStr">
        <is>
          <t>KADABRA</t>
        </is>
      </c>
      <c r="E672" s="33" t="n"/>
      <c r="F672" s="33" t="n"/>
      <c r="G672" s="33" t="n"/>
      <c r="H672" s="30" t="inlineStr">
        <is>
          <t>Oui</t>
        </is>
      </c>
    </row>
    <row r="673">
      <c r="A673" s="31" t="inlineStr">
        <is>
          <t>Niveau</t>
        </is>
      </c>
      <c r="B673" s="33" t="n">
        <v>15</v>
      </c>
      <c r="C673" s="33" t="n">
        <v>15</v>
      </c>
      <c r="D673" s="33" t="n">
        <v>16</v>
      </c>
      <c r="E673" s="33" t="n"/>
      <c r="F673" s="33" t="n"/>
      <c r="G673" s="33" t="n"/>
      <c r="H673" s="30" t="inlineStr">
        <is>
          <t>Oui</t>
        </is>
      </c>
    </row>
    <row r="674">
      <c r="A674" s="31" t="inlineStr">
        <is>
          <t>Objet</t>
        </is>
      </c>
      <c r="B674" s="33" t="inlineStr">
        <is>
          <t>Aucun</t>
        </is>
      </c>
      <c r="C674" s="33" t="inlineStr">
        <is>
          <t>Aucun</t>
        </is>
      </c>
      <c r="D674" s="33" t="inlineStr">
        <is>
          <t>Aucun</t>
        </is>
      </c>
      <c r="E674" s="33" t="n"/>
      <c r="F674" s="33" t="n"/>
      <c r="G674" s="33" t="n"/>
      <c r="H674" s="30" t="inlineStr">
        <is>
          <t>Oui</t>
        </is>
      </c>
    </row>
    <row r="675">
      <c r="A675" s="31" t="inlineStr">
        <is>
          <t>Talent</t>
        </is>
      </c>
      <c r="B675" s="33" t="inlineStr">
        <is>
          <t>Synchro</t>
        </is>
      </c>
      <c r="C675" s="33" t="inlineStr">
        <is>
          <t>Synchro</t>
        </is>
      </c>
      <c r="D675" s="33" t="inlineStr">
        <is>
          <t>Synchro</t>
        </is>
      </c>
      <c r="E675" s="33" t="n"/>
      <c r="F675" s="33" t="n"/>
      <c r="G675" s="33" t="n"/>
      <c r="H675" s="30" t="inlineStr">
        <is>
          <t>Oui</t>
        </is>
      </c>
    </row>
    <row r="676">
      <c r="A676" s="31" t="inlineStr">
        <is>
          <t>Capacités</t>
        </is>
      </c>
      <c r="B676" s="34" t="inlineStr">
        <is>
          <t>Téléport</t>
        </is>
      </c>
      <c r="C676" s="34" t="inlineStr">
        <is>
          <t>Téléport</t>
        </is>
      </c>
      <c r="D676" s="34" t="inlineStr">
        <is>
          <t>Télékinésie</t>
        </is>
      </c>
      <c r="E676" s="34" t="n"/>
      <c r="F676" s="34" t="n"/>
      <c r="G676" s="34" t="n"/>
      <c r="H676" s="30" t="inlineStr">
        <is>
          <t>Oui</t>
        </is>
      </c>
    </row>
    <row r="677">
      <c r="A677" s="31" t="n"/>
      <c r="B677" s="34" t="n"/>
      <c r="C677" s="34" t="n"/>
      <c r="D677" s="34" t="inlineStr">
        <is>
          <t>Téléport</t>
        </is>
      </c>
      <c r="E677" s="34" t="n"/>
      <c r="F677" s="34" t="n"/>
      <c r="G677" s="34" t="n"/>
      <c r="H677" s="30" t="inlineStr">
        <is>
          <t>Oui</t>
        </is>
      </c>
    </row>
    <row r="678">
      <c r="A678" s="31" t="n"/>
      <c r="B678" s="34" t="n"/>
      <c r="C678" s="34" t="n"/>
      <c r="D678" s="34" t="inlineStr">
        <is>
          <t>Choc Mental</t>
        </is>
      </c>
      <c r="E678" s="34" t="n"/>
      <c r="F678" s="34" t="n"/>
      <c r="G678" s="34" t="n"/>
      <c r="H678" s="30" t="inlineStr">
        <is>
          <t>Oui</t>
        </is>
      </c>
    </row>
    <row r="679">
      <c r="A679" s="31" t="n"/>
      <c r="B679" s="34" t="n"/>
      <c r="C679" s="34" t="n"/>
      <c r="D679" s="34" t="n"/>
      <c r="E679" s="34" t="n"/>
      <c r="F679" s="34" t="n"/>
      <c r="G679" s="34" t="n"/>
      <c r="H679" s="30" t="inlineStr">
        <is>
          <t>Oui</t>
        </is>
      </c>
    </row>
    <row r="680">
      <c r="A680" s="31" t="inlineStr">
        <is>
          <t>Nom</t>
        </is>
      </c>
      <c r="B680" s="32" t="inlineStr">
        <is>
          <t>Élève Aimé</t>
        </is>
      </c>
      <c r="C680" s="32" t="n"/>
      <c r="D680" s="32" t="n"/>
      <c r="E680" s="32" t="n"/>
      <c r="F680" s="32" t="n"/>
      <c r="G680" s="32" t="n"/>
      <c r="H680" s="30" t="inlineStr">
        <is>
          <t>Oui</t>
        </is>
      </c>
    </row>
    <row r="681">
      <c r="A681" s="31" t="inlineStr">
        <is>
          <t>Pokémon</t>
        </is>
      </c>
      <c r="B681" s="33" t="inlineStr">
        <is>
          <t>SAQUEDENEU</t>
        </is>
      </c>
      <c r="C681" s="33" t="inlineStr">
        <is>
          <t>CANINOS</t>
        </is>
      </c>
      <c r="D681" s="33" t="n"/>
      <c r="E681" s="33" t="n"/>
      <c r="F681" s="33" t="n"/>
      <c r="G681" s="33" t="n"/>
      <c r="H681" s="30" t="inlineStr">
        <is>
          <t>Oui</t>
        </is>
      </c>
    </row>
    <row r="682">
      <c r="A682" s="31" t="inlineStr">
        <is>
          <t>Niveau</t>
        </is>
      </c>
      <c r="B682" s="33" t="n">
        <v>20</v>
      </c>
      <c r="C682" s="33" t="n">
        <v>20</v>
      </c>
      <c r="D682" s="33" t="n"/>
      <c r="E682" s="33" t="n"/>
      <c r="F682" s="33" t="n"/>
      <c r="G682" s="33" t="n"/>
      <c r="H682" s="30" t="inlineStr">
        <is>
          <t>Oui</t>
        </is>
      </c>
    </row>
    <row r="683">
      <c r="A683" s="31" t="inlineStr">
        <is>
          <t>Objet</t>
        </is>
      </c>
      <c r="B683" s="33" t="inlineStr">
        <is>
          <t>Aucun</t>
        </is>
      </c>
      <c r="C683" s="33" t="inlineStr">
        <is>
          <t>Aucun</t>
        </is>
      </c>
      <c r="D683" s="33" t="n"/>
      <c r="E683" s="33" t="n"/>
      <c r="F683" s="33" t="n"/>
      <c r="G683" s="33" t="n"/>
      <c r="H683" s="30" t="inlineStr">
        <is>
          <t>Oui</t>
        </is>
      </c>
    </row>
    <row r="684">
      <c r="A684" s="31" t="inlineStr">
        <is>
          <t>Talent</t>
        </is>
      </c>
      <c r="B684" s="33" t="inlineStr">
        <is>
          <t>Chlorophylle</t>
        </is>
      </c>
      <c r="C684" s="33" t="inlineStr">
        <is>
          <t>Intimidation</t>
        </is>
      </c>
      <c r="D684" s="33" t="n"/>
      <c r="E684" s="33" t="n"/>
      <c r="F684" s="33" t="n"/>
      <c r="G684" s="33" t="n"/>
      <c r="H684" s="30" t="inlineStr">
        <is>
          <t>Oui</t>
        </is>
      </c>
    </row>
    <row r="685">
      <c r="A685" s="31" t="inlineStr">
        <is>
          <t>Capacités</t>
        </is>
      </c>
      <c r="B685" s="34" t="inlineStr">
        <is>
          <t>Vole-Vie</t>
        </is>
      </c>
      <c r="C685" s="34" t="inlineStr">
        <is>
          <t>Flair</t>
        </is>
      </c>
      <c r="D685" s="34" t="n"/>
      <c r="E685" s="34" t="n"/>
      <c r="F685" s="34" t="n"/>
      <c r="G685" s="34" t="n"/>
      <c r="H685" s="30" t="inlineStr">
        <is>
          <t>Oui</t>
        </is>
      </c>
    </row>
    <row r="686">
      <c r="A686" s="31" t="n"/>
      <c r="B686" s="34" t="inlineStr">
        <is>
          <t>Poudre Toxik</t>
        </is>
      </c>
      <c r="C686" s="34" t="inlineStr">
        <is>
          <t>Coup d'Main</t>
        </is>
      </c>
      <c r="D686" s="34" t="n"/>
      <c r="E686" s="34" t="n"/>
      <c r="F686" s="34" t="n"/>
      <c r="G686" s="34" t="n"/>
      <c r="H686" s="30" t="inlineStr">
        <is>
          <t>Oui</t>
        </is>
      </c>
    </row>
    <row r="687">
      <c r="A687" s="31" t="n"/>
      <c r="B687" s="34" t="inlineStr">
        <is>
          <t>Étreinte</t>
        </is>
      </c>
      <c r="C687" s="34" t="inlineStr">
        <is>
          <t>Roue de Feu</t>
        </is>
      </c>
      <c r="D687" s="34" t="n"/>
      <c r="E687" s="34" t="n"/>
      <c r="F687" s="34" t="n"/>
      <c r="G687" s="34" t="n"/>
      <c r="H687" s="30" t="inlineStr">
        <is>
          <t>Oui</t>
        </is>
      </c>
    </row>
    <row r="688">
      <c r="A688" s="31" t="n"/>
      <c r="B688" s="34" t="inlineStr">
        <is>
          <t>Croissance</t>
        </is>
      </c>
      <c r="C688" s="34" t="inlineStr">
        <is>
          <t>Contre</t>
        </is>
      </c>
      <c r="D688" s="34" t="n"/>
      <c r="E688" s="34" t="n"/>
      <c r="F688" s="34" t="n"/>
      <c r="G688" s="34" t="n"/>
      <c r="H688" s="30" t="inlineStr">
        <is>
          <t>Oui</t>
        </is>
      </c>
    </row>
    <row r="689" ht="18" customHeight="1">
      <c r="A689" s="26" t="inlineStr">
        <is>
          <t>Route 37</t>
        </is>
      </c>
      <c r="B689" s="26" t="n"/>
      <c r="C689" s="26" t="n"/>
      <c r="D689" s="26" t="n"/>
      <c r="E689" s="26" t="n"/>
      <c r="F689" s="26" t="n"/>
      <c r="G689" s="26" t="n"/>
      <c r="H689" s="30" t="inlineStr">
        <is>
          <t>Oui</t>
        </is>
      </c>
    </row>
    <row r="690">
      <c r="A690" s="31" t="inlineStr">
        <is>
          <t>Nom</t>
        </is>
      </c>
      <c r="B690" s="32" t="inlineStr">
        <is>
          <t>Jumelles Tea&amp;Léa (combat double)</t>
        </is>
      </c>
      <c r="C690" s="32" t="n"/>
      <c r="D690" s="32" t="n"/>
      <c r="E690" s="32" t="n"/>
      <c r="F690" s="32" t="n"/>
      <c r="G690" s="32" t="n"/>
      <c r="H690" s="30" t="inlineStr">
        <is>
          <t>Oui</t>
        </is>
      </c>
    </row>
    <row r="691">
      <c r="A691" s="31" t="inlineStr">
        <is>
          <t>Pokémon</t>
        </is>
      </c>
      <c r="B691" s="33" t="inlineStr">
        <is>
          <t>MELOFEE</t>
        </is>
      </c>
      <c r="C691" s="33" t="inlineStr">
        <is>
          <t>FOUINAR</t>
        </is>
      </c>
      <c r="D691" s="33" t="n"/>
      <c r="E691" s="33" t="n"/>
      <c r="F691" s="33" t="n"/>
      <c r="G691" s="33" t="n"/>
      <c r="H691" s="30" t="inlineStr">
        <is>
          <t>Oui</t>
        </is>
      </c>
    </row>
    <row r="692">
      <c r="A692" s="31" t="inlineStr">
        <is>
          <t>Niveau</t>
        </is>
      </c>
      <c r="B692" s="33" t="n">
        <v>18</v>
      </c>
      <c r="C692" s="33" t="n">
        <v>18</v>
      </c>
      <c r="D692" s="33" t="n"/>
      <c r="E692" s="33" t="n"/>
      <c r="F692" s="33" t="n"/>
      <c r="G692" s="33" t="n"/>
      <c r="H692" s="30" t="inlineStr">
        <is>
          <t>Oui</t>
        </is>
      </c>
    </row>
    <row r="693">
      <c r="A693" s="31" t="inlineStr">
        <is>
          <t>Objet</t>
        </is>
      </c>
      <c r="B693" s="33" t="inlineStr">
        <is>
          <t>Aucun</t>
        </is>
      </c>
      <c r="C693" s="33" t="inlineStr">
        <is>
          <t>Aucun</t>
        </is>
      </c>
      <c r="D693" s="33" t="n"/>
      <c r="E693" s="33" t="n"/>
      <c r="F693" s="33" t="n"/>
      <c r="G693" s="33" t="n"/>
      <c r="H693" s="30" t="inlineStr">
        <is>
          <t>Oui</t>
        </is>
      </c>
    </row>
    <row r="694">
      <c r="A694" s="31" t="inlineStr">
        <is>
          <t>Talent</t>
        </is>
      </c>
      <c r="B694" s="33" t="inlineStr">
        <is>
          <t>Joli Sourire</t>
        </is>
      </c>
      <c r="C694" s="33" t="inlineStr">
        <is>
          <t>Fuite</t>
        </is>
      </c>
      <c r="D694" s="33" t="n"/>
      <c r="E694" s="33" t="n"/>
      <c r="F694" s="33" t="n"/>
      <c r="G694" s="33" t="n"/>
      <c r="H694" s="30" t="inlineStr">
        <is>
          <t>Oui</t>
        </is>
      </c>
    </row>
    <row r="695">
      <c r="A695" s="31" t="inlineStr">
        <is>
          <t>Capacités</t>
        </is>
      </c>
      <c r="B695" s="34" t="inlineStr">
        <is>
          <t>Torgnoles</t>
        </is>
      </c>
      <c r="C695" s="34" t="inlineStr">
        <is>
          <t>Boul'Armure</t>
        </is>
      </c>
      <c r="D695" s="34" t="n"/>
      <c r="E695" s="34" t="n"/>
      <c r="F695" s="34" t="n"/>
      <c r="G695" s="34" t="n"/>
      <c r="H695" s="30" t="inlineStr">
        <is>
          <t>Oui</t>
        </is>
      </c>
    </row>
    <row r="696">
      <c r="A696" s="31" t="n"/>
      <c r="B696" s="34" t="inlineStr">
        <is>
          <t>Boul'Armure</t>
        </is>
      </c>
      <c r="C696" s="34" t="inlineStr">
        <is>
          <t>Vive-Attaque</t>
        </is>
      </c>
      <c r="D696" s="34" t="n"/>
      <c r="E696" s="34" t="n"/>
      <c r="F696" s="34" t="n"/>
      <c r="G696" s="34" t="n"/>
      <c r="H696" s="30" t="inlineStr">
        <is>
          <t>Oui</t>
        </is>
      </c>
    </row>
    <row r="697">
      <c r="A697" s="31" t="n"/>
      <c r="B697" s="34" t="inlineStr">
        <is>
          <t>Par Ici</t>
        </is>
      </c>
      <c r="C697" s="34" t="inlineStr">
        <is>
          <t>Combo-Griffe</t>
        </is>
      </c>
      <c r="D697" s="34" t="n"/>
      <c r="E697" s="34" t="n"/>
      <c r="F697" s="34" t="n"/>
      <c r="G697" s="34" t="n"/>
      <c r="H697" s="30" t="inlineStr">
        <is>
          <t>Oui</t>
        </is>
      </c>
    </row>
    <row r="698">
      <c r="A698" s="31" t="n"/>
      <c r="B698" s="34" t="inlineStr">
        <is>
          <t>Voix Envoûtante</t>
        </is>
      </c>
      <c r="C698" s="34" t="inlineStr">
        <is>
          <t>Coup d'Main</t>
        </is>
      </c>
      <c r="D698" s="34" t="n"/>
      <c r="E698" s="34" t="n"/>
      <c r="F698" s="34" t="n"/>
      <c r="G698" s="34" t="n"/>
      <c r="H698" s="30" t="inlineStr">
        <is>
          <t>Oui</t>
        </is>
      </c>
    </row>
    <row r="699">
      <c r="A699" s="31" t="inlineStr">
        <is>
          <t>Nom</t>
        </is>
      </c>
      <c r="B699" s="32" t="inlineStr">
        <is>
          <t>Kinésiste Ulrik</t>
        </is>
      </c>
      <c r="C699" s="32" t="n"/>
      <c r="D699" s="32" t="n"/>
      <c r="E699" s="32" t="n"/>
      <c r="F699" s="32" t="n"/>
      <c r="G699" s="32" t="n"/>
      <c r="H699" s="30" t="inlineStr">
        <is>
          <t>Oui</t>
        </is>
      </c>
    </row>
    <row r="700">
      <c r="A700" s="31" t="inlineStr">
        <is>
          <t>Pokémon</t>
        </is>
      </c>
      <c r="B700" s="33" t="inlineStr">
        <is>
          <t>CERFROUSSE</t>
        </is>
      </c>
      <c r="C700" s="33" t="n"/>
      <c r="D700" s="33" t="n"/>
      <c r="E700" s="33" t="n"/>
      <c r="F700" s="33" t="n"/>
      <c r="G700" s="33" t="n"/>
      <c r="H700" s="30" t="inlineStr">
        <is>
          <t>Oui</t>
        </is>
      </c>
    </row>
    <row r="701">
      <c r="A701" s="31" t="inlineStr">
        <is>
          <t>Niveau</t>
        </is>
      </c>
      <c r="B701" s="33" t="n">
        <v>22</v>
      </c>
      <c r="C701" s="33" t="n"/>
      <c r="D701" s="33" t="n"/>
      <c r="E701" s="33" t="n"/>
      <c r="F701" s="33" t="n"/>
      <c r="G701" s="33" t="n"/>
      <c r="H701" s="30" t="inlineStr">
        <is>
          <t>Oui</t>
        </is>
      </c>
    </row>
    <row r="702">
      <c r="A702" s="31" t="inlineStr">
        <is>
          <t>Objet</t>
        </is>
      </c>
      <c r="B702" s="33" t="inlineStr">
        <is>
          <t>Aucun</t>
        </is>
      </c>
      <c r="C702" s="33" t="n"/>
      <c r="D702" s="33" t="n"/>
      <c r="E702" s="33" t="n"/>
      <c r="F702" s="33" t="n"/>
      <c r="G702" s="33" t="n"/>
      <c r="H702" s="30" t="inlineStr">
        <is>
          <t>Oui</t>
        </is>
      </c>
    </row>
    <row r="703">
      <c r="A703" s="31" t="inlineStr">
        <is>
          <t>Talent</t>
        </is>
      </c>
      <c r="B703" s="33" t="inlineStr">
        <is>
          <t>Intimidation</t>
        </is>
      </c>
      <c r="C703" s="33" t="n"/>
      <c r="D703" s="33" t="n"/>
      <c r="E703" s="33" t="n"/>
      <c r="F703" s="33" t="n"/>
      <c r="G703" s="33" t="n"/>
      <c r="H703" s="30" t="inlineStr">
        <is>
          <t>Oui</t>
        </is>
      </c>
    </row>
    <row r="704">
      <c r="A704" s="31" t="inlineStr">
        <is>
          <t>Capacités</t>
        </is>
      </c>
      <c r="B704" s="34" t="inlineStr">
        <is>
          <t>Hypnose</t>
        </is>
      </c>
      <c r="C704" s="34" t="n"/>
      <c r="D704" s="34" t="n"/>
      <c r="E704" s="34" t="n"/>
      <c r="F704" s="34" t="n"/>
      <c r="G704" s="34" t="n"/>
      <c r="H704" s="30" t="inlineStr">
        <is>
          <t>Oui</t>
        </is>
      </c>
    </row>
    <row r="705">
      <c r="A705" s="31" t="n"/>
      <c r="B705" s="34" t="inlineStr">
        <is>
          <t>Écrasement</t>
        </is>
      </c>
      <c r="C705" s="34" t="n"/>
      <c r="D705" s="34" t="n"/>
      <c r="E705" s="34" t="n"/>
      <c r="F705" s="34" t="n"/>
      <c r="G705" s="34" t="n"/>
      <c r="H705" s="30" t="inlineStr">
        <is>
          <t>Oui</t>
        </is>
      </c>
    </row>
    <row r="706">
      <c r="A706" s="31" t="n"/>
      <c r="B706" s="34" t="inlineStr">
        <is>
          <t>Jet de Sable</t>
        </is>
      </c>
      <c r="C706" s="34" t="n"/>
      <c r="D706" s="34" t="n"/>
      <c r="E706" s="34" t="n"/>
      <c r="F706" s="34" t="n"/>
      <c r="G706" s="34" t="n"/>
      <c r="H706" s="30" t="inlineStr">
        <is>
          <t>Oui</t>
        </is>
      </c>
    </row>
    <row r="707">
      <c r="A707" s="31" t="n"/>
      <c r="B707" s="34" t="inlineStr">
        <is>
          <t>Bélier</t>
        </is>
      </c>
      <c r="C707" s="34" t="n"/>
      <c r="D707" s="34" t="n"/>
      <c r="E707" s="34" t="n"/>
      <c r="F707" s="34" t="n"/>
      <c r="G707" s="34" t="n"/>
      <c r="H707" s="30" t="inlineStr">
        <is>
          <t>Oui</t>
        </is>
      </c>
    </row>
    <row r="708" ht="18" customHeight="1">
      <c r="A708" s="26" t="inlineStr">
        <is>
          <t>Rosalia — Arène</t>
        </is>
      </c>
      <c r="B708" s="26" t="n"/>
      <c r="C708" s="26" t="n"/>
      <c r="D708" s="26" t="n"/>
      <c r="E708" s="26" t="n"/>
      <c r="F708" s="26" t="n"/>
      <c r="G708" s="26" t="n"/>
      <c r="H708" s="30" t="inlineStr">
        <is>
          <t>Oui</t>
        </is>
      </c>
    </row>
    <row r="709">
      <c r="A709" s="31" t="inlineStr">
        <is>
          <t>Nom</t>
        </is>
      </c>
      <c r="B709" s="32" t="inlineStr">
        <is>
          <t>Sage Rodolphe</t>
        </is>
      </c>
      <c r="C709" s="32" t="n"/>
      <c r="D709" s="32" t="n"/>
      <c r="E709" s="32" t="n"/>
      <c r="F709" s="32" t="n"/>
      <c r="G709" s="32" t="n"/>
      <c r="H709" s="30" t="inlineStr">
        <is>
          <t>Oui</t>
        </is>
      </c>
    </row>
    <row r="710">
      <c r="A710" s="31" t="inlineStr">
        <is>
          <t>Pokémon</t>
        </is>
      </c>
      <c r="B710" s="33" t="inlineStr">
        <is>
          <t>FANTOMINUS</t>
        </is>
      </c>
      <c r="C710" s="33" t="inlineStr">
        <is>
          <t>SPECTRUM</t>
        </is>
      </c>
      <c r="D710" s="33" t="inlineStr">
        <is>
          <t>CORNEBRE</t>
        </is>
      </c>
      <c r="E710" s="33" t="n"/>
      <c r="F710" s="33" t="n"/>
      <c r="G710" s="33" t="n"/>
      <c r="H710" s="30" t="inlineStr">
        <is>
          <t>Oui</t>
        </is>
      </c>
    </row>
    <row r="711">
      <c r="A711" s="31" t="inlineStr">
        <is>
          <t>Niveau</t>
        </is>
      </c>
      <c r="B711" s="33" t="n">
        <v>21</v>
      </c>
      <c r="C711" s="33" t="n">
        <v>21</v>
      </c>
      <c r="D711" s="33" t="n">
        <v>21</v>
      </c>
      <c r="E711" s="33" t="n"/>
      <c r="F711" s="33" t="n"/>
      <c r="G711" s="33" t="n"/>
      <c r="H711" s="30" t="inlineStr">
        <is>
          <t>Oui</t>
        </is>
      </c>
    </row>
    <row r="712">
      <c r="A712" s="31" t="inlineStr">
        <is>
          <t>Objet</t>
        </is>
      </c>
      <c r="B712" s="33" t="inlineStr">
        <is>
          <t>Aucun</t>
        </is>
      </c>
      <c r="C712" s="33" t="inlineStr">
        <is>
          <t>Aucun</t>
        </is>
      </c>
      <c r="D712" s="33" t="inlineStr">
        <is>
          <t>Aucun</t>
        </is>
      </c>
      <c r="E712" s="33" t="n"/>
      <c r="F712" s="33" t="n"/>
      <c r="G712" s="33" t="n"/>
      <c r="H712" s="30" t="inlineStr">
        <is>
          <t>Oui</t>
        </is>
      </c>
    </row>
    <row r="713">
      <c r="A713" s="31" t="inlineStr">
        <is>
          <t>Talent</t>
        </is>
      </c>
      <c r="B713" s="33" t="inlineStr">
        <is>
          <t>Lévitation</t>
        </is>
      </c>
      <c r="C713" s="33" t="inlineStr">
        <is>
          <t>Lévitation</t>
        </is>
      </c>
      <c r="D713" s="33" t="inlineStr">
        <is>
          <t>Insomnia</t>
        </is>
      </c>
      <c r="E713" s="33" t="n"/>
      <c r="F713" s="33" t="n"/>
      <c r="G713" s="33" t="n"/>
      <c r="H713" s="30" t="inlineStr">
        <is>
          <t>Oui</t>
        </is>
      </c>
    </row>
    <row r="714">
      <c r="A714" s="31" t="inlineStr">
        <is>
          <t>Capacités</t>
        </is>
      </c>
      <c r="B714" s="34" t="inlineStr">
        <is>
          <t>Regard Noir</t>
        </is>
      </c>
      <c r="C714" s="34" t="inlineStr">
        <is>
          <t>Regard Noir</t>
        </is>
      </c>
      <c r="D714" s="34" t="inlineStr">
        <is>
          <t>Poursuite</t>
        </is>
      </c>
      <c r="E714" s="34" t="n"/>
      <c r="F714" s="34" t="n"/>
      <c r="G714" s="34" t="n"/>
      <c r="H714" s="30" t="inlineStr">
        <is>
          <t>Oui</t>
        </is>
      </c>
    </row>
    <row r="715">
      <c r="A715" s="31" t="n"/>
      <c r="B715" s="34" t="inlineStr">
        <is>
          <t>Malédiction</t>
        </is>
      </c>
      <c r="C715" s="34" t="inlineStr">
        <is>
          <t>Malédiction</t>
        </is>
      </c>
      <c r="D715" s="34" t="inlineStr">
        <is>
          <t>Buée Noire</t>
        </is>
      </c>
      <c r="E715" s="34" t="n"/>
      <c r="F715" s="34" t="n"/>
      <c r="G715" s="34" t="n"/>
      <c r="H715" s="30" t="inlineStr">
        <is>
          <t>Oui</t>
        </is>
      </c>
    </row>
    <row r="716">
      <c r="A716" s="31" t="n"/>
      <c r="B716" s="34" t="inlineStr">
        <is>
          <t>Ombre Nocturne</t>
        </is>
      </c>
      <c r="C716" s="34" t="inlineStr">
        <is>
          <t>Ombre Nocturne</t>
        </is>
      </c>
      <c r="D716" s="34" t="inlineStr">
        <is>
          <t>Cru-Ailes</t>
        </is>
      </c>
      <c r="E716" s="34" t="n"/>
      <c r="F716" s="34" t="n"/>
      <c r="G716" s="34" t="n"/>
      <c r="H716" s="30" t="inlineStr">
        <is>
          <t>Oui</t>
        </is>
      </c>
    </row>
    <row r="717">
      <c r="A717" s="31" t="n"/>
      <c r="B717" s="34" t="inlineStr">
        <is>
          <t>Onde Folie</t>
        </is>
      </c>
      <c r="C717" s="34" t="inlineStr">
        <is>
          <t>Onde Folie</t>
        </is>
      </c>
      <c r="D717" s="34" t="inlineStr">
        <is>
          <t>Ombre Nocturne</t>
        </is>
      </c>
      <c r="E717" s="34" t="n"/>
      <c r="F717" s="34" t="n"/>
      <c r="G717" s="34" t="n"/>
      <c r="H717" s="30" t="inlineStr">
        <is>
          <t>Oui</t>
        </is>
      </c>
    </row>
    <row r="718">
      <c r="A718" s="31" t="inlineStr">
        <is>
          <t>Nom</t>
        </is>
      </c>
      <c r="B718" s="32" t="inlineStr">
        <is>
          <t>Sage Lao</t>
        </is>
      </c>
      <c r="C718" s="32" t="n"/>
      <c r="D718" s="32" t="n"/>
      <c r="E718" s="32" t="n"/>
      <c r="F718" s="32" t="n"/>
      <c r="G718" s="32" t="n"/>
      <c r="H718" s="30" t="inlineStr">
        <is>
          <t>Oui</t>
        </is>
      </c>
    </row>
    <row r="719">
      <c r="A719" s="31" t="inlineStr">
        <is>
          <t>Pokémon</t>
        </is>
      </c>
      <c r="B719" s="33" t="inlineStr">
        <is>
          <t>FEUFOREVE</t>
        </is>
      </c>
      <c r="C719" s="33" t="n"/>
      <c r="D719" s="33" t="n"/>
      <c r="E719" s="33" t="n"/>
      <c r="F719" s="33" t="n"/>
      <c r="G719" s="33" t="n"/>
      <c r="H719" s="30" t="inlineStr">
        <is>
          <t>Oui</t>
        </is>
      </c>
    </row>
    <row r="720">
      <c r="A720" s="31" t="inlineStr">
        <is>
          <t>Niveau</t>
        </is>
      </c>
      <c r="B720" s="33" t="n">
        <v>22</v>
      </c>
      <c r="C720" s="33" t="n"/>
      <c r="D720" s="33" t="n"/>
      <c r="E720" s="33" t="n"/>
      <c r="F720" s="33" t="n"/>
      <c r="G720" s="33" t="n"/>
      <c r="H720" s="30" t="inlineStr">
        <is>
          <t>Oui</t>
        </is>
      </c>
    </row>
    <row r="721">
      <c r="A721" s="31" t="inlineStr">
        <is>
          <t>Objet</t>
        </is>
      </c>
      <c r="B721" s="33" t="inlineStr">
        <is>
          <t>Aucun</t>
        </is>
      </c>
      <c r="C721" s="33" t="n"/>
      <c r="D721" s="33" t="n"/>
      <c r="E721" s="33" t="n"/>
      <c r="F721" s="33" t="n"/>
      <c r="G721" s="33" t="n"/>
      <c r="H721" s="30" t="inlineStr">
        <is>
          <t>Oui</t>
        </is>
      </c>
    </row>
    <row r="722">
      <c r="A722" s="31" t="inlineStr">
        <is>
          <t>Talent</t>
        </is>
      </c>
      <c r="B722" s="33" t="inlineStr">
        <is>
          <t>Lévitation</t>
        </is>
      </c>
      <c r="C722" s="33" t="n"/>
      <c r="D722" s="33" t="n"/>
      <c r="E722" s="33" t="n"/>
      <c r="F722" s="33" t="n"/>
      <c r="G722" s="33" t="n"/>
      <c r="H722" s="30" t="inlineStr">
        <is>
          <t>Oui</t>
        </is>
      </c>
    </row>
    <row r="723">
      <c r="A723" s="31" t="inlineStr">
        <is>
          <t>Capacités</t>
        </is>
      </c>
      <c r="B723" s="34" t="inlineStr">
        <is>
          <t>Dépit</t>
        </is>
      </c>
      <c r="C723" s="34" t="n"/>
      <c r="D723" s="34" t="n"/>
      <c r="E723" s="34" t="n"/>
      <c r="F723" s="34" t="n"/>
      <c r="G723" s="34" t="n"/>
      <c r="H723" s="30" t="inlineStr">
        <is>
          <t>Oui</t>
        </is>
      </c>
    </row>
    <row r="724">
      <c r="A724" s="31" t="n"/>
      <c r="B724" s="34" t="inlineStr">
        <is>
          <t>Étonnement</t>
        </is>
      </c>
      <c r="C724" s="34" t="n"/>
      <c r="D724" s="34" t="n"/>
      <c r="E724" s="34" t="n"/>
      <c r="F724" s="34" t="n"/>
      <c r="G724" s="34" t="n"/>
      <c r="H724" s="30" t="inlineStr">
        <is>
          <t>Oui</t>
        </is>
      </c>
    </row>
    <row r="725">
      <c r="A725" s="31" t="n"/>
      <c r="B725" s="34" t="inlineStr">
        <is>
          <t>Onde Folie</t>
        </is>
      </c>
      <c r="C725" s="34" t="n"/>
      <c r="D725" s="34" t="n"/>
      <c r="E725" s="34" t="n"/>
      <c r="F725" s="34" t="n"/>
      <c r="G725" s="34" t="n"/>
      <c r="H725" s="30" t="inlineStr">
        <is>
          <t>Oui</t>
        </is>
      </c>
    </row>
    <row r="726">
      <c r="A726" s="31" t="n"/>
      <c r="B726" s="34" t="inlineStr">
        <is>
          <t>Regard Noir</t>
        </is>
      </c>
      <c r="C726" s="34" t="n"/>
      <c r="D726" s="34" t="n"/>
      <c r="E726" s="34" t="n"/>
      <c r="F726" s="34" t="n"/>
      <c r="G726" s="34" t="n"/>
      <c r="H726" s="30" t="inlineStr">
        <is>
          <t>Oui</t>
        </is>
      </c>
    </row>
    <row r="727">
      <c r="A727" s="31" t="inlineStr">
        <is>
          <t>Nom</t>
        </is>
      </c>
      <c r="B727" s="32" t="inlineStr">
        <is>
          <t>Mystimaniac Marthe</t>
        </is>
      </c>
      <c r="C727" s="32" t="n"/>
      <c r="D727" s="32" t="n"/>
      <c r="E727" s="32" t="n"/>
      <c r="F727" s="32" t="n"/>
      <c r="G727" s="32" t="n"/>
      <c r="H727" s="30" t="inlineStr">
        <is>
          <t>Oui</t>
        </is>
      </c>
    </row>
    <row r="728">
      <c r="A728" s="31" t="inlineStr">
        <is>
          <t>Pokémon</t>
        </is>
      </c>
      <c r="B728" s="33" t="inlineStr">
        <is>
          <t>SPECTRUM</t>
        </is>
      </c>
      <c r="C728" s="33" t="inlineStr">
        <is>
          <t>MALOSSE</t>
        </is>
      </c>
      <c r="D728" s="33" t="n"/>
      <c r="E728" s="33" t="n"/>
      <c r="F728" s="33" t="n"/>
      <c r="G728" s="33" t="n"/>
      <c r="H728" s="30" t="inlineStr">
        <is>
          <t>Oui</t>
        </is>
      </c>
    </row>
    <row r="729">
      <c r="A729" s="31" t="inlineStr">
        <is>
          <t>Niveau</t>
        </is>
      </c>
      <c r="B729" s="33" t="n">
        <v>20</v>
      </c>
      <c r="C729" s="33" t="n">
        <v>20</v>
      </c>
      <c r="D729" s="33" t="n"/>
      <c r="E729" s="33" t="n"/>
      <c r="F729" s="33" t="n"/>
      <c r="G729" s="33" t="n"/>
      <c r="H729" s="30" t="inlineStr">
        <is>
          <t>Oui</t>
        </is>
      </c>
    </row>
    <row r="730">
      <c r="A730" s="31" t="inlineStr">
        <is>
          <t>Objet</t>
        </is>
      </c>
      <c r="B730" s="33" t="inlineStr">
        <is>
          <t>Aucun</t>
        </is>
      </c>
      <c r="C730" s="33" t="inlineStr">
        <is>
          <t>Aucun</t>
        </is>
      </c>
      <c r="D730" s="33" t="n"/>
      <c r="E730" s="33" t="n"/>
      <c r="F730" s="33" t="n"/>
      <c r="G730" s="33" t="n"/>
      <c r="H730" s="30" t="inlineStr">
        <is>
          <t>Oui</t>
        </is>
      </c>
    </row>
    <row r="731">
      <c r="A731" s="31" t="inlineStr">
        <is>
          <t>Talent</t>
        </is>
      </c>
      <c r="B731" s="33" t="inlineStr">
        <is>
          <t>Lévitation</t>
        </is>
      </c>
      <c r="C731" s="33" t="inlineStr">
        <is>
          <t>Matinal</t>
        </is>
      </c>
      <c r="D731" s="33" t="n"/>
      <c r="E731" s="33" t="n"/>
      <c r="F731" s="33" t="n"/>
      <c r="G731" s="33" t="n"/>
      <c r="H731" s="30" t="inlineStr">
        <is>
          <t>Oui</t>
        </is>
      </c>
    </row>
    <row r="732">
      <c r="A732" s="31" t="inlineStr">
        <is>
          <t>Capacités</t>
        </is>
      </c>
      <c r="B732" s="34" t="inlineStr">
        <is>
          <t>Regard Noir</t>
        </is>
      </c>
      <c r="C732" s="34" t="inlineStr">
        <is>
          <t>Purédpois</t>
        </is>
      </c>
      <c r="D732" s="34" t="n"/>
      <c r="E732" s="34" t="n"/>
      <c r="F732" s="34" t="n"/>
      <c r="G732" s="34" t="n"/>
      <c r="H732" s="30" t="inlineStr">
        <is>
          <t>Oui</t>
        </is>
      </c>
    </row>
    <row r="733">
      <c r="A733" s="31" t="n"/>
      <c r="B733" s="34" t="inlineStr">
        <is>
          <t>Malédiction</t>
        </is>
      </c>
      <c r="C733" s="34" t="inlineStr">
        <is>
          <t>Hurlement</t>
        </is>
      </c>
      <c r="D733" s="34" t="n"/>
      <c r="E733" s="34" t="n"/>
      <c r="F733" s="34" t="n"/>
      <c r="G733" s="34" t="n"/>
      <c r="H733" s="30" t="inlineStr">
        <is>
          <t>Oui</t>
        </is>
      </c>
    </row>
    <row r="734">
      <c r="A734" s="31" t="n"/>
      <c r="B734" s="34" t="inlineStr">
        <is>
          <t>Ombre Nocturne</t>
        </is>
      </c>
      <c r="C734" s="34" t="inlineStr">
        <is>
          <t>Morsure</t>
        </is>
      </c>
      <c r="D734" s="34" t="n"/>
      <c r="E734" s="34" t="n"/>
      <c r="F734" s="34" t="n"/>
      <c r="G734" s="34" t="n"/>
      <c r="H734" s="30" t="inlineStr">
        <is>
          <t>Oui</t>
        </is>
      </c>
    </row>
    <row r="735">
      <c r="A735" s="31" t="n"/>
      <c r="B735" s="34" t="inlineStr">
        <is>
          <t>Onde Folie</t>
        </is>
      </c>
      <c r="C735" s="34" t="inlineStr">
        <is>
          <t>Flair</t>
        </is>
      </c>
      <c r="D735" s="34" t="n"/>
      <c r="E735" s="34" t="n"/>
      <c r="F735" s="34" t="n"/>
      <c r="G735" s="34" t="n"/>
      <c r="H735" s="30" t="inlineStr">
        <is>
          <t>Oui</t>
        </is>
      </c>
    </row>
    <row r="736">
      <c r="A736" s="31" t="inlineStr">
        <is>
          <t>Nom</t>
        </is>
      </c>
      <c r="B736" s="32" t="inlineStr">
        <is>
          <t>Mystimaniac Rika</t>
        </is>
      </c>
      <c r="C736" s="32" t="n"/>
      <c r="D736" s="32" t="n"/>
      <c r="E736" s="32" t="n"/>
      <c r="F736" s="32" t="n"/>
      <c r="G736" s="32" t="n"/>
      <c r="H736" s="30" t="inlineStr">
        <is>
          <t>Oui</t>
        </is>
      </c>
    </row>
    <row r="737">
      <c r="A737" s="31" t="inlineStr">
        <is>
          <t>Pokémon</t>
        </is>
      </c>
      <c r="B737" s="33" t="inlineStr">
        <is>
          <t>SPECTRUM</t>
        </is>
      </c>
      <c r="C737" s="33" t="inlineStr">
        <is>
          <t>CORNEBRE</t>
        </is>
      </c>
      <c r="D737" s="33" t="n"/>
      <c r="E737" s="33" t="n"/>
      <c r="F737" s="33" t="n"/>
      <c r="G737" s="33" t="n"/>
      <c r="H737" s="30" t="inlineStr">
        <is>
          <t>Oui</t>
        </is>
      </c>
    </row>
    <row r="738">
      <c r="A738" s="31" t="inlineStr">
        <is>
          <t>Niveau</t>
        </is>
      </c>
      <c r="B738" s="33" t="n">
        <v>20</v>
      </c>
      <c r="C738" s="33" t="n">
        <v>20</v>
      </c>
      <c r="D738" s="33" t="n"/>
      <c r="E738" s="33" t="n"/>
      <c r="F738" s="33" t="n"/>
      <c r="G738" s="33" t="n"/>
      <c r="H738" s="30" t="inlineStr">
        <is>
          <t>Oui</t>
        </is>
      </c>
    </row>
    <row r="739">
      <c r="A739" s="31" t="inlineStr">
        <is>
          <t>Objet</t>
        </is>
      </c>
      <c r="B739" s="33" t="inlineStr">
        <is>
          <t>Aucun</t>
        </is>
      </c>
      <c r="C739" s="33" t="inlineStr">
        <is>
          <t>Aucun</t>
        </is>
      </c>
      <c r="D739" s="33" t="n"/>
      <c r="E739" s="33" t="n"/>
      <c r="F739" s="33" t="n"/>
      <c r="G739" s="33" t="n"/>
      <c r="H739" s="30" t="inlineStr">
        <is>
          <t>Oui</t>
        </is>
      </c>
    </row>
    <row r="740">
      <c r="A740" s="31" t="inlineStr">
        <is>
          <t>Talent</t>
        </is>
      </c>
      <c r="B740" s="33" t="inlineStr">
        <is>
          <t>Lévitation</t>
        </is>
      </c>
      <c r="C740" s="33" t="inlineStr">
        <is>
          <t>Insomnia</t>
        </is>
      </c>
      <c r="D740" s="33" t="n"/>
      <c r="E740" s="33" t="n"/>
      <c r="F740" s="33" t="n"/>
      <c r="G740" s="33" t="n"/>
      <c r="H740" s="30" t="inlineStr">
        <is>
          <t>Oui</t>
        </is>
      </c>
    </row>
    <row r="741">
      <c r="A741" s="31" t="inlineStr">
        <is>
          <t>Capacités</t>
        </is>
      </c>
      <c r="B741" s="34" t="inlineStr">
        <is>
          <t>Regard Noir</t>
        </is>
      </c>
      <c r="C741" s="34" t="inlineStr">
        <is>
          <t>Étonnement</t>
        </is>
      </c>
      <c r="D741" s="34" t="n"/>
      <c r="E741" s="34" t="n"/>
      <c r="F741" s="34" t="n"/>
      <c r="G741" s="34" t="n"/>
      <c r="H741" s="30" t="inlineStr">
        <is>
          <t>Oui</t>
        </is>
      </c>
    </row>
    <row r="742">
      <c r="A742" s="31" t="n"/>
      <c r="B742" s="34" t="inlineStr">
        <is>
          <t>Malédiction</t>
        </is>
      </c>
      <c r="C742" s="34" t="inlineStr">
        <is>
          <t>Poursuite</t>
        </is>
      </c>
      <c r="D742" s="34" t="n"/>
      <c r="E742" s="34" t="n"/>
      <c r="F742" s="34" t="n"/>
      <c r="G742" s="34" t="n"/>
      <c r="H742" s="30" t="inlineStr">
        <is>
          <t>Oui</t>
        </is>
      </c>
    </row>
    <row r="743">
      <c r="A743" s="31" t="n"/>
      <c r="B743" s="34" t="inlineStr">
        <is>
          <t>Ombre Nocturne</t>
        </is>
      </c>
      <c r="C743" s="34" t="inlineStr">
        <is>
          <t>Buée Noire</t>
        </is>
      </c>
      <c r="D743" s="34" t="n"/>
      <c r="E743" s="34" t="n"/>
      <c r="F743" s="34" t="n"/>
      <c r="G743" s="34" t="n"/>
      <c r="H743" s="30" t="inlineStr">
        <is>
          <t>Oui</t>
        </is>
      </c>
    </row>
    <row r="744">
      <c r="A744" s="31" t="n"/>
      <c r="B744" s="34" t="inlineStr">
        <is>
          <t>Onde Folie</t>
        </is>
      </c>
      <c r="C744" s="34" t="inlineStr">
        <is>
          <t>Cru-Ailes</t>
        </is>
      </c>
      <c r="D744" s="34" t="n"/>
      <c r="E744" s="34" t="n"/>
      <c r="F744" s="34" t="n"/>
      <c r="G744" s="34" t="n"/>
      <c r="H744" s="30" t="inlineStr">
        <is>
          <t>Oui</t>
        </is>
      </c>
    </row>
    <row r="745">
      <c r="A745" s="31" t="inlineStr">
        <is>
          <t>Nom</t>
        </is>
      </c>
      <c r="B745" s="32" t="inlineStr">
        <is>
          <t>Champion Mortimer</t>
        </is>
      </c>
      <c r="C745" s="32" t="n"/>
      <c r="D745" s="32" t="n"/>
      <c r="E745" s="32" t="n"/>
      <c r="F745" s="32" t="n"/>
      <c r="G745" s="32" t="n"/>
      <c r="H745" s="30" t="inlineStr">
        <is>
          <t>Oui</t>
        </is>
      </c>
    </row>
    <row r="746">
      <c r="A746" s="31" t="inlineStr">
        <is>
          <t>Pokémon</t>
        </is>
      </c>
      <c r="B746" s="33" t="inlineStr">
        <is>
          <t>SPECTRUM</t>
        </is>
      </c>
      <c r="C746" s="33" t="inlineStr">
        <is>
          <t>CERFROUSSE</t>
        </is>
      </c>
      <c r="D746" s="33" t="inlineStr">
        <is>
          <t>FEUFOREVE</t>
        </is>
      </c>
      <c r="E746" s="33" t="inlineStr">
        <is>
          <t>ECTOPLASMA</t>
        </is>
      </c>
      <c r="F746" s="33" t="n"/>
      <c r="G746" s="33" t="n"/>
      <c r="H746" s="30" t="inlineStr">
        <is>
          <t>Oui</t>
        </is>
      </c>
    </row>
    <row r="747">
      <c r="A747" s="31" t="inlineStr">
        <is>
          <t>Niveau</t>
        </is>
      </c>
      <c r="B747" s="33" t="n">
        <v>24</v>
      </c>
      <c r="C747" s="33" t="n">
        <v>23</v>
      </c>
      <c r="D747" s="33" t="n">
        <v>24</v>
      </c>
      <c r="E747" s="33" t="n">
        <v>25</v>
      </c>
      <c r="F747" s="33" t="n"/>
      <c r="G747" s="33" t="n"/>
      <c r="H747" s="30" t="inlineStr">
        <is>
          <t>Oui</t>
        </is>
      </c>
    </row>
    <row r="748">
      <c r="A748" s="31" t="inlineStr">
        <is>
          <t>Objet</t>
        </is>
      </c>
      <c r="B748" s="33" t="inlineStr">
        <is>
          <t>Aucun</t>
        </is>
      </c>
      <c r="C748" s="33" t="inlineStr">
        <is>
          <t>Aucun</t>
        </is>
      </c>
      <c r="D748" s="33" t="inlineStr">
        <is>
          <t>Aucun</t>
        </is>
      </c>
      <c r="E748" s="33" t="inlineStr">
        <is>
          <t>Baie Sitrus</t>
        </is>
      </c>
      <c r="F748" s="33" t="n"/>
      <c r="G748" s="33" t="n"/>
      <c r="H748" s="30" t="inlineStr">
        <is>
          <t>Oui</t>
        </is>
      </c>
    </row>
    <row r="749">
      <c r="A749" s="31" t="inlineStr">
        <is>
          <t>Talent</t>
        </is>
      </c>
      <c r="B749" s="33" t="inlineStr">
        <is>
          <t>Lévitation</t>
        </is>
      </c>
      <c r="C749" s="33" t="inlineStr">
        <is>
          <t>Intimidation</t>
        </is>
      </c>
      <c r="D749" s="33" t="inlineStr">
        <is>
          <t>Lévitation</t>
        </is>
      </c>
      <c r="E749" s="33" t="inlineStr">
        <is>
          <t>Lévitation</t>
        </is>
      </c>
      <c r="F749" s="33" t="n"/>
      <c r="G749" s="33" t="n"/>
      <c r="H749" s="30" t="inlineStr">
        <is>
          <t>Oui</t>
        </is>
      </c>
    </row>
    <row r="750">
      <c r="A750" s="31" t="inlineStr">
        <is>
          <t>Capacités</t>
        </is>
      </c>
      <c r="B750" s="34" t="inlineStr">
        <is>
          <t>Hypnose</t>
        </is>
      </c>
      <c r="C750" s="34" t="inlineStr">
        <is>
          <t>Météores</t>
        </is>
      </c>
      <c r="D750" s="34" t="inlineStr">
        <is>
          <t>Ball'Ombre</t>
        </is>
      </c>
      <c r="E750" s="34" t="inlineStr">
        <is>
          <t>Hypnose</t>
        </is>
      </c>
      <c r="F750" s="34" t="n"/>
      <c r="G750" s="34" t="n"/>
      <c r="H750" s="30" t="inlineStr">
        <is>
          <t>Oui</t>
        </is>
      </c>
    </row>
    <row r="751">
      <c r="A751" s="31" t="n"/>
      <c r="B751" s="34" t="inlineStr">
        <is>
          <t>Cauchemar</t>
        </is>
      </c>
      <c r="C751" s="34" t="inlineStr">
        <is>
          <t>Hypnose</t>
        </is>
      </c>
      <c r="D751" s="34" t="inlineStr">
        <is>
          <t>Balance</t>
        </is>
      </c>
      <c r="E751" s="34" t="inlineStr">
        <is>
          <t>Ball'Ombre</t>
        </is>
      </c>
      <c r="F751" s="34" t="n"/>
      <c r="G751" s="34" t="n"/>
      <c r="H751" s="30" t="inlineStr">
        <is>
          <t>Oui</t>
        </is>
      </c>
    </row>
    <row r="752">
      <c r="A752" s="31" t="n"/>
      <c r="B752" s="34" t="inlineStr">
        <is>
          <t>Malédiction</t>
        </is>
      </c>
      <c r="C752" s="34" t="inlineStr">
        <is>
          <t>Cauchemar</t>
        </is>
      </c>
      <c r="D752" s="34" t="inlineStr">
        <is>
          <t>Requiem</t>
        </is>
      </c>
      <c r="E752" s="34" t="inlineStr">
        <is>
          <t>Regard Noir</t>
        </is>
      </c>
      <c r="F752" s="34" t="n"/>
      <c r="G752" s="34" t="n"/>
      <c r="H752" s="30" t="inlineStr">
        <is>
          <t>Oui</t>
        </is>
      </c>
    </row>
    <row r="753">
      <c r="A753" s="31" t="n"/>
      <c r="B753" s="34" t="inlineStr">
        <is>
          <t>Ombre Nocturne</t>
        </is>
      </c>
      <c r="C753" s="34" t="inlineStr">
        <is>
          <t>Groz'Yeux</t>
        </is>
      </c>
      <c r="D753" s="34" t="inlineStr">
        <is>
          <t>Vague Psy</t>
        </is>
      </c>
      <c r="E753" s="34" t="inlineStr">
        <is>
          <t>Dévorêve</t>
        </is>
      </c>
      <c r="F753" s="34" t="n"/>
      <c r="G753" s="34" t="n"/>
      <c r="H753" s="30" t="inlineStr">
        <is>
          <t>Oui</t>
        </is>
      </c>
    </row>
    <row r="754" ht="18" customHeight="1">
      <c r="A754" s="26" t="inlineStr">
        <is>
          <t>Rosalia — Théâtre</t>
        </is>
      </c>
      <c r="B754" s="26" t="n"/>
      <c r="C754" s="26" t="n"/>
      <c r="D754" s="26" t="n"/>
      <c r="E754" s="26" t="n"/>
      <c r="F754" s="26" t="n"/>
      <c r="G754" s="26" t="n"/>
      <c r="H754" s="30" t="inlineStr">
        <is>
          <t>Oui</t>
        </is>
      </c>
    </row>
    <row r="755">
      <c r="A755" s="31" t="inlineStr">
        <is>
          <t>Nom</t>
        </is>
      </c>
      <c r="B755" s="32" t="inlineStr">
        <is>
          <t>Rocket Sbire</t>
        </is>
      </c>
      <c r="C755" s="32" t="n"/>
      <c r="D755" s="32" t="n"/>
      <c r="E755" s="32" t="n"/>
      <c r="F755" s="32" t="n"/>
      <c r="G755" s="32" t="n"/>
      <c r="H755" s="30" t="inlineStr">
        <is>
          <t>Oui</t>
        </is>
      </c>
    </row>
    <row r="756">
      <c r="A756" s="31" t="inlineStr">
        <is>
          <t>Pokémon</t>
        </is>
      </c>
      <c r="B756" s="33" t="inlineStr">
        <is>
          <t>SMOGO</t>
        </is>
      </c>
      <c r="C756" s="33" t="n"/>
      <c r="D756" s="33" t="n"/>
      <c r="E756" s="33" t="n"/>
      <c r="F756" s="33" t="n"/>
      <c r="G756" s="33" t="n"/>
      <c r="H756" s="30" t="inlineStr">
        <is>
          <t>Oui</t>
        </is>
      </c>
    </row>
    <row r="757">
      <c r="A757" s="31" t="inlineStr">
        <is>
          <t>Niveau</t>
        </is>
      </c>
      <c r="B757" s="33" t="n">
        <v>20</v>
      </c>
      <c r="C757" s="33" t="n"/>
      <c r="D757" s="33" t="n"/>
      <c r="E757" s="33" t="n"/>
      <c r="F757" s="33" t="n"/>
      <c r="G757" s="33" t="n"/>
      <c r="H757" s="30" t="inlineStr">
        <is>
          <t>Oui</t>
        </is>
      </c>
    </row>
    <row r="758">
      <c r="A758" s="31" t="inlineStr">
        <is>
          <t>Objet</t>
        </is>
      </c>
      <c r="B758" s="33" t="inlineStr">
        <is>
          <t>Aucun</t>
        </is>
      </c>
      <c r="C758" s="33" t="n"/>
      <c r="D758" s="33" t="n"/>
      <c r="E758" s="33" t="n"/>
      <c r="F758" s="33" t="n"/>
      <c r="G758" s="33" t="n"/>
      <c r="H758" s="30" t="inlineStr">
        <is>
          <t>Oui</t>
        </is>
      </c>
    </row>
    <row r="759">
      <c r="A759" s="31" t="inlineStr">
        <is>
          <t>Talent</t>
        </is>
      </c>
      <c r="B759" s="33" t="inlineStr">
        <is>
          <t>Lévitation</t>
        </is>
      </c>
      <c r="C759" s="33" t="n"/>
      <c r="D759" s="33" t="n"/>
      <c r="E759" s="33" t="n"/>
      <c r="F759" s="33" t="n"/>
      <c r="G759" s="33" t="n"/>
      <c r="H759" s="30" t="inlineStr">
        <is>
          <t>Oui</t>
        </is>
      </c>
    </row>
    <row r="760">
      <c r="A760" s="31" t="inlineStr">
        <is>
          <t>Capacités</t>
        </is>
      </c>
      <c r="B760" s="34" t="inlineStr">
        <is>
          <t>Brouillard</t>
        </is>
      </c>
      <c r="C760" s="34" t="n"/>
      <c r="D760" s="34" t="n"/>
      <c r="E760" s="34" t="n"/>
      <c r="F760" s="34" t="n"/>
      <c r="G760" s="34" t="n"/>
      <c r="H760" s="30" t="inlineStr">
        <is>
          <t>Oui</t>
        </is>
      </c>
    </row>
    <row r="761">
      <c r="A761" s="31" t="n"/>
      <c r="B761" s="34" t="inlineStr">
        <is>
          <t>Assurance</t>
        </is>
      </c>
      <c r="C761" s="34" t="n"/>
      <c r="D761" s="34" t="n"/>
      <c r="E761" s="34" t="n"/>
      <c r="F761" s="34" t="n"/>
      <c r="G761" s="34" t="n"/>
      <c r="H761" s="30" t="inlineStr">
        <is>
          <t>Oui</t>
        </is>
      </c>
    </row>
    <row r="762">
      <c r="A762" s="31" t="n"/>
      <c r="B762" s="34" t="inlineStr">
        <is>
          <t>Bain de Smog</t>
        </is>
      </c>
      <c r="C762" s="34" t="n"/>
      <c r="D762" s="34" t="n"/>
      <c r="E762" s="34" t="n"/>
      <c r="F762" s="34" t="n"/>
      <c r="G762" s="34" t="n"/>
      <c r="H762" s="30" t="inlineStr">
        <is>
          <t>Oui</t>
        </is>
      </c>
    </row>
    <row r="763">
      <c r="A763" s="31" t="n"/>
      <c r="B763" s="34" t="inlineStr">
        <is>
          <t>Détritus</t>
        </is>
      </c>
      <c r="C763" s="34" t="n"/>
      <c r="D763" s="34" t="n"/>
      <c r="E763" s="34" t="n"/>
      <c r="F763" s="34" t="n"/>
      <c r="G763" s="34" t="n"/>
      <c r="H763" s="30" t="inlineStr">
        <is>
          <t>Oui</t>
        </is>
      </c>
    </row>
    <row r="764" ht="18" customHeight="1">
      <c r="A764" s="26" t="inlineStr">
        <is>
          <t>Tour Cendrée — 1F</t>
        </is>
      </c>
      <c r="B764" s="26" t="n"/>
      <c r="C764" s="26" t="n"/>
      <c r="D764" s="26" t="n"/>
      <c r="E764" s="26" t="n"/>
      <c r="F764" s="26" t="n"/>
      <c r="G764" s="26" t="n"/>
      <c r="H764" s="30" t="inlineStr">
        <is>
          <t>Oui</t>
        </is>
      </c>
    </row>
    <row r="765">
      <c r="A765" s="31" t="inlineStr">
        <is>
          <t>Nom</t>
        </is>
      </c>
      <c r="B765" s="32" t="inlineStr">
        <is>
          <t>Rival (si vous avez choisi GERMIGNON)</t>
        </is>
      </c>
      <c r="C765" s="32" t="n"/>
      <c r="D765" s="32" t="n"/>
      <c r="E765" s="32" t="n"/>
      <c r="F765" s="32" t="n"/>
      <c r="G765" s="32" t="n"/>
      <c r="H765" s="30">
        <f>IF(OR($B$1="Tous",$B$1="GERMIGNON"),"Oui","Non")</f>
        <v/>
      </c>
    </row>
    <row r="766">
      <c r="A766" s="31" t="inlineStr">
        <is>
          <t>Pokémon</t>
        </is>
      </c>
      <c r="B766" s="33" t="inlineStr">
        <is>
          <t>EMBRYLEX</t>
        </is>
      </c>
      <c r="C766" s="33" t="inlineStr">
        <is>
          <t>BOUSTIFLOR</t>
        </is>
      </c>
      <c r="D766" s="33" t="inlineStr">
        <is>
          <t>NOSFERALTO</t>
        </is>
      </c>
      <c r="E766" s="33" t="inlineStr">
        <is>
          <t>FEURISSON</t>
        </is>
      </c>
      <c r="F766" s="33" t="n"/>
      <c r="G766" s="33" t="n"/>
      <c r="H766" s="30">
        <f>IF(OR($B$1="Tous",$B$1="GERMIGNON"),"Oui","Non")</f>
        <v/>
      </c>
    </row>
    <row r="767">
      <c r="A767" s="31" t="inlineStr">
        <is>
          <t>Niveau</t>
        </is>
      </c>
      <c r="B767" s="33" t="n">
        <v>22</v>
      </c>
      <c r="C767" s="33" t="n">
        <v>23</v>
      </c>
      <c r="D767" s="33" t="n">
        <v>22</v>
      </c>
      <c r="E767" s="33" t="n">
        <v>24</v>
      </c>
      <c r="F767" s="33" t="n"/>
      <c r="G767" s="33" t="n"/>
      <c r="H767" s="30">
        <f>IF(OR($B$1="Tous",$B$1="GERMIGNON"),"Oui","Non")</f>
        <v/>
      </c>
    </row>
    <row r="768">
      <c r="A768" s="31" t="inlineStr">
        <is>
          <t>Objet</t>
        </is>
      </c>
      <c r="B768" s="33" t="inlineStr">
        <is>
          <t>Aucun</t>
        </is>
      </c>
      <c r="C768" s="33" t="inlineStr">
        <is>
          <t>Aucun</t>
        </is>
      </c>
      <c r="D768" s="33" t="inlineStr">
        <is>
          <t>Aucun</t>
        </is>
      </c>
      <c r="E768" s="33" t="inlineStr">
        <is>
          <t>Aucun</t>
        </is>
      </c>
      <c r="F768" s="33" t="n"/>
      <c r="G768" s="33" t="n"/>
      <c r="H768" s="30">
        <f>IF(OR($B$1="Tous",$B$1="GERMIGNON"),"Oui","Non")</f>
        <v/>
      </c>
    </row>
    <row r="769">
      <c r="A769" s="31" t="inlineStr">
        <is>
          <t>Talent</t>
        </is>
      </c>
      <c r="B769" s="33" t="inlineStr">
        <is>
          <t>Cran</t>
        </is>
      </c>
      <c r="C769" s="33" t="inlineStr">
        <is>
          <t>Chlorophylle</t>
        </is>
      </c>
      <c r="D769" s="33" t="inlineStr">
        <is>
          <t>Attention</t>
        </is>
      </c>
      <c r="E769" s="33" t="inlineStr">
        <is>
          <t>Brasier</t>
        </is>
      </c>
      <c r="F769" s="33" t="n"/>
      <c r="G769" s="33" t="n"/>
      <c r="H769" s="30">
        <f>IF(OR($B$1="Tous",$B$1="GERMIGNON"),"Oui","Non")</f>
        <v/>
      </c>
    </row>
    <row r="770">
      <c r="A770" s="31" t="inlineStr">
        <is>
          <t>Capacités</t>
        </is>
      </c>
      <c r="B770" s="34" t="inlineStr">
        <is>
          <t>Morsure</t>
        </is>
      </c>
      <c r="C770" s="34" t="inlineStr">
        <is>
          <t>Tranch'Herbe</t>
        </is>
      </c>
      <c r="D770" s="34" t="inlineStr">
        <is>
          <t>Morsure</t>
        </is>
      </c>
      <c r="E770" s="34" t="inlineStr">
        <is>
          <t>Roue de Feu</t>
        </is>
      </c>
      <c r="F770" s="34" t="n"/>
      <c r="G770" s="34" t="n"/>
      <c r="H770" s="30">
        <f>IF(OR($B$1="Tous",$B$1="GERMIGNON"),"Oui","Non")</f>
        <v/>
      </c>
    </row>
    <row r="771">
      <c r="A771" s="31" t="n"/>
      <c r="B771" s="34" t="inlineStr">
        <is>
          <t>Jet-Pierres</t>
        </is>
      </c>
      <c r="C771" s="34" t="inlineStr">
        <is>
          <t>Croissance</t>
        </is>
      </c>
      <c r="D771" s="34" t="inlineStr">
        <is>
          <t>Onde Folie</t>
        </is>
      </c>
      <c r="E771" s="34" t="inlineStr">
        <is>
          <t>Tunnel</t>
        </is>
      </c>
      <c r="F771" s="34" t="n"/>
      <c r="G771" s="34" t="n"/>
      <c r="H771" s="30">
        <f>IF(OR($B$1="Tous",$B$1="GERMIGNON"),"Oui","Non")</f>
        <v/>
      </c>
    </row>
    <row r="772">
      <c r="A772" s="31" t="n"/>
      <c r="B772" s="34" t="inlineStr">
        <is>
          <t>Grincement</t>
        </is>
      </c>
      <c r="C772" s="34" t="inlineStr">
        <is>
          <t>Poudre Dodo</t>
        </is>
      </c>
      <c r="D772" s="34" t="inlineStr">
        <is>
          <t>Dard-Venin</t>
        </is>
      </c>
      <c r="E772" s="34" t="inlineStr">
        <is>
          <t>Vive-Attaque</t>
        </is>
      </c>
      <c r="F772" s="34" t="n"/>
      <c r="G772" s="34" t="n"/>
      <c r="H772" s="30">
        <f>IF(OR($B$1="Tous",$B$1="GERMIGNON"),"Oui","Non")</f>
        <v/>
      </c>
    </row>
    <row r="773">
      <c r="A773" s="31" t="n"/>
      <c r="B773" s="34" t="inlineStr">
        <is>
          <t>Tempête de Sable</t>
        </is>
      </c>
      <c r="C773" s="34" t="inlineStr">
        <is>
          <t>Para-Spore</t>
        </is>
      </c>
      <c r="D773" s="34" t="inlineStr">
        <is>
          <t>Tranch'Air</t>
        </is>
      </c>
      <c r="E773" s="34" t="inlineStr">
        <is>
          <t>Brouillard</t>
        </is>
      </c>
      <c r="F773" s="34" t="n"/>
      <c r="G773" s="34" t="n"/>
      <c r="H773" s="30">
        <f>IF(OR($B$1="Tous",$B$1="GERMIGNON"),"Oui","Non")</f>
        <v/>
      </c>
    </row>
    <row r="774">
      <c r="A774" s="31" t="inlineStr">
        <is>
          <t>Nom</t>
        </is>
      </c>
      <c r="B774" s="32" t="inlineStr">
        <is>
          <t>Rival (si vous avez choisi HERICENDRE)</t>
        </is>
      </c>
      <c r="C774" s="32" t="n"/>
      <c r="D774" s="32" t="n"/>
      <c r="E774" s="32" t="n"/>
      <c r="F774" s="32" t="n"/>
      <c r="G774" s="32" t="n"/>
      <c r="H774" s="30">
        <f>IF(OR($B$1="Tous",$B$1="HERICENDRE"),"Oui","Non")</f>
        <v/>
      </c>
    </row>
    <row r="775">
      <c r="A775" s="31" t="inlineStr">
        <is>
          <t>Pokémon</t>
        </is>
      </c>
      <c r="B775" s="33" t="inlineStr">
        <is>
          <t>EMBRYLEX</t>
        </is>
      </c>
      <c r="C775" s="33" t="inlineStr">
        <is>
          <t>MALOSSE</t>
        </is>
      </c>
      <c r="D775" s="33" t="inlineStr">
        <is>
          <t>NOSFERALTO</t>
        </is>
      </c>
      <c r="E775" s="33" t="inlineStr">
        <is>
          <t>CROCRODIL</t>
        </is>
      </c>
      <c r="F775" s="33" t="n"/>
      <c r="G775" s="33" t="n"/>
      <c r="H775" s="30">
        <f>IF(OR($B$1="Tous",$B$1="HERICENDRE"),"Oui","Non")</f>
        <v/>
      </c>
    </row>
    <row r="776">
      <c r="A776" s="31" t="inlineStr">
        <is>
          <t>Niveau</t>
        </is>
      </c>
      <c r="B776" s="33" t="n">
        <v>22</v>
      </c>
      <c r="C776" s="33" t="n">
        <v>23</v>
      </c>
      <c r="D776" s="33" t="n">
        <v>22</v>
      </c>
      <c r="E776" s="33" t="n">
        <v>24</v>
      </c>
      <c r="F776" s="33" t="n"/>
      <c r="G776" s="33" t="n"/>
      <c r="H776" s="30">
        <f>IF(OR($B$1="Tous",$B$1="HERICENDRE"),"Oui","Non")</f>
        <v/>
      </c>
    </row>
    <row r="777">
      <c r="A777" s="31" t="inlineStr">
        <is>
          <t>Objet</t>
        </is>
      </c>
      <c r="B777" s="33" t="inlineStr">
        <is>
          <t>Aucun</t>
        </is>
      </c>
      <c r="C777" s="33" t="inlineStr">
        <is>
          <t>Aucun</t>
        </is>
      </c>
      <c r="D777" s="33" t="inlineStr">
        <is>
          <t>Aucun</t>
        </is>
      </c>
      <c r="E777" s="33" t="inlineStr">
        <is>
          <t>Aucun</t>
        </is>
      </c>
      <c r="F777" s="33" t="n"/>
      <c r="G777" s="33" t="n"/>
      <c r="H777" s="30">
        <f>IF(OR($B$1="Tous",$B$1="HERICENDRE"),"Oui","Non")</f>
        <v/>
      </c>
    </row>
    <row r="778">
      <c r="A778" s="31" t="inlineStr">
        <is>
          <t>Talent</t>
        </is>
      </c>
      <c r="B778" s="33" t="inlineStr">
        <is>
          <t>Cran</t>
        </is>
      </c>
      <c r="C778" s="33" t="inlineStr">
        <is>
          <t>Matinal</t>
        </is>
      </c>
      <c r="D778" s="33" t="inlineStr">
        <is>
          <t>Attention</t>
        </is>
      </c>
      <c r="E778" s="33" t="inlineStr">
        <is>
          <t>Torrent</t>
        </is>
      </c>
      <c r="F778" s="33" t="n"/>
      <c r="G778" s="33" t="n"/>
      <c r="H778" s="30">
        <f>IF(OR($B$1="Tous",$B$1="HERICENDRE"),"Oui","Non")</f>
        <v/>
      </c>
    </row>
    <row r="779">
      <c r="A779" s="31" t="inlineStr">
        <is>
          <t>Capacités</t>
        </is>
      </c>
      <c r="B779" s="34" t="inlineStr">
        <is>
          <t>Morsure</t>
        </is>
      </c>
      <c r="C779" s="34" t="inlineStr">
        <is>
          <t>Flammèche</t>
        </is>
      </c>
      <c r="D779" s="34" t="inlineStr">
        <is>
          <t>Morsure</t>
        </is>
      </c>
      <c r="E779" s="34" t="inlineStr">
        <is>
          <t>Morsure</t>
        </is>
      </c>
      <c r="F779" s="34" t="n"/>
      <c r="G779" s="34" t="n"/>
      <c r="H779" s="30">
        <f>IF(OR($B$1="Tous",$B$1="HERICENDRE"),"Oui","Non")</f>
        <v/>
      </c>
    </row>
    <row r="780">
      <c r="A780" s="31" t="n"/>
      <c r="B780" s="34" t="inlineStr">
        <is>
          <t>Jet-Pierres</t>
        </is>
      </c>
      <c r="C780" s="34" t="inlineStr">
        <is>
          <t>Morsure</t>
        </is>
      </c>
      <c r="D780" s="34" t="inlineStr">
        <is>
          <t>Onde Folie</t>
        </is>
      </c>
      <c r="E780" s="34" t="inlineStr">
        <is>
          <t>Poing Glace</t>
        </is>
      </c>
      <c r="F780" s="34" t="n"/>
      <c r="G780" s="34" t="n"/>
      <c r="H780" s="30">
        <f>IF(OR($B$1="Tous",$B$1="HERICENDRE"),"Oui","Non")</f>
        <v/>
      </c>
    </row>
    <row r="781">
      <c r="A781" s="31" t="n"/>
      <c r="B781" s="34" t="inlineStr">
        <is>
          <t>Grincement</t>
        </is>
      </c>
      <c r="C781" s="34" t="inlineStr">
        <is>
          <t>Purédpois</t>
        </is>
      </c>
      <c r="D781" s="34" t="inlineStr">
        <is>
          <t>Dard-Venin</t>
        </is>
      </c>
      <c r="E781" s="34" t="inlineStr">
        <is>
          <t>Bulles d'O</t>
        </is>
      </c>
      <c r="F781" s="34" t="n"/>
      <c r="G781" s="34" t="n"/>
      <c r="H781" s="30">
        <f>IF(OR($B$1="Tous",$B$1="HERICENDRE"),"Oui","Non")</f>
        <v/>
      </c>
    </row>
    <row r="782">
      <c r="A782" s="31" t="n"/>
      <c r="B782" s="34" t="inlineStr">
        <is>
          <t>Tempête de Sable</t>
        </is>
      </c>
      <c r="C782" s="34" t="inlineStr">
        <is>
          <t>Hurlement</t>
        </is>
      </c>
      <c r="D782" s="34" t="inlineStr">
        <is>
          <t>Tranch'Air</t>
        </is>
      </c>
      <c r="E782" s="34" t="inlineStr">
        <is>
          <t>Coud'Boue</t>
        </is>
      </c>
      <c r="F782" s="34" t="n"/>
      <c r="G782" s="34" t="n"/>
      <c r="H782" s="30">
        <f>IF(OR($B$1="Tous",$B$1="HERICENDRE"),"Oui","Non")</f>
        <v/>
      </c>
    </row>
    <row r="783">
      <c r="A783" s="31" t="inlineStr">
        <is>
          <t>Nom</t>
        </is>
      </c>
      <c r="B783" s="32" t="inlineStr">
        <is>
          <t>Rival (si vous avez choisi KAIMINUS)</t>
        </is>
      </c>
      <c r="C783" s="32" t="n"/>
      <c r="D783" s="32" t="n"/>
      <c r="E783" s="32" t="n"/>
      <c r="F783" s="32" t="n"/>
      <c r="G783" s="32" t="n"/>
      <c r="H783" s="30">
        <f>IF(OR($B$1="Tous",$B$1="KAIMINUS"),"Oui","Non")</f>
        <v/>
      </c>
    </row>
    <row r="784">
      <c r="A784" s="31" t="inlineStr">
        <is>
          <t>Pokémon</t>
        </is>
      </c>
      <c r="B784" s="33" t="inlineStr">
        <is>
          <t>EMBRYLEX</t>
        </is>
      </c>
      <c r="C784" s="33" t="inlineStr">
        <is>
          <t>REMORAID</t>
        </is>
      </c>
      <c r="D784" s="33" t="inlineStr">
        <is>
          <t>NOSFERALTO</t>
        </is>
      </c>
      <c r="E784" s="33" t="inlineStr">
        <is>
          <t>MACRONIUM</t>
        </is>
      </c>
      <c r="F784" s="33" t="n"/>
      <c r="G784" s="33" t="n"/>
      <c r="H784" s="30">
        <f>IF(OR($B$1="Tous",$B$1="KAIMINUS"),"Oui","Non")</f>
        <v/>
      </c>
    </row>
    <row r="785">
      <c r="A785" s="31" t="inlineStr">
        <is>
          <t>Niveau</t>
        </is>
      </c>
      <c r="B785" s="33" t="n">
        <v>22</v>
      </c>
      <c r="C785" s="33" t="n">
        <v>23</v>
      </c>
      <c r="D785" s="33" t="n">
        <v>22</v>
      </c>
      <c r="E785" s="33" t="n">
        <v>24</v>
      </c>
      <c r="F785" s="33" t="n"/>
      <c r="G785" s="33" t="n"/>
      <c r="H785" s="30">
        <f>IF(OR($B$1="Tous",$B$1="KAIMINUS"),"Oui","Non")</f>
        <v/>
      </c>
    </row>
    <row r="786">
      <c r="A786" s="31" t="inlineStr">
        <is>
          <t>Objet</t>
        </is>
      </c>
      <c r="B786" s="33" t="inlineStr">
        <is>
          <t>Aucun</t>
        </is>
      </c>
      <c r="C786" s="33" t="inlineStr">
        <is>
          <t>Aucun</t>
        </is>
      </c>
      <c r="D786" s="33" t="inlineStr">
        <is>
          <t>Aucun</t>
        </is>
      </c>
      <c r="E786" s="33" t="inlineStr">
        <is>
          <t>Aucun</t>
        </is>
      </c>
      <c r="F786" s="33" t="n"/>
      <c r="G786" s="33" t="n"/>
      <c r="H786" s="30">
        <f>IF(OR($B$1="Tous",$B$1="KAIMINUS"),"Oui","Non")</f>
        <v/>
      </c>
    </row>
    <row r="787">
      <c r="A787" s="31" t="inlineStr">
        <is>
          <t>Talent</t>
        </is>
      </c>
      <c r="B787" s="33" t="inlineStr">
        <is>
          <t>Cran</t>
        </is>
      </c>
      <c r="C787" s="33" t="inlineStr">
        <is>
          <t>Agitation</t>
        </is>
      </c>
      <c r="D787" s="33" t="inlineStr">
        <is>
          <t>Attention</t>
        </is>
      </c>
      <c r="E787" s="33" t="inlineStr">
        <is>
          <t>Engrais</t>
        </is>
      </c>
      <c r="F787" s="33" t="n"/>
      <c r="G787" s="33" t="n"/>
      <c r="H787" s="30">
        <f>IF(OR($B$1="Tous",$B$1="KAIMINUS"),"Oui","Non")</f>
        <v/>
      </c>
    </row>
    <row r="788">
      <c r="A788" s="31" t="inlineStr">
        <is>
          <t>Capacités</t>
        </is>
      </c>
      <c r="B788" s="34" t="inlineStr">
        <is>
          <t>Morsure</t>
        </is>
      </c>
      <c r="C788" s="34" t="inlineStr">
        <is>
          <t>Bulles d'O</t>
        </is>
      </c>
      <c r="D788" s="34" t="inlineStr">
        <is>
          <t>Morsure</t>
        </is>
      </c>
      <c r="E788" s="34" t="inlineStr">
        <is>
          <t>Méga-Sangsue</t>
        </is>
      </c>
      <c r="F788" s="34" t="n"/>
      <c r="G788" s="34" t="n"/>
      <c r="H788" s="30">
        <f>IF(OR($B$1="Tous",$B$1="KAIMINUS"),"Oui","Non")</f>
        <v/>
      </c>
    </row>
    <row r="789">
      <c r="A789" s="31" t="n"/>
      <c r="B789" s="34" t="inlineStr">
        <is>
          <t>Jet-Pierres</t>
        </is>
      </c>
      <c r="C789" s="34" t="inlineStr">
        <is>
          <t>Onde Boréale</t>
        </is>
      </c>
      <c r="D789" s="34" t="inlineStr">
        <is>
          <t>Onde Folie</t>
        </is>
      </c>
      <c r="E789" s="34" t="inlineStr">
        <is>
          <t>Feuille Magik</t>
        </is>
      </c>
      <c r="F789" s="34" t="n"/>
      <c r="G789" s="34" t="n"/>
      <c r="H789" s="30">
        <f>IF(OR($B$1="Tous",$B$1="KAIMINUS"),"Oui","Non")</f>
        <v/>
      </c>
    </row>
    <row r="790">
      <c r="A790" s="31" t="n"/>
      <c r="B790" s="34" t="inlineStr">
        <is>
          <t>Grincement</t>
        </is>
      </c>
      <c r="C790" s="34" t="inlineStr">
        <is>
          <t>Rafale Psy</t>
        </is>
      </c>
      <c r="D790" s="34" t="inlineStr">
        <is>
          <t>Dard-Venin</t>
        </is>
      </c>
      <c r="E790" s="34" t="inlineStr">
        <is>
          <t>Charge</t>
        </is>
      </c>
      <c r="F790" s="34" t="n"/>
      <c r="G790" s="34" t="n"/>
      <c r="H790" s="30">
        <f>IF(OR($B$1="Tous",$B$1="KAIMINUS"),"Oui","Non")</f>
        <v/>
      </c>
    </row>
    <row r="791">
      <c r="A791" s="31" t="n"/>
      <c r="B791" s="34" t="inlineStr">
        <is>
          <t>Tempête de Sable</t>
        </is>
      </c>
      <c r="C791" s="34" t="inlineStr">
        <is>
          <t>Verrouillage</t>
        </is>
      </c>
      <c r="D791" s="34" t="inlineStr">
        <is>
          <t>Tranch'Air</t>
        </is>
      </c>
      <c r="E791" s="34" t="inlineStr">
        <is>
          <t>Vampigraine</t>
        </is>
      </c>
      <c r="F791" s="34" t="n"/>
      <c r="G791" s="34" t="n"/>
      <c r="H791" s="30">
        <f>IF(OR($B$1="Tous",$B$1="KAIMINUS"),"Oui","Non")</f>
        <v/>
      </c>
    </row>
    <row r="792">
      <c r="A792" s="31" t="inlineStr">
        <is>
          <t>Nom</t>
        </is>
      </c>
      <c r="B792" s="32" t="inlineStr">
        <is>
          <t>Crache-Feu Nard</t>
        </is>
      </c>
      <c r="C792" s="32" t="n"/>
      <c r="D792" s="32" t="n"/>
      <c r="E792" s="32" t="n"/>
      <c r="F792" s="32" t="n"/>
      <c r="G792" s="32" t="n"/>
      <c r="H792" s="30" t="inlineStr">
        <is>
          <t>Oui</t>
        </is>
      </c>
    </row>
    <row r="793">
      <c r="A793" s="31" t="inlineStr">
        <is>
          <t>Pokémon</t>
        </is>
      </c>
      <c r="B793" s="33" t="inlineStr">
        <is>
          <t>REPTINCEL</t>
        </is>
      </c>
      <c r="C793" s="33" t="n"/>
      <c r="D793" s="33" t="n"/>
      <c r="E793" s="33" t="n"/>
      <c r="F793" s="33" t="n"/>
      <c r="G793" s="33" t="n"/>
      <c r="H793" s="30" t="inlineStr">
        <is>
          <t>Oui</t>
        </is>
      </c>
    </row>
    <row r="794">
      <c r="A794" s="31" t="inlineStr">
        <is>
          <t>Niveau</t>
        </is>
      </c>
      <c r="B794" s="33" t="n">
        <v>21</v>
      </c>
      <c r="C794" s="33" t="n"/>
      <c r="D794" s="33" t="n"/>
      <c r="E794" s="33" t="n"/>
      <c r="F794" s="33" t="n"/>
      <c r="G794" s="33" t="n"/>
      <c r="H794" s="30" t="inlineStr">
        <is>
          <t>Oui</t>
        </is>
      </c>
    </row>
    <row r="795">
      <c r="A795" s="31" t="inlineStr">
        <is>
          <t>Objet</t>
        </is>
      </c>
      <c r="B795" s="33" t="inlineStr">
        <is>
          <t>Aucun</t>
        </is>
      </c>
      <c r="C795" s="33" t="n"/>
      <c r="D795" s="33" t="n"/>
      <c r="E795" s="33" t="n"/>
      <c r="F795" s="33" t="n"/>
      <c r="G795" s="33" t="n"/>
      <c r="H795" s="30" t="inlineStr">
        <is>
          <t>Oui</t>
        </is>
      </c>
    </row>
    <row r="796">
      <c r="A796" s="31" t="inlineStr">
        <is>
          <t>Talent</t>
        </is>
      </c>
      <c r="B796" s="33" t="inlineStr">
        <is>
          <t>Brasier</t>
        </is>
      </c>
      <c r="C796" s="33" t="n"/>
      <c r="D796" s="33" t="n"/>
      <c r="E796" s="33" t="n"/>
      <c r="F796" s="33" t="n"/>
      <c r="G796" s="33" t="n"/>
      <c r="H796" s="30" t="inlineStr">
        <is>
          <t>Oui</t>
        </is>
      </c>
    </row>
    <row r="797">
      <c r="A797" s="31" t="inlineStr">
        <is>
          <t>Capacités</t>
        </is>
      </c>
      <c r="B797" s="34" t="inlineStr">
        <is>
          <t>Griffe Acier</t>
        </is>
      </c>
      <c r="C797" s="34" t="n"/>
      <c r="D797" s="34" t="n"/>
      <c r="E797" s="34" t="n"/>
      <c r="F797" s="34" t="n"/>
      <c r="G797" s="34" t="n"/>
      <c r="H797" s="30" t="inlineStr">
        <is>
          <t>Oui</t>
        </is>
      </c>
    </row>
    <row r="798">
      <c r="A798" s="31" t="n"/>
      <c r="B798" s="34" t="inlineStr">
        <is>
          <t>Brouillard</t>
        </is>
      </c>
      <c r="C798" s="34" t="n"/>
      <c r="D798" s="34" t="n"/>
      <c r="E798" s="34" t="n"/>
      <c r="F798" s="34" t="n"/>
      <c r="G798" s="34" t="n"/>
      <c r="H798" s="30" t="inlineStr">
        <is>
          <t>Oui</t>
        </is>
      </c>
    </row>
    <row r="799">
      <c r="A799" s="31" t="n"/>
      <c r="B799" s="34" t="inlineStr">
        <is>
          <t>Draco-Rage</t>
        </is>
      </c>
      <c r="C799" s="34" t="n"/>
      <c r="D799" s="34" t="n"/>
      <c r="E799" s="34" t="n"/>
      <c r="F799" s="34" t="n"/>
      <c r="G799" s="34" t="n"/>
      <c r="H799" s="30" t="inlineStr">
        <is>
          <t>Oui</t>
        </is>
      </c>
    </row>
    <row r="800">
      <c r="A800" s="31" t="n"/>
      <c r="B800" s="34" t="inlineStr">
        <is>
          <t>Grimace</t>
        </is>
      </c>
      <c r="C800" s="34" t="n"/>
      <c r="D800" s="34" t="n"/>
      <c r="E800" s="34" t="n"/>
      <c r="F800" s="34" t="n"/>
      <c r="G800" s="34" t="n"/>
      <c r="H800" s="30" t="inlineStr">
        <is>
          <t>Oui</t>
        </is>
      </c>
    </row>
    <row r="801">
      <c r="A801" s="31" t="inlineStr">
        <is>
          <t>Nom</t>
        </is>
      </c>
      <c r="B801" s="32" t="inlineStr">
        <is>
          <t>Pillard Richardo</t>
        </is>
      </c>
      <c r="C801" s="32" t="n"/>
      <c r="D801" s="32" t="n"/>
      <c r="E801" s="32" t="n"/>
      <c r="F801" s="32" t="n"/>
      <c r="G801" s="32" t="n"/>
      <c r="H801" s="30" t="inlineStr">
        <is>
          <t>Oui</t>
        </is>
      </c>
    </row>
    <row r="802">
      <c r="A802" s="31" t="inlineStr">
        <is>
          <t>Pokémon</t>
        </is>
      </c>
      <c r="B802" s="33" t="inlineStr">
        <is>
          <t>SMOGO</t>
        </is>
      </c>
      <c r="C802" s="33" t="inlineStr">
        <is>
          <t>CANINOS</t>
        </is>
      </c>
      <c r="D802" s="33" t="n"/>
      <c r="E802" s="33" t="n"/>
      <c r="F802" s="33" t="n"/>
      <c r="G802" s="33" t="n"/>
      <c r="H802" s="30" t="inlineStr">
        <is>
          <t>Oui</t>
        </is>
      </c>
    </row>
    <row r="803">
      <c r="A803" s="31" t="inlineStr">
        <is>
          <t>Niveau</t>
        </is>
      </c>
      <c r="B803" s="33" t="n">
        <v>20</v>
      </c>
      <c r="C803" s="33" t="n">
        <v>19</v>
      </c>
      <c r="D803" s="33" t="n"/>
      <c r="E803" s="33" t="n"/>
      <c r="F803" s="33" t="n"/>
      <c r="G803" s="33" t="n"/>
      <c r="H803" s="30" t="inlineStr">
        <is>
          <t>Oui</t>
        </is>
      </c>
    </row>
    <row r="804">
      <c r="A804" s="31" t="inlineStr">
        <is>
          <t>Objet</t>
        </is>
      </c>
      <c r="B804" s="33" t="inlineStr">
        <is>
          <t>Aucun</t>
        </is>
      </c>
      <c r="C804" s="33" t="inlineStr">
        <is>
          <t>Aucun</t>
        </is>
      </c>
      <c r="D804" s="33" t="n"/>
      <c r="E804" s="33" t="n"/>
      <c r="F804" s="33" t="n"/>
      <c r="G804" s="33" t="n"/>
      <c r="H804" s="30" t="inlineStr">
        <is>
          <t>Oui</t>
        </is>
      </c>
    </row>
    <row r="805">
      <c r="A805" s="31" t="inlineStr">
        <is>
          <t>Talent</t>
        </is>
      </c>
      <c r="B805" s="33" t="inlineStr">
        <is>
          <t>Lévitation</t>
        </is>
      </c>
      <c r="C805" s="33" t="inlineStr">
        <is>
          <t>Intimidation</t>
        </is>
      </c>
      <c r="D805" s="33" t="n"/>
      <c r="E805" s="33" t="n"/>
      <c r="F805" s="33" t="n"/>
      <c r="G805" s="33" t="n"/>
      <c r="H805" s="30" t="inlineStr">
        <is>
          <t>Oui</t>
        </is>
      </c>
    </row>
    <row r="806">
      <c r="A806" s="31" t="inlineStr">
        <is>
          <t>Capacités</t>
        </is>
      </c>
      <c r="B806" s="34" t="inlineStr">
        <is>
          <t>Brouillard</t>
        </is>
      </c>
      <c r="C806" s="34" t="inlineStr">
        <is>
          <t>Flair</t>
        </is>
      </c>
      <c r="D806" s="34" t="n"/>
      <c r="E806" s="34" t="n"/>
      <c r="F806" s="34" t="n"/>
      <c r="G806" s="34" t="n"/>
      <c r="H806" s="30" t="inlineStr">
        <is>
          <t>Oui</t>
        </is>
      </c>
    </row>
    <row r="807">
      <c r="A807" s="31" t="n"/>
      <c r="B807" s="34" t="inlineStr">
        <is>
          <t>Assurance</t>
        </is>
      </c>
      <c r="C807" s="34" t="inlineStr">
        <is>
          <t>Coup d'Main</t>
        </is>
      </c>
      <c r="D807" s="34" t="n"/>
      <c r="E807" s="34" t="n"/>
      <c r="F807" s="34" t="n"/>
      <c r="G807" s="34" t="n"/>
      <c r="H807" s="30" t="inlineStr">
        <is>
          <t>Oui</t>
        </is>
      </c>
    </row>
    <row r="808">
      <c r="A808" s="31" t="n"/>
      <c r="B808" s="34" t="inlineStr">
        <is>
          <t>Bain de Smog</t>
        </is>
      </c>
      <c r="C808" s="34" t="inlineStr">
        <is>
          <t>Roue de Feu</t>
        </is>
      </c>
      <c r="D808" s="34" t="n"/>
      <c r="E808" s="34" t="n"/>
      <c r="F808" s="34" t="n"/>
      <c r="G808" s="34" t="n"/>
      <c r="H808" s="30" t="inlineStr">
        <is>
          <t>Oui</t>
        </is>
      </c>
    </row>
    <row r="809">
      <c r="A809" s="31" t="n"/>
      <c r="B809" s="34" t="inlineStr">
        <is>
          <t>Détritus</t>
        </is>
      </c>
      <c r="C809" s="34" t="inlineStr">
        <is>
          <t>Contre</t>
        </is>
      </c>
      <c r="D809" s="34" t="n"/>
      <c r="E809" s="34" t="n"/>
      <c r="F809" s="34" t="n"/>
      <c r="G809" s="34" t="n"/>
      <c r="H809" s="30" t="inlineStr">
        <is>
          <t>Oui</t>
        </is>
      </c>
    </row>
    <row r="810" ht="18" customHeight="1">
      <c r="A810" s="26" t="inlineStr">
        <is>
          <t>Route 34</t>
        </is>
      </c>
      <c r="B810" s="26" t="n"/>
      <c r="C810" s="26" t="n"/>
      <c r="D810" s="26" t="n"/>
      <c r="E810" s="26" t="n"/>
      <c r="F810" s="26" t="n"/>
      <c r="G810" s="26" t="n"/>
      <c r="H810" s="30" t="inlineStr">
        <is>
          <t>Oui</t>
        </is>
      </c>
    </row>
    <row r="811">
      <c r="A811" s="31" t="inlineStr">
        <is>
          <t>Nom</t>
        </is>
      </c>
      <c r="B811" s="32" t="inlineStr">
        <is>
          <t>Topdresseur Amy</t>
        </is>
      </c>
      <c r="C811" s="32" t="n"/>
      <c r="D811" s="32" t="n"/>
      <c r="E811" s="32" t="n"/>
      <c r="F811" s="32" t="n"/>
      <c r="G811" s="32" t="n"/>
      <c r="H811" s="30" t="inlineStr">
        <is>
          <t>Oui</t>
        </is>
      </c>
    </row>
    <row r="812">
      <c r="A812" s="31" t="inlineStr">
        <is>
          <t>Pokémon</t>
        </is>
      </c>
      <c r="B812" s="33" t="inlineStr">
        <is>
          <t>POISSIRENE</t>
        </is>
      </c>
      <c r="C812" s="33" t="inlineStr">
        <is>
          <t>POISSOROY</t>
        </is>
      </c>
      <c r="D812" s="33" t="n"/>
      <c r="E812" s="33" t="n"/>
      <c r="F812" s="33" t="n"/>
      <c r="G812" s="33" t="n"/>
      <c r="H812" s="30" t="inlineStr">
        <is>
          <t>Oui</t>
        </is>
      </c>
    </row>
    <row r="813">
      <c r="A813" s="31" t="inlineStr">
        <is>
          <t>Niveau</t>
        </is>
      </c>
      <c r="B813" s="33" t="n">
        <v>22</v>
      </c>
      <c r="C813" s="33" t="n">
        <v>24</v>
      </c>
      <c r="D813" s="33" t="n"/>
      <c r="E813" s="33" t="n"/>
      <c r="F813" s="33" t="n"/>
      <c r="G813" s="33" t="n"/>
      <c r="H813" s="30" t="inlineStr">
        <is>
          <t>Oui</t>
        </is>
      </c>
    </row>
    <row r="814">
      <c r="A814" s="31" t="inlineStr">
        <is>
          <t>Objet</t>
        </is>
      </c>
      <c r="B814" s="33" t="inlineStr">
        <is>
          <t>Aucun</t>
        </is>
      </c>
      <c r="C814" s="33" t="inlineStr">
        <is>
          <t>Aucun</t>
        </is>
      </c>
      <c r="D814" s="33" t="n"/>
      <c r="E814" s="33" t="n"/>
      <c r="F814" s="33" t="n"/>
      <c r="G814" s="33" t="n"/>
      <c r="H814" s="30" t="inlineStr">
        <is>
          <t>Oui</t>
        </is>
      </c>
    </row>
    <row r="815">
      <c r="A815" s="31" t="inlineStr">
        <is>
          <t>Talent</t>
        </is>
      </c>
      <c r="B815" s="33" t="inlineStr">
        <is>
          <t>Glissade</t>
        </is>
      </c>
      <c r="C815" s="33" t="inlineStr">
        <is>
          <t>Glissade</t>
        </is>
      </c>
      <c r="D815" s="33" t="n"/>
      <c r="E815" s="33" t="n"/>
      <c r="F815" s="33" t="n"/>
      <c r="G815" s="33" t="n"/>
      <c r="H815" s="30" t="inlineStr">
        <is>
          <t>Oui</t>
        </is>
      </c>
    </row>
    <row r="816">
      <c r="A816" s="31" t="inlineStr">
        <is>
          <t>Capacités</t>
        </is>
      </c>
      <c r="B816" s="34" t="inlineStr">
        <is>
          <t>Koud'Korne</t>
        </is>
      </c>
      <c r="C816" s="34" t="inlineStr">
        <is>
          <t>Gigotage</t>
        </is>
      </c>
      <c r="D816" s="34" t="n"/>
      <c r="E816" s="34" t="n"/>
      <c r="F816" s="34" t="n"/>
      <c r="G816" s="34" t="n"/>
      <c r="H816" s="30" t="inlineStr">
        <is>
          <t>Oui</t>
        </is>
      </c>
    </row>
    <row r="817">
      <c r="A817" s="31" t="n"/>
      <c r="B817" s="34" t="inlineStr">
        <is>
          <t>Gigotage</t>
        </is>
      </c>
      <c r="C817" s="34" t="inlineStr">
        <is>
          <t>Vibraqua</t>
        </is>
      </c>
      <c r="D817" s="34" t="n"/>
      <c r="E817" s="34" t="n"/>
      <c r="F817" s="34" t="n"/>
      <c r="G817" s="34" t="n"/>
      <c r="H817" s="30" t="inlineStr">
        <is>
          <t>Oui</t>
        </is>
      </c>
    </row>
    <row r="818">
      <c r="A818" s="31" t="n"/>
      <c r="B818" s="34" t="inlineStr">
        <is>
          <t>Vibraqua</t>
        </is>
      </c>
      <c r="C818" s="34" t="inlineStr">
        <is>
          <t>Anneau Hydro</t>
        </is>
      </c>
      <c r="D818" s="34" t="n"/>
      <c r="E818" s="34" t="n"/>
      <c r="F818" s="34" t="n"/>
      <c r="G818" s="34" t="n"/>
      <c r="H818" s="30" t="inlineStr">
        <is>
          <t>Oui</t>
        </is>
      </c>
    </row>
    <row r="819">
      <c r="A819" s="31" t="n"/>
      <c r="B819" s="34" t="inlineStr">
        <is>
          <t>Anneau Hydro</t>
        </is>
      </c>
      <c r="C819" s="34" t="inlineStr">
        <is>
          <t>Furie</t>
        </is>
      </c>
      <c r="D819" s="34" t="n"/>
      <c r="E819" s="34" t="n"/>
      <c r="F819" s="34" t="n"/>
      <c r="G819" s="34" t="n"/>
      <c r="H819" s="30" t="inlineStr">
        <is>
          <t>Oui</t>
        </is>
      </c>
    </row>
    <row r="820">
      <c r="A820" s="31" t="inlineStr">
        <is>
          <t>Nom</t>
        </is>
      </c>
      <c r="B820" s="32" t="inlineStr">
        <is>
          <t>Topdresseur Maria</t>
        </is>
      </c>
      <c r="C820" s="32" t="n"/>
      <c r="D820" s="32" t="n"/>
      <c r="E820" s="32" t="n"/>
      <c r="F820" s="32" t="n"/>
      <c r="G820" s="32" t="n"/>
      <c r="H820" s="30" t="inlineStr">
        <is>
          <t>Oui</t>
        </is>
      </c>
    </row>
    <row r="821">
      <c r="A821" s="31" t="inlineStr">
        <is>
          <t>Pokémon</t>
        </is>
      </c>
      <c r="B821" s="33" t="inlineStr">
        <is>
          <t>STARI</t>
        </is>
      </c>
      <c r="C821" s="33" t="inlineStr">
        <is>
          <t>STAROSS</t>
        </is>
      </c>
      <c r="D821" s="33" t="n"/>
      <c r="E821" s="33" t="n"/>
      <c r="F821" s="33" t="n"/>
      <c r="G821" s="33" t="n"/>
      <c r="H821" s="30" t="inlineStr">
        <is>
          <t>Oui</t>
        </is>
      </c>
    </row>
    <row r="822">
      <c r="A822" s="31" t="inlineStr">
        <is>
          <t>Niveau</t>
        </is>
      </c>
      <c r="B822" s="33" t="n">
        <v>24</v>
      </c>
      <c r="C822" s="33" t="n">
        <v>26</v>
      </c>
      <c r="D822" s="33" t="n"/>
      <c r="E822" s="33" t="n"/>
      <c r="F822" s="33" t="n"/>
      <c r="G822" s="33" t="n"/>
      <c r="H822" s="30" t="inlineStr">
        <is>
          <t>Oui</t>
        </is>
      </c>
    </row>
    <row r="823">
      <c r="A823" s="31" t="inlineStr">
        <is>
          <t>Objet</t>
        </is>
      </c>
      <c r="B823" s="33" t="inlineStr">
        <is>
          <t>Aucun</t>
        </is>
      </c>
      <c r="C823" s="33" t="inlineStr">
        <is>
          <t>Aucun</t>
        </is>
      </c>
      <c r="D823" s="33" t="n"/>
      <c r="E823" s="33" t="n"/>
      <c r="F823" s="33" t="n"/>
      <c r="G823" s="33" t="n"/>
      <c r="H823" s="30" t="inlineStr">
        <is>
          <t>Oui</t>
        </is>
      </c>
    </row>
    <row r="824">
      <c r="A824" s="31" t="inlineStr">
        <is>
          <t>Talent</t>
        </is>
      </c>
      <c r="B824" s="33" t="inlineStr">
        <is>
          <t>Lumiattirance</t>
        </is>
      </c>
      <c r="C824" s="33" t="inlineStr">
        <is>
          <t>Lumiattirance</t>
        </is>
      </c>
      <c r="D824" s="33" t="n"/>
      <c r="E824" s="33" t="n"/>
      <c r="F824" s="33" t="n"/>
      <c r="G824" s="33" t="n"/>
      <c r="H824" s="30" t="inlineStr">
        <is>
          <t>Oui</t>
        </is>
      </c>
    </row>
    <row r="825">
      <c r="A825" s="31" t="inlineStr">
        <is>
          <t>Capacités</t>
        </is>
      </c>
      <c r="B825" s="34" t="inlineStr">
        <is>
          <t>Météores</t>
        </is>
      </c>
      <c r="C825" s="34" t="inlineStr">
        <is>
          <t>Pistolet à O</t>
        </is>
      </c>
      <c r="D825" s="34" t="n"/>
      <c r="E825" s="34" t="n"/>
      <c r="F825" s="34" t="n"/>
      <c r="G825" s="34" t="n"/>
      <c r="H825" s="30" t="inlineStr">
        <is>
          <t>Oui</t>
        </is>
      </c>
    </row>
    <row r="826">
      <c r="A826" s="31" t="n"/>
      <c r="B826" s="34" t="inlineStr">
        <is>
          <t>Bulles d'O</t>
        </is>
      </c>
      <c r="C826" s="34" t="inlineStr">
        <is>
          <t>Tour Rapide</t>
        </is>
      </c>
      <c r="D826" s="34" t="n"/>
      <c r="E826" s="34" t="n"/>
      <c r="F826" s="34" t="n"/>
      <c r="G826" s="34" t="n"/>
      <c r="H826" s="30" t="inlineStr">
        <is>
          <t>Oui</t>
        </is>
      </c>
    </row>
    <row r="827">
      <c r="A827" s="31" t="n"/>
      <c r="B827" s="34" t="inlineStr">
        <is>
          <t>Camouflage</t>
        </is>
      </c>
      <c r="C827" s="34" t="inlineStr">
        <is>
          <t>Soin</t>
        </is>
      </c>
      <c r="D827" s="34" t="n"/>
      <c r="E827" s="34" t="n"/>
      <c r="F827" s="34" t="n"/>
      <c r="G827" s="34" t="n"/>
      <c r="H827" s="30" t="inlineStr">
        <is>
          <t>Oui</t>
        </is>
      </c>
    </row>
    <row r="828">
      <c r="A828" s="31" t="n"/>
      <c r="B828" s="34" t="inlineStr">
        <is>
          <t>Gyroballe</t>
        </is>
      </c>
      <c r="C828" s="34" t="inlineStr">
        <is>
          <t>Météores</t>
        </is>
      </c>
      <c r="D828" s="34" t="n"/>
      <c r="E828" s="34" t="n"/>
      <c r="F828" s="34" t="n"/>
      <c r="G828" s="34" t="n"/>
      <c r="H828" s="30" t="inlineStr">
        <is>
          <t>Oui</t>
        </is>
      </c>
    </row>
    <row r="829">
      <c r="A829" s="31" t="inlineStr">
        <is>
          <t>Nom</t>
        </is>
      </c>
      <c r="B829" s="32" t="inlineStr">
        <is>
          <t>Topdresseur Irène</t>
        </is>
      </c>
      <c r="C829" s="32" t="n"/>
      <c r="D829" s="32" t="n"/>
      <c r="E829" s="32" t="n"/>
      <c r="F829" s="32" t="n"/>
      <c r="G829" s="32" t="n"/>
      <c r="H829" s="30" t="inlineStr">
        <is>
          <t>Oui</t>
        </is>
      </c>
    </row>
    <row r="830">
      <c r="A830" s="31" t="inlineStr">
        <is>
          <t>Pokémon</t>
        </is>
      </c>
      <c r="B830" s="33" t="inlineStr">
        <is>
          <t>KOKIYAS</t>
        </is>
      </c>
      <c r="C830" s="33" t="inlineStr">
        <is>
          <t>CRUSTABRI</t>
        </is>
      </c>
      <c r="D830" s="33" t="n"/>
      <c r="E830" s="33" t="n"/>
      <c r="F830" s="33" t="n"/>
      <c r="G830" s="33" t="n"/>
      <c r="H830" s="30" t="inlineStr">
        <is>
          <t>Oui</t>
        </is>
      </c>
    </row>
    <row r="831">
      <c r="A831" s="31" t="inlineStr">
        <is>
          <t>Niveau</t>
        </is>
      </c>
      <c r="B831" s="33" t="n">
        <v>26</v>
      </c>
      <c r="C831" s="33" t="n">
        <v>28</v>
      </c>
      <c r="D831" s="33" t="n"/>
      <c r="E831" s="33" t="n"/>
      <c r="F831" s="33" t="n"/>
      <c r="G831" s="33" t="n"/>
      <c r="H831" s="30" t="inlineStr">
        <is>
          <t>Oui</t>
        </is>
      </c>
    </row>
    <row r="832">
      <c r="A832" s="31" t="inlineStr">
        <is>
          <t>Objet</t>
        </is>
      </c>
      <c r="B832" s="33" t="inlineStr">
        <is>
          <t>Aucun</t>
        </is>
      </c>
      <c r="C832" s="33" t="inlineStr">
        <is>
          <t>Aucun</t>
        </is>
      </c>
      <c r="D832" s="33" t="n"/>
      <c r="E832" s="33" t="n"/>
      <c r="F832" s="33" t="n"/>
      <c r="G832" s="33" t="n"/>
      <c r="H832" s="30" t="inlineStr">
        <is>
          <t>Oui</t>
        </is>
      </c>
    </row>
    <row r="833">
      <c r="A833" s="31" t="inlineStr">
        <is>
          <t>Talent</t>
        </is>
      </c>
      <c r="B833" s="33" t="inlineStr">
        <is>
          <t>Coque Armure</t>
        </is>
      </c>
      <c r="C833" s="33" t="inlineStr">
        <is>
          <t>Coque Armure</t>
        </is>
      </c>
      <c r="D833" s="33" t="n"/>
      <c r="E833" s="33" t="n"/>
      <c r="F833" s="33" t="n"/>
      <c r="G833" s="33" t="n"/>
      <c r="H833" s="30" t="inlineStr">
        <is>
          <t>Oui</t>
        </is>
      </c>
    </row>
    <row r="834">
      <c r="A834" s="31" t="inlineStr">
        <is>
          <t>Capacités</t>
        </is>
      </c>
      <c r="B834" s="34" t="inlineStr">
        <is>
          <t>Stalactite</t>
        </is>
      </c>
      <c r="C834" s="34" t="inlineStr">
        <is>
          <t>Abri</t>
        </is>
      </c>
      <c r="D834" s="34" t="n"/>
      <c r="E834" s="34" t="n"/>
      <c r="F834" s="34" t="n"/>
      <c r="G834" s="34" t="n"/>
      <c r="H834" s="30" t="inlineStr">
        <is>
          <t>Oui</t>
        </is>
      </c>
    </row>
    <row r="835">
      <c r="A835" s="31" t="n"/>
      <c r="B835" s="34" t="inlineStr">
        <is>
          <t>Abri</t>
        </is>
      </c>
      <c r="C835" s="34" t="inlineStr">
        <is>
          <t>Onde Boréale</t>
        </is>
      </c>
      <c r="D835" s="34" t="n"/>
      <c r="E835" s="34" t="n"/>
      <c r="F835" s="34" t="n"/>
      <c r="G835" s="34" t="n"/>
      <c r="H835" s="30" t="inlineStr">
        <is>
          <t>Oui</t>
        </is>
      </c>
    </row>
    <row r="836">
      <c r="A836" s="31" t="n"/>
      <c r="B836" s="34" t="inlineStr">
        <is>
          <t>Groz'Yeux</t>
        </is>
      </c>
      <c r="C836" s="34" t="inlineStr">
        <is>
          <t>Picanon</t>
        </is>
      </c>
      <c r="D836" s="34" t="n"/>
      <c r="E836" s="34" t="n"/>
      <c r="F836" s="34" t="n"/>
      <c r="G836" s="34" t="n"/>
      <c r="H836" s="30" t="inlineStr">
        <is>
          <t>Oui</t>
        </is>
      </c>
    </row>
    <row r="837">
      <c r="A837" s="31" t="n"/>
      <c r="B837" s="34" t="inlineStr">
        <is>
          <t>Claquoir</t>
        </is>
      </c>
      <c r="C837" s="34" t="inlineStr">
        <is>
          <t>Picots</t>
        </is>
      </c>
      <c r="D837" s="34" t="n"/>
      <c r="E837" s="34" t="n"/>
      <c r="F837" s="34" t="n"/>
      <c r="G837" s="34" t="n"/>
      <c r="H837" s="30" t="inlineStr">
        <is>
          <t>Oui</t>
        </is>
      </c>
    </row>
    <row r="838" ht="18" customHeight="1">
      <c r="A838" s="26" t="inlineStr">
        <is>
          <t>Ruines d'Alpha — Extérieur</t>
        </is>
      </c>
      <c r="B838" s="26" t="n"/>
      <c r="C838" s="26" t="n"/>
      <c r="D838" s="26" t="n"/>
      <c r="E838" s="26" t="n"/>
      <c r="F838" s="26" t="n"/>
      <c r="G838" s="26" t="n"/>
      <c r="H838" s="30" t="inlineStr">
        <is>
          <t>Oui</t>
        </is>
      </c>
    </row>
    <row r="839">
      <c r="A839" s="31" t="inlineStr">
        <is>
          <t>Nom</t>
        </is>
      </c>
      <c r="B839" s="32" t="inlineStr">
        <is>
          <t>Intello Stan</t>
        </is>
      </c>
      <c r="C839" s="32" t="n"/>
      <c r="D839" s="32" t="n"/>
      <c r="E839" s="32" t="n"/>
      <c r="F839" s="32" t="n"/>
      <c r="G839" s="32" t="n"/>
      <c r="H839" s="30" t="inlineStr">
        <is>
          <t>Oui</t>
        </is>
      </c>
    </row>
    <row r="840">
      <c r="A840" s="31" t="inlineStr">
        <is>
          <t>Pokémon</t>
        </is>
      </c>
      <c r="B840" s="33" t="inlineStr">
        <is>
          <t>TADMORV</t>
        </is>
      </c>
      <c r="C840" s="33" t="n"/>
      <c r="D840" s="33" t="n"/>
      <c r="E840" s="33" t="n"/>
      <c r="F840" s="33" t="n"/>
      <c r="G840" s="33" t="n"/>
      <c r="H840" s="30" t="inlineStr">
        <is>
          <t>Oui</t>
        </is>
      </c>
    </row>
    <row r="841">
      <c r="A841" s="31" t="inlineStr">
        <is>
          <t>Niveau</t>
        </is>
      </c>
      <c r="B841" s="33" t="n">
        <v>20</v>
      </c>
      <c r="C841" s="33" t="n"/>
      <c r="D841" s="33" t="n"/>
      <c r="E841" s="33" t="n"/>
      <c r="F841" s="33" t="n"/>
      <c r="G841" s="33" t="n"/>
      <c r="H841" s="30" t="inlineStr">
        <is>
          <t>Oui</t>
        </is>
      </c>
    </row>
    <row r="842">
      <c r="A842" s="31" t="inlineStr">
        <is>
          <t>Objet</t>
        </is>
      </c>
      <c r="B842" s="33" t="inlineStr">
        <is>
          <t>Aucun</t>
        </is>
      </c>
      <c r="C842" s="33" t="n"/>
      <c r="D842" s="33" t="n"/>
      <c r="E842" s="33" t="n"/>
      <c r="F842" s="33" t="n"/>
      <c r="G842" s="33" t="n"/>
      <c r="H842" s="30" t="inlineStr">
        <is>
          <t>Oui</t>
        </is>
      </c>
    </row>
    <row r="843">
      <c r="A843" s="31" t="inlineStr">
        <is>
          <t>Talent</t>
        </is>
      </c>
      <c r="B843" s="33" t="inlineStr">
        <is>
          <t>Puanteur</t>
        </is>
      </c>
      <c r="C843" s="33" t="n"/>
      <c r="D843" s="33" t="n"/>
      <c r="E843" s="33" t="n"/>
      <c r="F843" s="33" t="n"/>
      <c r="G843" s="33" t="n"/>
      <c r="H843" s="30" t="inlineStr">
        <is>
          <t>Oui</t>
        </is>
      </c>
    </row>
    <row r="844">
      <c r="A844" s="31" t="inlineStr">
        <is>
          <t>Capacités</t>
        </is>
      </c>
      <c r="B844" s="34" t="inlineStr">
        <is>
          <t>Coud'Boue</t>
        </is>
      </c>
      <c r="C844" s="34" t="n"/>
      <c r="D844" s="34" t="n"/>
      <c r="E844" s="34" t="n"/>
      <c r="F844" s="34" t="n"/>
      <c r="G844" s="34" t="n"/>
      <c r="H844" s="30" t="inlineStr">
        <is>
          <t>Oui</t>
        </is>
      </c>
    </row>
    <row r="845">
      <c r="A845" s="31" t="n"/>
      <c r="B845" s="34" t="inlineStr">
        <is>
          <t>Entrave</t>
        </is>
      </c>
      <c r="C845" s="34" t="n"/>
      <c r="D845" s="34" t="n"/>
      <c r="E845" s="34" t="n"/>
      <c r="F845" s="34" t="n"/>
      <c r="G845" s="34" t="n"/>
      <c r="H845" s="30" t="inlineStr">
        <is>
          <t>Oui</t>
        </is>
      </c>
    </row>
    <row r="846">
      <c r="A846" s="31" t="n"/>
      <c r="B846" s="34" t="inlineStr">
        <is>
          <t>Détritus</t>
        </is>
      </c>
      <c r="C846" s="34" t="n"/>
      <c r="D846" s="34" t="n"/>
      <c r="E846" s="34" t="n"/>
      <c r="F846" s="34" t="n"/>
      <c r="G846" s="34" t="n"/>
      <c r="H846" s="30" t="inlineStr">
        <is>
          <t>Oui</t>
        </is>
      </c>
    </row>
    <row r="847">
      <c r="A847" s="31" t="n"/>
      <c r="B847" s="34" t="inlineStr">
        <is>
          <t>Boue-Bombe</t>
        </is>
      </c>
      <c r="C847" s="34" t="n"/>
      <c r="D847" s="34" t="n"/>
      <c r="E847" s="34" t="n"/>
      <c r="F847" s="34" t="n"/>
      <c r="G847" s="34" t="n"/>
      <c r="H847" s="30" t="inlineStr">
        <is>
          <t>Oui</t>
        </is>
      </c>
    </row>
    <row r="848">
      <c r="A848" s="31" t="inlineStr">
        <is>
          <t>Nom</t>
        </is>
      </c>
      <c r="B848" s="32" t="inlineStr">
        <is>
          <t>Kinésiste Jason</t>
        </is>
      </c>
      <c r="C848" s="32" t="n"/>
      <c r="D848" s="32" t="n"/>
      <c r="E848" s="32" t="n"/>
      <c r="F848" s="32" t="n"/>
      <c r="G848" s="32" t="n"/>
      <c r="H848" s="30" t="inlineStr">
        <is>
          <t>Oui</t>
        </is>
      </c>
    </row>
    <row r="849">
      <c r="A849" s="31" t="inlineStr">
        <is>
          <t>Pokémon</t>
        </is>
      </c>
      <c r="B849" s="33" t="inlineStr">
        <is>
          <t>GIRAFARIG</t>
        </is>
      </c>
      <c r="C849" s="33" t="n"/>
      <c r="D849" s="33" t="n"/>
      <c r="E849" s="33" t="n"/>
      <c r="F849" s="33" t="n"/>
      <c r="G849" s="33" t="n"/>
      <c r="H849" s="30" t="inlineStr">
        <is>
          <t>Oui</t>
        </is>
      </c>
    </row>
    <row r="850">
      <c r="A850" s="31" t="inlineStr">
        <is>
          <t>Niveau</t>
        </is>
      </c>
      <c r="B850" s="33" t="n">
        <v>26</v>
      </c>
      <c r="C850" s="33" t="n"/>
      <c r="D850" s="33" t="n"/>
      <c r="E850" s="33" t="n"/>
      <c r="F850" s="33" t="n"/>
      <c r="G850" s="33" t="n"/>
      <c r="H850" s="30" t="inlineStr">
        <is>
          <t>Oui</t>
        </is>
      </c>
    </row>
    <row r="851">
      <c r="A851" s="31" t="inlineStr">
        <is>
          <t>Objet</t>
        </is>
      </c>
      <c r="B851" s="33" t="inlineStr">
        <is>
          <t>Aucun</t>
        </is>
      </c>
      <c r="C851" s="33" t="n"/>
      <c r="D851" s="33" t="n"/>
      <c r="E851" s="33" t="n"/>
      <c r="F851" s="33" t="n"/>
      <c r="G851" s="33" t="n"/>
      <c r="H851" s="30" t="inlineStr">
        <is>
          <t>Oui</t>
        </is>
      </c>
    </row>
    <row r="852">
      <c r="A852" s="31" t="inlineStr">
        <is>
          <t>Talent</t>
        </is>
      </c>
      <c r="B852" s="33" t="inlineStr">
        <is>
          <t>Attention</t>
        </is>
      </c>
      <c r="C852" s="33" t="n"/>
      <c r="D852" s="33" t="n"/>
      <c r="E852" s="33" t="n"/>
      <c r="F852" s="33" t="n"/>
      <c r="G852" s="33" t="n"/>
      <c r="H852" s="30" t="inlineStr">
        <is>
          <t>Oui</t>
        </is>
      </c>
    </row>
    <row r="853">
      <c r="A853" s="31" t="inlineStr">
        <is>
          <t>Capacités</t>
        </is>
      </c>
      <c r="B853" s="34" t="inlineStr">
        <is>
          <t>Assurance</t>
        </is>
      </c>
      <c r="C853" s="34" t="n"/>
      <c r="D853" s="34" t="n"/>
      <c r="E853" s="34" t="n"/>
      <c r="F853" s="34" t="n"/>
      <c r="G853" s="34" t="n"/>
      <c r="H853" s="30" t="inlineStr">
        <is>
          <t>Oui</t>
        </is>
      </c>
    </row>
    <row r="854">
      <c r="A854" s="31" t="n"/>
      <c r="B854" s="34" t="inlineStr">
        <is>
          <t>Écrasement</t>
        </is>
      </c>
      <c r="C854" s="34" t="n"/>
      <c r="D854" s="34" t="n"/>
      <c r="E854" s="34" t="n"/>
      <c r="F854" s="34" t="n"/>
      <c r="G854" s="34" t="n"/>
      <c r="H854" s="30" t="inlineStr">
        <is>
          <t>Oui</t>
        </is>
      </c>
    </row>
    <row r="855">
      <c r="A855" s="31" t="n"/>
      <c r="B855" s="34" t="inlineStr">
        <is>
          <t>Rafale Psy</t>
        </is>
      </c>
      <c r="C855" s="34" t="n"/>
      <c r="D855" s="34" t="n"/>
      <c r="E855" s="34" t="n"/>
      <c r="F855" s="34" t="n"/>
      <c r="G855" s="34" t="n"/>
      <c r="H855" s="30" t="inlineStr">
        <is>
          <t>Oui</t>
        </is>
      </c>
    </row>
    <row r="856">
      <c r="A856" s="31" t="n"/>
      <c r="B856" s="34" t="inlineStr">
        <is>
          <t>Hâte</t>
        </is>
      </c>
      <c r="C856" s="34" t="n"/>
      <c r="D856" s="34" t="n"/>
      <c r="E856" s="34" t="n"/>
      <c r="F856" s="34" t="n"/>
      <c r="G856" s="34" t="n"/>
      <c r="H856" s="30" t="inlineStr">
        <is>
          <t>Oui</t>
        </is>
      </c>
    </row>
    <row r="857" ht="18" customHeight="1">
      <c r="A857" s="26" t="inlineStr">
        <is>
          <t>Caves Jumelles — B1F</t>
        </is>
      </c>
      <c r="B857" s="26" t="n"/>
      <c r="C857" s="26" t="n"/>
      <c r="D857" s="26" t="n"/>
      <c r="E857" s="26" t="n"/>
      <c r="F857" s="26" t="n"/>
      <c r="G857" s="26" t="n"/>
      <c r="H857" s="30" t="inlineStr">
        <is>
          <t>Oui</t>
        </is>
      </c>
    </row>
    <row r="858">
      <c r="A858" s="31" t="inlineStr">
        <is>
          <t>Nom</t>
        </is>
      </c>
      <c r="B858" s="32" t="inlineStr">
        <is>
          <t>Montagnard Gérard</t>
        </is>
      </c>
      <c r="C858" s="32" t="n"/>
      <c r="D858" s="32" t="n"/>
      <c r="E858" s="32" t="n"/>
      <c r="F858" s="32" t="n"/>
      <c r="G858" s="32" t="n"/>
      <c r="H858" s="30" t="inlineStr">
        <is>
          <t>Oui</t>
        </is>
      </c>
    </row>
    <row r="859">
      <c r="A859" s="31" t="inlineStr">
        <is>
          <t>Pokémon</t>
        </is>
      </c>
      <c r="B859" s="33" t="inlineStr">
        <is>
          <t>RACAILLOU</t>
        </is>
      </c>
      <c r="C859" s="33" t="inlineStr">
        <is>
          <t>RACAILLOU</t>
        </is>
      </c>
      <c r="D859" s="33" t="inlineStr">
        <is>
          <t>GRAVALANCH</t>
        </is>
      </c>
      <c r="E859" s="33" t="n"/>
      <c r="F859" s="33" t="n"/>
      <c r="G859" s="33" t="n"/>
      <c r="H859" s="30" t="inlineStr">
        <is>
          <t>Oui</t>
        </is>
      </c>
    </row>
    <row r="860">
      <c r="A860" s="31" t="inlineStr">
        <is>
          <t>Niveau</t>
        </is>
      </c>
      <c r="B860" s="33" t="n">
        <v>23</v>
      </c>
      <c r="C860" s="33" t="n">
        <v>23</v>
      </c>
      <c r="D860" s="33" t="n">
        <v>23</v>
      </c>
      <c r="E860" s="33" t="n"/>
      <c r="F860" s="33" t="n"/>
      <c r="G860" s="33" t="n"/>
      <c r="H860" s="30" t="inlineStr">
        <is>
          <t>Oui</t>
        </is>
      </c>
    </row>
    <row r="861">
      <c r="A861" s="31" t="inlineStr">
        <is>
          <t>Objet</t>
        </is>
      </c>
      <c r="B861" s="33" t="inlineStr">
        <is>
          <t>Aucun</t>
        </is>
      </c>
      <c r="C861" s="33" t="inlineStr">
        <is>
          <t>Aucun</t>
        </is>
      </c>
      <c r="D861" s="33" t="inlineStr">
        <is>
          <t>Aucun</t>
        </is>
      </c>
      <c r="E861" s="33" t="n"/>
      <c r="F861" s="33" t="n"/>
      <c r="G861" s="33" t="n"/>
      <c r="H861" s="30" t="inlineStr">
        <is>
          <t>Oui</t>
        </is>
      </c>
    </row>
    <row r="862">
      <c r="A862" s="31" t="inlineStr">
        <is>
          <t>Talent</t>
        </is>
      </c>
      <c r="B862" s="33" t="inlineStr">
        <is>
          <t>Tête de Roc</t>
        </is>
      </c>
      <c r="C862" s="33" t="inlineStr">
        <is>
          <t>Tête de Roc</t>
        </is>
      </c>
      <c r="D862" s="33" t="inlineStr">
        <is>
          <t>Tête de Roc</t>
        </is>
      </c>
      <c r="E862" s="33" t="n"/>
      <c r="F862" s="33" t="n"/>
      <c r="G862" s="33" t="n"/>
      <c r="H862" s="30" t="inlineStr">
        <is>
          <t>Oui</t>
        </is>
      </c>
    </row>
    <row r="863">
      <c r="A863" s="31" t="inlineStr">
        <is>
          <t>Capacités</t>
        </is>
      </c>
      <c r="B863" s="34" t="inlineStr">
        <is>
          <t>Ampleur</t>
        </is>
      </c>
      <c r="C863" s="34" t="inlineStr">
        <is>
          <t>Ampleur</t>
        </is>
      </c>
      <c r="D863" s="34" t="inlineStr">
        <is>
          <t>Ampleur</t>
        </is>
      </c>
      <c r="E863" s="34" t="n"/>
      <c r="F863" s="34" t="n"/>
      <c r="G863" s="34" t="n"/>
      <c r="H863" s="30" t="inlineStr">
        <is>
          <t>Oui</t>
        </is>
      </c>
    </row>
    <row r="864">
      <c r="A864" s="31" t="n"/>
      <c r="B864" s="34" t="inlineStr">
        <is>
          <t>Jet-Pierres</t>
        </is>
      </c>
      <c r="C864" s="34" t="inlineStr">
        <is>
          <t>Jet-Pierres</t>
        </is>
      </c>
      <c r="D864" s="34" t="inlineStr">
        <is>
          <t>Jet-Pierres</t>
        </is>
      </c>
      <c r="E864" s="34" t="n"/>
      <c r="F864" s="34" t="n"/>
      <c r="G864" s="34" t="n"/>
      <c r="H864" s="30" t="inlineStr">
        <is>
          <t>Oui</t>
        </is>
      </c>
    </row>
    <row r="865">
      <c r="A865" s="31" t="n"/>
      <c r="B865" s="34" t="inlineStr">
        <is>
          <t>Anti-Air</t>
        </is>
      </c>
      <c r="C865" s="34" t="inlineStr">
        <is>
          <t>Anti-Air</t>
        </is>
      </c>
      <c r="D865" s="34" t="inlineStr">
        <is>
          <t>Anti-Air</t>
        </is>
      </c>
      <c r="E865" s="34" t="n"/>
      <c r="F865" s="34" t="n"/>
      <c r="G865" s="34" t="n"/>
      <c r="H865" s="30" t="inlineStr">
        <is>
          <t>Oui</t>
        </is>
      </c>
    </row>
    <row r="866">
      <c r="A866" s="31" t="n"/>
      <c r="B866" s="34" t="inlineStr">
        <is>
          <t>Piétisol</t>
        </is>
      </c>
      <c r="C866" s="34" t="inlineStr">
        <is>
          <t>Piétisol</t>
        </is>
      </c>
      <c r="D866" s="34" t="inlineStr">
        <is>
          <t>Piétisol</t>
        </is>
      </c>
      <c r="E866" s="34" t="n"/>
      <c r="F866" s="34" t="n"/>
      <c r="G866" s="34" t="n"/>
      <c r="H866" s="30" t="inlineStr">
        <is>
          <t>Oui</t>
        </is>
      </c>
    </row>
    <row r="867">
      <c r="A867" s="31" t="inlineStr">
        <is>
          <t>Nom</t>
        </is>
      </c>
      <c r="B867" s="32" t="inlineStr">
        <is>
          <t>Montagnard Michel</t>
        </is>
      </c>
      <c r="C867" s="32" t="n"/>
      <c r="D867" s="32" t="n"/>
      <c r="E867" s="32" t="n"/>
      <c r="F867" s="32" t="n"/>
      <c r="G867" s="32" t="n"/>
      <c r="H867" s="30" t="inlineStr">
        <is>
          <t>Oui</t>
        </is>
      </c>
    </row>
    <row r="868">
      <c r="A868" s="31" t="inlineStr">
        <is>
          <t>Pokémon</t>
        </is>
      </c>
      <c r="B868" s="33" t="inlineStr">
        <is>
          <t>RACAILLOU</t>
        </is>
      </c>
      <c r="C868" s="33" t="inlineStr">
        <is>
          <t>MACHOC</t>
        </is>
      </c>
      <c r="D868" s="33" t="n"/>
      <c r="E868" s="33" t="n"/>
      <c r="F868" s="33" t="n"/>
      <c r="G868" s="33" t="n"/>
      <c r="H868" s="30" t="inlineStr">
        <is>
          <t>Oui</t>
        </is>
      </c>
    </row>
    <row r="869">
      <c r="A869" s="31" t="inlineStr">
        <is>
          <t>Niveau</t>
        </is>
      </c>
      <c r="B869" s="33" t="n">
        <v>23</v>
      </c>
      <c r="C869" s="33" t="n">
        <v>25</v>
      </c>
      <c r="D869" s="33" t="n"/>
      <c r="E869" s="33" t="n"/>
      <c r="F869" s="33" t="n"/>
      <c r="G869" s="33" t="n"/>
      <c r="H869" s="30" t="inlineStr">
        <is>
          <t>Oui</t>
        </is>
      </c>
    </row>
    <row r="870">
      <c r="A870" s="31" t="inlineStr">
        <is>
          <t>Objet</t>
        </is>
      </c>
      <c r="B870" s="33" t="inlineStr">
        <is>
          <t>Aucun</t>
        </is>
      </c>
      <c r="C870" s="33" t="inlineStr">
        <is>
          <t>Aucun</t>
        </is>
      </c>
      <c r="D870" s="33" t="n"/>
      <c r="E870" s="33" t="n"/>
      <c r="F870" s="33" t="n"/>
      <c r="G870" s="33" t="n"/>
      <c r="H870" s="30" t="inlineStr">
        <is>
          <t>Oui</t>
        </is>
      </c>
    </row>
    <row r="871">
      <c r="A871" s="31" t="inlineStr">
        <is>
          <t>Talent</t>
        </is>
      </c>
      <c r="B871" s="33" t="inlineStr">
        <is>
          <t>Tête de Roc</t>
        </is>
      </c>
      <c r="C871" s="33" t="inlineStr">
        <is>
          <t>Cran</t>
        </is>
      </c>
      <c r="D871" s="33" t="n"/>
      <c r="E871" s="33" t="n"/>
      <c r="F871" s="33" t="n"/>
      <c r="G871" s="33" t="n"/>
      <c r="H871" s="30" t="inlineStr">
        <is>
          <t>Oui</t>
        </is>
      </c>
    </row>
    <row r="872">
      <c r="A872" s="31" t="inlineStr">
        <is>
          <t>Capacités</t>
        </is>
      </c>
      <c r="B872" s="34" t="inlineStr">
        <is>
          <t>Ampleur</t>
        </is>
      </c>
      <c r="C872" s="34" t="inlineStr">
        <is>
          <t>Frappe Atlas</t>
        </is>
      </c>
      <c r="D872" s="34" t="n"/>
      <c r="E872" s="34" t="n"/>
      <c r="F872" s="34" t="n"/>
      <c r="G872" s="34" t="n"/>
      <c r="H872" s="30" t="inlineStr">
        <is>
          <t>Oui</t>
        </is>
      </c>
    </row>
    <row r="873">
      <c r="A873" s="31" t="n"/>
      <c r="B873" s="34" t="inlineStr">
        <is>
          <t>Jet-Pierres</t>
        </is>
      </c>
      <c r="C873" s="34" t="inlineStr">
        <is>
          <t>Vendetta</t>
        </is>
      </c>
      <c r="D873" s="34" t="n"/>
      <c r="E873" s="34" t="n"/>
      <c r="F873" s="34" t="n"/>
      <c r="G873" s="34" t="n"/>
      <c r="H873" s="30" t="inlineStr">
        <is>
          <t>Oui</t>
        </is>
      </c>
    </row>
    <row r="874">
      <c r="A874" s="31" t="n"/>
      <c r="B874" s="34" t="inlineStr">
        <is>
          <t>Anti-Air</t>
        </is>
      </c>
      <c r="C874" s="34" t="inlineStr">
        <is>
          <t>Sabotage</t>
        </is>
      </c>
      <c r="D874" s="34" t="n"/>
      <c r="E874" s="34" t="n"/>
      <c r="F874" s="34" t="n"/>
      <c r="G874" s="34" t="n"/>
      <c r="H874" s="30" t="inlineStr">
        <is>
          <t>Oui</t>
        </is>
      </c>
    </row>
    <row r="875">
      <c r="A875" s="31" t="n"/>
      <c r="B875" s="34" t="inlineStr">
        <is>
          <t>Piétisol</t>
        </is>
      </c>
      <c r="C875" s="34" t="inlineStr">
        <is>
          <t>Corps Perdu</t>
        </is>
      </c>
      <c r="D875" s="34" t="n"/>
      <c r="E875" s="34" t="n"/>
      <c r="F875" s="34" t="n"/>
      <c r="G875" s="34" t="n"/>
      <c r="H875" s="30" t="inlineStr">
        <is>
          <t>Oui</t>
        </is>
      </c>
    </row>
    <row r="876">
      <c r="A876" s="31" t="inlineStr">
        <is>
          <t>Nom</t>
        </is>
      </c>
      <c r="B876" s="32" t="inlineStr">
        <is>
          <t>Pokémaniac Evan</t>
        </is>
      </c>
      <c r="C876" s="32" t="n"/>
      <c r="D876" s="32" t="n"/>
      <c r="E876" s="32" t="n"/>
      <c r="F876" s="32" t="n"/>
      <c r="G876" s="32" t="n"/>
      <c r="H876" s="30" t="inlineStr">
        <is>
          <t>Oui</t>
        </is>
      </c>
    </row>
    <row r="877">
      <c r="A877" s="31" t="inlineStr">
        <is>
          <t>Pokémon</t>
        </is>
      </c>
      <c r="B877" s="33" t="inlineStr">
        <is>
          <t>OSSATUEUR</t>
        </is>
      </c>
      <c r="C877" s="33" t="inlineStr">
        <is>
          <t>OSSATUEUR</t>
        </is>
      </c>
      <c r="D877" s="33" t="n"/>
      <c r="E877" s="33" t="n"/>
      <c r="F877" s="33" t="n"/>
      <c r="G877" s="33" t="n"/>
      <c r="H877" s="30" t="inlineStr">
        <is>
          <t>Oui</t>
        </is>
      </c>
    </row>
    <row r="878">
      <c r="A878" s="31" t="inlineStr">
        <is>
          <t>Niveau</t>
        </is>
      </c>
      <c r="B878" s="33" t="n">
        <v>24</v>
      </c>
      <c r="C878" s="33" t="n">
        <v>24</v>
      </c>
      <c r="D878" s="33" t="n"/>
      <c r="E878" s="33" t="n"/>
      <c r="F878" s="33" t="n"/>
      <c r="G878" s="33" t="n"/>
      <c r="H878" s="30" t="inlineStr">
        <is>
          <t>Oui</t>
        </is>
      </c>
    </row>
    <row r="879">
      <c r="A879" s="31" t="inlineStr">
        <is>
          <t>Objet</t>
        </is>
      </c>
      <c r="B879" s="33" t="inlineStr">
        <is>
          <t>Aucun</t>
        </is>
      </c>
      <c r="C879" s="33" t="inlineStr">
        <is>
          <t>Aucun</t>
        </is>
      </c>
      <c r="D879" s="33" t="n"/>
      <c r="E879" s="33" t="n"/>
      <c r="F879" s="33" t="n"/>
      <c r="G879" s="33" t="n"/>
      <c r="H879" s="30" t="inlineStr">
        <is>
          <t>Oui</t>
        </is>
      </c>
    </row>
    <row r="880">
      <c r="A880" s="31" t="inlineStr">
        <is>
          <t>Talent</t>
        </is>
      </c>
      <c r="B880" s="33" t="inlineStr">
        <is>
          <t>Tête de Roc</t>
        </is>
      </c>
      <c r="C880" s="33" t="inlineStr">
        <is>
          <t>Tête de Roc</t>
        </is>
      </c>
      <c r="D880" s="33" t="n"/>
      <c r="E880" s="33" t="n"/>
      <c r="F880" s="33" t="n"/>
      <c r="G880" s="33" t="n"/>
      <c r="H880" s="30" t="inlineStr">
        <is>
          <t>Oui</t>
        </is>
      </c>
    </row>
    <row r="881">
      <c r="A881" s="31" t="inlineStr">
        <is>
          <t>Capacités</t>
        </is>
      </c>
      <c r="B881" s="34" t="inlineStr">
        <is>
          <t>Groz'Yeux</t>
        </is>
      </c>
      <c r="C881" s="34" t="inlineStr">
        <is>
          <t>Groz'Yeux</t>
        </is>
      </c>
      <c r="D881" s="34" t="n"/>
      <c r="E881" s="34" t="n"/>
      <c r="F881" s="34" t="n"/>
      <c r="G881" s="34" t="n"/>
      <c r="H881" s="30" t="inlineStr">
        <is>
          <t>Oui</t>
        </is>
      </c>
    </row>
    <row r="882">
      <c r="A882" s="31" t="n"/>
      <c r="B882" s="34" t="inlineStr">
        <is>
          <t>Puissance</t>
        </is>
      </c>
      <c r="C882" s="34" t="inlineStr">
        <is>
          <t>Puissance</t>
        </is>
      </c>
      <c r="D882" s="34" t="n"/>
      <c r="E882" s="34" t="n"/>
      <c r="F882" s="34" t="n"/>
      <c r="G882" s="34" t="n"/>
      <c r="H882" s="30" t="inlineStr">
        <is>
          <t>Oui</t>
        </is>
      </c>
    </row>
    <row r="883">
      <c r="A883" s="31" t="n"/>
      <c r="B883" s="34" t="inlineStr">
        <is>
          <t>Osmerang</t>
        </is>
      </c>
      <c r="C883" s="34" t="inlineStr">
        <is>
          <t>Osmerang</t>
        </is>
      </c>
      <c r="D883" s="34" t="n"/>
      <c r="E883" s="34" t="n"/>
      <c r="F883" s="34" t="n"/>
      <c r="G883" s="34" t="n"/>
      <c r="H883" s="30" t="inlineStr">
        <is>
          <t>Oui</t>
        </is>
      </c>
    </row>
    <row r="884">
      <c r="A884" s="31" t="n"/>
      <c r="B884" s="34" t="inlineStr">
        <is>
          <t>Frénésie</t>
        </is>
      </c>
      <c r="C884" s="34" t="inlineStr">
        <is>
          <t>Frénésie</t>
        </is>
      </c>
      <c r="D884" s="34" t="n"/>
      <c r="E884" s="34" t="n"/>
      <c r="F884" s="34" t="n"/>
      <c r="G884" s="34" t="n"/>
      <c r="H884" s="30" t="inlineStr">
        <is>
          <t>Oui</t>
        </is>
      </c>
    </row>
    <row r="885">
      <c r="A885" s="31" t="inlineStr">
        <is>
          <t>Nom</t>
        </is>
      </c>
      <c r="B885" s="32" t="inlineStr">
        <is>
          <t>Pokémaniac Denis</t>
        </is>
      </c>
      <c r="C885" s="32" t="n"/>
      <c r="D885" s="32" t="n"/>
      <c r="E885" s="32" t="n"/>
      <c r="F885" s="32" t="n"/>
      <c r="G885" s="32" t="n"/>
      <c r="H885" s="30" t="inlineStr">
        <is>
          <t>Oui</t>
        </is>
      </c>
    </row>
    <row r="886">
      <c r="A886" s="31" t="inlineStr">
        <is>
          <t>Pokémon</t>
        </is>
      </c>
      <c r="B886" s="33" t="inlineStr">
        <is>
          <t>KANGOUREX</t>
        </is>
      </c>
      <c r="C886" s="33" t="n"/>
      <c r="D886" s="33" t="n"/>
      <c r="E886" s="33" t="n"/>
      <c r="F886" s="33" t="n"/>
      <c r="G886" s="33" t="n"/>
      <c r="H886" s="30" t="inlineStr">
        <is>
          <t>Oui</t>
        </is>
      </c>
    </row>
    <row r="887">
      <c r="A887" s="31" t="inlineStr">
        <is>
          <t>Niveau</t>
        </is>
      </c>
      <c r="B887" s="33" t="n">
        <v>26</v>
      </c>
      <c r="C887" s="33" t="n"/>
      <c r="D887" s="33" t="n"/>
      <c r="E887" s="33" t="n"/>
      <c r="F887" s="33" t="n"/>
      <c r="G887" s="33" t="n"/>
      <c r="H887" s="30" t="inlineStr">
        <is>
          <t>Oui</t>
        </is>
      </c>
    </row>
    <row r="888">
      <c r="A888" s="31" t="inlineStr">
        <is>
          <t>Objet</t>
        </is>
      </c>
      <c r="B888" s="33" t="inlineStr">
        <is>
          <t>Aucun</t>
        </is>
      </c>
      <c r="C888" s="33" t="n"/>
      <c r="D888" s="33" t="n"/>
      <c r="E888" s="33" t="n"/>
      <c r="F888" s="33" t="n"/>
      <c r="G888" s="33" t="n"/>
      <c r="H888" s="30" t="inlineStr">
        <is>
          <t>Oui</t>
        </is>
      </c>
    </row>
    <row r="889">
      <c r="A889" s="31" t="inlineStr">
        <is>
          <t>Talent</t>
        </is>
      </c>
      <c r="B889" s="33" t="inlineStr">
        <is>
          <t>Matinal</t>
        </is>
      </c>
      <c r="C889" s="33" t="n"/>
      <c r="D889" s="33" t="n"/>
      <c r="E889" s="33" t="n"/>
      <c r="F889" s="33" t="n"/>
      <c r="G889" s="33" t="n"/>
      <c r="H889" s="30" t="inlineStr">
        <is>
          <t>Oui</t>
        </is>
      </c>
    </row>
    <row r="890">
      <c r="A890" s="31" t="inlineStr">
        <is>
          <t>Capacités</t>
        </is>
      </c>
      <c r="B890" s="34" t="inlineStr">
        <is>
          <t>Morsure</t>
        </is>
      </c>
      <c r="C890" s="34" t="n"/>
      <c r="D890" s="34" t="n"/>
      <c r="E890" s="34" t="n"/>
      <c r="F890" s="34" t="n"/>
      <c r="G890" s="34" t="n"/>
      <c r="H890" s="30" t="inlineStr">
        <is>
          <t>Oui</t>
        </is>
      </c>
    </row>
    <row r="891">
      <c r="A891" s="31" t="n"/>
      <c r="B891" s="34" t="inlineStr">
        <is>
          <t>Coup Double</t>
        </is>
      </c>
      <c r="C891" s="34" t="n"/>
      <c r="D891" s="34" t="n"/>
      <c r="E891" s="34" t="n"/>
      <c r="F891" s="34" t="n"/>
      <c r="G891" s="34" t="n"/>
      <c r="H891" s="30" t="inlineStr">
        <is>
          <t>Oui</t>
        </is>
      </c>
    </row>
    <row r="892">
      <c r="A892" s="31" t="n"/>
      <c r="B892" s="34" t="inlineStr">
        <is>
          <t>Frénésie</t>
        </is>
      </c>
      <c r="C892" s="34" t="n"/>
      <c r="D892" s="34" t="n"/>
      <c r="E892" s="34" t="n"/>
      <c r="F892" s="34" t="n"/>
      <c r="G892" s="34" t="n"/>
      <c r="H892" s="30" t="inlineStr">
        <is>
          <t>Oui</t>
        </is>
      </c>
    </row>
    <row r="893">
      <c r="A893" s="31" t="n"/>
      <c r="B893" s="34" t="inlineStr">
        <is>
          <t>Ultimapoing</t>
        </is>
      </c>
      <c r="C893" s="34" t="n"/>
      <c r="D893" s="34" t="n"/>
      <c r="E893" s="34" t="n"/>
      <c r="F893" s="34" t="n"/>
      <c r="G893" s="34" t="n"/>
      <c r="H893" s="30" t="inlineStr">
        <is>
          <t>Oui</t>
        </is>
      </c>
    </row>
    <row r="894" ht="18" customHeight="1">
      <c r="A894" s="26" t="inlineStr">
        <is>
          <t>Caves Jumelles — B2F</t>
        </is>
      </c>
      <c r="B894" s="26" t="n"/>
      <c r="C894" s="26" t="n"/>
      <c r="D894" s="26" t="n"/>
      <c r="E894" s="26" t="n"/>
      <c r="F894" s="26" t="n"/>
      <c r="G894" s="26" t="n"/>
      <c r="H894" s="30" t="inlineStr">
        <is>
          <t>Oui</t>
        </is>
      </c>
    </row>
    <row r="895">
      <c r="A895" s="31" t="inlineStr">
        <is>
          <t>Nom</t>
        </is>
      </c>
      <c r="B895" s="32" t="inlineStr">
        <is>
          <t>Topdresseur Gurvan</t>
        </is>
      </c>
      <c r="C895" s="32" t="n"/>
      <c r="D895" s="32" t="n"/>
      <c r="E895" s="32" t="n"/>
      <c r="F895" s="32" t="n"/>
      <c r="G895" s="32" t="n"/>
      <c r="H895" s="30" t="inlineStr">
        <is>
          <t>Oui</t>
        </is>
      </c>
    </row>
    <row r="896">
      <c r="A896" s="31" t="inlineStr">
        <is>
          <t>Pokémon</t>
        </is>
      </c>
      <c r="B896" s="33" t="inlineStr">
        <is>
          <t>SALAMECHE</t>
        </is>
      </c>
      <c r="C896" s="33" t="inlineStr">
        <is>
          <t>CARAPUCE</t>
        </is>
      </c>
      <c r="D896" s="33" t="inlineStr">
        <is>
          <t>BULBIZARRE</t>
        </is>
      </c>
      <c r="E896" s="33" t="n"/>
      <c r="F896" s="33" t="n"/>
      <c r="G896" s="33" t="n"/>
      <c r="H896" s="30" t="inlineStr">
        <is>
          <t>Oui</t>
        </is>
      </c>
    </row>
    <row r="897">
      <c r="A897" s="31" t="inlineStr">
        <is>
          <t>Niveau</t>
        </is>
      </c>
      <c r="B897" s="33" t="n">
        <v>26</v>
      </c>
      <c r="C897" s="33" t="n">
        <v>26</v>
      </c>
      <c r="D897" s="33" t="n">
        <v>26</v>
      </c>
      <c r="E897" s="33" t="n"/>
      <c r="F897" s="33" t="n"/>
      <c r="G897" s="33" t="n"/>
      <c r="H897" s="30" t="inlineStr">
        <is>
          <t>Oui</t>
        </is>
      </c>
    </row>
    <row r="898">
      <c r="A898" s="31" t="inlineStr">
        <is>
          <t>Objet</t>
        </is>
      </c>
      <c r="B898" s="33" t="inlineStr">
        <is>
          <t>Aucun</t>
        </is>
      </c>
      <c r="C898" s="33" t="inlineStr">
        <is>
          <t>Aucun</t>
        </is>
      </c>
      <c r="D898" s="33" t="inlineStr">
        <is>
          <t>Aucun</t>
        </is>
      </c>
      <c r="E898" s="33" t="n"/>
      <c r="F898" s="33" t="n"/>
      <c r="G898" s="33" t="n"/>
      <c r="H898" s="30" t="inlineStr">
        <is>
          <t>Oui</t>
        </is>
      </c>
    </row>
    <row r="899">
      <c r="A899" s="31" t="inlineStr">
        <is>
          <t>Talent</t>
        </is>
      </c>
      <c r="B899" s="33" t="inlineStr">
        <is>
          <t>Brasier</t>
        </is>
      </c>
      <c r="C899" s="33" t="inlineStr">
        <is>
          <t>Torrent</t>
        </is>
      </c>
      <c r="D899" s="33" t="inlineStr">
        <is>
          <t>Engrais</t>
        </is>
      </c>
      <c r="E899" s="33" t="n"/>
      <c r="F899" s="33" t="n"/>
      <c r="G899" s="33" t="n"/>
      <c r="H899" s="30" t="inlineStr">
        <is>
          <t>Oui</t>
        </is>
      </c>
    </row>
    <row r="900">
      <c r="A900" s="31" t="inlineStr">
        <is>
          <t>Capacités</t>
        </is>
      </c>
      <c r="B900" s="34" t="inlineStr">
        <is>
          <t>Brouillard</t>
        </is>
      </c>
      <c r="C900" s="34" t="inlineStr">
        <is>
          <t>Morsure</t>
        </is>
      </c>
      <c r="D900" s="34" t="inlineStr">
        <is>
          <t>Bélier</t>
        </is>
      </c>
      <c r="E900" s="34" t="n"/>
      <c r="F900" s="34" t="n"/>
      <c r="G900" s="34" t="n"/>
      <c r="H900" s="30" t="inlineStr">
        <is>
          <t>Oui</t>
        </is>
      </c>
    </row>
    <row r="901">
      <c r="A901" s="31" t="n"/>
      <c r="B901" s="34" t="inlineStr">
        <is>
          <t>Draco-Rage</t>
        </is>
      </c>
      <c r="C901" s="34" t="inlineStr">
        <is>
          <t>Tour Rapide</t>
        </is>
      </c>
      <c r="D901" s="34" t="inlineStr">
        <is>
          <t>Tranch'Herbe</t>
        </is>
      </c>
      <c r="E901" s="34" t="n"/>
      <c r="F901" s="34" t="n"/>
      <c r="G901" s="34" t="n"/>
      <c r="H901" s="30" t="inlineStr">
        <is>
          <t>Oui</t>
        </is>
      </c>
    </row>
    <row r="902">
      <c r="A902" s="31" t="n"/>
      <c r="B902" s="34" t="inlineStr">
        <is>
          <t>Grimace</t>
        </is>
      </c>
      <c r="C902" s="34" t="inlineStr">
        <is>
          <t>Abri</t>
        </is>
      </c>
      <c r="D902" s="34" t="inlineStr">
        <is>
          <t>Doux Parfum</t>
        </is>
      </c>
      <c r="E902" s="34" t="n"/>
      <c r="F902" s="34" t="n"/>
      <c r="G902" s="34" t="n"/>
      <c r="H902" s="30" t="inlineStr">
        <is>
          <t>Oui</t>
        </is>
      </c>
    </row>
    <row r="903">
      <c r="A903" s="31" t="n"/>
      <c r="B903" s="34" t="inlineStr">
        <is>
          <t>Crocs Feu</t>
        </is>
      </c>
      <c r="C903" s="34" t="inlineStr">
        <is>
          <t>Vibraqua</t>
        </is>
      </c>
      <c r="D903" s="34" t="inlineStr">
        <is>
          <t>Croissance</t>
        </is>
      </c>
      <c r="E903" s="34" t="n"/>
      <c r="F903" s="34" t="n"/>
      <c r="G903" s="34" t="n"/>
      <c r="H903" s="30" t="inlineStr">
        <is>
          <t>Oui</t>
        </is>
      </c>
    </row>
    <row r="904">
      <c r="A904" s="31" t="inlineStr">
        <is>
          <t>Nom</t>
        </is>
      </c>
      <c r="B904" s="32" t="inlineStr">
        <is>
          <t>Topdresseur Gerry</t>
        </is>
      </c>
      <c r="C904" s="32" t="n"/>
      <c r="D904" s="32" t="n"/>
      <c r="E904" s="32" t="n"/>
      <c r="F904" s="32" t="n"/>
      <c r="G904" s="32" t="n"/>
      <c r="H904" s="30" t="inlineStr">
        <is>
          <t>Oui</t>
        </is>
      </c>
    </row>
    <row r="905">
      <c r="A905" s="31" t="inlineStr">
        <is>
          <t>Pokémon</t>
        </is>
      </c>
      <c r="B905" s="33" t="inlineStr">
        <is>
          <t>EVOLI</t>
        </is>
      </c>
      <c r="C905" s="33" t="inlineStr">
        <is>
          <t>PYROLI</t>
        </is>
      </c>
      <c r="D905" s="33" t="inlineStr">
        <is>
          <t>AQUALI</t>
        </is>
      </c>
      <c r="E905" s="33" t="inlineStr">
        <is>
          <t>VOLTALI</t>
        </is>
      </c>
      <c r="F905" s="33" t="n"/>
      <c r="G905" s="33" t="n"/>
      <c r="H905" s="30" t="inlineStr">
        <is>
          <t>Oui</t>
        </is>
      </c>
    </row>
    <row r="906">
      <c r="A906" s="31" t="inlineStr">
        <is>
          <t>Niveau</t>
        </is>
      </c>
      <c r="B906" s="33" t="n">
        <v>26</v>
      </c>
      <c r="C906" s="33" t="n">
        <v>23</v>
      </c>
      <c r="D906" s="33" t="n">
        <v>24</v>
      </c>
      <c r="E906" s="33" t="n">
        <v>25</v>
      </c>
      <c r="F906" s="33" t="n"/>
      <c r="G906" s="33" t="n"/>
      <c r="H906" s="30" t="inlineStr">
        <is>
          <t>Oui</t>
        </is>
      </c>
    </row>
    <row r="907">
      <c r="A907" s="31" t="inlineStr">
        <is>
          <t>Objet</t>
        </is>
      </c>
      <c r="B907" s="33" t="inlineStr">
        <is>
          <t>Aucun</t>
        </is>
      </c>
      <c r="C907" s="33" t="inlineStr">
        <is>
          <t>Aucun</t>
        </is>
      </c>
      <c r="D907" s="33" t="inlineStr">
        <is>
          <t>Aucun</t>
        </is>
      </c>
      <c r="E907" s="33" t="inlineStr">
        <is>
          <t>Aucun</t>
        </is>
      </c>
      <c r="F907" s="33" t="n"/>
      <c r="G907" s="33" t="n"/>
      <c r="H907" s="30" t="inlineStr">
        <is>
          <t>Oui</t>
        </is>
      </c>
    </row>
    <row r="908">
      <c r="A908" s="31" t="inlineStr">
        <is>
          <t>Talent</t>
        </is>
      </c>
      <c r="B908" s="33" t="inlineStr">
        <is>
          <t>Fuite</t>
        </is>
      </c>
      <c r="C908" s="33" t="inlineStr">
        <is>
          <t>Torche</t>
        </is>
      </c>
      <c r="D908" s="33" t="inlineStr">
        <is>
          <t>Absorbe-Eau</t>
        </is>
      </c>
      <c r="E908" s="33" t="inlineStr">
        <is>
          <t>Absorbe-Volt</t>
        </is>
      </c>
      <c r="F908" s="33" t="n"/>
      <c r="G908" s="33" t="n"/>
      <c r="H908" s="30" t="inlineStr">
        <is>
          <t>Oui</t>
        </is>
      </c>
    </row>
    <row r="909">
      <c r="A909" s="31" t="inlineStr">
        <is>
          <t>Capacités</t>
        </is>
      </c>
      <c r="B909" s="34" t="inlineStr">
        <is>
          <t>Morsure</t>
        </is>
      </c>
      <c r="C909" s="34" t="inlineStr">
        <is>
          <t>Regard Touchant</t>
        </is>
      </c>
      <c r="D909" s="34" t="inlineStr">
        <is>
          <t>Regard Touchant</t>
        </is>
      </c>
      <c r="E909" s="34" t="inlineStr">
        <is>
          <t>Vive-Attaque</t>
        </is>
      </c>
      <c r="F909" s="34" t="n"/>
      <c r="G909" s="34" t="n"/>
      <c r="H909" s="30" t="inlineStr">
        <is>
          <t>Oui</t>
        </is>
      </c>
    </row>
    <row r="910">
      <c r="A910" s="31" t="n"/>
      <c r="B910" s="34" t="inlineStr">
        <is>
          <t>Météores</t>
        </is>
      </c>
      <c r="C910" s="34" t="inlineStr">
        <is>
          <t>Vive-Attaque</t>
        </is>
      </c>
      <c r="D910" s="34" t="inlineStr">
        <is>
          <t>Vive-Attaque</t>
        </is>
      </c>
      <c r="E910" s="34" t="inlineStr">
        <is>
          <t>Double Pied</t>
        </is>
      </c>
      <c r="F910" s="34" t="n"/>
      <c r="G910" s="34" t="n"/>
      <c r="H910" s="30" t="inlineStr">
        <is>
          <t>Oui</t>
        </is>
      </c>
    </row>
    <row r="911">
      <c r="A911" s="31" t="n"/>
      <c r="B911" s="34" t="inlineStr">
        <is>
          <t>Régénération</t>
        </is>
      </c>
      <c r="C911" s="34" t="inlineStr">
        <is>
          <t>Morsure</t>
        </is>
      </c>
      <c r="D911" s="34" t="inlineStr">
        <is>
          <t>Vibraqua</t>
        </is>
      </c>
      <c r="E911" s="34" t="inlineStr">
        <is>
          <t>Crocs Éclair</t>
        </is>
      </c>
      <c r="F911" s="34" t="n"/>
      <c r="G911" s="34" t="n"/>
      <c r="H911" s="30" t="inlineStr">
        <is>
          <t>Oui</t>
        </is>
      </c>
    </row>
    <row r="912">
      <c r="A912" s="31" t="n"/>
      <c r="B912" s="34" t="inlineStr">
        <is>
          <t>Bélier</t>
        </is>
      </c>
      <c r="C912" s="34" t="inlineStr">
        <is>
          <t>Crocs Feu</t>
        </is>
      </c>
      <c r="D912" s="34" t="inlineStr">
        <is>
          <t>Onde Boréale</t>
        </is>
      </c>
      <c r="E912" s="34" t="inlineStr">
        <is>
          <t>Dard-Nuée</t>
        </is>
      </c>
      <c r="F912" s="34" t="n"/>
      <c r="G912" s="34" t="n"/>
      <c r="H912" s="30" t="inlineStr">
        <is>
          <t>Oui</t>
        </is>
      </c>
    </row>
    <row r="913">
      <c r="A913" s="31" t="inlineStr">
        <is>
          <t>Nom</t>
        </is>
      </c>
      <c r="B913" s="32" t="inlineStr">
        <is>
          <t>Topdresseur Emma</t>
        </is>
      </c>
      <c r="C913" s="32" t="n"/>
      <c r="D913" s="32" t="n"/>
      <c r="E913" s="32" t="n"/>
      <c r="F913" s="32" t="n"/>
      <c r="G913" s="32" t="n"/>
      <c r="H913" s="30" t="inlineStr">
        <is>
          <t>Oui</t>
        </is>
      </c>
    </row>
    <row r="914">
      <c r="A914" s="31" t="inlineStr">
        <is>
          <t>Pokémon</t>
        </is>
      </c>
      <c r="B914" s="33" t="inlineStr">
        <is>
          <t>TETARTE</t>
        </is>
      </c>
      <c r="C914" s="33" t="n"/>
      <c r="D914" s="33" t="n"/>
      <c r="E914" s="33" t="n"/>
      <c r="F914" s="33" t="n"/>
      <c r="G914" s="33" t="n"/>
      <c r="H914" s="30" t="inlineStr">
        <is>
          <t>Oui</t>
        </is>
      </c>
    </row>
    <row r="915">
      <c r="A915" s="31" t="inlineStr">
        <is>
          <t>Niveau</t>
        </is>
      </c>
      <c r="B915" s="33" t="n">
        <v>28</v>
      </c>
      <c r="C915" s="33" t="n"/>
      <c r="D915" s="33" t="n"/>
      <c r="E915" s="33" t="n"/>
      <c r="F915" s="33" t="n"/>
      <c r="G915" s="33" t="n"/>
      <c r="H915" s="30" t="inlineStr">
        <is>
          <t>Oui</t>
        </is>
      </c>
    </row>
    <row r="916">
      <c r="A916" s="31" t="inlineStr">
        <is>
          <t>Objet</t>
        </is>
      </c>
      <c r="B916" s="33" t="inlineStr">
        <is>
          <t>Aucun</t>
        </is>
      </c>
      <c r="C916" s="33" t="n"/>
      <c r="D916" s="33" t="n"/>
      <c r="E916" s="33" t="n"/>
      <c r="F916" s="33" t="n"/>
      <c r="G916" s="33" t="n"/>
      <c r="H916" s="30" t="inlineStr">
        <is>
          <t>Oui</t>
        </is>
      </c>
    </row>
    <row r="917">
      <c r="A917" s="31" t="inlineStr">
        <is>
          <t>Talent</t>
        </is>
      </c>
      <c r="B917" s="33" t="inlineStr">
        <is>
          <t>Absorbe-Eau</t>
        </is>
      </c>
      <c r="C917" s="33" t="n"/>
      <c r="D917" s="33" t="n"/>
      <c r="E917" s="33" t="n"/>
      <c r="F917" s="33" t="n"/>
      <c r="G917" s="33" t="n"/>
      <c r="H917" s="30" t="inlineStr">
        <is>
          <t>Oui</t>
        </is>
      </c>
    </row>
    <row r="918">
      <c r="A918" s="31" t="inlineStr">
        <is>
          <t>Capacités</t>
        </is>
      </c>
      <c r="B918" s="34" t="inlineStr">
        <is>
          <t>Torgnoles</t>
        </is>
      </c>
      <c r="C918" s="34" t="n"/>
      <c r="D918" s="34" t="n"/>
      <c r="E918" s="34" t="n"/>
      <c r="F918" s="34" t="n"/>
      <c r="G918" s="34" t="n"/>
      <c r="H918" s="30" t="inlineStr">
        <is>
          <t>Oui</t>
        </is>
      </c>
    </row>
    <row r="919">
      <c r="A919" s="31" t="n"/>
      <c r="B919" s="34" t="inlineStr">
        <is>
          <t>Danse Pluie</t>
        </is>
      </c>
      <c r="C919" s="34" t="n"/>
      <c r="D919" s="34" t="n"/>
      <c r="E919" s="34" t="n"/>
      <c r="F919" s="34" t="n"/>
      <c r="G919" s="34" t="n"/>
      <c r="H919" s="30" t="inlineStr">
        <is>
          <t>Oui</t>
        </is>
      </c>
    </row>
    <row r="920">
      <c r="A920" s="31" t="n"/>
      <c r="B920" s="34" t="inlineStr">
        <is>
          <t>Plaquage</t>
        </is>
      </c>
      <c r="C920" s="34" t="n"/>
      <c r="D920" s="34" t="n"/>
      <c r="E920" s="34" t="n"/>
      <c r="F920" s="34" t="n"/>
      <c r="G920" s="34" t="n"/>
      <c r="H920" s="30" t="inlineStr">
        <is>
          <t>Oui</t>
        </is>
      </c>
    </row>
    <row r="921">
      <c r="A921" s="31" t="n"/>
      <c r="B921" s="34" t="inlineStr">
        <is>
          <t>Bulles d'O</t>
        </is>
      </c>
      <c r="C921" s="34" t="n"/>
      <c r="D921" s="34" t="n"/>
      <c r="E921" s="34" t="n"/>
      <c r="F921" s="34" t="n"/>
      <c r="G921" s="34" t="n"/>
      <c r="H921" s="30" t="inlineStr">
        <is>
          <t>Oui</t>
        </is>
      </c>
    </row>
    <row r="922" ht="18" customHeight="1">
      <c r="A922" s="26" t="inlineStr">
        <is>
          <t>Route 38</t>
        </is>
      </c>
      <c r="B922" s="26" t="n"/>
      <c r="C922" s="26" t="n"/>
      <c r="D922" s="26" t="n"/>
      <c r="E922" s="26" t="n"/>
      <c r="F922" s="26" t="n"/>
      <c r="G922" s="26" t="n"/>
      <c r="H922" s="30" t="inlineStr">
        <is>
          <t>Oui</t>
        </is>
      </c>
    </row>
    <row r="923">
      <c r="A923" s="31" t="inlineStr">
        <is>
          <t>Nom</t>
        </is>
      </c>
      <c r="B923" s="32" t="inlineStr">
        <is>
          <t>Ornithologue Toby</t>
        </is>
      </c>
      <c r="C923" s="32" t="n"/>
      <c r="D923" s="32" t="n"/>
      <c r="E923" s="32" t="n"/>
      <c r="F923" s="32" t="n"/>
      <c r="G923" s="32" t="n"/>
      <c r="H923" s="30" t="inlineStr">
        <is>
          <t>Oui</t>
        </is>
      </c>
    </row>
    <row r="924">
      <c r="A924" s="31" t="inlineStr">
        <is>
          <t>Pokémon</t>
        </is>
      </c>
      <c r="B924" s="33" t="inlineStr">
        <is>
          <t>DODUO</t>
        </is>
      </c>
      <c r="C924" s="33" t="inlineStr">
        <is>
          <t>DODUO</t>
        </is>
      </c>
      <c r="D924" s="33" t="n"/>
      <c r="E924" s="33" t="n"/>
      <c r="F924" s="33" t="n"/>
      <c r="G924" s="33" t="n"/>
      <c r="H924" s="30" t="inlineStr">
        <is>
          <t>Oui</t>
        </is>
      </c>
    </row>
    <row r="925">
      <c r="A925" s="31" t="inlineStr">
        <is>
          <t>Niveau</t>
        </is>
      </c>
      <c r="B925" s="33" t="n">
        <v>22</v>
      </c>
      <c r="C925" s="33" t="n">
        <v>22</v>
      </c>
      <c r="D925" s="33" t="n"/>
      <c r="E925" s="33" t="n"/>
      <c r="F925" s="33" t="n"/>
      <c r="G925" s="33" t="n"/>
      <c r="H925" s="30" t="inlineStr">
        <is>
          <t>Oui</t>
        </is>
      </c>
    </row>
    <row r="926">
      <c r="A926" s="31" t="inlineStr">
        <is>
          <t>Objet</t>
        </is>
      </c>
      <c r="B926" s="33" t="inlineStr">
        <is>
          <t>Aucun</t>
        </is>
      </c>
      <c r="C926" s="33" t="inlineStr">
        <is>
          <t>Aucun</t>
        </is>
      </c>
      <c r="D926" s="33" t="n"/>
      <c r="E926" s="33" t="n"/>
      <c r="F926" s="33" t="n"/>
      <c r="G926" s="33" t="n"/>
      <c r="H926" s="30" t="inlineStr">
        <is>
          <t>Oui</t>
        </is>
      </c>
    </row>
    <row r="927">
      <c r="A927" s="31" t="inlineStr">
        <is>
          <t>Talent</t>
        </is>
      </c>
      <c r="B927" s="33" t="inlineStr">
        <is>
          <t>Fuite</t>
        </is>
      </c>
      <c r="C927" s="33" t="inlineStr">
        <is>
          <t>Fuite</t>
        </is>
      </c>
      <c r="D927" s="33" t="n"/>
      <c r="E927" s="33" t="n"/>
      <c r="F927" s="33" t="n"/>
      <c r="G927" s="33" t="n"/>
      <c r="H927" s="30" t="inlineStr">
        <is>
          <t>Oui</t>
        </is>
      </c>
    </row>
    <row r="928">
      <c r="A928" s="31" t="inlineStr">
        <is>
          <t>Capacités</t>
        </is>
      </c>
      <c r="B928" s="34" t="inlineStr">
        <is>
          <t>Furie</t>
        </is>
      </c>
      <c r="C928" s="34" t="inlineStr">
        <is>
          <t>Furie</t>
        </is>
      </c>
      <c r="D928" s="34" t="n"/>
      <c r="E928" s="34" t="n"/>
      <c r="F928" s="34" t="n"/>
      <c r="G928" s="34" t="n"/>
      <c r="H928" s="30" t="inlineStr">
        <is>
          <t>Oui</t>
        </is>
      </c>
    </row>
    <row r="929">
      <c r="A929" s="31" t="n"/>
      <c r="B929" s="34" t="inlineStr">
        <is>
          <t>Poursuite</t>
        </is>
      </c>
      <c r="C929" s="34" t="inlineStr">
        <is>
          <t>Poursuite</t>
        </is>
      </c>
      <c r="D929" s="34" t="n"/>
      <c r="E929" s="34" t="n"/>
      <c r="F929" s="34" t="n"/>
      <c r="G929" s="34" t="n"/>
      <c r="H929" s="30" t="inlineStr">
        <is>
          <t>Oui</t>
        </is>
      </c>
    </row>
    <row r="930">
      <c r="A930" s="31" t="n"/>
      <c r="B930" s="34" t="inlineStr">
        <is>
          <t>Picore</t>
        </is>
      </c>
      <c r="C930" s="34" t="inlineStr">
        <is>
          <t>Picore</t>
        </is>
      </c>
      <c r="D930" s="34" t="n"/>
      <c r="E930" s="34" t="n"/>
      <c r="F930" s="34" t="n"/>
      <c r="G930" s="34" t="n"/>
      <c r="H930" s="30" t="inlineStr">
        <is>
          <t>Oui</t>
        </is>
      </c>
    </row>
    <row r="931">
      <c r="A931" s="31" t="n"/>
      <c r="B931" s="34" t="inlineStr">
        <is>
          <t>Coup Double</t>
        </is>
      </c>
      <c r="C931" s="34" t="inlineStr">
        <is>
          <t>Coup Double</t>
        </is>
      </c>
      <c r="D931" s="34" t="n"/>
      <c r="E931" s="34" t="n"/>
      <c r="F931" s="34" t="n"/>
      <c r="G931" s="34" t="n"/>
      <c r="H931" s="30" t="inlineStr">
        <is>
          <t>Oui</t>
        </is>
      </c>
    </row>
    <row r="932">
      <c r="A932" s="31" t="inlineStr">
        <is>
          <t>Nom</t>
        </is>
      </c>
      <c r="B932" s="32" t="inlineStr">
        <is>
          <t>Élève Mathys</t>
        </is>
      </c>
      <c r="C932" s="32" t="n"/>
      <c r="D932" s="32" t="n"/>
      <c r="E932" s="32" t="n"/>
      <c r="F932" s="32" t="n"/>
      <c r="G932" s="32" t="n"/>
      <c r="H932" s="30" t="inlineStr">
        <is>
          <t>Oui</t>
        </is>
      </c>
    </row>
    <row r="933">
      <c r="A933" s="31" t="inlineStr">
        <is>
          <t>Pokémon</t>
        </is>
      </c>
      <c r="B933" s="33" t="inlineStr">
        <is>
          <t>M. MIME</t>
        </is>
      </c>
      <c r="C933" s="33" t="inlineStr">
        <is>
          <t>MAGNETI</t>
        </is>
      </c>
      <c r="D933" s="33" t="n"/>
      <c r="E933" s="33" t="n"/>
      <c r="F933" s="33" t="n"/>
      <c r="G933" s="33" t="n"/>
      <c r="H933" s="30" t="inlineStr">
        <is>
          <t>Oui</t>
        </is>
      </c>
    </row>
    <row r="934">
      <c r="A934" s="31" t="inlineStr">
        <is>
          <t>Niveau</t>
        </is>
      </c>
      <c r="B934" s="33" t="n">
        <v>22</v>
      </c>
      <c r="C934" s="33" t="n">
        <v>22</v>
      </c>
      <c r="D934" s="33" t="n"/>
      <c r="E934" s="33" t="n"/>
      <c r="F934" s="33" t="n"/>
      <c r="G934" s="33" t="n"/>
      <c r="H934" s="30" t="inlineStr">
        <is>
          <t>Oui</t>
        </is>
      </c>
    </row>
    <row r="935">
      <c r="A935" s="31" t="inlineStr">
        <is>
          <t>Objet</t>
        </is>
      </c>
      <c r="B935" s="33" t="inlineStr">
        <is>
          <t>Aucun</t>
        </is>
      </c>
      <c r="C935" s="33" t="inlineStr">
        <is>
          <t>Aucun</t>
        </is>
      </c>
      <c r="D935" s="33" t="n"/>
      <c r="E935" s="33" t="n"/>
      <c r="F935" s="33" t="n"/>
      <c r="G935" s="33" t="n"/>
      <c r="H935" s="30" t="inlineStr">
        <is>
          <t>Oui</t>
        </is>
      </c>
    </row>
    <row r="936">
      <c r="A936" s="31" t="inlineStr">
        <is>
          <t>Talent</t>
        </is>
      </c>
      <c r="B936" s="33" t="inlineStr">
        <is>
          <t>Anti-Bruit</t>
        </is>
      </c>
      <c r="C936" s="33" t="inlineStr">
        <is>
          <t>Magnépiège</t>
        </is>
      </c>
      <c r="D936" s="33" t="n"/>
      <c r="E936" s="33" t="n"/>
      <c r="F936" s="33" t="n"/>
      <c r="G936" s="33" t="n"/>
      <c r="H936" s="30" t="inlineStr">
        <is>
          <t>Oui</t>
        </is>
      </c>
    </row>
    <row r="937">
      <c r="A937" s="31" t="inlineStr">
        <is>
          <t>Capacités</t>
        </is>
      </c>
      <c r="B937" s="34" t="inlineStr">
        <is>
          <t>Vague Psy</t>
        </is>
      </c>
      <c r="C937" s="34" t="inlineStr">
        <is>
          <t>Bombe Aimant</t>
        </is>
      </c>
      <c r="D937" s="34" t="n"/>
      <c r="E937" s="34" t="n"/>
      <c r="F937" s="34" t="n"/>
      <c r="G937" s="34" t="n"/>
      <c r="H937" s="30" t="inlineStr">
        <is>
          <t>Oui</t>
        </is>
      </c>
    </row>
    <row r="938">
      <c r="A938" s="31" t="n"/>
      <c r="B938" s="34" t="inlineStr">
        <is>
          <t>Encore</t>
        </is>
      </c>
      <c r="C938" s="34" t="inlineStr">
        <is>
          <t>Mur Lumière</t>
        </is>
      </c>
      <c r="D938" s="34" t="n"/>
      <c r="E938" s="34" t="n"/>
      <c r="F938" s="34" t="n"/>
      <c r="G938" s="34" t="n"/>
      <c r="H938" s="30" t="inlineStr">
        <is>
          <t>Oui</t>
        </is>
      </c>
    </row>
    <row r="939">
      <c r="A939" s="31" t="n"/>
      <c r="B939" s="34" t="inlineStr">
        <is>
          <t>Mur Lumière</t>
        </is>
      </c>
      <c r="C939" s="34" t="inlineStr">
        <is>
          <t>Sonic Boom</t>
        </is>
      </c>
      <c r="D939" s="34" t="n"/>
      <c r="E939" s="34" t="n"/>
      <c r="F939" s="34" t="n"/>
      <c r="G939" s="34" t="n"/>
      <c r="H939" s="30" t="inlineStr">
        <is>
          <t>Oui</t>
        </is>
      </c>
    </row>
    <row r="940">
      <c r="A940" s="31" t="n"/>
      <c r="B940" s="34" t="inlineStr">
        <is>
          <t>Protection</t>
        </is>
      </c>
      <c r="C940" s="34" t="inlineStr">
        <is>
          <t>Étincelle</t>
        </is>
      </c>
      <c r="D940" s="34" t="n"/>
      <c r="E940" s="34" t="n"/>
      <c r="F940" s="34" t="n"/>
      <c r="G940" s="34" t="n"/>
      <c r="H940" s="30" t="inlineStr">
        <is>
          <t>Oui</t>
        </is>
      </c>
    </row>
    <row r="941">
      <c r="A941" s="31" t="inlineStr">
        <is>
          <t>Nom</t>
        </is>
      </c>
      <c r="B941" s="32" t="inlineStr">
        <is>
          <t>Fillette Rekka</t>
        </is>
      </c>
      <c r="C941" s="32" t="n"/>
      <c r="D941" s="32" t="n"/>
      <c r="E941" s="32" t="n"/>
      <c r="F941" s="32" t="n"/>
      <c r="G941" s="32" t="n"/>
      <c r="H941" s="30" t="inlineStr">
        <is>
          <t>Oui</t>
        </is>
      </c>
    </row>
    <row r="942">
      <c r="A942" s="31" t="inlineStr">
        <is>
          <t>Pokémon</t>
        </is>
      </c>
      <c r="B942" s="33" t="inlineStr">
        <is>
          <t>LAINERGIE</t>
        </is>
      </c>
      <c r="C942" s="33" t="inlineStr">
        <is>
          <t>PSYKOKWAK</t>
        </is>
      </c>
      <c r="D942" s="33" t="n"/>
      <c r="E942" s="33" t="n"/>
      <c r="F942" s="33" t="n"/>
      <c r="G942" s="33" t="n"/>
      <c r="H942" s="30" t="inlineStr">
        <is>
          <t>Oui</t>
        </is>
      </c>
    </row>
    <row r="943">
      <c r="A943" s="31" t="inlineStr">
        <is>
          <t>Niveau</t>
        </is>
      </c>
      <c r="B943" s="33" t="n">
        <v>19</v>
      </c>
      <c r="C943" s="33" t="n">
        <v>20</v>
      </c>
      <c r="D943" s="33" t="n"/>
      <c r="E943" s="33" t="n"/>
      <c r="F943" s="33" t="n"/>
      <c r="G943" s="33" t="n"/>
      <c r="H943" s="30" t="inlineStr">
        <is>
          <t>Oui</t>
        </is>
      </c>
    </row>
    <row r="944">
      <c r="A944" s="31" t="inlineStr">
        <is>
          <t>Objet</t>
        </is>
      </c>
      <c r="B944" s="33" t="inlineStr">
        <is>
          <t>Aucun</t>
        </is>
      </c>
      <c r="C944" s="33" t="inlineStr">
        <is>
          <t>Aucun</t>
        </is>
      </c>
      <c r="D944" s="33" t="n"/>
      <c r="E944" s="33" t="n"/>
      <c r="F944" s="33" t="n"/>
      <c r="G944" s="33" t="n"/>
      <c r="H944" s="30" t="inlineStr">
        <is>
          <t>Oui</t>
        </is>
      </c>
    </row>
    <row r="945">
      <c r="A945" s="31" t="inlineStr">
        <is>
          <t>Talent</t>
        </is>
      </c>
      <c r="B945" s="33" t="inlineStr">
        <is>
          <t>Statik</t>
        </is>
      </c>
      <c r="C945" s="33" t="inlineStr">
        <is>
          <t>Moiteur</t>
        </is>
      </c>
      <c r="D945" s="33" t="n"/>
      <c r="E945" s="33" t="n"/>
      <c r="F945" s="33" t="n"/>
      <c r="G945" s="33" t="n"/>
      <c r="H945" s="30" t="inlineStr">
        <is>
          <t>Oui</t>
        </is>
      </c>
    </row>
    <row r="946">
      <c r="A946" s="31" t="inlineStr">
        <is>
          <t>Capacités</t>
        </is>
      </c>
      <c r="B946" s="34" t="inlineStr">
        <is>
          <t>Cage Éclair</t>
        </is>
      </c>
      <c r="C946" s="34" t="inlineStr">
        <is>
          <t>Choc Mental</t>
        </is>
      </c>
      <c r="D946" s="34" t="n"/>
      <c r="E946" s="34" t="n"/>
      <c r="F946" s="34" t="n"/>
      <c r="G946" s="34" t="n"/>
      <c r="H946" s="30" t="inlineStr">
        <is>
          <t>Oui</t>
        </is>
      </c>
    </row>
    <row r="947">
      <c r="A947" s="31" t="n"/>
      <c r="B947" s="34" t="inlineStr">
        <is>
          <t>Éclair</t>
        </is>
      </c>
      <c r="C947" s="34" t="inlineStr">
        <is>
          <t>Combo-Griffe</t>
        </is>
      </c>
      <c r="D947" s="34" t="n"/>
      <c r="E947" s="34" t="n"/>
      <c r="F947" s="34" t="n"/>
      <c r="G947" s="34" t="n"/>
      <c r="H947" s="30" t="inlineStr">
        <is>
          <t>Oui</t>
        </is>
      </c>
    </row>
    <row r="948">
      <c r="A948" s="31" t="n"/>
      <c r="B948" s="34" t="inlineStr">
        <is>
          <t>Spore Coton</t>
        </is>
      </c>
      <c r="C948" s="34" t="inlineStr">
        <is>
          <t>Vibraqua</t>
        </is>
      </c>
      <c r="D948" s="34" t="n"/>
      <c r="E948" s="34" t="n"/>
      <c r="F948" s="34" t="n"/>
      <c r="G948" s="34" t="n"/>
      <c r="H948" s="30" t="inlineStr">
        <is>
          <t>Oui</t>
        </is>
      </c>
    </row>
    <row r="949">
      <c r="A949" s="31" t="n"/>
      <c r="B949" s="34" t="inlineStr">
        <is>
          <t>Chargeur</t>
        </is>
      </c>
      <c r="C949" s="34" t="inlineStr">
        <is>
          <t>Entrave</t>
        </is>
      </c>
      <c r="D949" s="34" t="n"/>
      <c r="E949" s="34" t="n"/>
      <c r="F949" s="34" t="n"/>
      <c r="G949" s="34" t="n"/>
      <c r="H949" s="30" t="inlineStr">
        <is>
          <t>Oui</t>
        </is>
      </c>
    </row>
    <row r="950">
      <c r="A950" s="31" t="inlineStr">
        <is>
          <t>Nom</t>
        </is>
      </c>
      <c r="B950" s="32" t="inlineStr">
        <is>
          <t>Canon Cléo</t>
        </is>
      </c>
      <c r="C950" s="32" t="n"/>
      <c r="D950" s="32" t="n"/>
      <c r="E950" s="32" t="n"/>
      <c r="F950" s="32" t="n"/>
      <c r="G950" s="32" t="n"/>
      <c r="H950" s="30" t="inlineStr">
        <is>
          <t>Oui</t>
        </is>
      </c>
    </row>
    <row r="951">
      <c r="A951" s="31" t="inlineStr">
        <is>
          <t>Pokémon</t>
        </is>
      </c>
      <c r="B951" s="33" t="inlineStr">
        <is>
          <t>FLORAVOL</t>
        </is>
      </c>
      <c r="C951" s="33" t="inlineStr">
        <is>
          <t>ECREMEUH</t>
        </is>
      </c>
      <c r="D951" s="33" t="n"/>
      <c r="E951" s="33" t="n"/>
      <c r="F951" s="33" t="n"/>
      <c r="G951" s="33" t="n"/>
      <c r="H951" s="30" t="inlineStr">
        <is>
          <t>Oui</t>
        </is>
      </c>
    </row>
    <row r="952">
      <c r="A952" s="31" t="inlineStr">
        <is>
          <t>Niveau</t>
        </is>
      </c>
      <c r="B952" s="33" t="n">
        <v>22</v>
      </c>
      <c r="C952" s="33" t="n">
        <v>21</v>
      </c>
      <c r="D952" s="33" t="n"/>
      <c r="E952" s="33" t="n"/>
      <c r="F952" s="33" t="n"/>
      <c r="G952" s="33" t="n"/>
      <c r="H952" s="30" t="inlineStr">
        <is>
          <t>Oui</t>
        </is>
      </c>
    </row>
    <row r="953">
      <c r="A953" s="31" t="inlineStr">
        <is>
          <t>Objet</t>
        </is>
      </c>
      <c r="B953" s="33" t="inlineStr">
        <is>
          <t>Aucun</t>
        </is>
      </c>
      <c r="C953" s="33" t="inlineStr">
        <is>
          <t>Aucun</t>
        </is>
      </c>
      <c r="D953" s="33" t="n"/>
      <c r="E953" s="33" t="n"/>
      <c r="F953" s="33" t="n"/>
      <c r="G953" s="33" t="n"/>
      <c r="H953" s="30" t="inlineStr">
        <is>
          <t>Oui</t>
        </is>
      </c>
    </row>
    <row r="954">
      <c r="A954" s="31" t="inlineStr">
        <is>
          <t>Talent</t>
        </is>
      </c>
      <c r="B954" s="33" t="inlineStr">
        <is>
          <t>Chlorophylle</t>
        </is>
      </c>
      <c r="C954" s="33" t="inlineStr">
        <is>
          <t>Isograisse</t>
        </is>
      </c>
      <c r="D954" s="33" t="n"/>
      <c r="E954" s="33" t="n"/>
      <c r="F954" s="33" t="n"/>
      <c r="G954" s="33" t="n"/>
      <c r="H954" s="30" t="inlineStr">
        <is>
          <t>Oui</t>
        </is>
      </c>
    </row>
    <row r="955">
      <c r="A955" s="31" t="inlineStr">
        <is>
          <t>Capacités</t>
        </is>
      </c>
      <c r="B955" s="34" t="inlineStr">
        <is>
          <t>Poudre Toxik</t>
        </is>
      </c>
      <c r="C955" s="34" t="inlineStr">
        <is>
          <t>Écrasement</t>
        </is>
      </c>
      <c r="D955" s="34" t="n"/>
      <c r="E955" s="34" t="n"/>
      <c r="F955" s="34" t="n"/>
      <c r="G955" s="34" t="n"/>
      <c r="H955" s="30" t="inlineStr">
        <is>
          <t>Oui</t>
        </is>
      </c>
    </row>
    <row r="956">
      <c r="A956" s="31" t="n"/>
      <c r="B956" s="34" t="inlineStr">
        <is>
          <t>Para-Spore</t>
        </is>
      </c>
      <c r="C956" s="34" t="inlineStr">
        <is>
          <t>Lait à Boire</t>
        </is>
      </c>
      <c r="D956" s="34" t="n"/>
      <c r="E956" s="34" t="n"/>
      <c r="F956" s="34" t="n"/>
      <c r="G956" s="34" t="n"/>
      <c r="H956" s="30" t="inlineStr">
        <is>
          <t>Oui</t>
        </is>
      </c>
    </row>
    <row r="957">
      <c r="A957" s="31" t="n"/>
      <c r="B957" s="34" t="inlineStr">
        <is>
          <t>Poudre Dodo</t>
        </is>
      </c>
      <c r="C957" s="34" t="inlineStr">
        <is>
          <t>Patience</t>
        </is>
      </c>
      <c r="D957" s="34" t="n"/>
      <c r="E957" s="34" t="n"/>
      <c r="F957" s="34" t="n"/>
      <c r="G957" s="34" t="n"/>
      <c r="H957" s="30" t="inlineStr">
        <is>
          <t>Oui</t>
        </is>
      </c>
    </row>
    <row r="958">
      <c r="A958" s="31" t="n"/>
      <c r="B958" s="34" t="inlineStr">
        <is>
          <t>Balle Graine</t>
        </is>
      </c>
      <c r="C958" s="34" t="inlineStr">
        <is>
          <t>Roulade</t>
        </is>
      </c>
      <c r="D958" s="34" t="n"/>
      <c r="E958" s="34" t="n"/>
      <c r="F958" s="34" t="n"/>
      <c r="G958" s="34" t="n"/>
      <c r="H958" s="30" t="inlineStr">
        <is>
          <t>Oui</t>
        </is>
      </c>
    </row>
    <row r="959">
      <c r="A959" s="31" t="inlineStr">
        <is>
          <t>Nom</t>
        </is>
      </c>
      <c r="B959" s="32" t="inlineStr">
        <is>
          <t>Marin Isaac</t>
        </is>
      </c>
      <c r="C959" s="32" t="n"/>
      <c r="D959" s="32" t="n"/>
      <c r="E959" s="32" t="n"/>
      <c r="F959" s="32" t="n"/>
      <c r="G959" s="32" t="n"/>
      <c r="H959" s="30" t="inlineStr">
        <is>
          <t>Oui</t>
        </is>
      </c>
    </row>
    <row r="960">
      <c r="A960" s="31" t="inlineStr">
        <is>
          <t>Pokémon</t>
        </is>
      </c>
      <c r="B960" s="33" t="inlineStr">
        <is>
          <t>MARAISTE</t>
        </is>
      </c>
      <c r="C960" s="33" t="n"/>
      <c r="D960" s="33" t="n"/>
      <c r="E960" s="33" t="n"/>
      <c r="F960" s="33" t="n"/>
      <c r="G960" s="33" t="n"/>
      <c r="H960" s="30" t="inlineStr">
        <is>
          <t>Oui</t>
        </is>
      </c>
    </row>
    <row r="961">
      <c r="A961" s="31" t="inlineStr">
        <is>
          <t>Niveau</t>
        </is>
      </c>
      <c r="B961" s="33" t="n">
        <v>23</v>
      </c>
      <c r="C961" s="33" t="n"/>
      <c r="D961" s="33" t="n"/>
      <c r="E961" s="33" t="n"/>
      <c r="F961" s="33" t="n"/>
      <c r="G961" s="33" t="n"/>
      <c r="H961" s="30" t="inlineStr">
        <is>
          <t>Oui</t>
        </is>
      </c>
    </row>
    <row r="962">
      <c r="A962" s="31" t="inlineStr">
        <is>
          <t>Objet</t>
        </is>
      </c>
      <c r="B962" s="33" t="inlineStr">
        <is>
          <t>Aucun</t>
        </is>
      </c>
      <c r="C962" s="33" t="n"/>
      <c r="D962" s="33" t="n"/>
      <c r="E962" s="33" t="n"/>
      <c r="F962" s="33" t="n"/>
      <c r="G962" s="33" t="n"/>
      <c r="H962" s="30" t="inlineStr">
        <is>
          <t>Oui</t>
        </is>
      </c>
    </row>
    <row r="963">
      <c r="A963" s="31" t="inlineStr">
        <is>
          <t>Talent</t>
        </is>
      </c>
      <c r="B963" s="33" t="inlineStr">
        <is>
          <t>Moiteur</t>
        </is>
      </c>
      <c r="C963" s="33" t="n"/>
      <c r="D963" s="33" t="n"/>
      <c r="E963" s="33" t="n"/>
      <c r="F963" s="33" t="n"/>
      <c r="G963" s="33" t="n"/>
      <c r="H963" s="30" t="inlineStr">
        <is>
          <t>Oui</t>
        </is>
      </c>
    </row>
    <row r="964">
      <c r="A964" s="31" t="inlineStr">
        <is>
          <t>Capacités</t>
        </is>
      </c>
      <c r="B964" s="34" t="inlineStr">
        <is>
          <t>Lance-Boue</t>
        </is>
      </c>
      <c r="C964" s="34" t="n"/>
      <c r="D964" s="34" t="n"/>
      <c r="E964" s="34" t="n"/>
      <c r="F964" s="34" t="n"/>
      <c r="G964" s="34" t="n"/>
      <c r="H964" s="30" t="inlineStr">
        <is>
          <t>Oui</t>
        </is>
      </c>
    </row>
    <row r="965">
      <c r="A965" s="31" t="n"/>
      <c r="B965" s="34" t="inlineStr">
        <is>
          <t>Tir de Boue</t>
        </is>
      </c>
      <c r="C965" s="34" t="n"/>
      <c r="D965" s="34" t="n"/>
      <c r="E965" s="34" t="n"/>
      <c r="F965" s="34" t="n"/>
      <c r="G965" s="34" t="n"/>
      <c r="H965" s="30" t="inlineStr">
        <is>
          <t>Oui</t>
        </is>
      </c>
    </row>
    <row r="966">
      <c r="A966" s="31" t="n"/>
      <c r="B966" s="34" t="inlineStr">
        <is>
          <t>Souplesse</t>
        </is>
      </c>
      <c r="C966" s="34" t="n"/>
      <c r="D966" s="34" t="n"/>
      <c r="E966" s="34" t="n"/>
      <c r="F966" s="34" t="n"/>
      <c r="G966" s="34" t="n"/>
      <c r="H966" s="30" t="inlineStr">
        <is>
          <t>Oui</t>
        </is>
      </c>
    </row>
    <row r="967">
      <c r="A967" s="31" t="n"/>
      <c r="B967" s="34" t="inlineStr">
        <is>
          <t>Boue-Bombe</t>
        </is>
      </c>
      <c r="C967" s="34" t="n"/>
      <c r="D967" s="34" t="n"/>
      <c r="E967" s="34" t="n"/>
      <c r="F967" s="34" t="n"/>
      <c r="G967" s="34" t="n"/>
      <c r="H967" s="30" t="inlineStr">
        <is>
          <t>Oui</t>
        </is>
      </c>
    </row>
    <row r="968">
      <c r="A968" s="31" t="inlineStr">
        <is>
          <t>Nom</t>
        </is>
      </c>
      <c r="B968" s="32" t="inlineStr">
        <is>
          <t>Canon Loanna</t>
        </is>
      </c>
      <c r="C968" s="32" t="n"/>
      <c r="D968" s="32" t="n"/>
      <c r="E968" s="32" t="n"/>
      <c r="F968" s="32" t="n"/>
      <c r="G968" s="32" t="n"/>
      <c r="H968" s="30" t="inlineStr">
        <is>
          <t>Oui</t>
        </is>
      </c>
    </row>
    <row r="969">
      <c r="A969" s="31" t="inlineStr">
        <is>
          <t>Pokémon</t>
        </is>
      </c>
      <c r="B969" s="33" t="inlineStr">
        <is>
          <t>CORAYON</t>
        </is>
      </c>
      <c r="C969" s="33" t="n"/>
      <c r="D969" s="33" t="n"/>
      <c r="E969" s="33" t="n"/>
      <c r="F969" s="33" t="n"/>
      <c r="G969" s="33" t="n"/>
      <c r="H969" s="30" t="inlineStr">
        <is>
          <t>Oui</t>
        </is>
      </c>
    </row>
    <row r="970">
      <c r="A970" s="31" t="inlineStr">
        <is>
          <t>Niveau</t>
        </is>
      </c>
      <c r="B970" s="33" t="n">
        <v>21</v>
      </c>
      <c r="C970" s="33" t="n"/>
      <c r="D970" s="33" t="n"/>
      <c r="E970" s="33" t="n"/>
      <c r="F970" s="33" t="n"/>
      <c r="G970" s="33" t="n"/>
      <c r="H970" s="30" t="inlineStr">
        <is>
          <t>Oui</t>
        </is>
      </c>
    </row>
    <row r="971">
      <c r="A971" s="31" t="inlineStr">
        <is>
          <t>Objet</t>
        </is>
      </c>
      <c r="B971" s="33" t="inlineStr">
        <is>
          <t>Aucun</t>
        </is>
      </c>
      <c r="C971" s="33" t="n"/>
      <c r="D971" s="33" t="n"/>
      <c r="E971" s="33" t="n"/>
      <c r="F971" s="33" t="n"/>
      <c r="G971" s="33" t="n"/>
      <c r="H971" s="30" t="inlineStr">
        <is>
          <t>Oui</t>
        </is>
      </c>
    </row>
    <row r="972">
      <c r="A972" s="31" t="inlineStr">
        <is>
          <t>Talent</t>
        </is>
      </c>
      <c r="B972" s="33" t="inlineStr">
        <is>
          <t>Agitation</t>
        </is>
      </c>
      <c r="C972" s="33" t="n"/>
      <c r="D972" s="33" t="n"/>
      <c r="E972" s="33" t="n"/>
      <c r="F972" s="33" t="n"/>
      <c r="G972" s="33" t="n"/>
      <c r="H972" s="30" t="inlineStr">
        <is>
          <t>Oui</t>
        </is>
      </c>
    </row>
    <row r="973">
      <c r="A973" s="31" t="inlineStr">
        <is>
          <t>Capacités</t>
        </is>
      </c>
      <c r="B973" s="34" t="inlineStr">
        <is>
          <t>Bulles d'O</t>
        </is>
      </c>
      <c r="C973" s="34" t="n"/>
      <c r="D973" s="34" t="n"/>
      <c r="E973" s="34" t="n"/>
      <c r="F973" s="34" t="n"/>
      <c r="G973" s="34" t="n"/>
      <c r="H973" s="30" t="inlineStr">
        <is>
          <t>Oui</t>
        </is>
      </c>
    </row>
    <row r="974">
      <c r="A974" s="31" t="n"/>
      <c r="B974" s="34" t="inlineStr">
        <is>
          <t>Régénération</t>
        </is>
      </c>
      <c r="C974" s="34" t="n"/>
      <c r="D974" s="34" t="n"/>
      <c r="E974" s="34" t="n"/>
      <c r="F974" s="34" t="n"/>
      <c r="G974" s="34" t="n"/>
      <c r="H974" s="30" t="inlineStr">
        <is>
          <t>Oui</t>
        </is>
      </c>
    </row>
    <row r="975">
      <c r="A975" s="31" t="n"/>
      <c r="B975" s="34" t="inlineStr">
        <is>
          <t>Pouvoir Antique</t>
        </is>
      </c>
      <c r="C975" s="34" t="n"/>
      <c r="D975" s="34" t="n"/>
      <c r="E975" s="34" t="n"/>
      <c r="F975" s="34" t="n"/>
      <c r="G975" s="34" t="n"/>
      <c r="H975" s="30" t="inlineStr">
        <is>
          <t>Oui</t>
        </is>
      </c>
    </row>
    <row r="976">
      <c r="A976" s="31" t="n"/>
      <c r="B976" s="34" t="inlineStr">
        <is>
          <t>Picanon</t>
        </is>
      </c>
      <c r="C976" s="34" t="n"/>
      <c r="D976" s="34" t="n"/>
      <c r="E976" s="34" t="n"/>
      <c r="F976" s="34" t="n"/>
      <c r="G976" s="34" t="n"/>
      <c r="H976" s="30" t="inlineStr">
        <is>
          <t>Oui</t>
        </is>
      </c>
    </row>
    <row r="977" ht="18" customHeight="1">
      <c r="A977" s="26" t="inlineStr">
        <is>
          <t>Route 39</t>
        </is>
      </c>
      <c r="B977" s="26" t="n"/>
      <c r="C977" s="26" t="n"/>
      <c r="D977" s="26" t="n"/>
      <c r="E977" s="26" t="n"/>
      <c r="F977" s="26" t="n"/>
      <c r="G977" s="26" t="n"/>
      <c r="H977" s="30" t="inlineStr">
        <is>
          <t>Oui</t>
        </is>
      </c>
    </row>
    <row r="978">
      <c r="A978" s="31" t="inlineStr">
        <is>
          <t>Nom</t>
        </is>
      </c>
      <c r="B978" s="32" t="inlineStr">
        <is>
          <t>Marin Jacob</t>
        </is>
      </c>
      <c r="C978" s="32" t="n"/>
      <c r="D978" s="32" t="n"/>
      <c r="E978" s="32" t="n"/>
      <c r="F978" s="32" t="n"/>
      <c r="G978" s="32" t="n"/>
      <c r="H978" s="30" t="inlineStr">
        <is>
          <t>Oui</t>
        </is>
      </c>
    </row>
    <row r="979">
      <c r="A979" s="31" t="inlineStr">
        <is>
          <t>Pokémon</t>
        </is>
      </c>
      <c r="B979" s="33" t="inlineStr">
        <is>
          <t>TETARTE</t>
        </is>
      </c>
      <c r="C979" s="33" t="inlineStr">
        <is>
          <t>TAUROS</t>
        </is>
      </c>
      <c r="D979" s="33" t="n"/>
      <c r="E979" s="33" t="n"/>
      <c r="F979" s="33" t="n"/>
      <c r="G979" s="33" t="n"/>
      <c r="H979" s="30" t="inlineStr">
        <is>
          <t>Oui</t>
        </is>
      </c>
    </row>
    <row r="980">
      <c r="A980" s="31" t="inlineStr">
        <is>
          <t>Niveau</t>
        </is>
      </c>
      <c r="B980" s="33" t="n">
        <v>20</v>
      </c>
      <c r="C980" s="33" t="n">
        <v>22</v>
      </c>
      <c r="D980" s="33" t="n"/>
      <c r="E980" s="33" t="n"/>
      <c r="F980" s="33" t="n"/>
      <c r="G980" s="33" t="n"/>
      <c r="H980" s="30" t="inlineStr">
        <is>
          <t>Oui</t>
        </is>
      </c>
    </row>
    <row r="981">
      <c r="A981" s="31" t="inlineStr">
        <is>
          <t>Objet</t>
        </is>
      </c>
      <c r="B981" s="33" t="inlineStr">
        <is>
          <t>Aucun</t>
        </is>
      </c>
      <c r="C981" s="33" t="inlineStr">
        <is>
          <t>Aucun</t>
        </is>
      </c>
      <c r="D981" s="33" t="n"/>
      <c r="E981" s="33" t="n"/>
      <c r="F981" s="33" t="n"/>
      <c r="G981" s="33" t="n"/>
      <c r="H981" s="30" t="inlineStr">
        <is>
          <t>Oui</t>
        </is>
      </c>
    </row>
    <row r="982">
      <c r="A982" s="31" t="inlineStr">
        <is>
          <t>Talent</t>
        </is>
      </c>
      <c r="B982" s="33" t="inlineStr">
        <is>
          <t>Absorbe-Eau</t>
        </is>
      </c>
      <c r="C982" s="33" t="inlineStr">
        <is>
          <t>Intimidation</t>
        </is>
      </c>
      <c r="D982" s="33" t="n"/>
      <c r="E982" s="33" t="n"/>
      <c r="F982" s="33" t="n"/>
      <c r="G982" s="33" t="n"/>
      <c r="H982" s="30" t="inlineStr">
        <is>
          <t>Oui</t>
        </is>
      </c>
    </row>
    <row r="983">
      <c r="A983" s="31" t="inlineStr">
        <is>
          <t>Capacités</t>
        </is>
      </c>
      <c r="B983" s="34" t="inlineStr">
        <is>
          <t>Hypnose</t>
        </is>
      </c>
      <c r="C983" s="34" t="inlineStr">
        <is>
          <t>Koud'Korne</t>
        </is>
      </c>
      <c r="D983" s="34" t="n"/>
      <c r="E983" s="34" t="n"/>
      <c r="F983" s="34" t="n"/>
      <c r="G983" s="34" t="n"/>
      <c r="H983" s="30" t="inlineStr">
        <is>
          <t>Oui</t>
        </is>
      </c>
    </row>
    <row r="984">
      <c r="A984" s="31" t="n"/>
      <c r="B984" s="34" t="inlineStr">
        <is>
          <t>Écume</t>
        </is>
      </c>
      <c r="C984" s="34" t="inlineStr">
        <is>
          <t>Grimace</t>
        </is>
      </c>
      <c r="D984" s="34" t="n"/>
      <c r="E984" s="34" t="n"/>
      <c r="F984" s="34" t="n"/>
      <c r="G984" s="34" t="n"/>
      <c r="H984" s="30" t="inlineStr">
        <is>
          <t>Oui</t>
        </is>
      </c>
    </row>
    <row r="985">
      <c r="A985" s="31" t="n"/>
      <c r="B985" s="34" t="inlineStr">
        <is>
          <t>Torgnoles</t>
        </is>
      </c>
      <c r="C985" s="34" t="inlineStr">
        <is>
          <t>Poursuite</t>
        </is>
      </c>
      <c r="D985" s="34" t="n"/>
      <c r="E985" s="34" t="n"/>
      <c r="F985" s="34" t="n"/>
      <c r="G985" s="34" t="n"/>
      <c r="H985" s="30" t="inlineStr">
        <is>
          <t>Oui</t>
        </is>
      </c>
    </row>
    <row r="986">
      <c r="A986" s="31" t="n"/>
      <c r="B986" s="34" t="inlineStr">
        <is>
          <t>Danse Pluie</t>
        </is>
      </c>
      <c r="C986" s="34" t="inlineStr">
        <is>
          <t>Repos</t>
        </is>
      </c>
      <c r="D986" s="34" t="n"/>
      <c r="E986" s="34" t="n"/>
      <c r="F986" s="34" t="n"/>
      <c r="G986" s="34" t="n"/>
      <c r="H986" s="30" t="inlineStr">
        <is>
          <t>Oui</t>
        </is>
      </c>
    </row>
    <row r="987">
      <c r="A987" s="31" t="inlineStr">
        <is>
          <t>Nom</t>
        </is>
      </c>
      <c r="B987" s="32" t="inlineStr">
        <is>
          <t>Pokéfan Djamil</t>
        </is>
      </c>
      <c r="C987" s="32" t="n"/>
      <c r="D987" s="32" t="n"/>
      <c r="E987" s="32" t="n"/>
      <c r="F987" s="32" t="n"/>
      <c r="G987" s="32" t="n"/>
      <c r="H987" s="30" t="inlineStr">
        <is>
          <t>Oui</t>
        </is>
      </c>
    </row>
    <row r="988">
      <c r="A988" s="31" t="inlineStr">
        <is>
          <t>Pokémon</t>
        </is>
      </c>
      <c r="B988" s="33" t="inlineStr">
        <is>
          <t>PIKACHU</t>
        </is>
      </c>
      <c r="C988" s="33" t="inlineStr">
        <is>
          <t>PONYTA</t>
        </is>
      </c>
      <c r="D988" s="33" t="n"/>
      <c r="E988" s="33" t="n"/>
      <c r="F988" s="33" t="n"/>
      <c r="G988" s="33" t="n"/>
      <c r="H988" s="30" t="inlineStr">
        <is>
          <t>Oui</t>
        </is>
      </c>
    </row>
    <row r="989">
      <c r="A989" s="31" t="inlineStr">
        <is>
          <t>Niveau</t>
        </is>
      </c>
      <c r="B989" s="33" t="n">
        <v>22</v>
      </c>
      <c r="C989" s="33" t="n">
        <v>22</v>
      </c>
      <c r="D989" s="33" t="n"/>
      <c r="E989" s="33" t="n"/>
      <c r="F989" s="33" t="n"/>
      <c r="G989" s="33" t="n"/>
      <c r="H989" s="30" t="inlineStr">
        <is>
          <t>Oui</t>
        </is>
      </c>
    </row>
    <row r="990">
      <c r="A990" s="31" t="inlineStr">
        <is>
          <t>Objet</t>
        </is>
      </c>
      <c r="B990" s="33" t="inlineStr">
        <is>
          <t>Aucun</t>
        </is>
      </c>
      <c r="C990" s="33" t="inlineStr">
        <is>
          <t>Aucun</t>
        </is>
      </c>
      <c r="D990" s="33" t="n"/>
      <c r="E990" s="33" t="n"/>
      <c r="F990" s="33" t="n"/>
      <c r="G990" s="33" t="n"/>
      <c r="H990" s="30" t="inlineStr">
        <is>
          <t>Oui</t>
        </is>
      </c>
    </row>
    <row r="991">
      <c r="A991" s="31" t="inlineStr">
        <is>
          <t>Talent</t>
        </is>
      </c>
      <c r="B991" s="33" t="inlineStr">
        <is>
          <t>Statik</t>
        </is>
      </c>
      <c r="C991" s="33" t="inlineStr">
        <is>
          <t>Fuite</t>
        </is>
      </c>
      <c r="D991" s="33" t="n"/>
      <c r="E991" s="33" t="n"/>
      <c r="F991" s="33" t="n"/>
      <c r="G991" s="33" t="n"/>
      <c r="H991" s="30" t="inlineStr">
        <is>
          <t>Oui</t>
        </is>
      </c>
    </row>
    <row r="992">
      <c r="A992" s="31" t="inlineStr">
        <is>
          <t>Capacités</t>
        </is>
      </c>
      <c r="B992" s="34" t="inlineStr">
        <is>
          <t>Vive-Attaque</t>
        </is>
      </c>
      <c r="C992" s="34" t="inlineStr">
        <is>
          <t>Flammèche</t>
        </is>
      </c>
      <c r="D992" s="34" t="n"/>
      <c r="E992" s="34" t="n"/>
      <c r="F992" s="34" t="n"/>
      <c r="G992" s="34" t="n"/>
      <c r="H992" s="30" t="inlineStr">
        <is>
          <t>Oui</t>
        </is>
      </c>
    </row>
    <row r="993">
      <c r="A993" s="31" t="n"/>
      <c r="B993" s="34" t="inlineStr">
        <is>
          <t>Boule Élek</t>
        </is>
      </c>
      <c r="C993" s="34" t="inlineStr">
        <is>
          <t>Roue de Feu</t>
        </is>
      </c>
      <c r="D993" s="34" t="n"/>
      <c r="E993" s="34" t="n"/>
      <c r="F993" s="34" t="n"/>
      <c r="G993" s="34" t="n"/>
      <c r="H993" s="30" t="inlineStr">
        <is>
          <t>Oui</t>
        </is>
      </c>
    </row>
    <row r="994">
      <c r="A994" s="31" t="n"/>
      <c r="B994" s="34" t="inlineStr">
        <is>
          <t>Cage Éclair</t>
        </is>
      </c>
      <c r="C994" s="34" t="inlineStr">
        <is>
          <t>Écrasement</t>
        </is>
      </c>
      <c r="D994" s="34" t="n"/>
      <c r="E994" s="34" t="n"/>
      <c r="F994" s="34" t="n"/>
      <c r="G994" s="34" t="n"/>
      <c r="H994" s="30" t="inlineStr">
        <is>
          <t>Oui</t>
        </is>
      </c>
    </row>
    <row r="995">
      <c r="A995" s="31" t="n"/>
      <c r="B995" s="34" t="inlineStr">
        <is>
          <t>Ruse</t>
        </is>
      </c>
      <c r="C995" s="34" t="inlineStr">
        <is>
          <t>Nitrocharge</t>
        </is>
      </c>
      <c r="D995" s="34" t="n"/>
      <c r="E995" s="34" t="n"/>
      <c r="F995" s="34" t="n"/>
      <c r="G995" s="34" t="n"/>
      <c r="H995" s="30" t="inlineStr">
        <is>
          <t>Oui</t>
        </is>
      </c>
    </row>
    <row r="996">
      <c r="A996" s="31" t="inlineStr">
        <is>
          <t>Nom</t>
        </is>
      </c>
      <c r="B996" s="32" t="inlineStr">
        <is>
          <t>Sœur Parasol Tatiana</t>
        </is>
      </c>
      <c r="C996" s="32" t="n"/>
      <c r="D996" s="32" t="n"/>
      <c r="E996" s="32" t="n"/>
      <c r="F996" s="32" t="n"/>
      <c r="G996" s="32" t="n"/>
      <c r="H996" s="30" t="inlineStr">
        <is>
          <t>Oui</t>
        </is>
      </c>
    </row>
    <row r="997">
      <c r="A997" s="31" t="inlineStr">
        <is>
          <t>Pokémon</t>
        </is>
      </c>
      <c r="B997" s="33" t="inlineStr">
        <is>
          <t>PIKACHU</t>
        </is>
      </c>
      <c r="C997" s="33" t="n"/>
      <c r="D997" s="33" t="n"/>
      <c r="E997" s="33" t="n"/>
      <c r="F997" s="33" t="n"/>
      <c r="G997" s="33" t="n"/>
      <c r="H997" s="30" t="inlineStr">
        <is>
          <t>Oui</t>
        </is>
      </c>
    </row>
    <row r="998">
      <c r="A998" s="31" t="inlineStr">
        <is>
          <t>Niveau</t>
        </is>
      </c>
      <c r="B998" s="33" t="n">
        <v>23</v>
      </c>
      <c r="C998" s="33" t="n"/>
      <c r="D998" s="33" t="n"/>
      <c r="E998" s="33" t="n"/>
      <c r="F998" s="33" t="n"/>
      <c r="G998" s="33" t="n"/>
      <c r="H998" s="30" t="inlineStr">
        <is>
          <t>Oui</t>
        </is>
      </c>
    </row>
    <row r="999">
      <c r="A999" s="31" t="inlineStr">
        <is>
          <t>Objet</t>
        </is>
      </c>
      <c r="B999" s="33" t="inlineStr">
        <is>
          <t>Aucun</t>
        </is>
      </c>
      <c r="C999" s="33" t="n"/>
      <c r="D999" s="33" t="n"/>
      <c r="E999" s="33" t="n"/>
      <c r="F999" s="33" t="n"/>
      <c r="G999" s="33" t="n"/>
      <c r="H999" s="30" t="inlineStr">
        <is>
          <t>Oui</t>
        </is>
      </c>
    </row>
    <row r="1000">
      <c r="A1000" s="31" t="inlineStr">
        <is>
          <t>Talent</t>
        </is>
      </c>
      <c r="B1000" s="33" t="inlineStr">
        <is>
          <t>Statik</t>
        </is>
      </c>
      <c r="C1000" s="33" t="n"/>
      <c r="D1000" s="33" t="n"/>
      <c r="E1000" s="33" t="n"/>
      <c r="F1000" s="33" t="n"/>
      <c r="G1000" s="33" t="n"/>
      <c r="H1000" s="30" t="inlineStr">
        <is>
          <t>Oui</t>
        </is>
      </c>
    </row>
    <row r="1001">
      <c r="A1001" s="31" t="inlineStr">
        <is>
          <t>Capacités</t>
        </is>
      </c>
      <c r="B1001" s="34" t="inlineStr">
        <is>
          <t>Boule Élek</t>
        </is>
      </c>
      <c r="C1001" s="34" t="n"/>
      <c r="D1001" s="34" t="n"/>
      <c r="E1001" s="34" t="n"/>
      <c r="F1001" s="34" t="n"/>
      <c r="G1001" s="34" t="n"/>
      <c r="H1001" s="30" t="inlineStr">
        <is>
          <t>Oui</t>
        </is>
      </c>
    </row>
    <row r="1002">
      <c r="A1002" s="31" t="n"/>
      <c r="B1002" s="34" t="inlineStr">
        <is>
          <t>Cage Éclair</t>
        </is>
      </c>
      <c r="C1002" s="34" t="n"/>
      <c r="D1002" s="34" t="n"/>
      <c r="E1002" s="34" t="n"/>
      <c r="F1002" s="34" t="n"/>
      <c r="G1002" s="34" t="n"/>
      <c r="H1002" s="30" t="inlineStr">
        <is>
          <t>Oui</t>
        </is>
      </c>
    </row>
    <row r="1003">
      <c r="A1003" s="31" t="n"/>
      <c r="B1003" s="34" t="inlineStr">
        <is>
          <t>Ruse</t>
        </is>
      </c>
      <c r="C1003" s="34" t="n"/>
      <c r="D1003" s="34" t="n"/>
      <c r="E1003" s="34" t="n"/>
      <c r="F1003" s="34" t="n"/>
      <c r="G1003" s="34" t="n"/>
      <c r="H1003" s="30" t="inlineStr">
        <is>
          <t>Oui</t>
        </is>
      </c>
    </row>
    <row r="1004">
      <c r="A1004" s="31" t="n"/>
      <c r="B1004" s="34" t="inlineStr">
        <is>
          <t>Reflet</t>
        </is>
      </c>
      <c r="C1004" s="34" t="n"/>
      <c r="D1004" s="34" t="n"/>
      <c r="E1004" s="34" t="n"/>
      <c r="F1004" s="34" t="n"/>
      <c r="G1004" s="34" t="n"/>
      <c r="H1004" s="30" t="inlineStr">
        <is>
          <t>Oui</t>
        </is>
      </c>
    </row>
    <row r="1005">
      <c r="A1005" s="31" t="inlineStr">
        <is>
          <t>Nom</t>
        </is>
      </c>
      <c r="B1005" s="32" t="inlineStr">
        <is>
          <t>Kinésiste Damien</t>
        </is>
      </c>
      <c r="C1005" s="32" t="n"/>
      <c r="D1005" s="32" t="n"/>
      <c r="E1005" s="32" t="n"/>
      <c r="F1005" s="32" t="n"/>
      <c r="G1005" s="32" t="n"/>
      <c r="H1005" s="30" t="inlineStr">
        <is>
          <t>Oui</t>
        </is>
      </c>
    </row>
    <row r="1006">
      <c r="A1006" s="31" t="inlineStr">
        <is>
          <t>Pokémon</t>
        </is>
      </c>
      <c r="B1006" s="33" t="inlineStr">
        <is>
          <t>RAMOLOSS</t>
        </is>
      </c>
      <c r="C1006" s="33" t="inlineStr">
        <is>
          <t>RAMOLOSS</t>
        </is>
      </c>
      <c r="D1006" s="33" t="n"/>
      <c r="E1006" s="33" t="n"/>
      <c r="F1006" s="33" t="n"/>
      <c r="G1006" s="33" t="n"/>
      <c r="H1006" s="30" t="inlineStr">
        <is>
          <t>Oui</t>
        </is>
      </c>
    </row>
    <row r="1007">
      <c r="A1007" s="31" t="inlineStr">
        <is>
          <t>Niveau</t>
        </is>
      </c>
      <c r="B1007" s="33" t="n">
        <v>22</v>
      </c>
      <c r="C1007" s="33" t="n">
        <v>23</v>
      </c>
      <c r="D1007" s="33" t="n"/>
      <c r="E1007" s="33" t="n"/>
      <c r="F1007" s="33" t="n"/>
      <c r="G1007" s="33" t="n"/>
      <c r="H1007" s="30" t="inlineStr">
        <is>
          <t>Oui</t>
        </is>
      </c>
    </row>
    <row r="1008">
      <c r="A1008" s="31" t="inlineStr">
        <is>
          <t>Objet</t>
        </is>
      </c>
      <c r="B1008" s="33" t="inlineStr">
        <is>
          <t>Aucun</t>
        </is>
      </c>
      <c r="C1008" s="33" t="inlineStr">
        <is>
          <t>Aucun</t>
        </is>
      </c>
      <c r="D1008" s="33" t="n"/>
      <c r="E1008" s="33" t="n"/>
      <c r="F1008" s="33" t="n"/>
      <c r="G1008" s="33" t="n"/>
      <c r="H1008" s="30" t="inlineStr">
        <is>
          <t>Oui</t>
        </is>
      </c>
    </row>
    <row r="1009">
      <c r="A1009" s="31" t="inlineStr">
        <is>
          <t>Talent</t>
        </is>
      </c>
      <c r="B1009" s="33" t="inlineStr">
        <is>
          <t>Benêt</t>
        </is>
      </c>
      <c r="C1009" s="33" t="inlineStr">
        <is>
          <t>Benêt</t>
        </is>
      </c>
      <c r="D1009" s="33" t="n"/>
      <c r="E1009" s="33" t="n"/>
      <c r="F1009" s="33" t="n"/>
      <c r="G1009" s="33" t="n"/>
      <c r="H1009" s="30" t="inlineStr">
        <is>
          <t>Oui</t>
        </is>
      </c>
    </row>
    <row r="1010">
      <c r="A1010" s="31" t="inlineStr">
        <is>
          <t>Capacités</t>
        </is>
      </c>
      <c r="B1010" s="34" t="inlineStr">
        <is>
          <t>Rugissement</t>
        </is>
      </c>
      <c r="C1010" s="34" t="inlineStr">
        <is>
          <t>Pistolet à O</t>
        </is>
      </c>
      <c r="D1010" s="34" t="n"/>
      <c r="E1010" s="34" t="n"/>
      <c r="F1010" s="34" t="n"/>
      <c r="G1010" s="34" t="n"/>
      <c r="H1010" s="30" t="inlineStr">
        <is>
          <t>Oui</t>
        </is>
      </c>
    </row>
    <row r="1011">
      <c r="A1011" s="31" t="n"/>
      <c r="B1011" s="34" t="inlineStr">
        <is>
          <t>Pistolet à O</t>
        </is>
      </c>
      <c r="C1011" s="34" t="inlineStr">
        <is>
          <t>Choc Mental</t>
        </is>
      </c>
      <c r="D1011" s="34" t="n"/>
      <c r="E1011" s="34" t="n"/>
      <c r="F1011" s="34" t="n"/>
      <c r="G1011" s="34" t="n"/>
      <c r="H1011" s="30" t="inlineStr">
        <is>
          <t>Oui</t>
        </is>
      </c>
    </row>
    <row r="1012">
      <c r="A1012" s="31" t="n"/>
      <c r="B1012" s="34" t="inlineStr">
        <is>
          <t>Choc Mental</t>
        </is>
      </c>
      <c r="C1012" s="34" t="inlineStr">
        <is>
          <t>Entrave</t>
        </is>
      </c>
      <c r="D1012" s="34" t="n"/>
      <c r="E1012" s="34" t="n"/>
      <c r="F1012" s="34" t="n"/>
      <c r="G1012" s="34" t="n"/>
      <c r="H1012" s="30" t="inlineStr">
        <is>
          <t>Oui</t>
        </is>
      </c>
    </row>
    <row r="1013">
      <c r="A1013" s="31" t="n"/>
      <c r="B1013" s="34" t="inlineStr">
        <is>
          <t>Entrave</t>
        </is>
      </c>
      <c r="C1013" s="34" t="inlineStr">
        <is>
          <t>Coup d'Boule</t>
        </is>
      </c>
      <c r="D1013" s="34" t="n"/>
      <c r="E1013" s="34" t="n"/>
      <c r="F1013" s="34" t="n"/>
      <c r="G1013" s="34" t="n"/>
      <c r="H1013" s="30" t="inlineStr">
        <is>
          <t>Oui</t>
        </is>
      </c>
    </row>
    <row r="1014">
      <c r="A1014" s="31" t="inlineStr">
        <is>
          <t>Nom</t>
        </is>
      </c>
      <c r="B1014" s="32" t="inlineStr">
        <is>
          <t>Sœur Parasol Jaime</t>
        </is>
      </c>
      <c r="C1014" s="32" t="n"/>
      <c r="D1014" s="32" t="n"/>
      <c r="E1014" s="32" t="n"/>
      <c r="F1014" s="32" t="n"/>
      <c r="G1014" s="32" t="n"/>
      <c r="H1014" s="30" t="inlineStr">
        <is>
          <t>Oui</t>
        </is>
      </c>
    </row>
    <row r="1015">
      <c r="A1015" s="31" t="inlineStr">
        <is>
          <t>Pokémon</t>
        </is>
      </c>
      <c r="B1015" s="33" t="inlineStr">
        <is>
          <t>NOCTALI</t>
        </is>
      </c>
      <c r="C1015" s="33" t="n"/>
      <c r="D1015" s="33" t="n"/>
      <c r="E1015" s="33" t="n"/>
      <c r="F1015" s="33" t="n"/>
      <c r="G1015" s="33" t="n"/>
      <c r="H1015" s="30" t="inlineStr">
        <is>
          <t>Oui</t>
        </is>
      </c>
    </row>
    <row r="1016">
      <c r="A1016" s="31" t="inlineStr">
        <is>
          <t>Niveau</t>
        </is>
      </c>
      <c r="B1016" s="33" t="n">
        <v>20</v>
      </c>
      <c r="C1016" s="33" t="n"/>
      <c r="D1016" s="33" t="n"/>
      <c r="E1016" s="33" t="n"/>
      <c r="F1016" s="33" t="n"/>
      <c r="G1016" s="33" t="n"/>
      <c r="H1016" s="30" t="inlineStr">
        <is>
          <t>Oui</t>
        </is>
      </c>
    </row>
    <row r="1017">
      <c r="A1017" s="31" t="inlineStr">
        <is>
          <t>Objet</t>
        </is>
      </c>
      <c r="B1017" s="33" t="inlineStr">
        <is>
          <t>Aucun</t>
        </is>
      </c>
      <c r="C1017" s="33" t="n"/>
      <c r="D1017" s="33" t="n"/>
      <c r="E1017" s="33" t="n"/>
      <c r="F1017" s="33" t="n"/>
      <c r="G1017" s="33" t="n"/>
      <c r="H1017" s="30" t="inlineStr">
        <is>
          <t>Oui</t>
        </is>
      </c>
    </row>
    <row r="1018">
      <c r="A1018" s="31" t="inlineStr">
        <is>
          <t>Talent</t>
        </is>
      </c>
      <c r="B1018" s="33" t="inlineStr">
        <is>
          <t>Synchro</t>
        </is>
      </c>
      <c r="C1018" s="33" t="n"/>
      <c r="D1018" s="33" t="n"/>
      <c r="E1018" s="33" t="n"/>
      <c r="F1018" s="33" t="n"/>
      <c r="G1018" s="33" t="n"/>
      <c r="H1018" s="30" t="inlineStr">
        <is>
          <t>Oui</t>
        </is>
      </c>
    </row>
    <row r="1019">
      <c r="A1019" s="31" t="inlineStr">
        <is>
          <t>Capacités</t>
        </is>
      </c>
      <c r="B1019" s="34" t="inlineStr">
        <is>
          <t>Regard Touchant</t>
        </is>
      </c>
      <c r="C1019" s="34" t="n"/>
      <c r="D1019" s="34" t="n"/>
      <c r="E1019" s="34" t="n"/>
      <c r="F1019" s="34" t="n"/>
      <c r="G1019" s="34" t="n"/>
      <c r="H1019" s="30" t="inlineStr">
        <is>
          <t>Oui</t>
        </is>
      </c>
    </row>
    <row r="1020">
      <c r="A1020" s="31" t="n"/>
      <c r="B1020" s="34" t="inlineStr">
        <is>
          <t>Vive-Attaque</t>
        </is>
      </c>
      <c r="C1020" s="34" t="n"/>
      <c r="D1020" s="34" t="n"/>
      <c r="E1020" s="34" t="n"/>
      <c r="F1020" s="34" t="n"/>
      <c r="G1020" s="34" t="n"/>
      <c r="H1020" s="30" t="inlineStr">
        <is>
          <t>Oui</t>
        </is>
      </c>
    </row>
    <row r="1021">
      <c r="A1021" s="31" t="n"/>
      <c r="B1021" s="34" t="inlineStr">
        <is>
          <t>Onde Folie</t>
        </is>
      </c>
      <c r="C1021" s="34" t="n"/>
      <c r="D1021" s="34" t="n"/>
      <c r="E1021" s="34" t="n"/>
      <c r="F1021" s="34" t="n"/>
      <c r="G1021" s="34" t="n"/>
      <c r="H1021" s="30" t="inlineStr">
        <is>
          <t>Oui</t>
        </is>
      </c>
    </row>
    <row r="1022">
      <c r="A1022" s="31" t="n"/>
      <c r="B1022" s="34" t="inlineStr">
        <is>
          <t>Feinte</t>
        </is>
      </c>
      <c r="C1022" s="34" t="n"/>
      <c r="D1022" s="34" t="n"/>
      <c r="E1022" s="34" t="n"/>
      <c r="F1022" s="34" t="n"/>
      <c r="G1022" s="34" t="n"/>
      <c r="H1022" s="30" t="inlineStr">
        <is>
          <t>Oui</t>
        </is>
      </c>
    </row>
    <row r="1023" ht="18" customHeight="1">
      <c r="A1023" s="26" t="inlineStr">
        <is>
          <t>Oliville — Arène</t>
        </is>
      </c>
      <c r="B1023" s="26" t="n"/>
      <c r="C1023" s="26" t="n"/>
      <c r="D1023" s="26" t="n"/>
      <c r="E1023" s="26" t="n"/>
      <c r="F1023" s="26" t="n"/>
      <c r="G1023" s="26" t="n"/>
      <c r="H1023" s="30" t="inlineStr">
        <is>
          <t>Oui</t>
        </is>
      </c>
    </row>
    <row r="1024">
      <c r="A1024" s="31" t="inlineStr">
        <is>
          <t>Nom</t>
        </is>
      </c>
      <c r="B1024" s="32" t="inlineStr">
        <is>
          <t>Champion Jasmine (si c'est votre 1re Arène parmi Oliville, Irisia et Acajou)</t>
        </is>
      </c>
      <c r="C1024" s="32" t="n"/>
      <c r="D1024" s="32" t="n"/>
      <c r="E1024" s="32" t="n"/>
      <c r="F1024" s="32" t="n"/>
      <c r="G1024" s="32" t="n"/>
      <c r="H1024" s="30" t="inlineStr">
        <is>
          <t>Oui</t>
        </is>
      </c>
    </row>
    <row r="1025">
      <c r="A1025" s="31" t="inlineStr">
        <is>
          <t>Pokémon</t>
        </is>
      </c>
      <c r="B1025" s="33" t="inlineStr">
        <is>
          <t>AIRMURE</t>
        </is>
      </c>
      <c r="C1025" s="33" t="inlineStr">
        <is>
          <t>CORAYON</t>
        </is>
      </c>
      <c r="D1025" s="33" t="inlineStr">
        <is>
          <t>MAGNETON</t>
        </is>
      </c>
      <c r="E1025" s="33" t="inlineStr">
        <is>
          <t>CIZAYOX</t>
        </is>
      </c>
      <c r="F1025" s="33" t="inlineStr">
        <is>
          <t>STEELIX</t>
        </is>
      </c>
      <c r="G1025" s="33" t="n"/>
      <c r="H1025" s="30" t="inlineStr">
        <is>
          <t>Oui</t>
        </is>
      </c>
    </row>
    <row r="1026">
      <c r="A1026" s="31" t="inlineStr">
        <is>
          <t>Niveau</t>
        </is>
      </c>
      <c r="B1026" s="33" t="n">
        <v>35</v>
      </c>
      <c r="C1026" s="33" t="n">
        <v>35</v>
      </c>
      <c r="D1026" s="33" t="n">
        <v>35</v>
      </c>
      <c r="E1026" s="33" t="n">
        <v>36</v>
      </c>
      <c r="F1026" s="33" t="n">
        <v>36</v>
      </c>
      <c r="G1026" s="33" t="n"/>
      <c r="H1026" s="30" t="inlineStr">
        <is>
          <t>Oui</t>
        </is>
      </c>
    </row>
    <row r="1027">
      <c r="A1027" s="31" t="inlineStr">
        <is>
          <t>Objet</t>
        </is>
      </c>
      <c r="B1027" s="33" t="inlineStr">
        <is>
          <t>Aucun</t>
        </is>
      </c>
      <c r="C1027" s="33" t="inlineStr">
        <is>
          <t>Aucun</t>
        </is>
      </c>
      <c r="D1027" s="33" t="inlineStr">
        <is>
          <t>Aucun</t>
        </is>
      </c>
      <c r="E1027" s="33" t="inlineStr">
        <is>
          <t>Bandeau</t>
        </is>
      </c>
      <c r="F1027" s="33" t="inlineStr">
        <is>
          <t>Vive Griffe</t>
        </is>
      </c>
      <c r="G1027" s="33" t="n"/>
      <c r="H1027" s="30" t="inlineStr">
        <is>
          <t>Oui</t>
        </is>
      </c>
    </row>
    <row r="1028">
      <c r="A1028" s="31" t="inlineStr">
        <is>
          <t>Talent</t>
        </is>
      </c>
      <c r="B1028" s="33" t="inlineStr">
        <is>
          <t>Regard Vif</t>
        </is>
      </c>
      <c r="C1028" s="33" t="inlineStr">
        <is>
          <t>Agitation</t>
        </is>
      </c>
      <c r="D1028" s="33" t="inlineStr">
        <is>
          <t>Magnépiège</t>
        </is>
      </c>
      <c r="E1028" s="33" t="inlineStr">
        <is>
          <t>Essaim</t>
        </is>
      </c>
      <c r="F1028" s="33" t="inlineStr">
        <is>
          <t>Tête de Roc</t>
        </is>
      </c>
      <c r="G1028" s="33" t="n"/>
      <c r="H1028" s="30" t="inlineStr">
        <is>
          <t>Oui</t>
        </is>
      </c>
    </row>
    <row r="1029">
      <c r="A1029" s="31" t="inlineStr">
        <is>
          <t>Capacités</t>
        </is>
      </c>
      <c r="B1029" s="34" t="inlineStr">
        <is>
          <t>Picots</t>
        </is>
      </c>
      <c r="C1029" s="34" t="inlineStr">
        <is>
          <t>Danse Pluie</t>
        </is>
      </c>
      <c r="D1029" s="34" t="inlineStr">
        <is>
          <t>Tonnerre</t>
        </is>
      </c>
      <c r="E1029" s="34" t="inlineStr">
        <is>
          <t>Pisto-Poing</t>
        </is>
      </c>
      <c r="F1029" s="34" t="inlineStr">
        <is>
          <t>Mâchouille</t>
        </is>
      </c>
      <c r="G1029" s="34" t="n"/>
      <c r="H1029" s="30" t="inlineStr">
        <is>
          <t>Oui</t>
        </is>
      </c>
    </row>
    <row r="1030">
      <c r="A1030" s="31" t="n"/>
      <c r="B1030" s="34" t="inlineStr">
        <is>
          <t>Bec Vrille</t>
        </is>
      </c>
      <c r="C1030" s="34" t="inlineStr">
        <is>
          <t>Saumure</t>
        </is>
      </c>
      <c r="D1030" s="34" t="inlineStr">
        <is>
          <t>Triplattaque</t>
        </is>
      </c>
      <c r="E1030" s="34" t="inlineStr">
        <is>
          <t>Griffe Acier</t>
        </is>
      </c>
      <c r="F1030" s="34" t="inlineStr">
        <is>
          <t>Séisme</t>
        </is>
      </c>
      <c r="G1030" s="34" t="n"/>
      <c r="H1030" s="30" t="inlineStr">
        <is>
          <t>Oui</t>
        </is>
      </c>
    </row>
    <row r="1031">
      <c r="A1031" s="31" t="n"/>
      <c r="B1031" s="34" t="inlineStr">
        <is>
          <t>Vantardise</t>
        </is>
      </c>
      <c r="C1031" s="34" t="inlineStr">
        <is>
          <t>Soin</t>
        </is>
      </c>
      <c r="D1031" s="34" t="inlineStr">
        <is>
          <t>Danse Pluie</t>
        </is>
      </c>
      <c r="E1031" s="34" t="inlineStr">
        <is>
          <t>Hâte</t>
        </is>
      </c>
      <c r="F1031" s="34" t="inlineStr">
        <is>
          <t>Éboulement</t>
        </is>
      </c>
      <c r="G1031" s="34" t="n"/>
      <c r="H1031" s="30" t="inlineStr">
        <is>
          <t>Oui</t>
        </is>
      </c>
    </row>
    <row r="1032">
      <c r="A1032" s="31" t="n"/>
      <c r="B1032" s="34" t="inlineStr">
        <is>
          <t>Ailes d'Acier</t>
        </is>
      </c>
      <c r="C1032" s="34" t="inlineStr">
        <is>
          <t>Pouvoir Antique</t>
        </is>
      </c>
      <c r="D1032" s="34" t="inlineStr">
        <is>
          <t>Fatal-Foudre</t>
        </is>
      </c>
      <c r="E1032" s="34" t="inlineStr">
        <is>
          <t>Danse Lames</t>
        </is>
      </c>
      <c r="F1032" s="34" t="inlineStr">
        <is>
          <t>Queue de Fer</t>
        </is>
      </c>
      <c r="G1032" s="34" t="n"/>
      <c r="H1032" s="30" t="inlineStr">
        <is>
          <t>Oui</t>
        </is>
      </c>
    </row>
    <row r="1033">
      <c r="A1033" s="31" t="inlineStr">
        <is>
          <t>Nom</t>
        </is>
      </c>
      <c r="B1033" s="32" t="inlineStr">
        <is>
          <t>Champion Jasmine (si c'est votre 2e Arène parmi Oliville, Irisia et Acajou)</t>
        </is>
      </c>
      <c r="C1033" s="32" t="n"/>
      <c r="D1033" s="32" t="n"/>
      <c r="E1033" s="32" t="n"/>
      <c r="F1033" s="32" t="n"/>
      <c r="G1033" s="32" t="n"/>
      <c r="H1033" s="30" t="inlineStr">
        <is>
          <t>Oui</t>
        </is>
      </c>
    </row>
    <row r="1034">
      <c r="A1034" s="31" t="inlineStr">
        <is>
          <t>Pokémon</t>
        </is>
      </c>
      <c r="B1034" s="33" t="inlineStr">
        <is>
          <t>AIRMURE</t>
        </is>
      </c>
      <c r="C1034" s="33" t="inlineStr">
        <is>
          <t>CORAYON</t>
        </is>
      </c>
      <c r="D1034" s="33" t="inlineStr">
        <is>
          <t>MAGNETON</t>
        </is>
      </c>
      <c r="E1034" s="33" t="inlineStr">
        <is>
          <t>CIZAYOX</t>
        </is>
      </c>
      <c r="F1034" s="33" t="inlineStr">
        <is>
          <t>STEELIX</t>
        </is>
      </c>
      <c r="G1034" s="33" t="n"/>
      <c r="H1034" s="30" t="inlineStr">
        <is>
          <t>Oui</t>
        </is>
      </c>
    </row>
    <row r="1035">
      <c r="A1035" s="31" t="inlineStr">
        <is>
          <t>Niveau</t>
        </is>
      </c>
      <c r="B1035" s="33" t="n">
        <v>35</v>
      </c>
      <c r="C1035" s="33" t="n">
        <v>35</v>
      </c>
      <c r="D1035" s="33" t="n">
        <v>35</v>
      </c>
      <c r="E1035" s="33" t="n">
        <v>36</v>
      </c>
      <c r="F1035" s="33" t="n">
        <v>36</v>
      </c>
      <c r="G1035" s="33" t="n"/>
      <c r="H1035" s="30" t="inlineStr">
        <is>
          <t>Oui</t>
        </is>
      </c>
    </row>
    <row r="1036">
      <c r="A1036" s="31" t="inlineStr">
        <is>
          <t>Objet</t>
        </is>
      </c>
      <c r="B1036" s="33" t="inlineStr">
        <is>
          <t>Aucun</t>
        </is>
      </c>
      <c r="C1036" s="33" t="inlineStr">
        <is>
          <t>Aucun</t>
        </is>
      </c>
      <c r="D1036" s="33" t="inlineStr">
        <is>
          <t>Aucun</t>
        </is>
      </c>
      <c r="E1036" s="33" t="inlineStr">
        <is>
          <t>Bandeau</t>
        </is>
      </c>
      <c r="F1036" s="33" t="inlineStr">
        <is>
          <t>Vive Griffe</t>
        </is>
      </c>
      <c r="G1036" s="33" t="n"/>
      <c r="H1036" s="30" t="inlineStr">
        <is>
          <t>Oui</t>
        </is>
      </c>
    </row>
    <row r="1037">
      <c r="A1037" s="31" t="inlineStr">
        <is>
          <t>Talent</t>
        </is>
      </c>
      <c r="B1037" s="33" t="inlineStr">
        <is>
          <t>Regard Vif</t>
        </is>
      </c>
      <c r="C1037" s="33" t="inlineStr">
        <is>
          <t>Agitation</t>
        </is>
      </c>
      <c r="D1037" s="33" t="inlineStr">
        <is>
          <t>Magnépiège</t>
        </is>
      </c>
      <c r="E1037" s="33" t="inlineStr">
        <is>
          <t>Essaim</t>
        </is>
      </c>
      <c r="F1037" s="33" t="inlineStr">
        <is>
          <t>Tête de Roc</t>
        </is>
      </c>
      <c r="G1037" s="33" t="n"/>
      <c r="H1037" s="30" t="inlineStr">
        <is>
          <t>Oui</t>
        </is>
      </c>
    </row>
    <row r="1038">
      <c r="A1038" s="31" t="inlineStr">
        <is>
          <t>Capacités</t>
        </is>
      </c>
      <c r="B1038" s="34" t="inlineStr">
        <is>
          <t>Picots</t>
        </is>
      </c>
      <c r="C1038" s="34" t="inlineStr">
        <is>
          <t>Danse Pluie</t>
        </is>
      </c>
      <c r="D1038" s="34" t="inlineStr">
        <is>
          <t>Tonnerre</t>
        </is>
      </c>
      <c r="E1038" s="34" t="inlineStr">
        <is>
          <t>Pisto-Poing</t>
        </is>
      </c>
      <c r="F1038" s="34" t="inlineStr">
        <is>
          <t>Mâchouille</t>
        </is>
      </c>
      <c r="G1038" s="34" t="n"/>
      <c r="H1038" s="30" t="inlineStr">
        <is>
          <t>Oui</t>
        </is>
      </c>
    </row>
    <row r="1039">
      <c r="A1039" s="31" t="n"/>
      <c r="B1039" s="34" t="inlineStr">
        <is>
          <t>Bec Vrille</t>
        </is>
      </c>
      <c r="C1039" s="34" t="inlineStr">
        <is>
          <t>Saumure</t>
        </is>
      </c>
      <c r="D1039" s="34" t="inlineStr">
        <is>
          <t>Triplattaque</t>
        </is>
      </c>
      <c r="E1039" s="34" t="inlineStr">
        <is>
          <t>Griffe Acier</t>
        </is>
      </c>
      <c r="F1039" s="34" t="inlineStr">
        <is>
          <t>Séisme</t>
        </is>
      </c>
      <c r="G1039" s="34" t="n"/>
      <c r="H1039" s="30" t="inlineStr">
        <is>
          <t>Oui</t>
        </is>
      </c>
    </row>
    <row r="1040">
      <c r="A1040" s="31" t="n"/>
      <c r="B1040" s="34" t="inlineStr">
        <is>
          <t>Vantardise</t>
        </is>
      </c>
      <c r="C1040" s="34" t="inlineStr">
        <is>
          <t>Anneau Hydro</t>
        </is>
      </c>
      <c r="D1040" s="34" t="inlineStr">
        <is>
          <t>Danse Pluie</t>
        </is>
      </c>
      <c r="E1040" s="34" t="inlineStr">
        <is>
          <t>Hâte</t>
        </is>
      </c>
      <c r="F1040" s="34" t="inlineStr">
        <is>
          <t>Éboulement</t>
        </is>
      </c>
      <c r="G1040" s="34" t="n"/>
      <c r="H1040" s="30" t="inlineStr">
        <is>
          <t>Oui</t>
        </is>
      </c>
    </row>
    <row r="1041">
      <c r="A1041" s="31" t="n"/>
      <c r="B1041" s="34" t="inlineStr">
        <is>
          <t>Ailes d'Acier</t>
        </is>
      </c>
      <c r="C1041" s="34" t="inlineStr">
        <is>
          <t>Pouvoir Antique</t>
        </is>
      </c>
      <c r="D1041" s="34" t="inlineStr">
        <is>
          <t>Fatal-Foudre</t>
        </is>
      </c>
      <c r="E1041" s="34" t="inlineStr">
        <is>
          <t>Danse Lames</t>
        </is>
      </c>
      <c r="F1041" s="34" t="inlineStr">
        <is>
          <t>Queue de Fer</t>
        </is>
      </c>
      <c r="G1041" s="34" t="n"/>
      <c r="H1041" s="30" t="inlineStr">
        <is>
          <t>Oui</t>
        </is>
      </c>
    </row>
    <row r="1042">
      <c r="A1042" s="31" t="inlineStr">
        <is>
          <t>Nom</t>
        </is>
      </c>
      <c r="B1042" s="32" t="inlineStr">
        <is>
          <t>Champion Jasmine (si c'est votre 3e Arène parmi Oliville, Irisia et Acajou)</t>
        </is>
      </c>
      <c r="C1042" s="32" t="n"/>
      <c r="D1042" s="32" t="n"/>
      <c r="E1042" s="32" t="n"/>
      <c r="F1042" s="32" t="n"/>
      <c r="G1042" s="32" t="n"/>
      <c r="H1042" s="30" t="inlineStr">
        <is>
          <t>Oui</t>
        </is>
      </c>
    </row>
    <row r="1043">
      <c r="A1043" s="31" t="inlineStr">
        <is>
          <t>Pokémon</t>
        </is>
      </c>
      <c r="B1043" s="33" t="inlineStr">
        <is>
          <t>AIRMURE</t>
        </is>
      </c>
      <c r="C1043" s="33" t="inlineStr">
        <is>
          <t>CORAYON</t>
        </is>
      </c>
      <c r="D1043" s="33" t="inlineStr">
        <is>
          <t>MAGNEZONE</t>
        </is>
      </c>
      <c r="E1043" s="33" t="inlineStr">
        <is>
          <t>CIZAYOX</t>
        </is>
      </c>
      <c r="F1043" s="33" t="inlineStr">
        <is>
          <t>STEELIX</t>
        </is>
      </c>
      <c r="G1043" s="33" t="n"/>
      <c r="H1043" s="30" t="inlineStr">
        <is>
          <t>Oui</t>
        </is>
      </c>
    </row>
    <row r="1044">
      <c r="A1044" s="31" t="inlineStr">
        <is>
          <t>Niveau</t>
        </is>
      </c>
      <c r="B1044" s="33" t="n">
        <v>37</v>
      </c>
      <c r="C1044" s="33" t="n">
        <v>37</v>
      </c>
      <c r="D1044" s="33" t="n">
        <v>37</v>
      </c>
      <c r="E1044" s="33" t="n">
        <v>38</v>
      </c>
      <c r="F1044" s="33" t="n">
        <v>38</v>
      </c>
      <c r="G1044" s="33" t="n"/>
      <c r="H1044" s="30" t="inlineStr">
        <is>
          <t>Oui</t>
        </is>
      </c>
    </row>
    <row r="1045">
      <c r="A1045" s="31" t="inlineStr">
        <is>
          <t>Objet</t>
        </is>
      </c>
      <c r="B1045" s="33" t="inlineStr">
        <is>
          <t>Aucun</t>
        </is>
      </c>
      <c r="C1045" s="33" t="inlineStr">
        <is>
          <t>Aucun</t>
        </is>
      </c>
      <c r="D1045" s="33" t="inlineStr">
        <is>
          <t>Aucun</t>
        </is>
      </c>
      <c r="E1045" s="33" t="inlineStr">
        <is>
          <t>Bandeau</t>
        </is>
      </c>
      <c r="F1045" s="33" t="inlineStr">
        <is>
          <t>Vive Griffe</t>
        </is>
      </c>
      <c r="G1045" s="33" t="n"/>
      <c r="H1045" s="30" t="inlineStr">
        <is>
          <t>Oui</t>
        </is>
      </c>
    </row>
    <row r="1046">
      <c r="A1046" s="31" t="inlineStr">
        <is>
          <t>Talent</t>
        </is>
      </c>
      <c r="B1046" s="33" t="inlineStr">
        <is>
          <t>Regard Vif</t>
        </is>
      </c>
      <c r="C1046" s="33" t="inlineStr">
        <is>
          <t>Agitation</t>
        </is>
      </c>
      <c r="D1046" s="33" t="inlineStr">
        <is>
          <t>Magnépiège</t>
        </is>
      </c>
      <c r="E1046" s="33" t="inlineStr">
        <is>
          <t>Essaim</t>
        </is>
      </c>
      <c r="F1046" s="33" t="inlineStr">
        <is>
          <t>Tête de Roc</t>
        </is>
      </c>
      <c r="G1046" s="33" t="n"/>
      <c r="H1046" s="30" t="inlineStr">
        <is>
          <t>Oui</t>
        </is>
      </c>
    </row>
    <row r="1047">
      <c r="A1047" s="31" t="inlineStr">
        <is>
          <t>Capacités</t>
        </is>
      </c>
      <c r="B1047" s="34" t="inlineStr">
        <is>
          <t>Picots</t>
        </is>
      </c>
      <c r="C1047" s="34" t="inlineStr">
        <is>
          <t>Danse Pluie</t>
        </is>
      </c>
      <c r="D1047" s="34" t="inlineStr">
        <is>
          <t>Tonnerre</t>
        </is>
      </c>
      <c r="E1047" s="34" t="inlineStr">
        <is>
          <t>Plaie Croix</t>
        </is>
      </c>
      <c r="F1047" s="34" t="inlineStr">
        <is>
          <t>Mâchouille</t>
        </is>
      </c>
      <c r="G1047" s="34" t="n"/>
      <c r="H1047" s="30" t="inlineStr">
        <is>
          <t>Oui</t>
        </is>
      </c>
    </row>
    <row r="1048">
      <c r="A1048" s="31" t="n"/>
      <c r="B1048" s="34" t="inlineStr">
        <is>
          <t>Bec Vrille</t>
        </is>
      </c>
      <c r="C1048" s="34" t="inlineStr">
        <is>
          <t>Surf</t>
        </is>
      </c>
      <c r="D1048" s="34" t="inlineStr">
        <is>
          <t>Triplattaque</t>
        </is>
      </c>
      <c r="E1048" s="34" t="inlineStr">
        <is>
          <t>Griffe Acier</t>
        </is>
      </c>
      <c r="F1048" s="34" t="inlineStr">
        <is>
          <t>Séisme</t>
        </is>
      </c>
      <c r="G1048" s="34" t="n"/>
      <c r="H1048" s="30" t="inlineStr">
        <is>
          <t>Oui</t>
        </is>
      </c>
    </row>
    <row r="1049">
      <c r="A1049" s="31" t="n"/>
      <c r="B1049" s="34" t="inlineStr">
        <is>
          <t>Vantardise</t>
        </is>
      </c>
      <c r="C1049" s="34" t="inlineStr">
        <is>
          <t>Anneau Hydro</t>
        </is>
      </c>
      <c r="D1049" s="34" t="inlineStr">
        <is>
          <t>Danse Pluie</t>
        </is>
      </c>
      <c r="E1049" s="34" t="inlineStr">
        <is>
          <t>Hâte</t>
        </is>
      </c>
      <c r="F1049" s="34" t="inlineStr">
        <is>
          <t>Éboulement</t>
        </is>
      </c>
      <c r="G1049" s="34" t="n"/>
      <c r="H1049" s="30" t="inlineStr">
        <is>
          <t>Oui</t>
        </is>
      </c>
    </row>
    <row r="1050">
      <c r="A1050" s="31" t="n"/>
      <c r="B1050" s="34" t="inlineStr">
        <is>
          <t>Ailes d'Acier</t>
        </is>
      </c>
      <c r="C1050" s="34" t="inlineStr">
        <is>
          <t>Pouvoir Antique</t>
        </is>
      </c>
      <c r="D1050" s="34" t="inlineStr">
        <is>
          <t>Gyroballe</t>
        </is>
      </c>
      <c r="E1050" s="34" t="inlineStr">
        <is>
          <t>Danse Lames</t>
        </is>
      </c>
      <c r="F1050" s="34" t="inlineStr">
        <is>
          <t>Queue de Fer</t>
        </is>
      </c>
      <c r="G1050" s="34" t="n"/>
      <c r="H1050" s="30" t="inlineStr">
        <is>
          <t>Oui</t>
        </is>
      </c>
    </row>
    <row r="1051" ht="18" customHeight="1">
      <c r="A1051" s="26" t="inlineStr">
        <is>
          <t>Phare</t>
        </is>
      </c>
      <c r="B1051" s="26" t="n"/>
      <c r="C1051" s="26" t="n"/>
      <c r="D1051" s="26" t="n"/>
      <c r="E1051" s="26" t="n"/>
      <c r="F1051" s="26" t="n"/>
      <c r="G1051" s="26" t="n"/>
      <c r="H1051" s="30" t="inlineStr">
        <is>
          <t>Oui</t>
        </is>
      </c>
    </row>
    <row r="1052">
      <c r="A1052" s="31" t="inlineStr">
        <is>
          <t>Nom</t>
        </is>
      </c>
      <c r="B1052" s="32" t="inlineStr">
        <is>
          <t>Marin Logan</t>
        </is>
      </c>
      <c r="C1052" s="32" t="n"/>
      <c r="D1052" s="32" t="n"/>
      <c r="E1052" s="32" t="n"/>
      <c r="F1052" s="32" t="n"/>
      <c r="G1052" s="32" t="n"/>
      <c r="H1052" s="30" t="inlineStr">
        <is>
          <t>Oui</t>
        </is>
      </c>
    </row>
    <row r="1053">
      <c r="A1053" s="31" t="inlineStr">
        <is>
          <t>Pokémon</t>
        </is>
      </c>
      <c r="B1053" s="33" t="inlineStr">
        <is>
          <t>TETARTE</t>
        </is>
      </c>
      <c r="C1053" s="33" t="inlineStr">
        <is>
          <t>MACHOC</t>
        </is>
      </c>
      <c r="D1053" s="33" t="n"/>
      <c r="E1053" s="33" t="n"/>
      <c r="F1053" s="33" t="n"/>
      <c r="G1053" s="33" t="n"/>
      <c r="H1053" s="30" t="inlineStr">
        <is>
          <t>Oui</t>
        </is>
      </c>
    </row>
    <row r="1054">
      <c r="A1054" s="31" t="inlineStr">
        <is>
          <t>Niveau</t>
        </is>
      </c>
      <c r="B1054" s="33" t="n">
        <v>20</v>
      </c>
      <c r="C1054" s="33" t="n">
        <v>22</v>
      </c>
      <c r="D1054" s="33" t="n"/>
      <c r="E1054" s="33" t="n"/>
      <c r="F1054" s="33" t="n"/>
      <c r="G1054" s="33" t="n"/>
      <c r="H1054" s="30" t="inlineStr">
        <is>
          <t>Oui</t>
        </is>
      </c>
    </row>
    <row r="1055">
      <c r="A1055" s="31" t="inlineStr">
        <is>
          <t>Objet</t>
        </is>
      </c>
      <c r="B1055" s="33" t="inlineStr">
        <is>
          <t>Aucun</t>
        </is>
      </c>
      <c r="C1055" s="33" t="inlineStr">
        <is>
          <t>Aucun</t>
        </is>
      </c>
      <c r="D1055" s="33" t="n"/>
      <c r="E1055" s="33" t="n"/>
      <c r="F1055" s="33" t="n"/>
      <c r="G1055" s="33" t="n"/>
      <c r="H1055" s="30" t="inlineStr">
        <is>
          <t>Oui</t>
        </is>
      </c>
    </row>
    <row r="1056">
      <c r="A1056" s="31" t="inlineStr">
        <is>
          <t>Talent</t>
        </is>
      </c>
      <c r="B1056" s="33" t="inlineStr">
        <is>
          <t>Absorbe-Eau</t>
        </is>
      </c>
      <c r="C1056" s="33" t="inlineStr">
        <is>
          <t>Cran</t>
        </is>
      </c>
      <c r="D1056" s="33" t="n"/>
      <c r="E1056" s="33" t="n"/>
      <c r="F1056" s="33" t="n"/>
      <c r="G1056" s="33" t="n"/>
      <c r="H1056" s="30" t="inlineStr">
        <is>
          <t>Oui</t>
        </is>
      </c>
    </row>
    <row r="1057">
      <c r="A1057" s="31" t="inlineStr">
        <is>
          <t>Capacités</t>
        </is>
      </c>
      <c r="B1057" s="34" t="inlineStr">
        <is>
          <t>Hypnose</t>
        </is>
      </c>
      <c r="C1057" s="34" t="inlineStr">
        <is>
          <t>Balayette</t>
        </is>
      </c>
      <c r="D1057" s="34" t="n"/>
      <c r="E1057" s="34" t="n"/>
      <c r="F1057" s="34" t="n"/>
      <c r="G1057" s="34" t="n"/>
      <c r="H1057" s="30" t="inlineStr">
        <is>
          <t>Oui</t>
        </is>
      </c>
    </row>
    <row r="1058">
      <c r="A1058" s="31" t="n"/>
      <c r="B1058" s="34" t="inlineStr">
        <is>
          <t>Écume</t>
        </is>
      </c>
      <c r="C1058" s="34" t="inlineStr">
        <is>
          <t>Frappe Atlas</t>
        </is>
      </c>
      <c r="D1058" s="34" t="n"/>
      <c r="E1058" s="34" t="n"/>
      <c r="F1058" s="34" t="n"/>
      <c r="G1058" s="34" t="n"/>
      <c r="H1058" s="30" t="inlineStr">
        <is>
          <t>Oui</t>
        </is>
      </c>
    </row>
    <row r="1059">
      <c r="A1059" s="31" t="n"/>
      <c r="B1059" s="34" t="inlineStr">
        <is>
          <t>Torgnoles</t>
        </is>
      </c>
      <c r="C1059" s="34" t="inlineStr">
        <is>
          <t>Vendetta</t>
        </is>
      </c>
      <c r="D1059" s="34" t="n"/>
      <c r="E1059" s="34" t="n"/>
      <c r="F1059" s="34" t="n"/>
      <c r="G1059" s="34" t="n"/>
      <c r="H1059" s="30" t="inlineStr">
        <is>
          <t>Oui</t>
        </is>
      </c>
    </row>
    <row r="1060">
      <c r="A1060" s="31" t="n"/>
      <c r="B1060" s="34" t="inlineStr">
        <is>
          <t>Danse Pluie</t>
        </is>
      </c>
      <c r="C1060" s="34" t="inlineStr">
        <is>
          <t>Sabotage</t>
        </is>
      </c>
      <c r="D1060" s="34" t="n"/>
      <c r="E1060" s="34" t="n"/>
      <c r="F1060" s="34" t="n"/>
      <c r="G1060" s="34" t="n"/>
      <c r="H1060" s="30" t="inlineStr">
        <is>
          <t>Oui</t>
        </is>
      </c>
    </row>
    <row r="1061">
      <c r="A1061" s="31" t="inlineStr">
        <is>
          <t>Nom</t>
        </is>
      </c>
      <c r="B1061" s="32" t="inlineStr">
        <is>
          <t>Gentleman Louis</t>
        </is>
      </c>
      <c r="C1061" s="32" t="n"/>
      <c r="D1061" s="32" t="n"/>
      <c r="E1061" s="32" t="n"/>
      <c r="F1061" s="32" t="n"/>
      <c r="G1061" s="32" t="n"/>
      <c r="H1061" s="30" t="inlineStr">
        <is>
          <t>Oui</t>
        </is>
      </c>
    </row>
    <row r="1062">
      <c r="A1062" s="31" t="inlineStr">
        <is>
          <t>Pokémon</t>
        </is>
      </c>
      <c r="B1062" s="33" t="inlineStr">
        <is>
          <t>NOARFANG</t>
        </is>
      </c>
      <c r="C1062" s="33" t="n"/>
      <c r="D1062" s="33" t="n"/>
      <c r="E1062" s="33" t="n"/>
      <c r="F1062" s="33" t="n"/>
      <c r="G1062" s="33" t="n"/>
      <c r="H1062" s="30" t="inlineStr">
        <is>
          <t>Oui</t>
        </is>
      </c>
    </row>
    <row r="1063">
      <c r="A1063" s="31" t="inlineStr">
        <is>
          <t>Niveau</t>
        </is>
      </c>
      <c r="B1063" s="33" t="n">
        <v>22</v>
      </c>
      <c r="C1063" s="33" t="n"/>
      <c r="D1063" s="33" t="n"/>
      <c r="E1063" s="33" t="n"/>
      <c r="F1063" s="33" t="n"/>
      <c r="G1063" s="33" t="n"/>
      <c r="H1063" s="30" t="inlineStr">
        <is>
          <t>Oui</t>
        </is>
      </c>
    </row>
    <row r="1064">
      <c r="A1064" s="31" t="inlineStr">
        <is>
          <t>Objet</t>
        </is>
      </c>
      <c r="B1064" s="33" t="inlineStr">
        <is>
          <t>Aucun</t>
        </is>
      </c>
      <c r="C1064" s="33" t="n"/>
      <c r="D1064" s="33" t="n"/>
      <c r="E1064" s="33" t="n"/>
      <c r="F1064" s="33" t="n"/>
      <c r="G1064" s="33" t="n"/>
      <c r="H1064" s="30" t="inlineStr">
        <is>
          <t>Oui</t>
        </is>
      </c>
    </row>
    <row r="1065">
      <c r="A1065" s="31" t="inlineStr">
        <is>
          <t>Talent</t>
        </is>
      </c>
      <c r="B1065" s="33" t="inlineStr">
        <is>
          <t>Insomnia</t>
        </is>
      </c>
      <c r="C1065" s="33" t="n"/>
      <c r="D1065" s="33" t="n"/>
      <c r="E1065" s="33" t="n"/>
      <c r="F1065" s="33" t="n"/>
      <c r="G1065" s="33" t="n"/>
      <c r="H1065" s="30" t="inlineStr">
        <is>
          <t>Oui</t>
        </is>
      </c>
    </row>
    <row r="1066">
      <c r="A1066" s="31" t="inlineStr">
        <is>
          <t>Capacités</t>
        </is>
      </c>
      <c r="B1066" s="34" t="inlineStr">
        <is>
          <t>Choc Mental</t>
        </is>
      </c>
      <c r="C1066" s="34" t="n"/>
      <c r="D1066" s="34" t="n"/>
      <c r="E1066" s="34" t="n"/>
      <c r="F1066" s="34" t="n"/>
      <c r="G1066" s="34" t="n"/>
      <c r="H1066" s="30" t="inlineStr">
        <is>
          <t>Oui</t>
        </is>
      </c>
    </row>
    <row r="1067">
      <c r="A1067" s="31" t="n"/>
      <c r="B1067" s="34" t="inlineStr">
        <is>
          <t>Écho</t>
        </is>
      </c>
      <c r="C1067" s="34" t="n"/>
      <c r="D1067" s="34" t="n"/>
      <c r="E1067" s="34" t="n"/>
      <c r="F1067" s="34" t="n"/>
      <c r="G1067" s="34" t="n"/>
      <c r="H1067" s="30" t="inlineStr">
        <is>
          <t>Oui</t>
        </is>
      </c>
    </row>
    <row r="1068">
      <c r="A1068" s="31" t="n"/>
      <c r="B1068" s="34" t="inlineStr">
        <is>
          <t>Psykoud'Boul</t>
        </is>
      </c>
      <c r="C1068" s="34" t="n"/>
      <c r="D1068" s="34" t="n"/>
      <c r="E1068" s="34" t="n"/>
      <c r="F1068" s="34" t="n"/>
      <c r="G1068" s="34" t="n"/>
      <c r="H1068" s="30" t="inlineStr">
        <is>
          <t>Oui</t>
        </is>
      </c>
    </row>
    <row r="1069">
      <c r="A1069" s="31" t="n"/>
      <c r="B1069" s="34" t="inlineStr">
        <is>
          <t>Échange Psy</t>
        </is>
      </c>
      <c r="C1069" s="34" t="n"/>
      <c r="D1069" s="34" t="n"/>
      <c r="E1069" s="34" t="n"/>
      <c r="F1069" s="34" t="n"/>
      <c r="G1069" s="34" t="n"/>
      <c r="H1069" s="30" t="inlineStr">
        <is>
          <t>Oui</t>
        </is>
      </c>
    </row>
    <row r="1070">
      <c r="A1070" s="31" t="inlineStr">
        <is>
          <t>Nom</t>
        </is>
      </c>
      <c r="B1070" s="32" t="inlineStr">
        <is>
          <t>Ornithologue Tom</t>
        </is>
      </c>
      <c r="C1070" s="32" t="n"/>
      <c r="D1070" s="32" t="n"/>
      <c r="E1070" s="32" t="n"/>
      <c r="F1070" s="32" t="n"/>
      <c r="G1070" s="32" t="n"/>
      <c r="H1070" s="30" t="inlineStr">
        <is>
          <t>Oui</t>
        </is>
      </c>
    </row>
    <row r="1071">
      <c r="A1071" s="31" t="inlineStr">
        <is>
          <t>Pokémon</t>
        </is>
      </c>
      <c r="B1071" s="33" t="inlineStr">
        <is>
          <t>CORNEBRE</t>
        </is>
      </c>
      <c r="C1071" s="33" t="n"/>
      <c r="D1071" s="33" t="n"/>
      <c r="E1071" s="33" t="n"/>
      <c r="F1071" s="33" t="n"/>
      <c r="G1071" s="33" t="n"/>
      <c r="H1071" s="30" t="inlineStr">
        <is>
          <t>Oui</t>
        </is>
      </c>
    </row>
    <row r="1072">
      <c r="A1072" s="31" t="inlineStr">
        <is>
          <t>Niveau</t>
        </is>
      </c>
      <c r="B1072" s="33" t="n">
        <v>23</v>
      </c>
      <c r="C1072" s="33" t="n"/>
      <c r="D1072" s="33" t="n"/>
      <c r="E1072" s="33" t="n"/>
      <c r="F1072" s="33" t="n"/>
      <c r="G1072" s="33" t="n"/>
      <c r="H1072" s="30" t="inlineStr">
        <is>
          <t>Oui</t>
        </is>
      </c>
    </row>
    <row r="1073">
      <c r="A1073" s="31" t="inlineStr">
        <is>
          <t>Objet</t>
        </is>
      </c>
      <c r="B1073" s="33" t="inlineStr">
        <is>
          <t>Aucun</t>
        </is>
      </c>
      <c r="C1073" s="33" t="n"/>
      <c r="D1073" s="33" t="n"/>
      <c r="E1073" s="33" t="n"/>
      <c r="F1073" s="33" t="n"/>
      <c r="G1073" s="33" t="n"/>
      <c r="H1073" s="30" t="inlineStr">
        <is>
          <t>Oui</t>
        </is>
      </c>
    </row>
    <row r="1074">
      <c r="A1074" s="31" t="inlineStr">
        <is>
          <t>Talent</t>
        </is>
      </c>
      <c r="B1074" s="33" t="inlineStr">
        <is>
          <t>Insomnia</t>
        </is>
      </c>
      <c r="C1074" s="33" t="n"/>
      <c r="D1074" s="33" t="n"/>
      <c r="E1074" s="33" t="n"/>
      <c r="F1074" s="33" t="n"/>
      <c r="G1074" s="33" t="n"/>
      <c r="H1074" s="30" t="inlineStr">
        <is>
          <t>Oui</t>
        </is>
      </c>
    </row>
    <row r="1075">
      <c r="A1075" s="31" t="inlineStr">
        <is>
          <t>Capacités</t>
        </is>
      </c>
      <c r="B1075" s="34" t="inlineStr">
        <is>
          <t>Poursuite</t>
        </is>
      </c>
      <c r="C1075" s="34" t="n"/>
      <c r="D1075" s="34" t="n"/>
      <c r="E1075" s="34" t="n"/>
      <c r="F1075" s="34" t="n"/>
      <c r="G1075" s="34" t="n"/>
      <c r="H1075" s="30" t="inlineStr">
        <is>
          <t>Oui</t>
        </is>
      </c>
    </row>
    <row r="1076">
      <c r="A1076" s="31" t="n"/>
      <c r="B1076" s="34" t="inlineStr">
        <is>
          <t>Buée Noire</t>
        </is>
      </c>
      <c r="C1076" s="34" t="n"/>
      <c r="D1076" s="34" t="n"/>
      <c r="E1076" s="34" t="n"/>
      <c r="F1076" s="34" t="n"/>
      <c r="G1076" s="34" t="n"/>
      <c r="H1076" s="30" t="inlineStr">
        <is>
          <t>Oui</t>
        </is>
      </c>
    </row>
    <row r="1077">
      <c r="A1077" s="31" t="n"/>
      <c r="B1077" s="34" t="inlineStr">
        <is>
          <t>Cru-Ailes</t>
        </is>
      </c>
      <c r="C1077" s="34" t="n"/>
      <c r="D1077" s="34" t="n"/>
      <c r="E1077" s="34" t="n"/>
      <c r="F1077" s="34" t="n"/>
      <c r="G1077" s="34" t="n"/>
      <c r="H1077" s="30" t="inlineStr">
        <is>
          <t>Oui</t>
        </is>
      </c>
    </row>
    <row r="1078">
      <c r="A1078" s="31" t="n"/>
      <c r="B1078" s="34" t="inlineStr">
        <is>
          <t>Ombre Nocturne</t>
        </is>
      </c>
      <c r="C1078" s="34" t="n"/>
      <c r="D1078" s="34" t="n"/>
      <c r="E1078" s="34" t="n"/>
      <c r="F1078" s="34" t="n"/>
      <c r="G1078" s="34" t="n"/>
      <c r="H1078" s="30" t="inlineStr">
        <is>
          <t>Oui</t>
        </is>
      </c>
    </row>
    <row r="1079">
      <c r="A1079" s="31" t="inlineStr">
        <is>
          <t>Nom</t>
        </is>
      </c>
      <c r="B1079" s="32" t="inlineStr">
        <is>
          <t>Marin Alberto</t>
        </is>
      </c>
      <c r="C1079" s="32" t="n"/>
      <c r="D1079" s="32" t="n"/>
      <c r="E1079" s="32" t="n"/>
      <c r="F1079" s="32" t="n"/>
      <c r="G1079" s="32" t="n"/>
      <c r="H1079" s="30" t="inlineStr">
        <is>
          <t>Oui</t>
        </is>
      </c>
    </row>
    <row r="1080">
      <c r="A1080" s="31" t="inlineStr">
        <is>
          <t>Pokémon</t>
        </is>
      </c>
      <c r="B1080" s="33" t="inlineStr">
        <is>
          <t>TETARTE</t>
        </is>
      </c>
      <c r="C1080" s="33" t="n"/>
      <c r="D1080" s="33" t="n"/>
      <c r="E1080" s="33" t="n"/>
      <c r="F1080" s="33" t="n"/>
      <c r="G1080" s="33" t="n"/>
      <c r="H1080" s="30" t="inlineStr">
        <is>
          <t>Oui</t>
        </is>
      </c>
    </row>
    <row r="1081">
      <c r="A1081" s="31" t="inlineStr">
        <is>
          <t>Niveau</t>
        </is>
      </c>
      <c r="B1081" s="33" t="n">
        <v>24</v>
      </c>
      <c r="C1081" s="33" t="n"/>
      <c r="D1081" s="33" t="n"/>
      <c r="E1081" s="33" t="n"/>
      <c r="F1081" s="33" t="n"/>
      <c r="G1081" s="33" t="n"/>
      <c r="H1081" s="30" t="inlineStr">
        <is>
          <t>Oui</t>
        </is>
      </c>
    </row>
    <row r="1082">
      <c r="A1082" s="31" t="inlineStr">
        <is>
          <t>Objet</t>
        </is>
      </c>
      <c r="B1082" s="33" t="inlineStr">
        <is>
          <t>Aucun</t>
        </is>
      </c>
      <c r="C1082" s="33" t="n"/>
      <c r="D1082" s="33" t="n"/>
      <c r="E1082" s="33" t="n"/>
      <c r="F1082" s="33" t="n"/>
      <c r="G1082" s="33" t="n"/>
      <c r="H1082" s="30" t="inlineStr">
        <is>
          <t>Oui</t>
        </is>
      </c>
    </row>
    <row r="1083">
      <c r="A1083" s="31" t="inlineStr">
        <is>
          <t>Talent</t>
        </is>
      </c>
      <c r="B1083" s="33" t="inlineStr">
        <is>
          <t>Absorbe-Eau</t>
        </is>
      </c>
      <c r="C1083" s="33" t="n"/>
      <c r="D1083" s="33" t="n"/>
      <c r="E1083" s="33" t="n"/>
      <c r="F1083" s="33" t="n"/>
      <c r="G1083" s="33" t="n"/>
      <c r="H1083" s="30" t="inlineStr">
        <is>
          <t>Oui</t>
        </is>
      </c>
    </row>
    <row r="1084">
      <c r="A1084" s="31" t="inlineStr">
        <is>
          <t>Capacités</t>
        </is>
      </c>
      <c r="B1084" s="34" t="inlineStr">
        <is>
          <t>Écume</t>
        </is>
      </c>
      <c r="C1084" s="34" t="n"/>
      <c r="D1084" s="34" t="n"/>
      <c r="E1084" s="34" t="n"/>
      <c r="F1084" s="34" t="n"/>
      <c r="G1084" s="34" t="n"/>
      <c r="H1084" s="30" t="inlineStr">
        <is>
          <t>Oui</t>
        </is>
      </c>
    </row>
    <row r="1085">
      <c r="A1085" s="31" t="n"/>
      <c r="B1085" s="34" t="inlineStr">
        <is>
          <t>Torgnoles</t>
        </is>
      </c>
      <c r="C1085" s="34" t="n"/>
      <c r="D1085" s="34" t="n"/>
      <c r="E1085" s="34" t="n"/>
      <c r="F1085" s="34" t="n"/>
      <c r="G1085" s="34" t="n"/>
      <c r="H1085" s="30" t="inlineStr">
        <is>
          <t>Oui</t>
        </is>
      </c>
    </row>
    <row r="1086">
      <c r="A1086" s="31" t="n"/>
      <c r="B1086" s="34" t="inlineStr">
        <is>
          <t>Danse Pluie</t>
        </is>
      </c>
      <c r="C1086" s="34" t="n"/>
      <c r="D1086" s="34" t="n"/>
      <c r="E1086" s="34" t="n"/>
      <c r="F1086" s="34" t="n"/>
      <c r="G1086" s="34" t="n"/>
      <c r="H1086" s="30" t="inlineStr">
        <is>
          <t>Oui</t>
        </is>
      </c>
    </row>
    <row r="1087">
      <c r="A1087" s="31" t="n"/>
      <c r="B1087" s="34" t="inlineStr">
        <is>
          <t>Plaquage</t>
        </is>
      </c>
      <c r="C1087" s="34" t="n"/>
      <c r="D1087" s="34" t="n"/>
      <c r="E1087" s="34" t="n"/>
      <c r="F1087" s="34" t="n"/>
      <c r="G1087" s="34" t="n"/>
      <c r="H1087" s="30" t="inlineStr">
        <is>
          <t>Oui</t>
        </is>
      </c>
    </row>
    <row r="1088">
      <c r="A1088" s="31" t="inlineStr">
        <is>
          <t>Nom</t>
        </is>
      </c>
      <c r="B1088" s="32" t="inlineStr">
        <is>
          <t>Gentleman Tancred</t>
        </is>
      </c>
      <c r="C1088" s="32" t="n"/>
      <c r="D1088" s="32" t="n"/>
      <c r="E1088" s="32" t="n"/>
      <c r="F1088" s="32" t="n"/>
      <c r="G1088" s="32" t="n"/>
      <c r="H1088" s="30" t="inlineStr">
        <is>
          <t>Oui</t>
        </is>
      </c>
    </row>
    <row r="1089">
      <c r="A1089" s="31" t="inlineStr">
        <is>
          <t>Pokémon</t>
        </is>
      </c>
      <c r="B1089" s="33" t="inlineStr">
        <is>
          <t>CANINOS</t>
        </is>
      </c>
      <c r="C1089" s="33" t="inlineStr">
        <is>
          <t>GOUPIX</t>
        </is>
      </c>
      <c r="D1089" s="33" t="n"/>
      <c r="E1089" s="33" t="n"/>
      <c r="F1089" s="33" t="n"/>
      <c r="G1089" s="33" t="n"/>
      <c r="H1089" s="30" t="inlineStr">
        <is>
          <t>Oui</t>
        </is>
      </c>
    </row>
    <row r="1090">
      <c r="A1090" s="31" t="inlineStr">
        <is>
          <t>Niveau</t>
        </is>
      </c>
      <c r="B1090" s="33" t="n">
        <v>22</v>
      </c>
      <c r="C1090" s="33" t="n">
        <v>22</v>
      </c>
      <c r="D1090" s="33" t="n"/>
      <c r="E1090" s="33" t="n"/>
      <c r="F1090" s="33" t="n"/>
      <c r="G1090" s="33" t="n"/>
      <c r="H1090" s="30" t="inlineStr">
        <is>
          <t>Oui</t>
        </is>
      </c>
    </row>
    <row r="1091">
      <c r="A1091" s="31" t="inlineStr">
        <is>
          <t>Objet</t>
        </is>
      </c>
      <c r="B1091" s="33" t="inlineStr">
        <is>
          <t>Aucun</t>
        </is>
      </c>
      <c r="C1091" s="33" t="inlineStr">
        <is>
          <t>Aucun</t>
        </is>
      </c>
      <c r="D1091" s="33" t="n"/>
      <c r="E1091" s="33" t="n"/>
      <c r="F1091" s="33" t="n"/>
      <c r="G1091" s="33" t="n"/>
      <c r="H1091" s="30" t="inlineStr">
        <is>
          <t>Oui</t>
        </is>
      </c>
    </row>
    <row r="1092">
      <c r="A1092" s="31" t="inlineStr">
        <is>
          <t>Talent</t>
        </is>
      </c>
      <c r="B1092" s="33" t="inlineStr">
        <is>
          <t>Intimidation</t>
        </is>
      </c>
      <c r="C1092" s="33" t="inlineStr">
        <is>
          <t>Torche</t>
        </is>
      </c>
      <c r="D1092" s="33" t="n"/>
      <c r="E1092" s="33" t="n"/>
      <c r="F1092" s="33" t="n"/>
      <c r="G1092" s="33" t="n"/>
      <c r="H1092" s="30" t="inlineStr">
        <is>
          <t>Oui</t>
        </is>
      </c>
    </row>
    <row r="1093">
      <c r="A1093" s="31" t="inlineStr">
        <is>
          <t>Capacités</t>
        </is>
      </c>
      <c r="B1093" s="34" t="inlineStr">
        <is>
          <t>Coup d'Main</t>
        </is>
      </c>
      <c r="C1093" s="34" t="inlineStr">
        <is>
          <t>Onde Folie</t>
        </is>
      </c>
      <c r="D1093" s="34" t="n"/>
      <c r="E1093" s="34" t="n"/>
      <c r="F1093" s="34" t="n"/>
      <c r="G1093" s="34" t="n"/>
      <c r="H1093" s="30" t="inlineStr">
        <is>
          <t>Oui</t>
        </is>
      </c>
    </row>
    <row r="1094">
      <c r="A1094" s="31" t="n"/>
      <c r="B1094" s="34" t="inlineStr">
        <is>
          <t>Roue de Feu</t>
        </is>
      </c>
      <c r="C1094" s="34" t="inlineStr">
        <is>
          <t>Danse Flammes</t>
        </is>
      </c>
      <c r="D1094" s="34" t="n"/>
      <c r="E1094" s="34" t="n"/>
      <c r="F1094" s="34" t="n"/>
      <c r="G1094" s="34" t="n"/>
      <c r="H1094" s="30" t="inlineStr">
        <is>
          <t>Oui</t>
        </is>
      </c>
    </row>
    <row r="1095">
      <c r="A1095" s="31" t="n"/>
      <c r="B1095" s="34" t="inlineStr">
        <is>
          <t>Contre</t>
        </is>
      </c>
      <c r="C1095" s="34" t="inlineStr">
        <is>
          <t>Représailles</t>
        </is>
      </c>
      <c r="D1095" s="34" t="n"/>
      <c r="E1095" s="34" t="n"/>
      <c r="F1095" s="34" t="n"/>
      <c r="G1095" s="34" t="n"/>
      <c r="H1095" s="30" t="inlineStr">
        <is>
          <t>Oui</t>
        </is>
      </c>
    </row>
    <row r="1096">
      <c r="A1096" s="31" t="n"/>
      <c r="B1096" s="34" t="inlineStr">
        <is>
          <t>Crocs Feu</t>
        </is>
      </c>
      <c r="C1096" s="34" t="inlineStr">
        <is>
          <t>Feu Follet</t>
        </is>
      </c>
      <c r="D1096" s="34" t="n"/>
      <c r="E1096" s="34" t="n"/>
      <c r="F1096" s="34" t="n"/>
      <c r="G1096" s="34" t="n"/>
      <c r="H1096" s="30" t="inlineStr">
        <is>
          <t>Oui</t>
        </is>
      </c>
    </row>
    <row r="1097">
      <c r="A1097" s="31" t="inlineStr">
        <is>
          <t>Nom</t>
        </is>
      </c>
      <c r="B1097" s="32" t="inlineStr">
        <is>
          <t>Marin Noé</t>
        </is>
      </c>
      <c r="C1097" s="32" t="n"/>
      <c r="D1097" s="32" t="n"/>
      <c r="E1097" s="32" t="n"/>
      <c r="F1097" s="32" t="n"/>
      <c r="G1097" s="32" t="n"/>
      <c r="H1097" s="30" t="inlineStr">
        <is>
          <t>Oui</t>
        </is>
      </c>
    </row>
    <row r="1098">
      <c r="A1098" s="31" t="inlineStr">
        <is>
          <t>Pokémon</t>
        </is>
      </c>
      <c r="B1098" s="33" t="inlineStr">
        <is>
          <t>KOKIYAS</t>
        </is>
      </c>
      <c r="C1098" s="33" t="inlineStr">
        <is>
          <t>LOUPIO</t>
        </is>
      </c>
      <c r="D1098" s="33" t="n"/>
      <c r="E1098" s="33" t="n"/>
      <c r="F1098" s="33" t="n"/>
      <c r="G1098" s="33" t="n"/>
      <c r="H1098" s="30" t="inlineStr">
        <is>
          <t>Oui</t>
        </is>
      </c>
    </row>
    <row r="1099">
      <c r="A1099" s="31" t="inlineStr">
        <is>
          <t>Niveau</t>
        </is>
      </c>
      <c r="B1099" s="33" t="n">
        <v>23</v>
      </c>
      <c r="C1099" s="33" t="n">
        <v>23</v>
      </c>
      <c r="D1099" s="33" t="n"/>
      <c r="E1099" s="33" t="n"/>
      <c r="F1099" s="33" t="n"/>
      <c r="G1099" s="33" t="n"/>
      <c r="H1099" s="30" t="inlineStr">
        <is>
          <t>Oui</t>
        </is>
      </c>
    </row>
    <row r="1100">
      <c r="A1100" s="31" t="inlineStr">
        <is>
          <t>Objet</t>
        </is>
      </c>
      <c r="B1100" s="33" t="inlineStr">
        <is>
          <t>Aucun</t>
        </is>
      </c>
      <c r="C1100" s="33" t="inlineStr">
        <is>
          <t>Aucun</t>
        </is>
      </c>
      <c r="D1100" s="33" t="n"/>
      <c r="E1100" s="33" t="n"/>
      <c r="F1100" s="33" t="n"/>
      <c r="G1100" s="33" t="n"/>
      <c r="H1100" s="30" t="inlineStr">
        <is>
          <t>Oui</t>
        </is>
      </c>
    </row>
    <row r="1101">
      <c r="A1101" s="31" t="inlineStr">
        <is>
          <t>Talent</t>
        </is>
      </c>
      <c r="B1101" s="33" t="inlineStr">
        <is>
          <t>Coque Armure</t>
        </is>
      </c>
      <c r="C1101" s="33" t="inlineStr">
        <is>
          <t>Absorbe-Volt</t>
        </is>
      </c>
      <c r="D1101" s="33" t="n"/>
      <c r="E1101" s="33" t="n"/>
      <c r="F1101" s="33" t="n"/>
      <c r="G1101" s="33" t="n"/>
      <c r="H1101" s="30" t="inlineStr">
        <is>
          <t>Oui</t>
        </is>
      </c>
    </row>
    <row r="1102">
      <c r="A1102" s="31" t="inlineStr">
        <is>
          <t>Capacités</t>
        </is>
      </c>
      <c r="B1102" s="34" t="inlineStr">
        <is>
          <t>Ultrason</t>
        </is>
      </c>
      <c r="C1102" s="34" t="inlineStr">
        <is>
          <t>Pistolet à O</t>
        </is>
      </c>
      <c r="D1102" s="34" t="n"/>
      <c r="E1102" s="34" t="n"/>
      <c r="F1102" s="34" t="n"/>
      <c r="G1102" s="34" t="n"/>
      <c r="H1102" s="30" t="inlineStr">
        <is>
          <t>Oui</t>
        </is>
      </c>
    </row>
    <row r="1103">
      <c r="A1103" s="31" t="n"/>
      <c r="B1103" s="34" t="inlineStr">
        <is>
          <t>Stalactite</t>
        </is>
      </c>
      <c r="C1103" s="34" t="inlineStr">
        <is>
          <t>Onde Folie</t>
        </is>
      </c>
      <c r="D1103" s="34" t="n"/>
      <c r="E1103" s="34" t="n"/>
      <c r="F1103" s="34" t="n"/>
      <c r="G1103" s="34" t="n"/>
      <c r="H1103" s="30" t="inlineStr">
        <is>
          <t>Oui</t>
        </is>
      </c>
    </row>
    <row r="1104">
      <c r="A1104" s="31" t="n"/>
      <c r="B1104" s="34" t="inlineStr">
        <is>
          <t>Abri</t>
        </is>
      </c>
      <c r="C1104" s="34" t="inlineStr">
        <is>
          <t>Bulles d'O</t>
        </is>
      </c>
      <c r="D1104" s="34" t="n"/>
      <c r="E1104" s="34" t="n"/>
      <c r="F1104" s="34" t="n"/>
      <c r="G1104" s="34" t="n"/>
      <c r="H1104" s="30" t="inlineStr">
        <is>
          <t>Oui</t>
        </is>
      </c>
    </row>
    <row r="1105">
      <c r="A1105" s="31" t="n"/>
      <c r="B1105" s="34" t="inlineStr">
        <is>
          <t>Groz'Yeux</t>
        </is>
      </c>
      <c r="C1105" s="34" t="inlineStr">
        <is>
          <t>Étincelle</t>
        </is>
      </c>
      <c r="D1105" s="34" t="n"/>
      <c r="E1105" s="34" t="n"/>
      <c r="F1105" s="34" t="n"/>
      <c r="G1105" s="34" t="n"/>
      <c r="H1105" s="30" t="inlineStr">
        <is>
          <t>Oui</t>
        </is>
      </c>
    </row>
    <row r="1106">
      <c r="A1106" s="31" t="inlineStr">
        <is>
          <t>Nom</t>
        </is>
      </c>
      <c r="B1106" s="32" t="inlineStr">
        <is>
          <t>Fillette Aurore</t>
        </is>
      </c>
      <c r="C1106" s="32" t="n"/>
      <c r="D1106" s="32" t="n"/>
      <c r="E1106" s="32" t="n"/>
      <c r="F1106" s="32" t="n"/>
      <c r="G1106" s="32" t="n"/>
      <c r="H1106" s="30" t="inlineStr">
        <is>
          <t>Oui</t>
        </is>
      </c>
    </row>
    <row r="1107">
      <c r="A1107" s="31" t="inlineStr">
        <is>
          <t>Pokémon</t>
        </is>
      </c>
      <c r="B1107" s="33" t="inlineStr">
        <is>
          <t>PONYTA</t>
        </is>
      </c>
      <c r="C1107" s="33" t="inlineStr">
        <is>
          <t>BOUSTIFLOR</t>
        </is>
      </c>
      <c r="D1107" s="33" t="n"/>
      <c r="E1107" s="33" t="n"/>
      <c r="F1107" s="33" t="n"/>
      <c r="G1107" s="33" t="n"/>
      <c r="H1107" s="30" t="inlineStr">
        <is>
          <t>Oui</t>
        </is>
      </c>
    </row>
    <row r="1108">
      <c r="A1108" s="31" t="inlineStr">
        <is>
          <t>Niveau</t>
        </is>
      </c>
      <c r="B1108" s="33" t="n">
        <v>21</v>
      </c>
      <c r="C1108" s="33" t="n">
        <v>22</v>
      </c>
      <c r="D1108" s="33" t="n"/>
      <c r="E1108" s="33" t="n"/>
      <c r="F1108" s="33" t="n"/>
      <c r="G1108" s="33" t="n"/>
      <c r="H1108" s="30" t="inlineStr">
        <is>
          <t>Oui</t>
        </is>
      </c>
    </row>
    <row r="1109">
      <c r="A1109" s="31" t="inlineStr">
        <is>
          <t>Objet</t>
        </is>
      </c>
      <c r="B1109" s="33" t="inlineStr">
        <is>
          <t>Aucun</t>
        </is>
      </c>
      <c r="C1109" s="33" t="inlineStr">
        <is>
          <t>Aucun</t>
        </is>
      </c>
      <c r="D1109" s="33" t="n"/>
      <c r="E1109" s="33" t="n"/>
      <c r="F1109" s="33" t="n"/>
      <c r="G1109" s="33" t="n"/>
      <c r="H1109" s="30" t="inlineStr">
        <is>
          <t>Oui</t>
        </is>
      </c>
    </row>
    <row r="1110">
      <c r="A1110" s="31" t="inlineStr">
        <is>
          <t>Talent</t>
        </is>
      </c>
      <c r="B1110" s="33" t="inlineStr">
        <is>
          <t>Fuite</t>
        </is>
      </c>
      <c r="C1110" s="33" t="inlineStr">
        <is>
          <t>Chlorophylle</t>
        </is>
      </c>
      <c r="D1110" s="33" t="n"/>
      <c r="E1110" s="33" t="n"/>
      <c r="F1110" s="33" t="n"/>
      <c r="G1110" s="33" t="n"/>
      <c r="H1110" s="30" t="inlineStr">
        <is>
          <t>Oui</t>
        </is>
      </c>
    </row>
    <row r="1111">
      <c r="A1111" s="31" t="inlineStr">
        <is>
          <t>Capacités</t>
        </is>
      </c>
      <c r="B1111" s="34" t="inlineStr">
        <is>
          <t>Flammèche</t>
        </is>
      </c>
      <c r="C1111" s="34" t="inlineStr">
        <is>
          <t>Ligotage</t>
        </is>
      </c>
      <c r="D1111" s="34" t="n"/>
      <c r="E1111" s="34" t="n"/>
      <c r="F1111" s="34" t="n"/>
      <c r="G1111" s="34" t="n"/>
      <c r="H1111" s="30" t="inlineStr">
        <is>
          <t>Oui</t>
        </is>
      </c>
    </row>
    <row r="1112">
      <c r="A1112" s="31" t="n"/>
      <c r="B1112" s="34" t="inlineStr">
        <is>
          <t>Roue de Feu</t>
        </is>
      </c>
      <c r="C1112" s="34" t="inlineStr">
        <is>
          <t>Poudre Dodo</t>
        </is>
      </c>
      <c r="D1112" s="34" t="n"/>
      <c r="E1112" s="34" t="n"/>
      <c r="F1112" s="34" t="n"/>
      <c r="G1112" s="34" t="n"/>
      <c r="H1112" s="30" t="inlineStr">
        <is>
          <t>Oui</t>
        </is>
      </c>
    </row>
    <row r="1113">
      <c r="A1113" s="31" t="n"/>
      <c r="B1113" s="34" t="inlineStr">
        <is>
          <t>Écrasement</t>
        </is>
      </c>
      <c r="C1113" s="34" t="inlineStr">
        <is>
          <t>Poudre Toxik</t>
        </is>
      </c>
      <c r="D1113" s="34" t="n"/>
      <c r="E1113" s="34" t="n"/>
      <c r="F1113" s="34" t="n"/>
      <c r="G1113" s="34" t="n"/>
      <c r="H1113" s="30" t="inlineStr">
        <is>
          <t>Oui</t>
        </is>
      </c>
    </row>
    <row r="1114">
      <c r="A1114" s="31" t="n"/>
      <c r="B1114" s="34" t="inlineStr">
        <is>
          <t>Nitrocharge</t>
        </is>
      </c>
      <c r="C1114" s="34" t="inlineStr">
        <is>
          <t>Para-Spore</t>
        </is>
      </c>
      <c r="D1114" s="34" t="n"/>
      <c r="E1114" s="34" t="n"/>
      <c r="F1114" s="34" t="n"/>
      <c r="G1114" s="34" t="n"/>
      <c r="H1114" s="30" t="inlineStr">
        <is>
          <t>Oui</t>
        </is>
      </c>
    </row>
    <row r="1115">
      <c r="A1115" s="31" t="inlineStr">
        <is>
          <t>Nom</t>
        </is>
      </c>
      <c r="B1115" s="32" t="inlineStr">
        <is>
          <t>Marin Samuel</t>
        </is>
      </c>
      <c r="C1115" s="32" t="n"/>
      <c r="D1115" s="32" t="n"/>
      <c r="E1115" s="32" t="n"/>
      <c r="F1115" s="32" t="n"/>
      <c r="G1115" s="32" t="n"/>
      <c r="H1115" s="30" t="inlineStr">
        <is>
          <t>Oui</t>
        </is>
      </c>
    </row>
    <row r="1116">
      <c r="A1116" s="31" t="inlineStr">
        <is>
          <t>Pokémon</t>
        </is>
      </c>
      <c r="B1116" s="33" t="inlineStr">
        <is>
          <t>MACHOC</t>
        </is>
      </c>
      <c r="C1116" s="33" t="inlineStr">
        <is>
          <t>TETARTE</t>
        </is>
      </c>
      <c r="D1116" s="33" t="inlineStr">
        <is>
          <t>MARAISTE</t>
        </is>
      </c>
      <c r="E1116" s="33" t="n"/>
      <c r="F1116" s="33" t="n"/>
      <c r="G1116" s="33" t="n"/>
      <c r="H1116" s="30" t="inlineStr">
        <is>
          <t>Oui</t>
        </is>
      </c>
    </row>
    <row r="1117">
      <c r="A1117" s="31" t="inlineStr">
        <is>
          <t>Niveau</t>
        </is>
      </c>
      <c r="B1117" s="33" t="n">
        <v>22</v>
      </c>
      <c r="C1117" s="33" t="n">
        <v>24</v>
      </c>
      <c r="D1117" s="33" t="n">
        <v>24</v>
      </c>
      <c r="E1117" s="33" t="n"/>
      <c r="F1117" s="33" t="n"/>
      <c r="G1117" s="33" t="n"/>
      <c r="H1117" s="30" t="inlineStr">
        <is>
          <t>Oui</t>
        </is>
      </c>
    </row>
    <row r="1118">
      <c r="A1118" s="31" t="inlineStr">
        <is>
          <t>Objet</t>
        </is>
      </c>
      <c r="B1118" s="33" t="inlineStr">
        <is>
          <t>Aucun</t>
        </is>
      </c>
      <c r="C1118" s="33" t="inlineStr">
        <is>
          <t>Aucun</t>
        </is>
      </c>
      <c r="D1118" s="33" t="inlineStr">
        <is>
          <t>Aucun</t>
        </is>
      </c>
      <c r="E1118" s="33" t="n"/>
      <c r="F1118" s="33" t="n"/>
      <c r="G1118" s="33" t="n"/>
      <c r="H1118" s="30" t="inlineStr">
        <is>
          <t>Oui</t>
        </is>
      </c>
    </row>
    <row r="1119">
      <c r="A1119" s="31" t="inlineStr">
        <is>
          <t>Talent</t>
        </is>
      </c>
      <c r="B1119" s="33" t="inlineStr">
        <is>
          <t>Cran</t>
        </is>
      </c>
      <c r="C1119" s="33" t="inlineStr">
        <is>
          <t>Absorbe-Eau</t>
        </is>
      </c>
      <c r="D1119" s="33" t="inlineStr">
        <is>
          <t>Moiteur</t>
        </is>
      </c>
      <c r="E1119" s="33" t="n"/>
      <c r="F1119" s="33" t="n"/>
      <c r="G1119" s="33" t="n"/>
      <c r="H1119" s="30" t="inlineStr">
        <is>
          <t>Oui</t>
        </is>
      </c>
    </row>
    <row r="1120">
      <c r="A1120" s="31" t="inlineStr">
        <is>
          <t>Capacités</t>
        </is>
      </c>
      <c r="B1120" s="34" t="inlineStr">
        <is>
          <t>Balayette</t>
        </is>
      </c>
      <c r="C1120" s="34" t="inlineStr">
        <is>
          <t>Écume</t>
        </is>
      </c>
      <c r="D1120" s="34" t="inlineStr">
        <is>
          <t>Tir de Boue</t>
        </is>
      </c>
      <c r="E1120" s="34" t="n"/>
      <c r="F1120" s="34" t="n"/>
      <c r="G1120" s="34" t="n"/>
      <c r="H1120" s="30" t="inlineStr">
        <is>
          <t>Oui</t>
        </is>
      </c>
    </row>
    <row r="1121">
      <c r="A1121" s="31" t="n"/>
      <c r="B1121" s="34" t="inlineStr">
        <is>
          <t>Frappe Atlas</t>
        </is>
      </c>
      <c r="C1121" s="34" t="inlineStr">
        <is>
          <t>Torgnoles</t>
        </is>
      </c>
      <c r="D1121" s="34" t="inlineStr">
        <is>
          <t>Souplesse</t>
        </is>
      </c>
      <c r="E1121" s="34" t="n"/>
      <c r="F1121" s="34" t="n"/>
      <c r="G1121" s="34" t="n"/>
      <c r="H1121" s="30" t="inlineStr">
        <is>
          <t>Oui</t>
        </is>
      </c>
    </row>
    <row r="1122">
      <c r="A1122" s="31" t="n"/>
      <c r="B1122" s="34" t="inlineStr">
        <is>
          <t>Vendetta</t>
        </is>
      </c>
      <c r="C1122" s="34" t="inlineStr">
        <is>
          <t>Danse Pluie</t>
        </is>
      </c>
      <c r="D1122" s="34" t="inlineStr">
        <is>
          <t>Boue-Bombe</t>
        </is>
      </c>
      <c r="E1122" s="34" t="n"/>
      <c r="F1122" s="34" t="n"/>
      <c r="G1122" s="34" t="n"/>
      <c r="H1122" s="30" t="inlineStr">
        <is>
          <t>Oui</t>
        </is>
      </c>
    </row>
    <row r="1123">
      <c r="A1123" s="31" t="n"/>
      <c r="B1123" s="34" t="inlineStr">
        <is>
          <t>Sabotage</t>
        </is>
      </c>
      <c r="C1123" s="34" t="inlineStr">
        <is>
          <t>Plaquage</t>
        </is>
      </c>
      <c r="D1123" s="34" t="inlineStr">
        <is>
          <t>Amnésie</t>
        </is>
      </c>
      <c r="E1123" s="34" t="n"/>
      <c r="F1123" s="34" t="n"/>
      <c r="G1123" s="34" t="n"/>
      <c r="H1123" s="30" t="inlineStr">
        <is>
          <t>Oui</t>
        </is>
      </c>
    </row>
    <row r="1124">
      <c r="A1124" s="31" t="inlineStr">
        <is>
          <t>Nom</t>
        </is>
      </c>
      <c r="B1124" s="32" t="inlineStr">
        <is>
          <t>Ornithologue Tony</t>
        </is>
      </c>
      <c r="C1124" s="32" t="n"/>
      <c r="D1124" s="32" t="n"/>
      <c r="E1124" s="32" t="n"/>
      <c r="F1124" s="32" t="n"/>
      <c r="G1124" s="32" t="n"/>
      <c r="H1124" s="30" t="inlineStr">
        <is>
          <t>Oui</t>
        </is>
      </c>
    </row>
    <row r="1125">
      <c r="A1125" s="31" t="inlineStr">
        <is>
          <t>Pokémon</t>
        </is>
      </c>
      <c r="B1125" s="33" t="inlineStr">
        <is>
          <t>ROUCOUPS</t>
        </is>
      </c>
      <c r="C1125" s="33" t="inlineStr">
        <is>
          <t>RAPASDEPIC</t>
        </is>
      </c>
      <c r="D1125" s="33" t="n"/>
      <c r="E1125" s="33" t="n"/>
      <c r="F1125" s="33" t="n"/>
      <c r="G1125" s="33" t="n"/>
      <c r="H1125" s="30" t="inlineStr">
        <is>
          <t>Oui</t>
        </is>
      </c>
    </row>
    <row r="1126">
      <c r="A1126" s="31" t="inlineStr">
        <is>
          <t>Niveau</t>
        </is>
      </c>
      <c r="B1126" s="33" t="n">
        <v>24</v>
      </c>
      <c r="C1126" s="33" t="n">
        <v>24</v>
      </c>
      <c r="D1126" s="33" t="n"/>
      <c r="E1126" s="33" t="n"/>
      <c r="F1126" s="33" t="n"/>
      <c r="G1126" s="33" t="n"/>
      <c r="H1126" s="30" t="inlineStr">
        <is>
          <t>Oui</t>
        </is>
      </c>
    </row>
    <row r="1127">
      <c r="A1127" s="31" t="inlineStr">
        <is>
          <t>Objet</t>
        </is>
      </c>
      <c r="B1127" s="33" t="inlineStr">
        <is>
          <t>Aucun</t>
        </is>
      </c>
      <c r="C1127" s="33" t="inlineStr">
        <is>
          <t>Aucun</t>
        </is>
      </c>
      <c r="D1127" s="33" t="n"/>
      <c r="E1127" s="33" t="n"/>
      <c r="F1127" s="33" t="n"/>
      <c r="G1127" s="33" t="n"/>
      <c r="H1127" s="30" t="inlineStr">
        <is>
          <t>Oui</t>
        </is>
      </c>
    </row>
    <row r="1128">
      <c r="A1128" s="31" t="inlineStr">
        <is>
          <t>Talent</t>
        </is>
      </c>
      <c r="B1128" s="33" t="inlineStr">
        <is>
          <t>Regard Vif</t>
        </is>
      </c>
      <c r="C1128" s="33" t="inlineStr">
        <is>
          <t>Regard Vif</t>
        </is>
      </c>
      <c r="D1128" s="33" t="n"/>
      <c r="E1128" s="33" t="n"/>
      <c r="F1128" s="33" t="n"/>
      <c r="G1128" s="33" t="n"/>
      <c r="H1128" s="30" t="inlineStr">
        <is>
          <t>Oui</t>
        </is>
      </c>
    </row>
    <row r="1129">
      <c r="A1129" s="31" t="inlineStr">
        <is>
          <t>Capacités</t>
        </is>
      </c>
      <c r="B1129" s="34" t="inlineStr">
        <is>
          <t>Cyclone</t>
        </is>
      </c>
      <c r="C1129" s="34" t="inlineStr">
        <is>
          <t>Furie</t>
        </is>
      </c>
      <c r="D1129" s="34" t="n"/>
      <c r="E1129" s="34" t="n"/>
      <c r="F1129" s="34" t="n"/>
      <c r="G1129" s="34" t="n"/>
      <c r="H1129" s="30" t="inlineStr">
        <is>
          <t>Oui</t>
        </is>
      </c>
    </row>
    <row r="1130">
      <c r="A1130" s="31" t="n"/>
      <c r="B1130" s="34" t="inlineStr">
        <is>
          <t>Roulade</t>
        </is>
      </c>
      <c r="C1130" s="34" t="inlineStr">
        <is>
          <t>Aéropique</t>
        </is>
      </c>
      <c r="D1130" s="34" t="n"/>
      <c r="E1130" s="34" t="n"/>
      <c r="F1130" s="34" t="n"/>
      <c r="G1130" s="34" t="n"/>
      <c r="H1130" s="30" t="inlineStr">
        <is>
          <t>Oui</t>
        </is>
      </c>
    </row>
    <row r="1131">
      <c r="A1131" s="31" t="n"/>
      <c r="B1131" s="34" t="inlineStr">
        <is>
          <t>Ouragan</t>
        </is>
      </c>
      <c r="C1131" s="34" t="inlineStr">
        <is>
          <t>Mimique</t>
        </is>
      </c>
      <c r="D1131" s="34" t="n"/>
      <c r="E1131" s="34" t="n"/>
      <c r="F1131" s="34" t="n"/>
      <c r="G1131" s="34" t="n"/>
      <c r="H1131" s="30" t="inlineStr">
        <is>
          <t>Oui</t>
        </is>
      </c>
    </row>
    <row r="1132">
      <c r="A1132" s="31" t="n"/>
      <c r="B1132" s="34" t="inlineStr">
        <is>
          <t>Cru-Ailes</t>
        </is>
      </c>
      <c r="C1132" s="34" t="inlineStr">
        <is>
          <t>Assurance</t>
        </is>
      </c>
      <c r="D1132" s="34" t="n"/>
      <c r="E1132" s="34" t="n"/>
      <c r="F1132" s="34" t="n"/>
      <c r="G1132" s="34" t="n"/>
      <c r="H1132" s="30" t="inlineStr">
        <is>
          <t>Oui</t>
        </is>
      </c>
    </row>
    <row r="1133" ht="18" customHeight="1">
      <c r="A1133" s="26" t="inlineStr">
        <is>
          <t>Chenal 40</t>
        </is>
      </c>
      <c r="B1133" s="26" t="n"/>
      <c r="C1133" s="26" t="n"/>
      <c r="D1133" s="26" t="n"/>
      <c r="E1133" s="26" t="n"/>
      <c r="F1133" s="26" t="n"/>
      <c r="G1133" s="26" t="n"/>
      <c r="H1133" s="30" t="inlineStr">
        <is>
          <t>Oui</t>
        </is>
      </c>
    </row>
    <row r="1134">
      <c r="A1134" s="31" t="inlineStr">
        <is>
          <t>Nom</t>
        </is>
      </c>
      <c r="B1134" s="32" t="inlineStr">
        <is>
          <t>Nageur Vladimir</t>
        </is>
      </c>
      <c r="C1134" s="32" t="n"/>
      <c r="D1134" s="32" t="n"/>
      <c r="E1134" s="32" t="n"/>
      <c r="F1134" s="32" t="n"/>
      <c r="G1134" s="32" t="n"/>
      <c r="H1134" s="30" t="inlineStr">
        <is>
          <t>Oui</t>
        </is>
      </c>
    </row>
    <row r="1135">
      <c r="A1135" s="31" t="inlineStr">
        <is>
          <t>Pokémon</t>
        </is>
      </c>
      <c r="B1135" s="33" t="inlineStr">
        <is>
          <t>TENTACOOL</t>
        </is>
      </c>
      <c r="C1135" s="33" t="inlineStr">
        <is>
          <t>TENTACOOL</t>
        </is>
      </c>
      <c r="D1135" s="33" t="n"/>
      <c r="E1135" s="33" t="n"/>
      <c r="F1135" s="33" t="n"/>
      <c r="G1135" s="33" t="n"/>
      <c r="H1135" s="30" t="inlineStr">
        <is>
          <t>Oui</t>
        </is>
      </c>
    </row>
    <row r="1136">
      <c r="A1136" s="31" t="inlineStr">
        <is>
          <t>Niveau</t>
        </is>
      </c>
      <c r="B1136" s="33" t="n">
        <v>25</v>
      </c>
      <c r="C1136" s="33" t="n">
        <v>25</v>
      </c>
      <c r="D1136" s="33" t="n"/>
      <c r="E1136" s="33" t="n"/>
      <c r="F1136" s="33" t="n"/>
      <c r="G1136" s="33" t="n"/>
      <c r="H1136" s="30" t="inlineStr">
        <is>
          <t>Oui</t>
        </is>
      </c>
    </row>
    <row r="1137">
      <c r="A1137" s="31" t="inlineStr">
        <is>
          <t>Objet</t>
        </is>
      </c>
      <c r="B1137" s="33" t="inlineStr">
        <is>
          <t>Aucun</t>
        </is>
      </c>
      <c r="C1137" s="33" t="inlineStr">
        <is>
          <t>Aucun</t>
        </is>
      </c>
      <c r="D1137" s="33" t="n"/>
      <c r="E1137" s="33" t="n"/>
      <c r="F1137" s="33" t="n"/>
      <c r="G1137" s="33" t="n"/>
      <c r="H1137" s="30" t="inlineStr">
        <is>
          <t>Oui</t>
        </is>
      </c>
    </row>
    <row r="1138">
      <c r="A1138" s="31" t="inlineStr">
        <is>
          <t>Talent</t>
        </is>
      </c>
      <c r="B1138" s="33" t="inlineStr">
        <is>
          <t>Corps Sain</t>
        </is>
      </c>
      <c r="C1138" s="33" t="inlineStr">
        <is>
          <t>Corps Sain</t>
        </is>
      </c>
      <c r="D1138" s="33" t="n"/>
      <c r="E1138" s="33" t="n"/>
      <c r="F1138" s="33" t="n"/>
      <c r="G1138" s="33" t="n"/>
      <c r="H1138" s="30" t="inlineStr">
        <is>
          <t>Oui</t>
        </is>
      </c>
    </row>
    <row r="1139">
      <c r="A1139" s="31" t="inlineStr">
        <is>
          <t>Capacités</t>
        </is>
      </c>
      <c r="B1139" s="34" t="inlineStr">
        <is>
          <t>Vibraqua</t>
        </is>
      </c>
      <c r="C1139" s="34" t="inlineStr">
        <is>
          <t>Vibraqua</t>
        </is>
      </c>
      <c r="D1139" s="34" t="n"/>
      <c r="E1139" s="34" t="n"/>
      <c r="F1139" s="34" t="n"/>
      <c r="G1139" s="34" t="n"/>
      <c r="H1139" s="30" t="inlineStr">
        <is>
          <t>Oui</t>
        </is>
      </c>
    </row>
    <row r="1140">
      <c r="A1140" s="31" t="n"/>
      <c r="B1140" s="34" t="inlineStr">
        <is>
          <t>Ligotage</t>
        </is>
      </c>
      <c r="C1140" s="34" t="inlineStr">
        <is>
          <t>Ligotage</t>
        </is>
      </c>
      <c r="D1140" s="34" t="n"/>
      <c r="E1140" s="34" t="n"/>
      <c r="F1140" s="34" t="n"/>
      <c r="G1140" s="34" t="n"/>
      <c r="H1140" s="30" t="inlineStr">
        <is>
          <t>Oui</t>
        </is>
      </c>
    </row>
    <row r="1141">
      <c r="A1141" s="31" t="n"/>
      <c r="B1141" s="34" t="inlineStr">
        <is>
          <t>Bombe Acide</t>
        </is>
      </c>
      <c r="C1141" s="34" t="inlineStr">
        <is>
          <t>Bombe Acide</t>
        </is>
      </c>
      <c r="D1141" s="34" t="n"/>
      <c r="E1141" s="34" t="n"/>
      <c r="F1141" s="34" t="n"/>
      <c r="G1141" s="34" t="n"/>
      <c r="H1141" s="30" t="inlineStr">
        <is>
          <t>Oui</t>
        </is>
      </c>
    </row>
    <row r="1142">
      <c r="A1142" s="31" t="n"/>
      <c r="B1142" s="34" t="inlineStr">
        <is>
          <t>Bulles d'O</t>
        </is>
      </c>
      <c r="C1142" s="34" t="inlineStr">
        <is>
          <t>Bulles d'O</t>
        </is>
      </c>
      <c r="D1142" s="34" t="n"/>
      <c r="E1142" s="34" t="n"/>
      <c r="F1142" s="34" t="n"/>
      <c r="G1142" s="34" t="n"/>
      <c r="H1142" s="30" t="inlineStr">
        <is>
          <t>Oui</t>
        </is>
      </c>
    </row>
    <row r="1143">
      <c r="A1143" s="31" t="inlineStr">
        <is>
          <t>Nom</t>
        </is>
      </c>
      <c r="B1143" s="32" t="inlineStr">
        <is>
          <t>Nageur Boris</t>
        </is>
      </c>
      <c r="C1143" s="32" t="n"/>
      <c r="D1143" s="32" t="n"/>
      <c r="E1143" s="32" t="n"/>
      <c r="F1143" s="32" t="n"/>
      <c r="G1143" s="32" t="n"/>
      <c r="H1143" s="30" t="inlineStr">
        <is>
          <t>Oui</t>
        </is>
      </c>
    </row>
    <row r="1144">
      <c r="A1144" s="31" t="inlineStr">
        <is>
          <t>Pokémon</t>
        </is>
      </c>
      <c r="B1144" s="33" t="inlineStr">
        <is>
          <t>KOKIYAS</t>
        </is>
      </c>
      <c r="C1144" s="33" t="inlineStr">
        <is>
          <t>CARABAFFE</t>
        </is>
      </c>
      <c r="D1144" s="33" t="n"/>
      <c r="E1144" s="33" t="n"/>
      <c r="F1144" s="33" t="n"/>
      <c r="G1144" s="33" t="n"/>
      <c r="H1144" s="30" t="inlineStr">
        <is>
          <t>Oui</t>
        </is>
      </c>
    </row>
    <row r="1145">
      <c r="A1145" s="31" t="inlineStr">
        <is>
          <t>Niveau</t>
        </is>
      </c>
      <c r="B1145" s="33" t="n">
        <v>25</v>
      </c>
      <c r="C1145" s="33" t="n">
        <v>25</v>
      </c>
      <c r="D1145" s="33" t="n"/>
      <c r="E1145" s="33" t="n"/>
      <c r="F1145" s="33" t="n"/>
      <c r="G1145" s="33" t="n"/>
      <c r="H1145" s="30" t="inlineStr">
        <is>
          <t>Oui</t>
        </is>
      </c>
    </row>
    <row r="1146">
      <c r="A1146" s="31" t="inlineStr">
        <is>
          <t>Objet</t>
        </is>
      </c>
      <c r="B1146" s="33" t="inlineStr">
        <is>
          <t>Aucun</t>
        </is>
      </c>
      <c r="C1146" s="33" t="inlineStr">
        <is>
          <t>Aucun</t>
        </is>
      </c>
      <c r="D1146" s="33" t="n"/>
      <c r="E1146" s="33" t="n"/>
      <c r="F1146" s="33" t="n"/>
      <c r="G1146" s="33" t="n"/>
      <c r="H1146" s="30" t="inlineStr">
        <is>
          <t>Oui</t>
        </is>
      </c>
    </row>
    <row r="1147">
      <c r="A1147" s="31" t="inlineStr">
        <is>
          <t>Talent</t>
        </is>
      </c>
      <c r="B1147" s="33" t="inlineStr">
        <is>
          <t>Coque Armure</t>
        </is>
      </c>
      <c r="C1147" s="33" t="inlineStr">
        <is>
          <t>Torrent</t>
        </is>
      </c>
      <c r="D1147" s="33" t="n"/>
      <c r="E1147" s="33" t="n"/>
      <c r="F1147" s="33" t="n"/>
      <c r="G1147" s="33" t="n"/>
      <c r="H1147" s="30" t="inlineStr">
        <is>
          <t>Oui</t>
        </is>
      </c>
    </row>
    <row r="1148">
      <c r="A1148" s="31" t="inlineStr">
        <is>
          <t>Capacités</t>
        </is>
      </c>
      <c r="B1148" s="34" t="inlineStr">
        <is>
          <t>Stalactite</t>
        </is>
      </c>
      <c r="C1148" s="34" t="inlineStr">
        <is>
          <t>Écume</t>
        </is>
      </c>
      <c r="D1148" s="34" t="n"/>
      <c r="E1148" s="34" t="n"/>
      <c r="F1148" s="34" t="n"/>
      <c r="G1148" s="34" t="n"/>
      <c r="H1148" s="30" t="inlineStr">
        <is>
          <t>Oui</t>
        </is>
      </c>
    </row>
    <row r="1149">
      <c r="A1149" s="31" t="n"/>
      <c r="B1149" s="34" t="inlineStr">
        <is>
          <t>Abri</t>
        </is>
      </c>
      <c r="C1149" s="34" t="inlineStr">
        <is>
          <t>Morsure</t>
        </is>
      </c>
      <c r="D1149" s="34" t="n"/>
      <c r="E1149" s="34" t="n"/>
      <c r="F1149" s="34" t="n"/>
      <c r="G1149" s="34" t="n"/>
      <c r="H1149" s="30" t="inlineStr">
        <is>
          <t>Oui</t>
        </is>
      </c>
    </row>
    <row r="1150">
      <c r="A1150" s="31" t="n"/>
      <c r="B1150" s="34" t="inlineStr">
        <is>
          <t>Groz'Yeux</t>
        </is>
      </c>
      <c r="C1150" s="34" t="inlineStr">
        <is>
          <t>Tour Rapide</t>
        </is>
      </c>
      <c r="D1150" s="34" t="n"/>
      <c r="E1150" s="34" t="n"/>
      <c r="F1150" s="34" t="n"/>
      <c r="G1150" s="34" t="n"/>
      <c r="H1150" s="30" t="inlineStr">
        <is>
          <t>Oui</t>
        </is>
      </c>
    </row>
    <row r="1151">
      <c r="A1151" s="31" t="n"/>
      <c r="B1151" s="34" t="inlineStr">
        <is>
          <t>Claquoir</t>
        </is>
      </c>
      <c r="C1151" s="34" t="inlineStr">
        <is>
          <t>Abri</t>
        </is>
      </c>
      <c r="D1151" s="34" t="n"/>
      <c r="E1151" s="34" t="n"/>
      <c r="F1151" s="34" t="n"/>
      <c r="G1151" s="34" t="n"/>
      <c r="H1151" s="30" t="inlineStr">
        <is>
          <t>Oui</t>
        </is>
      </c>
    </row>
    <row r="1152">
      <c r="A1152" s="31" t="inlineStr">
        <is>
          <t>Nom</t>
        </is>
      </c>
      <c r="B1152" s="32" t="inlineStr">
        <is>
          <t>Nageuse Simone</t>
        </is>
      </c>
      <c r="C1152" s="32" t="n"/>
      <c r="D1152" s="32" t="n"/>
      <c r="E1152" s="32" t="n"/>
      <c r="F1152" s="32" t="n"/>
      <c r="G1152" s="32" t="n"/>
      <c r="H1152" s="30" t="inlineStr">
        <is>
          <t>Oui</t>
        </is>
      </c>
    </row>
    <row r="1153">
      <c r="A1153" s="31" t="inlineStr">
        <is>
          <t>Pokémon</t>
        </is>
      </c>
      <c r="B1153" s="33" t="inlineStr">
        <is>
          <t>STAROSS</t>
        </is>
      </c>
      <c r="C1153" s="33" t="n"/>
      <c r="D1153" s="33" t="n"/>
      <c r="E1153" s="33" t="n"/>
      <c r="F1153" s="33" t="n"/>
      <c r="G1153" s="33" t="n"/>
      <c r="H1153" s="30" t="inlineStr">
        <is>
          <t>Oui</t>
        </is>
      </c>
    </row>
    <row r="1154">
      <c r="A1154" s="31" t="inlineStr">
        <is>
          <t>Niveau</t>
        </is>
      </c>
      <c r="B1154" s="33" t="n">
        <v>25</v>
      </c>
      <c r="C1154" s="33" t="n"/>
      <c r="D1154" s="33" t="n"/>
      <c r="E1154" s="33" t="n"/>
      <c r="F1154" s="33" t="n"/>
      <c r="G1154" s="33" t="n"/>
      <c r="H1154" s="30" t="inlineStr">
        <is>
          <t>Oui</t>
        </is>
      </c>
    </row>
    <row r="1155">
      <c r="A1155" s="31" t="inlineStr">
        <is>
          <t>Objet</t>
        </is>
      </c>
      <c r="B1155" s="33" t="inlineStr">
        <is>
          <t>Aucun</t>
        </is>
      </c>
      <c r="C1155" s="33" t="n"/>
      <c r="D1155" s="33" t="n"/>
      <c r="E1155" s="33" t="n"/>
      <c r="F1155" s="33" t="n"/>
      <c r="G1155" s="33" t="n"/>
      <c r="H1155" s="30" t="inlineStr">
        <is>
          <t>Oui</t>
        </is>
      </c>
    </row>
    <row r="1156">
      <c r="A1156" s="31" t="inlineStr">
        <is>
          <t>Talent</t>
        </is>
      </c>
      <c r="B1156" s="33" t="inlineStr">
        <is>
          <t>Lumiattirance</t>
        </is>
      </c>
      <c r="C1156" s="33" t="n"/>
      <c r="D1156" s="33" t="n"/>
      <c r="E1156" s="33" t="n"/>
      <c r="F1156" s="33" t="n"/>
      <c r="G1156" s="33" t="n"/>
      <c r="H1156" s="30" t="inlineStr">
        <is>
          <t>Oui</t>
        </is>
      </c>
    </row>
    <row r="1157">
      <c r="A1157" s="31" t="inlineStr">
        <is>
          <t>Capacités</t>
        </is>
      </c>
      <c r="B1157" s="34" t="inlineStr">
        <is>
          <t>Pistolet à O</t>
        </is>
      </c>
      <c r="C1157" s="34" t="n"/>
      <c r="D1157" s="34" t="n"/>
      <c r="E1157" s="34" t="n"/>
      <c r="F1157" s="34" t="n"/>
      <c r="G1157" s="34" t="n"/>
      <c r="H1157" s="30" t="inlineStr">
        <is>
          <t>Oui</t>
        </is>
      </c>
    </row>
    <row r="1158">
      <c r="A1158" s="31" t="n"/>
      <c r="B1158" s="34" t="inlineStr">
        <is>
          <t>Tour Rapide</t>
        </is>
      </c>
      <c r="C1158" s="34" t="n"/>
      <c r="D1158" s="34" t="n"/>
      <c r="E1158" s="34" t="n"/>
      <c r="F1158" s="34" t="n"/>
      <c r="G1158" s="34" t="n"/>
      <c r="H1158" s="30" t="inlineStr">
        <is>
          <t>Oui</t>
        </is>
      </c>
    </row>
    <row r="1159">
      <c r="A1159" s="31" t="n"/>
      <c r="B1159" s="34" t="inlineStr">
        <is>
          <t>Soin</t>
        </is>
      </c>
      <c r="C1159" s="34" t="n"/>
      <c r="D1159" s="34" t="n"/>
      <c r="E1159" s="34" t="n"/>
      <c r="F1159" s="34" t="n"/>
      <c r="G1159" s="34" t="n"/>
      <c r="H1159" s="30" t="inlineStr">
        <is>
          <t>Oui</t>
        </is>
      </c>
    </row>
    <row r="1160">
      <c r="A1160" s="31" t="n"/>
      <c r="B1160" s="34" t="inlineStr">
        <is>
          <t>Météores</t>
        </is>
      </c>
      <c r="C1160" s="34" t="n"/>
      <c r="D1160" s="34" t="n"/>
      <c r="E1160" s="34" t="n"/>
      <c r="F1160" s="34" t="n"/>
      <c r="G1160" s="34" t="n"/>
      <c r="H1160" s="30" t="inlineStr">
        <is>
          <t>Oui</t>
        </is>
      </c>
    </row>
    <row r="1161">
      <c r="A1161" s="31" t="inlineStr">
        <is>
          <t>Nom</t>
        </is>
      </c>
      <c r="B1161" s="32" t="inlineStr">
        <is>
          <t>Nageuse Anna</t>
        </is>
      </c>
      <c r="C1161" s="32" t="n"/>
      <c r="D1161" s="32" t="n"/>
      <c r="E1161" s="32" t="n"/>
      <c r="F1161" s="32" t="n"/>
      <c r="G1161" s="32" t="n"/>
      <c r="H1161" s="30" t="inlineStr">
        <is>
          <t>Oui</t>
        </is>
      </c>
    </row>
    <row r="1162">
      <c r="A1162" s="31" t="inlineStr">
        <is>
          <t>Pokémon</t>
        </is>
      </c>
      <c r="B1162" s="33" t="inlineStr">
        <is>
          <t>STARI</t>
        </is>
      </c>
      <c r="C1162" s="33" t="inlineStr">
        <is>
          <t>KOKIYAS</t>
        </is>
      </c>
      <c r="D1162" s="33" t="n"/>
      <c r="E1162" s="33" t="n"/>
      <c r="F1162" s="33" t="n"/>
      <c r="G1162" s="33" t="n"/>
      <c r="H1162" s="30" t="inlineStr">
        <is>
          <t>Oui</t>
        </is>
      </c>
    </row>
    <row r="1163">
      <c r="A1163" s="31" t="inlineStr">
        <is>
          <t>Niveau</t>
        </is>
      </c>
      <c r="B1163" s="33" t="n">
        <v>25</v>
      </c>
      <c r="C1163" s="33" t="n">
        <v>26</v>
      </c>
      <c r="D1163" s="33" t="n"/>
      <c r="E1163" s="33" t="n"/>
      <c r="F1163" s="33" t="n"/>
      <c r="G1163" s="33" t="n"/>
      <c r="H1163" s="30" t="inlineStr">
        <is>
          <t>Oui</t>
        </is>
      </c>
    </row>
    <row r="1164">
      <c r="A1164" s="31" t="inlineStr">
        <is>
          <t>Objet</t>
        </is>
      </c>
      <c r="B1164" s="33" t="inlineStr">
        <is>
          <t>Aucun</t>
        </is>
      </c>
      <c r="C1164" s="33" t="inlineStr">
        <is>
          <t>Aucun</t>
        </is>
      </c>
      <c r="D1164" s="33" t="n"/>
      <c r="E1164" s="33" t="n"/>
      <c r="F1164" s="33" t="n"/>
      <c r="G1164" s="33" t="n"/>
      <c r="H1164" s="30" t="inlineStr">
        <is>
          <t>Oui</t>
        </is>
      </c>
    </row>
    <row r="1165">
      <c r="A1165" s="31" t="inlineStr">
        <is>
          <t>Talent</t>
        </is>
      </c>
      <c r="B1165" s="33" t="inlineStr">
        <is>
          <t>Lumiattirance</t>
        </is>
      </c>
      <c r="C1165" s="33" t="inlineStr">
        <is>
          <t>Coque Armure</t>
        </is>
      </c>
      <c r="D1165" s="33" t="n"/>
      <c r="E1165" s="33" t="n"/>
      <c r="F1165" s="33" t="n"/>
      <c r="G1165" s="33" t="n"/>
      <c r="H1165" s="30" t="inlineStr">
        <is>
          <t>Oui</t>
        </is>
      </c>
    </row>
    <row r="1166">
      <c r="A1166" s="31" t="inlineStr">
        <is>
          <t>Capacités</t>
        </is>
      </c>
      <c r="B1166" s="34" t="inlineStr">
        <is>
          <t>Météores</t>
        </is>
      </c>
      <c r="C1166" s="34" t="inlineStr">
        <is>
          <t>Stalactite</t>
        </is>
      </c>
      <c r="D1166" s="34" t="n"/>
      <c r="E1166" s="34" t="n"/>
      <c r="F1166" s="34" t="n"/>
      <c r="G1166" s="34" t="n"/>
      <c r="H1166" s="30" t="inlineStr">
        <is>
          <t>Oui</t>
        </is>
      </c>
    </row>
    <row r="1167">
      <c r="A1167" s="31" t="n"/>
      <c r="B1167" s="34" t="inlineStr">
        <is>
          <t>Bulles d'O</t>
        </is>
      </c>
      <c r="C1167" s="34" t="inlineStr">
        <is>
          <t>Abri</t>
        </is>
      </c>
      <c r="D1167" s="34" t="n"/>
      <c r="E1167" s="34" t="n"/>
      <c r="F1167" s="34" t="n"/>
      <c r="G1167" s="34" t="n"/>
      <c r="H1167" s="30" t="inlineStr">
        <is>
          <t>Oui</t>
        </is>
      </c>
    </row>
    <row r="1168">
      <c r="A1168" s="31" t="n"/>
      <c r="B1168" s="34" t="inlineStr">
        <is>
          <t>Camouflage</t>
        </is>
      </c>
      <c r="C1168" s="34" t="inlineStr">
        <is>
          <t>Groz'Yeux</t>
        </is>
      </c>
      <c r="D1168" s="34" t="n"/>
      <c r="E1168" s="34" t="n"/>
      <c r="F1168" s="34" t="n"/>
      <c r="G1168" s="34" t="n"/>
      <c r="H1168" s="30" t="inlineStr">
        <is>
          <t>Oui</t>
        </is>
      </c>
    </row>
    <row r="1169">
      <c r="A1169" s="31" t="n"/>
      <c r="B1169" s="34" t="inlineStr">
        <is>
          <t>Gyroballe</t>
        </is>
      </c>
      <c r="C1169" s="34" t="inlineStr">
        <is>
          <t>Claquoir</t>
        </is>
      </c>
      <c r="D1169" s="34" t="n"/>
      <c r="E1169" s="34" t="n"/>
      <c r="F1169" s="34" t="n"/>
      <c r="G1169" s="34" t="n"/>
      <c r="H1169" s="30" t="inlineStr">
        <is>
          <t>Oui</t>
        </is>
      </c>
    </row>
    <row r="1170" ht="18" customHeight="1">
      <c r="A1170" s="26" t="inlineStr">
        <is>
          <t>Chenal 41</t>
        </is>
      </c>
      <c r="B1170" s="26" t="n"/>
      <c r="C1170" s="26" t="n"/>
      <c r="D1170" s="26" t="n"/>
      <c r="E1170" s="26" t="n"/>
      <c r="F1170" s="26" t="n"/>
      <c r="G1170" s="26" t="n"/>
      <c r="H1170" s="30" t="inlineStr">
        <is>
          <t>Oui</t>
        </is>
      </c>
    </row>
    <row r="1171">
      <c r="A1171" s="31" t="inlineStr">
        <is>
          <t>Nom</t>
        </is>
      </c>
      <c r="B1171" s="32" t="inlineStr">
        <is>
          <t>Nageur Helmut</t>
        </is>
      </c>
      <c r="C1171" s="32" t="n"/>
      <c r="D1171" s="32" t="n"/>
      <c r="E1171" s="32" t="n"/>
      <c r="F1171" s="32" t="n"/>
      <c r="G1171" s="32" t="n"/>
      <c r="H1171" s="30" t="inlineStr">
        <is>
          <t>Oui</t>
        </is>
      </c>
    </row>
    <row r="1172">
      <c r="A1172" s="31" t="inlineStr">
        <is>
          <t>Pokémon</t>
        </is>
      </c>
      <c r="B1172" s="33" t="inlineStr">
        <is>
          <t>CRUSTABRI</t>
        </is>
      </c>
      <c r="C1172" s="33" t="inlineStr">
        <is>
          <t>TENTACRUEL</t>
        </is>
      </c>
      <c r="D1172" s="33" t="n"/>
      <c r="E1172" s="33" t="n"/>
      <c r="F1172" s="33" t="n"/>
      <c r="G1172" s="33" t="n"/>
      <c r="H1172" s="30" t="inlineStr">
        <is>
          <t>Oui</t>
        </is>
      </c>
    </row>
    <row r="1173">
      <c r="A1173" s="31" t="inlineStr">
        <is>
          <t>Niveau</t>
        </is>
      </c>
      <c r="B1173" s="33" t="n">
        <v>26</v>
      </c>
      <c r="C1173" s="33" t="n">
        <v>26</v>
      </c>
      <c r="D1173" s="33" t="n"/>
      <c r="E1173" s="33" t="n"/>
      <c r="F1173" s="33" t="n"/>
      <c r="G1173" s="33" t="n"/>
      <c r="H1173" s="30" t="inlineStr">
        <is>
          <t>Oui</t>
        </is>
      </c>
    </row>
    <row r="1174">
      <c r="A1174" s="31" t="inlineStr">
        <is>
          <t>Objet</t>
        </is>
      </c>
      <c r="B1174" s="33" t="inlineStr">
        <is>
          <t>Aucun</t>
        </is>
      </c>
      <c r="C1174" s="33" t="inlineStr">
        <is>
          <t>Aucun</t>
        </is>
      </c>
      <c r="D1174" s="33" t="n"/>
      <c r="E1174" s="33" t="n"/>
      <c r="F1174" s="33" t="n"/>
      <c r="G1174" s="33" t="n"/>
      <c r="H1174" s="30" t="inlineStr">
        <is>
          <t>Oui</t>
        </is>
      </c>
    </row>
    <row r="1175">
      <c r="A1175" s="31" t="inlineStr">
        <is>
          <t>Talent</t>
        </is>
      </c>
      <c r="B1175" s="33" t="inlineStr">
        <is>
          <t>Coque Armure</t>
        </is>
      </c>
      <c r="C1175" s="33" t="inlineStr">
        <is>
          <t>Corps Sain</t>
        </is>
      </c>
      <c r="D1175" s="33" t="n"/>
      <c r="E1175" s="33" t="n"/>
      <c r="F1175" s="33" t="n"/>
      <c r="G1175" s="33" t="n"/>
      <c r="H1175" s="30" t="inlineStr">
        <is>
          <t>Oui</t>
        </is>
      </c>
    </row>
    <row r="1176">
      <c r="A1176" s="31" t="inlineStr">
        <is>
          <t>Capacités</t>
        </is>
      </c>
      <c r="B1176" s="34" t="inlineStr">
        <is>
          <t>Ultrason</t>
        </is>
      </c>
      <c r="C1176" s="34" t="inlineStr">
        <is>
          <t>Vibraqua</t>
        </is>
      </c>
      <c r="D1176" s="34" t="n"/>
      <c r="E1176" s="34" t="n"/>
      <c r="F1176" s="34" t="n"/>
      <c r="G1176" s="34" t="n"/>
      <c r="H1176" s="30" t="inlineStr">
        <is>
          <t>Oui</t>
        </is>
      </c>
    </row>
    <row r="1177">
      <c r="A1177" s="31" t="n"/>
      <c r="B1177" s="34" t="inlineStr">
        <is>
          <t>Abri</t>
        </is>
      </c>
      <c r="C1177" s="34" t="inlineStr">
        <is>
          <t>Ligotage</t>
        </is>
      </c>
      <c r="D1177" s="34" t="n"/>
      <c r="E1177" s="34" t="n"/>
      <c r="F1177" s="34" t="n"/>
      <c r="G1177" s="34" t="n"/>
      <c r="H1177" s="30" t="inlineStr">
        <is>
          <t>Oui</t>
        </is>
      </c>
    </row>
    <row r="1178">
      <c r="A1178" s="31" t="n"/>
      <c r="B1178" s="34" t="inlineStr">
        <is>
          <t>Onde Boréale</t>
        </is>
      </c>
      <c r="C1178" s="34" t="inlineStr">
        <is>
          <t>Bombe Acide</t>
        </is>
      </c>
      <c r="D1178" s="34" t="n"/>
      <c r="E1178" s="34" t="n"/>
      <c r="F1178" s="34" t="n"/>
      <c r="G1178" s="34" t="n"/>
      <c r="H1178" s="30" t="inlineStr">
        <is>
          <t>Oui</t>
        </is>
      </c>
    </row>
    <row r="1179">
      <c r="A1179" s="31" t="n"/>
      <c r="B1179" s="34" t="inlineStr">
        <is>
          <t>Picanon</t>
        </is>
      </c>
      <c r="C1179" s="34" t="inlineStr">
        <is>
          <t>Bulles d'O</t>
        </is>
      </c>
      <c r="D1179" s="34" t="n"/>
      <c r="E1179" s="34" t="n"/>
      <c r="F1179" s="34" t="n"/>
      <c r="G1179" s="34" t="n"/>
      <c r="H1179" s="30" t="inlineStr">
        <is>
          <t>Oui</t>
        </is>
      </c>
    </row>
    <row r="1180">
      <c r="A1180" s="31" t="inlineStr">
        <is>
          <t>Nom</t>
        </is>
      </c>
      <c r="B1180" s="32" t="inlineStr">
        <is>
          <t>Nageur Johan</t>
        </is>
      </c>
      <c r="C1180" s="32" t="n"/>
      <c r="D1180" s="32" t="n"/>
      <c r="E1180" s="32" t="n"/>
      <c r="F1180" s="32" t="n"/>
      <c r="G1180" s="32" t="n"/>
      <c r="H1180" s="30" t="inlineStr">
        <is>
          <t>Oui</t>
        </is>
      </c>
    </row>
    <row r="1181">
      <c r="A1181" s="31" t="inlineStr">
        <is>
          <t>Pokémon</t>
        </is>
      </c>
      <c r="B1181" s="33" t="inlineStr">
        <is>
          <t>TENTACOOL</t>
        </is>
      </c>
      <c r="C1181" s="33" t="inlineStr">
        <is>
          <t>REMORAID</t>
        </is>
      </c>
      <c r="D1181" s="33" t="inlineStr">
        <is>
          <t>STARI</t>
        </is>
      </c>
      <c r="E1181" s="33" t="n"/>
      <c r="F1181" s="33" t="n"/>
      <c r="G1181" s="33" t="n"/>
      <c r="H1181" s="30" t="inlineStr">
        <is>
          <t>Oui</t>
        </is>
      </c>
    </row>
    <row r="1182">
      <c r="A1182" s="31" t="inlineStr">
        <is>
          <t>Niveau</t>
        </is>
      </c>
      <c r="B1182" s="33" t="n">
        <v>26</v>
      </c>
      <c r="C1182" s="33" t="n">
        <v>26</v>
      </c>
      <c r="D1182" s="33" t="n">
        <v>26</v>
      </c>
      <c r="E1182" s="33" t="n"/>
      <c r="F1182" s="33" t="n"/>
      <c r="G1182" s="33" t="n"/>
      <c r="H1182" s="30" t="inlineStr">
        <is>
          <t>Oui</t>
        </is>
      </c>
    </row>
    <row r="1183">
      <c r="A1183" s="31" t="inlineStr">
        <is>
          <t>Objet</t>
        </is>
      </c>
      <c r="B1183" s="33" t="inlineStr">
        <is>
          <t>Aucun</t>
        </is>
      </c>
      <c r="C1183" s="33" t="inlineStr">
        <is>
          <t>Aucun</t>
        </is>
      </c>
      <c r="D1183" s="33" t="inlineStr">
        <is>
          <t>Aucun</t>
        </is>
      </c>
      <c r="E1183" s="33" t="n"/>
      <c r="F1183" s="33" t="n"/>
      <c r="G1183" s="33" t="n"/>
      <c r="H1183" s="30" t="inlineStr">
        <is>
          <t>Oui</t>
        </is>
      </c>
    </row>
    <row r="1184">
      <c r="A1184" s="31" t="inlineStr">
        <is>
          <t>Talent</t>
        </is>
      </c>
      <c r="B1184" s="33" t="inlineStr">
        <is>
          <t>Corps Sain</t>
        </is>
      </c>
      <c r="C1184" s="33" t="inlineStr">
        <is>
          <t>Agitation</t>
        </is>
      </c>
      <c r="D1184" s="33" t="inlineStr">
        <is>
          <t>Lumiattirance</t>
        </is>
      </c>
      <c r="E1184" s="33" t="n"/>
      <c r="F1184" s="33" t="n"/>
      <c r="G1184" s="33" t="n"/>
      <c r="H1184" s="30" t="inlineStr">
        <is>
          <t>Oui</t>
        </is>
      </c>
    </row>
    <row r="1185">
      <c r="A1185" s="31" t="inlineStr">
        <is>
          <t>Capacités</t>
        </is>
      </c>
      <c r="B1185" s="34" t="inlineStr">
        <is>
          <t>Vibraqua</t>
        </is>
      </c>
      <c r="C1185" s="34" t="inlineStr">
        <is>
          <t>Onde Boréale</t>
        </is>
      </c>
      <c r="D1185" s="34" t="inlineStr">
        <is>
          <t>Météores</t>
        </is>
      </c>
      <c r="E1185" s="34" t="n"/>
      <c r="F1185" s="34" t="n"/>
      <c r="G1185" s="34" t="n"/>
      <c r="H1185" s="30" t="inlineStr">
        <is>
          <t>Oui</t>
        </is>
      </c>
    </row>
    <row r="1186">
      <c r="A1186" s="31" t="n"/>
      <c r="B1186" s="34" t="inlineStr">
        <is>
          <t>Ligotage</t>
        </is>
      </c>
      <c r="C1186" s="34" t="inlineStr">
        <is>
          <t>Bulles d'O</t>
        </is>
      </c>
      <c r="D1186" s="34" t="inlineStr">
        <is>
          <t>Bulles d'O</t>
        </is>
      </c>
      <c r="E1186" s="34" t="n"/>
      <c r="F1186" s="34" t="n"/>
      <c r="G1186" s="34" t="n"/>
      <c r="H1186" s="30" t="inlineStr">
        <is>
          <t>Oui</t>
        </is>
      </c>
    </row>
    <row r="1187">
      <c r="A1187" s="31" t="n"/>
      <c r="B1187" s="34" t="inlineStr">
        <is>
          <t>Bombe Acide</t>
        </is>
      </c>
      <c r="C1187" s="34" t="inlineStr">
        <is>
          <t>Puissance</t>
        </is>
      </c>
      <c r="D1187" s="34" t="inlineStr">
        <is>
          <t>Camouflage</t>
        </is>
      </c>
      <c r="E1187" s="34" t="n"/>
      <c r="F1187" s="34" t="n"/>
      <c r="G1187" s="34" t="n"/>
      <c r="H1187" s="30" t="inlineStr">
        <is>
          <t>Oui</t>
        </is>
      </c>
    </row>
    <row r="1188">
      <c r="A1188" s="31" t="n"/>
      <c r="B1188" s="34" t="inlineStr">
        <is>
          <t>Bulles d'O</t>
        </is>
      </c>
      <c r="C1188" s="34" t="inlineStr">
        <is>
          <t>Vibraqua</t>
        </is>
      </c>
      <c r="D1188" s="34" t="inlineStr">
        <is>
          <t>Gyroballe</t>
        </is>
      </c>
      <c r="E1188" s="34" t="n"/>
      <c r="F1188" s="34" t="n"/>
      <c r="G1188" s="34" t="n"/>
      <c r="H1188" s="30" t="inlineStr">
        <is>
          <t>Oui</t>
        </is>
      </c>
    </row>
    <row r="1189">
      <c r="A1189" s="31" t="inlineStr">
        <is>
          <t>Nom</t>
        </is>
      </c>
      <c r="B1189" s="32" t="inlineStr">
        <is>
          <t>Nageur Sigmund</t>
        </is>
      </c>
      <c r="C1189" s="32" t="n"/>
      <c r="D1189" s="32" t="n"/>
      <c r="E1189" s="32" t="n"/>
      <c r="F1189" s="32" t="n"/>
      <c r="G1189" s="32" t="n"/>
      <c r="H1189" s="30" t="inlineStr">
        <is>
          <t>Oui</t>
        </is>
      </c>
    </row>
    <row r="1190">
      <c r="A1190" s="31" t="inlineStr">
        <is>
          <t>Pokémon</t>
        </is>
      </c>
      <c r="B1190" s="33" t="inlineStr">
        <is>
          <t>QWILFISH</t>
        </is>
      </c>
      <c r="C1190" s="33" t="n"/>
      <c r="D1190" s="33" t="n"/>
      <c r="E1190" s="33" t="n"/>
      <c r="F1190" s="33" t="n"/>
      <c r="G1190" s="33" t="n"/>
      <c r="H1190" s="30" t="inlineStr">
        <is>
          <t>Oui</t>
        </is>
      </c>
    </row>
    <row r="1191">
      <c r="A1191" s="31" t="inlineStr">
        <is>
          <t>Niveau</t>
        </is>
      </c>
      <c r="B1191" s="33" t="n">
        <v>27</v>
      </c>
      <c r="C1191" s="33" t="n"/>
      <c r="D1191" s="33" t="n"/>
      <c r="E1191" s="33" t="n"/>
      <c r="F1191" s="33" t="n"/>
      <c r="G1191" s="33" t="n"/>
      <c r="H1191" s="30" t="inlineStr">
        <is>
          <t>Oui</t>
        </is>
      </c>
    </row>
    <row r="1192">
      <c r="A1192" s="31" t="inlineStr">
        <is>
          <t>Objet</t>
        </is>
      </c>
      <c r="B1192" s="33" t="inlineStr">
        <is>
          <t>Aucun</t>
        </is>
      </c>
      <c r="C1192" s="33" t="n"/>
      <c r="D1192" s="33" t="n"/>
      <c r="E1192" s="33" t="n"/>
      <c r="F1192" s="33" t="n"/>
      <c r="G1192" s="33" t="n"/>
      <c r="H1192" s="30" t="inlineStr">
        <is>
          <t>Oui</t>
        </is>
      </c>
    </row>
    <row r="1193">
      <c r="A1193" s="31" t="inlineStr">
        <is>
          <t>Talent</t>
        </is>
      </c>
      <c r="B1193" s="33" t="inlineStr">
        <is>
          <t>Point Poison</t>
        </is>
      </c>
      <c r="C1193" s="33" t="n"/>
      <c r="D1193" s="33" t="n"/>
      <c r="E1193" s="33" t="n"/>
      <c r="F1193" s="33" t="n"/>
      <c r="G1193" s="33" t="n"/>
      <c r="H1193" s="30" t="inlineStr">
        <is>
          <t>Oui</t>
        </is>
      </c>
    </row>
    <row r="1194">
      <c r="A1194" s="31" t="inlineStr">
        <is>
          <t>Capacités</t>
        </is>
      </c>
      <c r="B1194" s="34" t="inlineStr">
        <is>
          <t>Roulade</t>
        </is>
      </c>
      <c r="C1194" s="34" t="n"/>
      <c r="D1194" s="34" t="n"/>
      <c r="E1194" s="34" t="n"/>
      <c r="F1194" s="34" t="n"/>
      <c r="G1194" s="34" t="n"/>
      <c r="H1194" s="30" t="inlineStr">
        <is>
          <t>Oui</t>
        </is>
      </c>
    </row>
    <row r="1195">
      <c r="A1195" s="31" t="n"/>
      <c r="B1195" s="34" t="inlineStr">
        <is>
          <t>Pics Toxik</t>
        </is>
      </c>
      <c r="C1195" s="34" t="n"/>
      <c r="D1195" s="34" t="n"/>
      <c r="E1195" s="34" t="n"/>
      <c r="F1195" s="34" t="n"/>
      <c r="G1195" s="34" t="n"/>
      <c r="H1195" s="30" t="inlineStr">
        <is>
          <t>Oui</t>
        </is>
      </c>
    </row>
    <row r="1196">
      <c r="A1196" s="31" t="n"/>
      <c r="B1196" s="34" t="inlineStr">
        <is>
          <t>Stockage</t>
        </is>
      </c>
      <c r="C1196" s="34" t="n"/>
      <c r="D1196" s="34" t="n"/>
      <c r="E1196" s="34" t="n"/>
      <c r="F1196" s="34" t="n"/>
      <c r="G1196" s="34" t="n"/>
      <c r="H1196" s="30" t="inlineStr">
        <is>
          <t>Oui</t>
        </is>
      </c>
    </row>
    <row r="1197">
      <c r="A1197" s="31" t="n"/>
      <c r="B1197" s="34" t="inlineStr">
        <is>
          <t>Relâche</t>
        </is>
      </c>
      <c r="C1197" s="34" t="n"/>
      <c r="D1197" s="34" t="n"/>
      <c r="E1197" s="34" t="n"/>
      <c r="F1197" s="34" t="n"/>
      <c r="G1197" s="34" t="n"/>
      <c r="H1197" s="30" t="inlineStr">
        <is>
          <t>Oui</t>
        </is>
      </c>
    </row>
    <row r="1198">
      <c r="A1198" s="31" t="inlineStr">
        <is>
          <t>Nom</t>
        </is>
      </c>
      <c r="B1198" s="32" t="inlineStr">
        <is>
          <t>Nageur Otto</t>
        </is>
      </c>
      <c r="C1198" s="32" t="n"/>
      <c r="D1198" s="32" t="n"/>
      <c r="E1198" s="32" t="n"/>
      <c r="F1198" s="32" t="n"/>
      <c r="G1198" s="32" t="n"/>
      <c r="H1198" s="30" t="inlineStr">
        <is>
          <t>Oui</t>
        </is>
      </c>
    </row>
    <row r="1199">
      <c r="A1199" s="31" t="inlineStr">
        <is>
          <t>Pokémon</t>
        </is>
      </c>
      <c r="B1199" s="33" t="inlineStr">
        <is>
          <t>LEVIATOR</t>
        </is>
      </c>
      <c r="C1199" s="33" t="inlineStr">
        <is>
          <t>LEVIATOR</t>
        </is>
      </c>
      <c r="D1199" s="33" t="n"/>
      <c r="E1199" s="33" t="n"/>
      <c r="F1199" s="33" t="n"/>
      <c r="G1199" s="33" t="n"/>
      <c r="H1199" s="30" t="inlineStr">
        <is>
          <t>Oui</t>
        </is>
      </c>
    </row>
    <row r="1200">
      <c r="A1200" s="31" t="inlineStr">
        <is>
          <t>Niveau</t>
        </is>
      </c>
      <c r="B1200" s="33" t="n">
        <v>24</v>
      </c>
      <c r="C1200" s="33" t="n">
        <v>24</v>
      </c>
      <c r="D1200" s="33" t="n"/>
      <c r="E1200" s="33" t="n"/>
      <c r="F1200" s="33" t="n"/>
      <c r="G1200" s="33" t="n"/>
      <c r="H1200" s="30" t="inlineStr">
        <is>
          <t>Oui</t>
        </is>
      </c>
    </row>
    <row r="1201">
      <c r="A1201" s="31" t="inlineStr">
        <is>
          <t>Objet</t>
        </is>
      </c>
      <c r="B1201" s="33" t="inlineStr">
        <is>
          <t>Aucun</t>
        </is>
      </c>
      <c r="C1201" s="33" t="inlineStr">
        <is>
          <t>Aucun</t>
        </is>
      </c>
      <c r="D1201" s="33" t="n"/>
      <c r="E1201" s="33" t="n"/>
      <c r="F1201" s="33" t="n"/>
      <c r="G1201" s="33" t="n"/>
      <c r="H1201" s="30" t="inlineStr">
        <is>
          <t>Oui</t>
        </is>
      </c>
    </row>
    <row r="1202">
      <c r="A1202" s="31" t="inlineStr">
        <is>
          <t>Talent</t>
        </is>
      </c>
      <c r="B1202" s="33" t="inlineStr">
        <is>
          <t>Intimidation</t>
        </is>
      </c>
      <c r="C1202" s="33" t="inlineStr">
        <is>
          <t>Intimidation</t>
        </is>
      </c>
      <c r="D1202" s="33" t="n"/>
      <c r="E1202" s="33" t="n"/>
      <c r="F1202" s="33" t="n"/>
      <c r="G1202" s="33" t="n"/>
      <c r="H1202" s="30" t="inlineStr">
        <is>
          <t>Oui</t>
        </is>
      </c>
    </row>
    <row r="1203">
      <c r="A1203" s="31" t="inlineStr">
        <is>
          <t>Capacités</t>
        </is>
      </c>
      <c r="B1203" s="34" t="inlineStr">
        <is>
          <t>Mania</t>
        </is>
      </c>
      <c r="C1203" s="34" t="inlineStr">
        <is>
          <t>Mania</t>
        </is>
      </c>
      <c r="D1203" s="34" t="n"/>
      <c r="E1203" s="34" t="n"/>
      <c r="F1203" s="34" t="n"/>
      <c r="G1203" s="34" t="n"/>
      <c r="H1203" s="30" t="inlineStr">
        <is>
          <t>Oui</t>
        </is>
      </c>
    </row>
    <row r="1204">
      <c r="A1204" s="31" t="n"/>
      <c r="B1204" s="34" t="inlineStr">
        <is>
          <t>Groz'Yeux</t>
        </is>
      </c>
      <c r="C1204" s="34" t="inlineStr">
        <is>
          <t>Groz'Yeux</t>
        </is>
      </c>
      <c r="D1204" s="34" t="n"/>
      <c r="E1204" s="34" t="n"/>
      <c r="F1204" s="34" t="n"/>
      <c r="G1204" s="34" t="n"/>
      <c r="H1204" s="30" t="inlineStr">
        <is>
          <t>Oui</t>
        </is>
      </c>
    </row>
    <row r="1205">
      <c r="A1205" s="31" t="n"/>
      <c r="B1205" s="34" t="inlineStr">
        <is>
          <t>Siphon</t>
        </is>
      </c>
      <c r="C1205" s="34" t="inlineStr">
        <is>
          <t>Siphon</t>
        </is>
      </c>
      <c r="D1205" s="34" t="n"/>
      <c r="E1205" s="34" t="n"/>
      <c r="F1205" s="34" t="n"/>
      <c r="G1205" s="34" t="n"/>
      <c r="H1205" s="30" t="inlineStr">
        <is>
          <t>Oui</t>
        </is>
      </c>
    </row>
    <row r="1206">
      <c r="A1206" s="31" t="n"/>
      <c r="B1206" s="34" t="inlineStr">
        <is>
          <t>Ouragan</t>
        </is>
      </c>
      <c r="C1206" s="34" t="inlineStr">
        <is>
          <t>Ouragan</t>
        </is>
      </c>
      <c r="D1206" s="34" t="n"/>
      <c r="E1206" s="34" t="n"/>
      <c r="F1206" s="34" t="n"/>
      <c r="G1206" s="34" t="n"/>
      <c r="H1206" s="30" t="inlineStr">
        <is>
          <t>Oui</t>
        </is>
      </c>
    </row>
    <row r="1207">
      <c r="A1207" s="31" t="inlineStr">
        <is>
          <t>Nom</t>
        </is>
      </c>
      <c r="B1207" s="32" t="inlineStr">
        <is>
          <t>Nageur Matthew</t>
        </is>
      </c>
      <c r="C1207" s="32" t="n"/>
      <c r="D1207" s="32" t="n"/>
      <c r="E1207" s="32" t="n"/>
      <c r="F1207" s="32" t="n"/>
      <c r="G1207" s="32" t="n"/>
      <c r="H1207" s="30" t="inlineStr">
        <is>
          <t>Oui</t>
        </is>
      </c>
    </row>
    <row r="1208">
      <c r="A1208" s="31" t="inlineStr">
        <is>
          <t>Pokémon</t>
        </is>
      </c>
      <c r="B1208" s="33" t="inlineStr">
        <is>
          <t>KRABBY</t>
        </is>
      </c>
      <c r="C1208" s="33" t="inlineStr">
        <is>
          <t>QWILFISH</t>
        </is>
      </c>
      <c r="D1208" s="33" t="n"/>
      <c r="E1208" s="33" t="n"/>
      <c r="F1208" s="33" t="n"/>
      <c r="G1208" s="33" t="n"/>
      <c r="H1208" s="30" t="inlineStr">
        <is>
          <t>Oui</t>
        </is>
      </c>
    </row>
    <row r="1209">
      <c r="A1209" s="31" t="inlineStr">
        <is>
          <t>Niveau</t>
        </is>
      </c>
      <c r="B1209" s="33" t="n">
        <v>26</v>
      </c>
      <c r="C1209" s="33" t="n">
        <v>26</v>
      </c>
      <c r="D1209" s="33" t="n"/>
      <c r="E1209" s="33" t="n"/>
      <c r="F1209" s="33" t="n"/>
      <c r="G1209" s="33" t="n"/>
      <c r="H1209" s="30" t="inlineStr">
        <is>
          <t>Oui</t>
        </is>
      </c>
    </row>
    <row r="1210">
      <c r="A1210" s="31" t="inlineStr">
        <is>
          <t>Objet</t>
        </is>
      </c>
      <c r="B1210" s="33" t="inlineStr">
        <is>
          <t>Aucun</t>
        </is>
      </c>
      <c r="C1210" s="33" t="inlineStr">
        <is>
          <t>Aucun</t>
        </is>
      </c>
      <c r="D1210" s="33" t="n"/>
      <c r="E1210" s="33" t="n"/>
      <c r="F1210" s="33" t="n"/>
      <c r="G1210" s="33" t="n"/>
      <c r="H1210" s="30" t="inlineStr">
        <is>
          <t>Oui</t>
        </is>
      </c>
    </row>
    <row r="1211">
      <c r="A1211" s="31" t="inlineStr">
        <is>
          <t>Talent</t>
        </is>
      </c>
      <c r="B1211" s="33" t="inlineStr">
        <is>
          <t>Hyper Cutter</t>
        </is>
      </c>
      <c r="C1211" s="33" t="inlineStr">
        <is>
          <t>Point Poison</t>
        </is>
      </c>
      <c r="D1211" s="33" t="n"/>
      <c r="E1211" s="33" t="n"/>
      <c r="F1211" s="33" t="n"/>
      <c r="G1211" s="33" t="n"/>
      <c r="H1211" s="30" t="inlineStr">
        <is>
          <t>Oui</t>
        </is>
      </c>
    </row>
    <row r="1212">
      <c r="A1212" s="31" t="inlineStr">
        <is>
          <t>Capacités</t>
        </is>
      </c>
      <c r="B1212" s="34" t="inlineStr">
        <is>
          <t>Bulles d'O</t>
        </is>
      </c>
      <c r="C1212" s="34" t="inlineStr">
        <is>
          <t>Roulade</t>
        </is>
      </c>
      <c r="D1212" s="34" t="n"/>
      <c r="E1212" s="34" t="n"/>
      <c r="F1212" s="34" t="n"/>
      <c r="G1212" s="34" t="n"/>
      <c r="H1212" s="30" t="inlineStr">
        <is>
          <t>Oui</t>
        </is>
      </c>
    </row>
    <row r="1213">
      <c r="A1213" s="31" t="n"/>
      <c r="B1213" s="34" t="inlineStr">
        <is>
          <t>Tir de Boue</t>
        </is>
      </c>
      <c r="C1213" s="34" t="inlineStr">
        <is>
          <t>Pics Toxik</t>
        </is>
      </c>
      <c r="D1213" s="34" t="n"/>
      <c r="E1213" s="34" t="n"/>
      <c r="F1213" s="34" t="n"/>
      <c r="G1213" s="34" t="n"/>
      <c r="H1213" s="30" t="inlineStr">
        <is>
          <t>Oui</t>
        </is>
      </c>
    </row>
    <row r="1214">
      <c r="A1214" s="31" t="n"/>
      <c r="B1214" s="34" t="inlineStr">
        <is>
          <t>Griffe Acier</t>
        </is>
      </c>
      <c r="C1214" s="34" t="inlineStr">
        <is>
          <t>Stockage</t>
        </is>
      </c>
      <c r="D1214" s="34" t="n"/>
      <c r="E1214" s="34" t="n"/>
      <c r="F1214" s="34" t="n"/>
      <c r="G1214" s="34" t="n"/>
      <c r="H1214" s="30" t="inlineStr">
        <is>
          <t>Oui</t>
        </is>
      </c>
    </row>
    <row r="1215">
      <c r="A1215" s="31" t="n"/>
      <c r="B1215" s="34" t="inlineStr">
        <is>
          <t>Écrasement</t>
        </is>
      </c>
      <c r="C1215" s="34" t="inlineStr">
        <is>
          <t>Relâche</t>
        </is>
      </c>
      <c r="D1215" s="34" t="n"/>
      <c r="E1215" s="34" t="n"/>
      <c r="F1215" s="34" t="n"/>
      <c r="G1215" s="34" t="n"/>
      <c r="H1215" s="30" t="inlineStr">
        <is>
          <t>Oui</t>
        </is>
      </c>
    </row>
    <row r="1216">
      <c r="A1216" s="31" t="inlineStr">
        <is>
          <t>Nom</t>
        </is>
      </c>
      <c r="B1216" s="32" t="inlineStr">
        <is>
          <t>Nageuse Ludmila</t>
        </is>
      </c>
      <c r="C1216" s="32" t="n"/>
      <c r="D1216" s="32" t="n"/>
      <c r="E1216" s="32" t="n"/>
      <c r="F1216" s="32" t="n"/>
      <c r="G1216" s="32" t="n"/>
      <c r="H1216" s="30" t="inlineStr">
        <is>
          <t>Oui</t>
        </is>
      </c>
    </row>
    <row r="1217">
      <c r="A1217" s="31" t="inlineStr">
        <is>
          <t>Pokémon</t>
        </is>
      </c>
      <c r="B1217" s="33" t="inlineStr">
        <is>
          <t>POISSOROY</t>
        </is>
      </c>
      <c r="C1217" s="33" t="inlineStr">
        <is>
          <t>LANTURN</t>
        </is>
      </c>
      <c r="D1217" s="33" t="inlineStr">
        <is>
          <t>MARAISTE</t>
        </is>
      </c>
      <c r="E1217" s="33" t="n"/>
      <c r="F1217" s="33" t="n"/>
      <c r="G1217" s="33" t="n"/>
      <c r="H1217" s="30" t="inlineStr">
        <is>
          <t>Oui</t>
        </is>
      </c>
    </row>
    <row r="1218">
      <c r="A1218" s="31" t="inlineStr">
        <is>
          <t>Niveau</t>
        </is>
      </c>
      <c r="B1218" s="33" t="n">
        <v>24</v>
      </c>
      <c r="C1218" s="33" t="n">
        <v>24</v>
      </c>
      <c r="D1218" s="33" t="n">
        <v>24</v>
      </c>
      <c r="E1218" s="33" t="n"/>
      <c r="F1218" s="33" t="n"/>
      <c r="G1218" s="33" t="n"/>
      <c r="H1218" s="30" t="inlineStr">
        <is>
          <t>Oui</t>
        </is>
      </c>
    </row>
    <row r="1219">
      <c r="A1219" s="31" t="inlineStr">
        <is>
          <t>Objet</t>
        </is>
      </c>
      <c r="B1219" s="33" t="inlineStr">
        <is>
          <t>Aucun</t>
        </is>
      </c>
      <c r="C1219" s="33" t="inlineStr">
        <is>
          <t>Aucun</t>
        </is>
      </c>
      <c r="D1219" s="33" t="inlineStr">
        <is>
          <t>Aucun</t>
        </is>
      </c>
      <c r="E1219" s="33" t="n"/>
      <c r="F1219" s="33" t="n"/>
      <c r="G1219" s="33" t="n"/>
      <c r="H1219" s="30" t="inlineStr">
        <is>
          <t>Oui</t>
        </is>
      </c>
    </row>
    <row r="1220">
      <c r="A1220" s="31" t="inlineStr">
        <is>
          <t>Talent</t>
        </is>
      </c>
      <c r="B1220" s="33" t="inlineStr">
        <is>
          <t>Glissade</t>
        </is>
      </c>
      <c r="C1220" s="33" t="inlineStr">
        <is>
          <t>Absorbe-Volt</t>
        </is>
      </c>
      <c r="D1220" s="33" t="inlineStr">
        <is>
          <t>Moiteur</t>
        </is>
      </c>
      <c r="E1220" s="33" t="n"/>
      <c r="F1220" s="33" t="n"/>
      <c r="G1220" s="33" t="n"/>
      <c r="H1220" s="30" t="inlineStr">
        <is>
          <t>Oui</t>
        </is>
      </c>
    </row>
    <row r="1221">
      <c r="A1221" s="31" t="inlineStr">
        <is>
          <t>Capacités</t>
        </is>
      </c>
      <c r="B1221" s="34" t="inlineStr">
        <is>
          <t>Gigotage</t>
        </is>
      </c>
      <c r="C1221" s="34" t="inlineStr">
        <is>
          <t>Pistolet à O</t>
        </is>
      </c>
      <c r="D1221" s="34" t="inlineStr">
        <is>
          <t>Tir de Boue</t>
        </is>
      </c>
      <c r="E1221" s="34" t="n"/>
      <c r="F1221" s="34" t="n"/>
      <c r="G1221" s="34" t="n"/>
      <c r="H1221" s="30" t="inlineStr">
        <is>
          <t>Oui</t>
        </is>
      </c>
    </row>
    <row r="1222">
      <c r="A1222" s="31" t="n"/>
      <c r="B1222" s="34" t="inlineStr">
        <is>
          <t>Vibraqua</t>
        </is>
      </c>
      <c r="C1222" s="34" t="inlineStr">
        <is>
          <t>Onde Folie</t>
        </is>
      </c>
      <c r="D1222" s="34" t="inlineStr">
        <is>
          <t>Souplesse</t>
        </is>
      </c>
      <c r="E1222" s="34" t="n"/>
      <c r="F1222" s="34" t="n"/>
      <c r="G1222" s="34" t="n"/>
      <c r="H1222" s="30" t="inlineStr">
        <is>
          <t>Oui</t>
        </is>
      </c>
    </row>
    <row r="1223">
      <c r="A1223" s="31" t="n"/>
      <c r="B1223" s="34" t="inlineStr">
        <is>
          <t>Anneau Hydro</t>
        </is>
      </c>
      <c r="C1223" s="34" t="inlineStr">
        <is>
          <t>Bulles d'O</t>
        </is>
      </c>
      <c r="D1223" s="34" t="inlineStr">
        <is>
          <t>Boue-Bombe</t>
        </is>
      </c>
      <c r="E1223" s="34" t="n"/>
      <c r="F1223" s="34" t="n"/>
      <c r="G1223" s="34" t="n"/>
      <c r="H1223" s="30" t="inlineStr">
        <is>
          <t>Oui</t>
        </is>
      </c>
    </row>
    <row r="1224">
      <c r="A1224" s="31" t="n"/>
      <c r="B1224" s="34" t="inlineStr">
        <is>
          <t>Furie</t>
        </is>
      </c>
      <c r="C1224" s="34" t="inlineStr">
        <is>
          <t>Étincelle</t>
        </is>
      </c>
      <c r="D1224" s="34" t="inlineStr">
        <is>
          <t>Amnésie</t>
        </is>
      </c>
      <c r="E1224" s="34" t="n"/>
      <c r="F1224" s="34" t="n"/>
      <c r="G1224" s="34" t="n"/>
      <c r="H1224" s="30" t="inlineStr">
        <is>
          <t>Oui</t>
        </is>
      </c>
    </row>
    <row r="1225">
      <c r="A1225" s="31" t="inlineStr">
        <is>
          <t>Nom</t>
        </is>
      </c>
      <c r="B1225" s="32" t="inlineStr">
        <is>
          <t>Nageuse Susie</t>
        </is>
      </c>
      <c r="C1225" s="32" t="n"/>
      <c r="D1225" s="32" t="n"/>
      <c r="E1225" s="32" t="n"/>
      <c r="F1225" s="32" t="n"/>
      <c r="G1225" s="32" t="n"/>
      <c r="H1225" s="30" t="inlineStr">
        <is>
          <t>Oui</t>
        </is>
      </c>
    </row>
    <row r="1226">
      <c r="A1226" s="31" t="inlineStr">
        <is>
          <t>Pokémon</t>
        </is>
      </c>
      <c r="B1226" s="33" t="inlineStr">
        <is>
          <t>PSYKOKWAK</t>
        </is>
      </c>
      <c r="C1226" s="33" t="inlineStr">
        <is>
          <t>POISSOROY</t>
        </is>
      </c>
      <c r="D1226" s="33" t="n"/>
      <c r="E1226" s="33" t="n"/>
      <c r="F1226" s="33" t="n"/>
      <c r="G1226" s="33" t="n"/>
      <c r="H1226" s="30" t="inlineStr">
        <is>
          <t>Oui</t>
        </is>
      </c>
    </row>
    <row r="1227">
      <c r="A1227" s="31" t="inlineStr">
        <is>
          <t>Niveau</t>
        </is>
      </c>
      <c r="B1227" s="33" t="n">
        <v>27</v>
      </c>
      <c r="C1227" s="33" t="n">
        <v>26</v>
      </c>
      <c r="D1227" s="33" t="n"/>
      <c r="E1227" s="33" t="n"/>
      <c r="F1227" s="33" t="n"/>
      <c r="G1227" s="33" t="n"/>
      <c r="H1227" s="30" t="inlineStr">
        <is>
          <t>Oui</t>
        </is>
      </c>
    </row>
    <row r="1228">
      <c r="A1228" s="31" t="inlineStr">
        <is>
          <t>Objet</t>
        </is>
      </c>
      <c r="B1228" s="33" t="inlineStr">
        <is>
          <t>Aucun</t>
        </is>
      </c>
      <c r="C1228" s="33" t="inlineStr">
        <is>
          <t>Aucun</t>
        </is>
      </c>
      <c r="D1228" s="33" t="n"/>
      <c r="E1228" s="33" t="n"/>
      <c r="F1228" s="33" t="n"/>
      <c r="G1228" s="33" t="n"/>
      <c r="H1228" s="30" t="inlineStr">
        <is>
          <t>Oui</t>
        </is>
      </c>
    </row>
    <row r="1229">
      <c r="A1229" s="31" t="inlineStr">
        <is>
          <t>Talent</t>
        </is>
      </c>
      <c r="B1229" s="33" t="inlineStr">
        <is>
          <t>Moiteur</t>
        </is>
      </c>
      <c r="C1229" s="33" t="inlineStr">
        <is>
          <t>Glissade</t>
        </is>
      </c>
      <c r="D1229" s="33" t="n"/>
      <c r="E1229" s="33" t="n"/>
      <c r="F1229" s="33" t="n"/>
      <c r="G1229" s="33" t="n"/>
      <c r="H1229" s="30" t="inlineStr">
        <is>
          <t>Oui</t>
        </is>
      </c>
    </row>
    <row r="1230">
      <c r="A1230" s="31" t="inlineStr">
        <is>
          <t>Capacités</t>
        </is>
      </c>
      <c r="B1230" s="34" t="inlineStr">
        <is>
          <t>Vibraqua</t>
        </is>
      </c>
      <c r="C1230" s="34" t="inlineStr">
        <is>
          <t>Gigotage</t>
        </is>
      </c>
      <c r="D1230" s="34" t="n"/>
      <c r="E1230" s="34" t="n"/>
      <c r="F1230" s="34" t="n"/>
      <c r="G1230" s="34" t="n"/>
      <c r="H1230" s="30" t="inlineStr">
        <is>
          <t>Oui</t>
        </is>
      </c>
    </row>
    <row r="1231">
      <c r="A1231" s="31" t="n"/>
      <c r="B1231" s="34" t="inlineStr">
        <is>
          <t>Entrave</t>
        </is>
      </c>
      <c r="C1231" s="34" t="inlineStr">
        <is>
          <t>Vibraqua</t>
        </is>
      </c>
      <c r="D1231" s="34" t="n"/>
      <c r="E1231" s="34" t="n"/>
      <c r="F1231" s="34" t="n"/>
      <c r="G1231" s="34" t="n"/>
      <c r="H1231" s="30" t="inlineStr">
        <is>
          <t>Oui</t>
        </is>
      </c>
    </row>
    <row r="1232">
      <c r="A1232" s="31" t="n"/>
      <c r="B1232" s="34" t="inlineStr">
        <is>
          <t>Grincement</t>
        </is>
      </c>
      <c r="C1232" s="34" t="inlineStr">
        <is>
          <t>Anneau Hydro</t>
        </is>
      </c>
      <c r="D1232" s="34" t="n"/>
      <c r="E1232" s="34" t="n"/>
      <c r="F1232" s="34" t="n"/>
      <c r="G1232" s="34" t="n"/>
      <c r="H1232" s="30" t="inlineStr">
        <is>
          <t>Oui</t>
        </is>
      </c>
    </row>
    <row r="1233">
      <c r="A1233" s="31" t="n"/>
      <c r="B1233" s="34" t="inlineStr">
        <is>
          <t>Psykoud'Boul</t>
        </is>
      </c>
      <c r="C1233" s="34" t="inlineStr">
        <is>
          <t>Furie</t>
        </is>
      </c>
      <c r="D1233" s="34" t="n"/>
      <c r="E1233" s="34" t="n"/>
      <c r="F1233" s="34" t="n"/>
      <c r="G1233" s="34" t="n"/>
      <c r="H1233" s="30" t="inlineStr">
        <is>
          <t>Oui</t>
        </is>
      </c>
    </row>
    <row r="1234">
      <c r="A1234" s="31" t="inlineStr">
        <is>
          <t>Nom</t>
        </is>
      </c>
      <c r="B1234" s="32" t="inlineStr">
        <is>
          <t>Nageuse Ute</t>
        </is>
      </c>
      <c r="C1234" s="32" t="n"/>
      <c r="D1234" s="32" t="n"/>
      <c r="E1234" s="32" t="n"/>
      <c r="F1234" s="32" t="n"/>
      <c r="G1234" s="32" t="n"/>
      <c r="H1234" s="30" t="inlineStr">
        <is>
          <t>Oui</t>
        </is>
      </c>
    </row>
    <row r="1235">
      <c r="A1235" s="31" t="inlineStr">
        <is>
          <t>Pokémon</t>
        </is>
      </c>
      <c r="B1235" s="33" t="inlineStr">
        <is>
          <t>LOKHLASS</t>
        </is>
      </c>
      <c r="C1235" s="33" t="n"/>
      <c r="D1235" s="33" t="n"/>
      <c r="E1235" s="33" t="n"/>
      <c r="F1235" s="33" t="n"/>
      <c r="G1235" s="33" t="n"/>
      <c r="H1235" s="30" t="inlineStr">
        <is>
          <t>Oui</t>
        </is>
      </c>
    </row>
    <row r="1236">
      <c r="A1236" s="31" t="inlineStr">
        <is>
          <t>Niveau</t>
        </is>
      </c>
      <c r="B1236" s="33" t="n">
        <v>27</v>
      </c>
      <c r="C1236" s="33" t="n"/>
      <c r="D1236" s="33" t="n"/>
      <c r="E1236" s="33" t="n"/>
      <c r="F1236" s="33" t="n"/>
      <c r="G1236" s="33" t="n"/>
      <c r="H1236" s="30" t="inlineStr">
        <is>
          <t>Oui</t>
        </is>
      </c>
    </row>
    <row r="1237">
      <c r="A1237" s="31" t="inlineStr">
        <is>
          <t>Objet</t>
        </is>
      </c>
      <c r="B1237" s="33" t="inlineStr">
        <is>
          <t>Aucun</t>
        </is>
      </c>
      <c r="C1237" s="33" t="n"/>
      <c r="D1237" s="33" t="n"/>
      <c r="E1237" s="33" t="n"/>
      <c r="F1237" s="33" t="n"/>
      <c r="G1237" s="33" t="n"/>
      <c r="H1237" s="30" t="inlineStr">
        <is>
          <t>Oui</t>
        </is>
      </c>
    </row>
    <row r="1238">
      <c r="A1238" s="31" t="inlineStr">
        <is>
          <t>Talent</t>
        </is>
      </c>
      <c r="B1238" s="33" t="inlineStr">
        <is>
          <t>Absorbe-Eau</t>
        </is>
      </c>
      <c r="C1238" s="33" t="n"/>
      <c r="D1238" s="33" t="n"/>
      <c r="E1238" s="33" t="n"/>
      <c r="F1238" s="33" t="n"/>
      <c r="G1238" s="33" t="n"/>
      <c r="H1238" s="30" t="inlineStr">
        <is>
          <t>Oui</t>
        </is>
      </c>
    </row>
    <row r="1239">
      <c r="A1239" s="31" t="inlineStr">
        <is>
          <t>Capacités</t>
        </is>
      </c>
      <c r="B1239" s="34" t="inlineStr">
        <is>
          <t>Vibraqua</t>
        </is>
      </c>
      <c r="C1239" s="34" t="n"/>
      <c r="D1239" s="34" t="n"/>
      <c r="E1239" s="34" t="n"/>
      <c r="F1239" s="34" t="n"/>
      <c r="G1239" s="34" t="n"/>
      <c r="H1239" s="30" t="inlineStr">
        <is>
          <t>Oui</t>
        </is>
      </c>
    </row>
    <row r="1240">
      <c r="A1240" s="31" t="n"/>
      <c r="B1240" s="34" t="inlineStr">
        <is>
          <t>Plaquage</t>
        </is>
      </c>
      <c r="C1240" s="34" t="n"/>
      <c r="D1240" s="34" t="n"/>
      <c r="E1240" s="34" t="n"/>
      <c r="F1240" s="34" t="n"/>
      <c r="G1240" s="34" t="n"/>
      <c r="H1240" s="30" t="inlineStr">
        <is>
          <t>Oui</t>
        </is>
      </c>
    </row>
    <row r="1241">
      <c r="A1241" s="31" t="n"/>
      <c r="B1241" s="34" t="inlineStr">
        <is>
          <t>Danse Pluie</t>
        </is>
      </c>
      <c r="C1241" s="34" t="n"/>
      <c r="D1241" s="34" t="n"/>
      <c r="E1241" s="34" t="n"/>
      <c r="F1241" s="34" t="n"/>
      <c r="G1241" s="34" t="n"/>
      <c r="H1241" s="30" t="inlineStr">
        <is>
          <t>Oui</t>
        </is>
      </c>
    </row>
    <row r="1242">
      <c r="A1242" s="31" t="n"/>
      <c r="B1242" s="34" t="inlineStr">
        <is>
          <t>Requiem</t>
        </is>
      </c>
      <c r="C1242" s="34" t="n"/>
      <c r="D1242" s="34" t="n"/>
      <c r="E1242" s="34" t="n"/>
      <c r="F1242" s="34" t="n"/>
      <c r="G1242" s="34" t="n"/>
      <c r="H1242" s="30" t="inlineStr">
        <is>
          <t>Oui</t>
        </is>
      </c>
    </row>
    <row r="1243">
      <c r="A1243" s="31" t="inlineStr">
        <is>
          <t>Nom</t>
        </is>
      </c>
      <c r="B1243" s="32" t="inlineStr">
        <is>
          <t>Nageuse Birgit</t>
        </is>
      </c>
      <c r="C1243" s="32" t="n"/>
      <c r="D1243" s="32" t="n"/>
      <c r="E1243" s="32" t="n"/>
      <c r="F1243" s="32" t="n"/>
      <c r="G1243" s="32" t="n"/>
      <c r="H1243" s="30" t="inlineStr">
        <is>
          <t>Oui</t>
        </is>
      </c>
    </row>
    <row r="1244">
      <c r="A1244" s="31" t="inlineStr">
        <is>
          <t>Pokémon</t>
        </is>
      </c>
      <c r="B1244" s="33" t="inlineStr">
        <is>
          <t>HYPOTREMPE</t>
        </is>
      </c>
      <c r="C1244" s="33" t="inlineStr">
        <is>
          <t>STAROSS</t>
        </is>
      </c>
      <c r="D1244" s="33" t="n"/>
      <c r="E1244" s="33" t="n"/>
      <c r="F1244" s="33" t="n"/>
      <c r="G1244" s="33" t="n"/>
      <c r="H1244" s="30" t="inlineStr">
        <is>
          <t>Oui</t>
        </is>
      </c>
    </row>
    <row r="1245">
      <c r="A1245" s="31" t="inlineStr">
        <is>
          <t>Niveau</t>
        </is>
      </c>
      <c r="B1245" s="33" t="n">
        <v>25</v>
      </c>
      <c r="C1245" s="33" t="n">
        <v>26</v>
      </c>
      <c r="D1245" s="33" t="n"/>
      <c r="E1245" s="33" t="n"/>
      <c r="F1245" s="33" t="n"/>
      <c r="G1245" s="33" t="n"/>
      <c r="H1245" s="30" t="inlineStr">
        <is>
          <t>Oui</t>
        </is>
      </c>
    </row>
    <row r="1246">
      <c r="A1246" s="31" t="inlineStr">
        <is>
          <t>Objet</t>
        </is>
      </c>
      <c r="B1246" s="33" t="inlineStr">
        <is>
          <t>Aucun</t>
        </is>
      </c>
      <c r="C1246" s="33" t="inlineStr">
        <is>
          <t>Aucun</t>
        </is>
      </c>
      <c r="D1246" s="33" t="n"/>
      <c r="E1246" s="33" t="n"/>
      <c r="F1246" s="33" t="n"/>
      <c r="G1246" s="33" t="n"/>
      <c r="H1246" s="30" t="inlineStr">
        <is>
          <t>Oui</t>
        </is>
      </c>
    </row>
    <row r="1247">
      <c r="A1247" s="31" t="inlineStr">
        <is>
          <t>Talent</t>
        </is>
      </c>
      <c r="B1247" s="33" t="inlineStr">
        <is>
          <t>Glissade</t>
        </is>
      </c>
      <c r="C1247" s="33" t="inlineStr">
        <is>
          <t>Lumiattirance</t>
        </is>
      </c>
      <c r="D1247" s="33" t="n"/>
      <c r="E1247" s="33" t="n"/>
      <c r="F1247" s="33" t="n"/>
      <c r="G1247" s="33" t="n"/>
      <c r="H1247" s="30" t="inlineStr">
        <is>
          <t>Oui</t>
        </is>
      </c>
    </row>
    <row r="1248">
      <c r="A1248" s="31" t="inlineStr">
        <is>
          <t>Capacités</t>
        </is>
      </c>
      <c r="B1248" s="34" t="inlineStr">
        <is>
          <t>Groz'Yeux</t>
        </is>
      </c>
      <c r="C1248" s="34" t="inlineStr">
        <is>
          <t>Pistolet à O</t>
        </is>
      </c>
      <c r="D1248" s="34" t="n"/>
      <c r="E1248" s="34" t="n"/>
      <c r="F1248" s="34" t="n"/>
      <c r="G1248" s="34" t="n"/>
      <c r="H1248" s="30" t="inlineStr">
        <is>
          <t>Oui</t>
        </is>
      </c>
    </row>
    <row r="1249">
      <c r="A1249" s="31" t="n"/>
      <c r="B1249" s="34" t="inlineStr">
        <is>
          <t>Pistolet à O</t>
        </is>
      </c>
      <c r="C1249" s="34" t="inlineStr">
        <is>
          <t>Tour Rapide</t>
        </is>
      </c>
      <c r="D1249" s="34" t="n"/>
      <c r="E1249" s="34" t="n"/>
      <c r="F1249" s="34" t="n"/>
      <c r="G1249" s="34" t="n"/>
      <c r="H1249" s="30" t="inlineStr">
        <is>
          <t>Oui</t>
        </is>
      </c>
    </row>
    <row r="1250">
      <c r="A1250" s="31" t="n"/>
      <c r="B1250" s="34" t="inlineStr">
        <is>
          <t>Ouragan</t>
        </is>
      </c>
      <c r="C1250" s="34" t="inlineStr">
        <is>
          <t>Soin</t>
        </is>
      </c>
      <c r="D1250" s="34" t="n"/>
      <c r="E1250" s="34" t="n"/>
      <c r="F1250" s="34" t="n"/>
      <c r="G1250" s="34" t="n"/>
      <c r="H1250" s="30" t="inlineStr">
        <is>
          <t>Oui</t>
        </is>
      </c>
    </row>
    <row r="1251">
      <c r="A1251" s="31" t="n"/>
      <c r="B1251" s="34" t="inlineStr">
        <is>
          <t>Bulles d'O</t>
        </is>
      </c>
      <c r="C1251" s="34" t="inlineStr">
        <is>
          <t>Météores</t>
        </is>
      </c>
      <c r="D1251" s="34" t="n"/>
      <c r="E1251" s="34" t="n"/>
      <c r="F1251" s="34" t="n"/>
      <c r="G1251" s="34" t="n"/>
      <c r="H1251" s="30" t="inlineStr">
        <is>
          <t>Oui</t>
        </is>
      </c>
    </row>
    <row r="1252">
      <c r="A1252" s="31" t="inlineStr">
        <is>
          <t>Nom</t>
        </is>
      </c>
      <c r="B1252" s="32" t="inlineStr">
        <is>
          <t>Nageuse Wendy</t>
        </is>
      </c>
      <c r="C1252" s="32" t="n"/>
      <c r="D1252" s="32" t="n"/>
      <c r="E1252" s="32" t="n"/>
      <c r="F1252" s="32" t="n"/>
      <c r="G1252" s="32" t="n"/>
      <c r="H1252" s="30" t="inlineStr">
        <is>
          <t>Oui</t>
        </is>
      </c>
    </row>
    <row r="1253">
      <c r="A1253" s="31" t="inlineStr">
        <is>
          <t>Pokémon</t>
        </is>
      </c>
      <c r="B1253" s="33" t="inlineStr">
        <is>
          <t>HYPOTREMPE</t>
        </is>
      </c>
      <c r="C1253" s="33" t="inlineStr">
        <is>
          <t>HYPOCEAN</t>
        </is>
      </c>
      <c r="D1253" s="33" t="n"/>
      <c r="E1253" s="33" t="n"/>
      <c r="F1253" s="33" t="n"/>
      <c r="G1253" s="33" t="n"/>
      <c r="H1253" s="30" t="inlineStr">
        <is>
          <t>Oui</t>
        </is>
      </c>
    </row>
    <row r="1254">
      <c r="A1254" s="31" t="inlineStr">
        <is>
          <t>Niveau</t>
        </is>
      </c>
      <c r="B1254" s="33" t="n">
        <v>26</v>
      </c>
      <c r="C1254" s="33" t="n">
        <v>27</v>
      </c>
      <c r="D1254" s="33" t="n"/>
      <c r="E1254" s="33" t="n"/>
      <c r="F1254" s="33" t="n"/>
      <c r="G1254" s="33" t="n"/>
      <c r="H1254" s="30" t="inlineStr">
        <is>
          <t>Oui</t>
        </is>
      </c>
    </row>
    <row r="1255">
      <c r="A1255" s="31" t="inlineStr">
        <is>
          <t>Objet</t>
        </is>
      </c>
      <c r="B1255" s="33" t="inlineStr">
        <is>
          <t>Aucun</t>
        </is>
      </c>
      <c r="C1255" s="33" t="inlineStr">
        <is>
          <t>Aucun</t>
        </is>
      </c>
      <c r="D1255" s="33" t="n"/>
      <c r="E1255" s="33" t="n"/>
      <c r="F1255" s="33" t="n"/>
      <c r="G1255" s="33" t="n"/>
      <c r="H1255" s="30" t="inlineStr">
        <is>
          <t>Oui</t>
        </is>
      </c>
    </row>
    <row r="1256">
      <c r="A1256" s="31" t="inlineStr">
        <is>
          <t>Talent</t>
        </is>
      </c>
      <c r="B1256" s="33" t="inlineStr">
        <is>
          <t>Glissade</t>
        </is>
      </c>
      <c r="C1256" s="33" t="inlineStr">
        <is>
          <t>Point Poison</t>
        </is>
      </c>
      <c r="D1256" s="33" t="n"/>
      <c r="E1256" s="33" t="n"/>
      <c r="F1256" s="33" t="n"/>
      <c r="G1256" s="33" t="n"/>
      <c r="H1256" s="30" t="inlineStr">
        <is>
          <t>Oui</t>
        </is>
      </c>
    </row>
    <row r="1257">
      <c r="A1257" s="31" t="inlineStr">
        <is>
          <t>Capacités</t>
        </is>
      </c>
      <c r="B1257" s="34" t="inlineStr">
        <is>
          <t>Pistolet à O</t>
        </is>
      </c>
      <c r="C1257" s="34" t="inlineStr">
        <is>
          <t>Pistolet à O</t>
        </is>
      </c>
      <c r="D1257" s="34" t="n"/>
      <c r="E1257" s="34" t="n"/>
      <c r="F1257" s="34" t="n"/>
      <c r="G1257" s="34" t="n"/>
      <c r="H1257" s="30" t="inlineStr">
        <is>
          <t>Oui</t>
        </is>
      </c>
    </row>
    <row r="1258">
      <c r="A1258" s="31" t="n"/>
      <c r="B1258" s="34" t="inlineStr">
        <is>
          <t>Ouragan</t>
        </is>
      </c>
      <c r="C1258" s="34" t="inlineStr">
        <is>
          <t>Ouragan</t>
        </is>
      </c>
      <c r="D1258" s="34" t="n"/>
      <c r="E1258" s="34" t="n"/>
      <c r="F1258" s="34" t="n"/>
      <c r="G1258" s="34" t="n"/>
      <c r="H1258" s="30" t="inlineStr">
        <is>
          <t>Oui</t>
        </is>
      </c>
    </row>
    <row r="1259">
      <c r="A1259" s="31" t="n"/>
      <c r="B1259" s="34" t="inlineStr">
        <is>
          <t>Bulles d'O</t>
        </is>
      </c>
      <c r="C1259" s="34" t="inlineStr">
        <is>
          <t>Bulles d'O</t>
        </is>
      </c>
      <c r="D1259" s="34" t="n"/>
      <c r="E1259" s="34" t="n"/>
      <c r="F1259" s="34" t="n"/>
      <c r="G1259" s="34" t="n"/>
      <c r="H1259" s="30" t="inlineStr">
        <is>
          <t>Oui</t>
        </is>
      </c>
    </row>
    <row r="1260">
      <c r="A1260" s="31" t="n"/>
      <c r="B1260" s="34" t="inlineStr">
        <is>
          <t>Puissance</t>
        </is>
      </c>
      <c r="C1260" s="34" t="inlineStr">
        <is>
          <t>Puissance</t>
        </is>
      </c>
      <c r="D1260" s="34" t="n"/>
      <c r="E1260" s="34" t="n"/>
      <c r="F1260" s="34" t="n"/>
      <c r="G1260" s="34" t="n"/>
      <c r="H1260" s="30" t="inlineStr">
        <is>
          <t>Oui</t>
        </is>
      </c>
    </row>
    <row r="1261" ht="18" customHeight="1">
      <c r="A1261" s="26" t="inlineStr">
        <is>
          <t>Irisia</t>
        </is>
      </c>
      <c r="B1261" s="26" t="n"/>
      <c r="C1261" s="26" t="n"/>
      <c r="D1261" s="26" t="n"/>
      <c r="E1261" s="26" t="n"/>
      <c r="F1261" s="26" t="n"/>
      <c r="G1261" s="26" t="n"/>
      <c r="H1261" s="30" t="inlineStr">
        <is>
          <t>Oui</t>
        </is>
      </c>
    </row>
    <row r="1262">
      <c r="A1262" s="31" t="inlineStr">
        <is>
          <t>Nom</t>
        </is>
      </c>
      <c r="B1262" s="32" t="inlineStr">
        <is>
          <t>Mec Mystère Eusine</t>
        </is>
      </c>
      <c r="C1262" s="32" t="n"/>
      <c r="D1262" s="32" t="n"/>
      <c r="E1262" s="32" t="n"/>
      <c r="F1262" s="32" t="n"/>
      <c r="G1262" s="32" t="n"/>
      <c r="H1262" s="30" t="inlineStr">
        <is>
          <t>Oui</t>
        </is>
      </c>
    </row>
    <row r="1263">
      <c r="A1263" s="31" t="inlineStr">
        <is>
          <t>Pokémon</t>
        </is>
      </c>
      <c r="B1263" s="33" t="inlineStr">
        <is>
          <t>TARPAUD</t>
        </is>
      </c>
      <c r="C1263" s="33" t="inlineStr">
        <is>
          <t>HYPNOMADE</t>
        </is>
      </c>
      <c r="D1263" s="33" t="inlineStr">
        <is>
          <t>ELECTRODE</t>
        </is>
      </c>
      <c r="E1263" s="33" t="n"/>
      <c r="F1263" s="33" t="n"/>
      <c r="G1263" s="33" t="n"/>
      <c r="H1263" s="30" t="inlineStr">
        <is>
          <t>Oui</t>
        </is>
      </c>
    </row>
    <row r="1264">
      <c r="A1264" s="31" t="inlineStr">
        <is>
          <t>Niveau</t>
        </is>
      </c>
      <c r="B1264" s="33" t="n">
        <v>27</v>
      </c>
      <c r="C1264" s="33" t="n">
        <v>27</v>
      </c>
      <c r="D1264" s="33" t="n">
        <v>27</v>
      </c>
      <c r="E1264" s="33" t="n"/>
      <c r="F1264" s="33" t="n"/>
      <c r="G1264" s="33" t="n"/>
      <c r="H1264" s="30" t="inlineStr">
        <is>
          <t>Oui</t>
        </is>
      </c>
    </row>
    <row r="1265">
      <c r="A1265" s="31" t="inlineStr">
        <is>
          <t>Objet</t>
        </is>
      </c>
      <c r="B1265" s="33" t="inlineStr">
        <is>
          <t>Aucun</t>
        </is>
      </c>
      <c r="C1265" s="33" t="inlineStr">
        <is>
          <t>Aucun</t>
        </is>
      </c>
      <c r="D1265" s="33" t="inlineStr">
        <is>
          <t>Aucun</t>
        </is>
      </c>
      <c r="E1265" s="33" t="n"/>
      <c r="F1265" s="33" t="n"/>
      <c r="G1265" s="33" t="n"/>
      <c r="H1265" s="30" t="inlineStr">
        <is>
          <t>Oui</t>
        </is>
      </c>
    </row>
    <row r="1266">
      <c r="A1266" s="31" t="inlineStr">
        <is>
          <t>Talent</t>
        </is>
      </c>
      <c r="B1266" s="33" t="inlineStr">
        <is>
          <t>Absorbe-Eau</t>
        </is>
      </c>
      <c r="C1266" s="33" t="inlineStr">
        <is>
          <t>Insomnia</t>
        </is>
      </c>
      <c r="D1266" s="33" t="inlineStr">
        <is>
          <t>Anti-Bruit</t>
        </is>
      </c>
      <c r="E1266" s="33" t="n"/>
      <c r="F1266" s="33" t="n"/>
      <c r="G1266" s="33" t="n"/>
      <c r="H1266" s="30" t="inlineStr">
        <is>
          <t>Oui</t>
        </is>
      </c>
    </row>
    <row r="1267">
      <c r="A1267" s="31" t="inlineStr">
        <is>
          <t>Capacités</t>
        </is>
      </c>
      <c r="B1267" s="34" t="inlineStr">
        <is>
          <t>Bulles d'O</t>
        </is>
      </c>
      <c r="C1267" s="34" t="inlineStr">
        <is>
          <t>Hypnose</t>
        </is>
      </c>
      <c r="D1267" s="34" t="inlineStr">
        <is>
          <t>Cage Éclair</t>
        </is>
      </c>
      <c r="E1267" s="34" t="n"/>
      <c r="F1267" s="34" t="n"/>
      <c r="G1267" s="34" t="n"/>
      <c r="H1267" s="30" t="inlineStr">
        <is>
          <t>Oui</t>
        </is>
      </c>
    </row>
    <row r="1268">
      <c r="A1268" s="31" t="n"/>
      <c r="B1268" s="34" t="inlineStr">
        <is>
          <t>Danse Pluie</t>
        </is>
      </c>
      <c r="C1268" s="34" t="inlineStr">
        <is>
          <t>Entrave</t>
        </is>
      </c>
      <c r="D1268" s="34" t="inlineStr">
        <is>
          <t>Sonic Boom</t>
        </is>
      </c>
      <c r="E1268" s="34" t="n"/>
      <c r="F1268" s="34" t="n"/>
      <c r="G1268" s="34" t="n"/>
      <c r="H1268" s="30" t="inlineStr">
        <is>
          <t>Oui</t>
        </is>
      </c>
    </row>
    <row r="1269">
      <c r="A1269" s="31" t="n"/>
      <c r="B1269" s="34" t="inlineStr">
        <is>
          <t>Hypnose</t>
        </is>
      </c>
      <c r="C1269" s="34" t="inlineStr">
        <is>
          <t>Choc Mental</t>
        </is>
      </c>
      <c r="D1269" s="34" t="inlineStr">
        <is>
          <t>Plaquage</t>
        </is>
      </c>
      <c r="E1269" s="34" t="n"/>
      <c r="F1269" s="34" t="n"/>
      <c r="G1269" s="34" t="n"/>
      <c r="H1269" s="30" t="inlineStr">
        <is>
          <t>Oui</t>
        </is>
      </c>
    </row>
    <row r="1270">
      <c r="A1270" s="31" t="n"/>
      <c r="B1270" s="34" t="inlineStr">
        <is>
          <t>Vent Glace</t>
        </is>
      </c>
      <c r="C1270" s="34" t="inlineStr">
        <is>
          <t>Dévorêve</t>
        </is>
      </c>
      <c r="D1270" s="34" t="inlineStr">
        <is>
          <t>Tonnerre</t>
        </is>
      </c>
      <c r="E1270" s="34" t="n"/>
      <c r="F1270" s="34" t="n"/>
      <c r="G1270" s="34" t="n"/>
      <c r="H1270" s="30" t="inlineStr">
        <is>
          <t>Oui</t>
        </is>
      </c>
    </row>
    <row r="1271" ht="18" customHeight="1">
      <c r="A1271" s="26" t="inlineStr">
        <is>
          <t>Irisia — Arène</t>
        </is>
      </c>
      <c r="B1271" s="26" t="n"/>
      <c r="C1271" s="26" t="n"/>
      <c r="D1271" s="26" t="n"/>
      <c r="E1271" s="26" t="n"/>
      <c r="F1271" s="26" t="n"/>
      <c r="G1271" s="26" t="n"/>
      <c r="H1271" s="30" t="inlineStr">
        <is>
          <t>Oui</t>
        </is>
      </c>
    </row>
    <row r="1272">
      <c r="A1272" s="31" t="inlineStr">
        <is>
          <t>Nom</t>
        </is>
      </c>
      <c r="B1272" s="32" t="inlineStr">
        <is>
          <t>Champion Chuck (si c'est votre 1re Arène parmi Oliville, Irisia et Acajou)</t>
        </is>
      </c>
      <c r="C1272" s="32" t="n"/>
      <c r="D1272" s="32" t="n"/>
      <c r="E1272" s="32" t="n"/>
      <c r="F1272" s="32" t="n"/>
      <c r="G1272" s="32" t="n"/>
      <c r="H1272" s="30" t="inlineStr">
        <is>
          <t>Oui</t>
        </is>
      </c>
    </row>
    <row r="1273">
      <c r="A1273" s="31" t="inlineStr">
        <is>
          <t>Pokémon</t>
        </is>
      </c>
      <c r="B1273" s="33" t="inlineStr">
        <is>
          <t>KAPOERA</t>
        </is>
      </c>
      <c r="C1273" s="33" t="inlineStr">
        <is>
          <t>COLOSSINGE</t>
        </is>
      </c>
      <c r="D1273" s="33" t="inlineStr">
        <is>
          <t>SIMULARBRE</t>
        </is>
      </c>
      <c r="E1273" s="33" t="inlineStr">
        <is>
          <t>TARTARD</t>
        </is>
      </c>
      <c r="F1273" s="33" t="n"/>
      <c r="G1273" s="33" t="n"/>
      <c r="H1273" s="30" t="inlineStr">
        <is>
          <t>Oui</t>
        </is>
      </c>
    </row>
    <row r="1274">
      <c r="A1274" s="31" t="inlineStr">
        <is>
          <t>Niveau</t>
        </is>
      </c>
      <c r="B1274" s="33" t="n">
        <v>30</v>
      </c>
      <c r="C1274" s="33" t="n">
        <v>29</v>
      </c>
      <c r="D1274" s="33" t="n">
        <v>30</v>
      </c>
      <c r="E1274" s="33" t="n">
        <v>31</v>
      </c>
      <c r="F1274" s="33" t="n"/>
      <c r="G1274" s="33" t="n"/>
      <c r="H1274" s="30" t="inlineStr">
        <is>
          <t>Oui</t>
        </is>
      </c>
    </row>
    <row r="1275">
      <c r="A1275" s="31" t="inlineStr">
        <is>
          <t>Objet</t>
        </is>
      </c>
      <c r="B1275" s="33" t="inlineStr">
        <is>
          <t>Aucun</t>
        </is>
      </c>
      <c r="C1275" s="33" t="inlineStr">
        <is>
          <t>Aucun</t>
        </is>
      </c>
      <c r="D1275" s="33" t="inlineStr">
        <is>
          <t>Aucun</t>
        </is>
      </c>
      <c r="E1275" s="33" t="inlineStr">
        <is>
          <t>Ceinture Noire</t>
        </is>
      </c>
      <c r="F1275" s="33" t="n"/>
      <c r="G1275" s="33" t="n"/>
      <c r="H1275" s="30" t="inlineStr">
        <is>
          <t>Oui</t>
        </is>
      </c>
    </row>
    <row r="1276">
      <c r="A1276" s="31" t="inlineStr">
        <is>
          <t>Talent</t>
        </is>
      </c>
      <c r="B1276" s="33" t="inlineStr">
        <is>
          <t>Intimidation</t>
        </is>
      </c>
      <c r="C1276" s="33" t="inlineStr">
        <is>
          <t>Esprit Vital</t>
        </is>
      </c>
      <c r="D1276" s="33" t="inlineStr">
        <is>
          <t>Fermeté</t>
        </is>
      </c>
      <c r="E1276" s="33" t="inlineStr">
        <is>
          <t>Absorbe-Eau</t>
        </is>
      </c>
      <c r="F1276" s="33" t="n"/>
      <c r="G1276" s="33" t="n"/>
      <c r="H1276" s="30" t="inlineStr">
        <is>
          <t>Oui</t>
        </is>
      </c>
    </row>
    <row r="1277">
      <c r="A1277" s="31" t="inlineStr">
        <is>
          <t>Capacités</t>
        </is>
      </c>
      <c r="B1277" s="34" t="inlineStr">
        <is>
          <t>Triple Pied</t>
        </is>
      </c>
      <c r="C1277" s="34" t="inlineStr">
        <is>
          <t>Balayage</t>
        </is>
      </c>
      <c r="D1277" s="34" t="inlineStr">
        <is>
          <t>Éboulement</t>
        </is>
      </c>
      <c r="E1277" s="34" t="inlineStr">
        <is>
          <t>Hypnose</t>
        </is>
      </c>
      <c r="F1277" s="34" t="n"/>
      <c r="G1277" s="34" t="n"/>
      <c r="H1277" s="30" t="inlineStr">
        <is>
          <t>Oui</t>
        </is>
      </c>
    </row>
    <row r="1278">
      <c r="A1278" s="31" t="n"/>
      <c r="B1278" s="34" t="inlineStr">
        <is>
          <t>Mawashi Geri</t>
        </is>
      </c>
      <c r="C1278" s="34" t="inlineStr">
        <is>
          <t>Poing Karaté</t>
        </is>
      </c>
      <c r="D1278" s="34" t="inlineStr">
        <is>
          <t>Martobois</t>
        </is>
      </c>
      <c r="E1278" s="34" t="inlineStr">
        <is>
          <t>Lire-Esprit</t>
        </is>
      </c>
      <c r="F1278" s="34" t="n"/>
      <c r="G1278" s="34" t="n"/>
      <c r="H1278" s="30" t="inlineStr">
        <is>
          <t>Oui</t>
        </is>
      </c>
    </row>
    <row r="1279">
      <c r="A1279" s="31" t="n"/>
      <c r="B1279" s="34" t="inlineStr">
        <is>
          <t>Tunnel</t>
        </is>
      </c>
      <c r="C1279" s="34" t="inlineStr">
        <is>
          <t>Poing Glace</t>
        </is>
      </c>
      <c r="D1279" s="34" t="inlineStr">
        <is>
          <t>Balayage</t>
        </is>
      </c>
      <c r="E1279" s="34" t="inlineStr">
        <is>
          <t>Surf</t>
        </is>
      </c>
      <c r="F1279" s="34" t="n"/>
      <c r="G1279" s="34" t="n"/>
      <c r="H1279" s="30" t="inlineStr">
        <is>
          <t>Oui</t>
        </is>
      </c>
    </row>
    <row r="1280">
      <c r="A1280" s="31" t="n"/>
      <c r="B1280" s="34" t="inlineStr">
        <is>
          <t>Poursuite</t>
        </is>
      </c>
      <c r="C1280" s="34" t="inlineStr">
        <is>
          <t>Frénésie</t>
        </is>
      </c>
      <c r="D1280" s="34" t="inlineStr">
        <is>
          <t>Feinte</t>
        </is>
      </c>
      <c r="E1280" s="34" t="inlineStr">
        <is>
          <t>Dynamo-Poing</t>
        </is>
      </c>
      <c r="F1280" s="34" t="n"/>
      <c r="G1280" s="34" t="n"/>
      <c r="H1280" s="30" t="inlineStr">
        <is>
          <t>Oui</t>
        </is>
      </c>
    </row>
    <row r="1281">
      <c r="A1281" s="31" t="inlineStr">
        <is>
          <t>Nom</t>
        </is>
      </c>
      <c r="B1281" s="32" t="inlineStr">
        <is>
          <t>Champion Chuck (si c'est votre 2e Arène parmi Oliville, Irisia et Acajou)</t>
        </is>
      </c>
      <c r="C1281" s="32" t="n"/>
      <c r="D1281" s="32" t="n"/>
      <c r="E1281" s="32" t="n"/>
      <c r="F1281" s="32" t="n"/>
      <c r="G1281" s="32" t="n"/>
      <c r="H1281" s="30" t="inlineStr">
        <is>
          <t>Oui</t>
        </is>
      </c>
    </row>
    <row r="1282">
      <c r="A1282" s="31" t="inlineStr">
        <is>
          <t>Pokémon</t>
        </is>
      </c>
      <c r="B1282" s="33" t="inlineStr">
        <is>
          <t>KAPOERA</t>
        </is>
      </c>
      <c r="C1282" s="33" t="inlineStr">
        <is>
          <t>SIMULARBRE</t>
        </is>
      </c>
      <c r="D1282" s="33" t="inlineStr">
        <is>
          <t>COLOSSINGE</t>
        </is>
      </c>
      <c r="E1282" s="33" t="inlineStr">
        <is>
          <t>SCARABRUTE</t>
        </is>
      </c>
      <c r="F1282" s="33" t="inlineStr">
        <is>
          <t>TARTARD</t>
        </is>
      </c>
      <c r="G1282" s="33" t="n"/>
      <c r="H1282" s="30" t="inlineStr">
        <is>
          <t>Oui</t>
        </is>
      </c>
    </row>
    <row r="1283">
      <c r="A1283" s="31" t="inlineStr">
        <is>
          <t>Niveau</t>
        </is>
      </c>
      <c r="B1283" s="33" t="n">
        <v>35</v>
      </c>
      <c r="C1283" s="33" t="n">
        <v>35</v>
      </c>
      <c r="D1283" s="33" t="n">
        <v>34</v>
      </c>
      <c r="E1283" s="33" t="n">
        <v>35</v>
      </c>
      <c r="F1283" s="33" t="n">
        <v>36</v>
      </c>
      <c r="G1283" s="33" t="n"/>
      <c r="H1283" s="30" t="inlineStr">
        <is>
          <t>Oui</t>
        </is>
      </c>
    </row>
    <row r="1284">
      <c r="A1284" s="31" t="inlineStr">
        <is>
          <t>Objet</t>
        </is>
      </c>
      <c r="B1284" s="33" t="inlineStr">
        <is>
          <t>Aucun</t>
        </is>
      </c>
      <c r="C1284" s="33" t="inlineStr">
        <is>
          <t>Aucun</t>
        </is>
      </c>
      <c r="D1284" s="33" t="inlineStr">
        <is>
          <t>Aucun</t>
        </is>
      </c>
      <c r="E1284" s="33" t="inlineStr">
        <is>
          <t>Aucun</t>
        </is>
      </c>
      <c r="F1284" s="33" t="inlineStr">
        <is>
          <t>Ceinture Noire</t>
        </is>
      </c>
      <c r="G1284" s="33" t="n"/>
      <c r="H1284" s="30" t="inlineStr">
        <is>
          <t>Oui</t>
        </is>
      </c>
    </row>
    <row r="1285">
      <c r="A1285" s="31" t="inlineStr">
        <is>
          <t>Talent</t>
        </is>
      </c>
      <c r="B1285" s="33" t="inlineStr">
        <is>
          <t>Intimidation</t>
        </is>
      </c>
      <c r="C1285" s="33" t="inlineStr">
        <is>
          <t>Fermeté</t>
        </is>
      </c>
      <c r="D1285" s="33" t="inlineStr">
        <is>
          <t>Esprit Vital</t>
        </is>
      </c>
      <c r="E1285" s="33" t="inlineStr">
        <is>
          <t>Hyper Cutter</t>
        </is>
      </c>
      <c r="F1285" s="33" t="inlineStr">
        <is>
          <t>Absorbe-Eau</t>
        </is>
      </c>
      <c r="G1285" s="33" t="n"/>
      <c r="H1285" s="30" t="inlineStr">
        <is>
          <t>Oui</t>
        </is>
      </c>
    </row>
    <row r="1286">
      <c r="A1286" s="31" t="inlineStr">
        <is>
          <t>Capacités</t>
        </is>
      </c>
      <c r="B1286" s="34" t="inlineStr">
        <is>
          <t>Triple Pied</t>
        </is>
      </c>
      <c r="C1286" s="34" t="inlineStr">
        <is>
          <t>Éboulement</t>
        </is>
      </c>
      <c r="D1286" s="34" t="inlineStr">
        <is>
          <t>Balayage</t>
        </is>
      </c>
      <c r="E1286" s="34" t="inlineStr">
        <is>
          <t>Casse-Brique</t>
        </is>
      </c>
      <c r="F1286" s="34" t="inlineStr">
        <is>
          <t>Hypnose</t>
        </is>
      </c>
      <c r="G1286" s="34" t="n"/>
      <c r="H1286" s="30" t="inlineStr">
        <is>
          <t>Oui</t>
        </is>
      </c>
    </row>
    <row r="1287">
      <c r="A1287" s="31" t="n"/>
      <c r="B1287" s="34" t="inlineStr">
        <is>
          <t>Mawashi Geri</t>
        </is>
      </c>
      <c r="C1287" s="34" t="inlineStr">
        <is>
          <t>Martobois</t>
        </is>
      </c>
      <c r="D1287" s="34" t="inlineStr">
        <is>
          <t>Poing Karaté</t>
        </is>
      </c>
      <c r="E1287" s="34" t="inlineStr">
        <is>
          <t>Plaie Croix</t>
        </is>
      </c>
      <c r="F1287" s="34" t="inlineStr">
        <is>
          <t>Lire-Esprit</t>
        </is>
      </c>
      <c r="G1287" s="34" t="n"/>
      <c r="H1287" s="30" t="inlineStr">
        <is>
          <t>Oui</t>
        </is>
      </c>
    </row>
    <row r="1288">
      <c r="A1288" s="31" t="n"/>
      <c r="B1288" s="34" t="inlineStr">
        <is>
          <t>Tunnel</t>
        </is>
      </c>
      <c r="C1288" s="34" t="inlineStr">
        <is>
          <t>Balayage</t>
        </is>
      </c>
      <c r="D1288" s="34" t="inlineStr">
        <is>
          <t>Poing Glace</t>
        </is>
      </c>
      <c r="E1288" s="34" t="inlineStr">
        <is>
          <t>Force Poigne</t>
        </is>
      </c>
      <c r="F1288" s="34" t="inlineStr">
        <is>
          <t>Surf</t>
        </is>
      </c>
      <c r="G1288" s="34" t="n"/>
      <c r="H1288" s="30" t="inlineStr">
        <is>
          <t>Oui</t>
        </is>
      </c>
    </row>
    <row r="1289">
      <c r="A1289" s="31" t="n"/>
      <c r="B1289" s="34" t="inlineStr">
        <is>
          <t>Poursuite</t>
        </is>
      </c>
      <c r="C1289" s="34" t="inlineStr">
        <is>
          <t>Feinte</t>
        </is>
      </c>
      <c r="D1289" s="34" t="inlineStr">
        <is>
          <t>Poing de Colère</t>
        </is>
      </c>
      <c r="E1289" s="34" t="inlineStr">
        <is>
          <t>Armure</t>
        </is>
      </c>
      <c r="F1289" s="34" t="inlineStr">
        <is>
          <t>Dynamo-Poing</t>
        </is>
      </c>
      <c r="G1289" s="34" t="n"/>
      <c r="H1289" s="30" t="inlineStr">
        <is>
          <t>Oui</t>
        </is>
      </c>
    </row>
    <row r="1290">
      <c r="A1290" s="31" t="inlineStr">
        <is>
          <t>Nom</t>
        </is>
      </c>
      <c r="B1290" s="32" t="inlineStr">
        <is>
          <t>Champion Chuck (si c'est votre 3e Arène parmi Oliville, Irisia et Acajou)</t>
        </is>
      </c>
      <c r="C1290" s="32" t="n"/>
      <c r="D1290" s="32" t="n"/>
      <c r="E1290" s="32" t="n"/>
      <c r="F1290" s="32" t="n"/>
      <c r="G1290" s="32" t="n"/>
      <c r="H1290" s="30" t="inlineStr">
        <is>
          <t>Oui</t>
        </is>
      </c>
    </row>
    <row r="1291">
      <c r="A1291" s="31" t="inlineStr">
        <is>
          <t>Pokémon</t>
        </is>
      </c>
      <c r="B1291" s="33" t="inlineStr">
        <is>
          <t>KAPOERA</t>
        </is>
      </c>
      <c r="C1291" s="33" t="inlineStr">
        <is>
          <t>SIMULARBRE</t>
        </is>
      </c>
      <c r="D1291" s="33" t="inlineStr">
        <is>
          <t>COURROUSINGE</t>
        </is>
      </c>
      <c r="E1291" s="33" t="inlineStr">
        <is>
          <t>SCARABRUTE</t>
        </is>
      </c>
      <c r="F1291" s="33" t="inlineStr">
        <is>
          <t>TARTARD</t>
        </is>
      </c>
      <c r="G1291" s="33" t="n"/>
      <c r="H1291" s="30" t="inlineStr">
        <is>
          <t>Oui</t>
        </is>
      </c>
    </row>
    <row r="1292">
      <c r="A1292" s="31" t="inlineStr">
        <is>
          <t>Niveau</t>
        </is>
      </c>
      <c r="B1292" s="33" t="n">
        <v>37</v>
      </c>
      <c r="C1292" s="33" t="n">
        <v>37</v>
      </c>
      <c r="D1292" s="33" t="n">
        <v>37</v>
      </c>
      <c r="E1292" s="33" t="n">
        <v>37</v>
      </c>
      <c r="F1292" s="33" t="n">
        <v>38</v>
      </c>
      <c r="G1292" s="33" t="n"/>
      <c r="H1292" s="30" t="inlineStr">
        <is>
          <t>Oui</t>
        </is>
      </c>
    </row>
    <row r="1293">
      <c r="A1293" s="31" t="inlineStr">
        <is>
          <t>Objet</t>
        </is>
      </c>
      <c r="B1293" s="33" t="inlineStr">
        <is>
          <t>Aucun</t>
        </is>
      </c>
      <c r="C1293" s="33" t="inlineStr">
        <is>
          <t>Aucun</t>
        </is>
      </c>
      <c r="D1293" s="33" t="inlineStr">
        <is>
          <t>Aucun</t>
        </is>
      </c>
      <c r="E1293" s="33" t="inlineStr">
        <is>
          <t>Aucun</t>
        </is>
      </c>
      <c r="F1293" s="33" t="inlineStr">
        <is>
          <t>Ceinture Noire</t>
        </is>
      </c>
      <c r="G1293" s="33" t="n"/>
      <c r="H1293" s="30" t="inlineStr">
        <is>
          <t>Oui</t>
        </is>
      </c>
    </row>
    <row r="1294">
      <c r="A1294" s="31" t="inlineStr">
        <is>
          <t>Talent</t>
        </is>
      </c>
      <c r="B1294" s="33" t="inlineStr">
        <is>
          <t>Intimidation</t>
        </is>
      </c>
      <c r="C1294" s="33" t="inlineStr">
        <is>
          <t>Fermeté</t>
        </is>
      </c>
      <c r="D1294" s="33" t="inlineStr">
        <is>
          <t>Esprit Vital</t>
        </is>
      </c>
      <c r="E1294" s="33" t="inlineStr">
        <is>
          <t>Hyper Cutter</t>
        </is>
      </c>
      <c r="F1294" s="33" t="inlineStr">
        <is>
          <t>Absorbe-Eau</t>
        </is>
      </c>
      <c r="G1294" s="33" t="n"/>
      <c r="H1294" s="30" t="inlineStr">
        <is>
          <t>Oui</t>
        </is>
      </c>
    </row>
    <row r="1295">
      <c r="A1295" s="31" t="inlineStr">
        <is>
          <t>Capacités</t>
        </is>
      </c>
      <c r="B1295" s="34" t="inlineStr">
        <is>
          <t>Triple Pied</t>
        </is>
      </c>
      <c r="C1295" s="34" t="inlineStr">
        <is>
          <t>Éboulement</t>
        </is>
      </c>
      <c r="D1295" s="34" t="inlineStr">
        <is>
          <t>Poing Ombre</t>
        </is>
      </c>
      <c r="E1295" s="34" t="inlineStr">
        <is>
          <t>Sacrifice</t>
        </is>
      </c>
      <c r="F1295" s="34" t="inlineStr">
        <is>
          <t>Poing Glace</t>
        </is>
      </c>
      <c r="G1295" s="34" t="n"/>
      <c r="H1295" s="30" t="inlineStr">
        <is>
          <t>Oui</t>
        </is>
      </c>
    </row>
    <row r="1296">
      <c r="A1296" s="31" t="n"/>
      <c r="B1296" s="34" t="inlineStr">
        <is>
          <t>Mawashi Geri</t>
        </is>
      </c>
      <c r="C1296" s="34" t="inlineStr">
        <is>
          <t>Martobois</t>
        </is>
      </c>
      <c r="D1296" s="34" t="inlineStr">
        <is>
          <t>Casse-Brique</t>
        </is>
      </c>
      <c r="E1296" s="34" t="inlineStr">
        <is>
          <t>Plaie Croix</t>
        </is>
      </c>
      <c r="F1296" s="34" t="inlineStr">
        <is>
          <t>Hypnose</t>
        </is>
      </c>
      <c r="G1296" s="34" t="n"/>
      <c r="H1296" s="30" t="inlineStr">
        <is>
          <t>Oui</t>
        </is>
      </c>
    </row>
    <row r="1297">
      <c r="A1297" s="31" t="n"/>
      <c r="B1297" s="34" t="inlineStr">
        <is>
          <t>Tunnel</t>
        </is>
      </c>
      <c r="C1297" s="34" t="inlineStr">
        <is>
          <t>Balayage</t>
        </is>
      </c>
      <c r="D1297" s="34" t="inlineStr">
        <is>
          <t>Poing Glace</t>
        </is>
      </c>
      <c r="E1297" s="34" t="inlineStr">
        <is>
          <t>Force</t>
        </is>
      </c>
      <c r="F1297" s="34" t="inlineStr">
        <is>
          <t>Cascade</t>
        </is>
      </c>
      <c r="G1297" s="34" t="n"/>
      <c r="H1297" s="30" t="inlineStr">
        <is>
          <t>Oui</t>
        </is>
      </c>
    </row>
    <row r="1298">
      <c r="A1298" s="31" t="n"/>
      <c r="B1298" s="34" t="inlineStr">
        <is>
          <t>Poursuite</t>
        </is>
      </c>
      <c r="C1298" s="34" t="inlineStr">
        <is>
          <t>Feinte</t>
        </is>
      </c>
      <c r="D1298" s="34" t="inlineStr">
        <is>
          <t>Poing de Colère</t>
        </is>
      </c>
      <c r="E1298" s="34" t="inlineStr">
        <is>
          <t>Danse Lames</t>
        </is>
      </c>
      <c r="F1298" s="34" t="inlineStr">
        <is>
          <t>Dynamo-Poing</t>
        </is>
      </c>
      <c r="G1298" s="34" t="n"/>
      <c r="H1298" s="30" t="inlineStr">
        <is>
          <t>Oui</t>
        </is>
      </c>
    </row>
    <row r="1299">
      <c r="A1299" s="31" t="inlineStr">
        <is>
          <t>Nom</t>
        </is>
      </c>
      <c r="B1299" s="32" t="inlineStr">
        <is>
          <t>Karatéka Hiro</t>
        </is>
      </c>
      <c r="C1299" s="32" t="n"/>
      <c r="D1299" s="32" t="n"/>
      <c r="E1299" s="32" t="n"/>
      <c r="F1299" s="32" t="n"/>
      <c r="G1299" s="32" t="n"/>
      <c r="H1299" s="30" t="inlineStr">
        <is>
          <t>Oui</t>
        </is>
      </c>
    </row>
    <row r="1300">
      <c r="A1300" s="31" t="inlineStr">
        <is>
          <t>Pokémon</t>
        </is>
      </c>
      <c r="B1300" s="33" t="inlineStr">
        <is>
          <t>KICKLEE</t>
        </is>
      </c>
      <c r="C1300" s="33" t="n"/>
      <c r="D1300" s="33" t="n"/>
      <c r="E1300" s="33" t="n"/>
      <c r="F1300" s="33" t="n"/>
      <c r="G1300" s="33" t="n"/>
      <c r="H1300" s="30" t="inlineStr">
        <is>
          <t>Oui</t>
        </is>
      </c>
    </row>
    <row r="1301">
      <c r="A1301" s="31" t="inlineStr">
        <is>
          <t>Niveau</t>
        </is>
      </c>
      <c r="B1301" s="33" t="n">
        <v>29</v>
      </c>
      <c r="C1301" s="33" t="n"/>
      <c r="D1301" s="33" t="n"/>
      <c r="E1301" s="33" t="n"/>
      <c r="F1301" s="33" t="n"/>
      <c r="G1301" s="33" t="n"/>
      <c r="H1301" s="30" t="inlineStr">
        <is>
          <t>Oui</t>
        </is>
      </c>
    </row>
    <row r="1302">
      <c r="A1302" s="31" t="inlineStr">
        <is>
          <t>Objet</t>
        </is>
      </c>
      <c r="B1302" s="33" t="inlineStr">
        <is>
          <t>Aucun</t>
        </is>
      </c>
      <c r="C1302" s="33" t="n"/>
      <c r="D1302" s="33" t="n"/>
      <c r="E1302" s="33" t="n"/>
      <c r="F1302" s="33" t="n"/>
      <c r="G1302" s="33" t="n"/>
      <c r="H1302" s="30" t="inlineStr">
        <is>
          <t>Oui</t>
        </is>
      </c>
    </row>
    <row r="1303">
      <c r="A1303" s="31" t="inlineStr">
        <is>
          <t>Talent</t>
        </is>
      </c>
      <c r="B1303" s="33" t="inlineStr">
        <is>
          <t>Échauffement</t>
        </is>
      </c>
      <c r="C1303" s="33" t="n"/>
      <c r="D1303" s="33" t="n"/>
      <c r="E1303" s="33" t="n"/>
      <c r="F1303" s="33" t="n"/>
      <c r="G1303" s="33" t="n"/>
      <c r="H1303" s="30" t="inlineStr">
        <is>
          <t>Oui</t>
        </is>
      </c>
    </row>
    <row r="1304">
      <c r="A1304" s="31" t="inlineStr">
        <is>
          <t>Capacités</t>
        </is>
      </c>
      <c r="B1304" s="34" t="inlineStr">
        <is>
          <t>Casse-Brique</t>
        </is>
      </c>
      <c r="C1304" s="34" t="n"/>
      <c r="D1304" s="34" t="n"/>
      <c r="E1304" s="34" t="n"/>
      <c r="F1304" s="34" t="n"/>
      <c r="G1304" s="34" t="n"/>
      <c r="H1304" s="30" t="inlineStr">
        <is>
          <t>Oui</t>
        </is>
      </c>
    </row>
    <row r="1305">
      <c r="A1305" s="31" t="n"/>
      <c r="B1305" s="34" t="inlineStr">
        <is>
          <t>Puissance</t>
        </is>
      </c>
      <c r="C1305" s="34" t="n"/>
      <c r="D1305" s="34" t="n"/>
      <c r="E1305" s="34" t="n"/>
      <c r="F1305" s="34" t="n"/>
      <c r="G1305" s="34" t="n"/>
      <c r="H1305" s="30" t="inlineStr">
        <is>
          <t>Oui</t>
        </is>
      </c>
    </row>
    <row r="1306">
      <c r="A1306" s="31" t="n"/>
      <c r="B1306" s="34" t="inlineStr">
        <is>
          <t>Ruse</t>
        </is>
      </c>
      <c r="C1306" s="34" t="n"/>
      <c r="D1306" s="34" t="n"/>
      <c r="E1306" s="34" t="n"/>
      <c r="F1306" s="34" t="n"/>
      <c r="G1306" s="34" t="n"/>
      <c r="H1306" s="30" t="inlineStr">
        <is>
          <t>Oui</t>
        </is>
      </c>
    </row>
    <row r="1307">
      <c r="A1307" s="31" t="n"/>
      <c r="B1307" s="34" t="inlineStr">
        <is>
          <t>Pied Voltige</t>
        </is>
      </c>
      <c r="C1307" s="34" t="n"/>
      <c r="D1307" s="34" t="n"/>
      <c r="E1307" s="34" t="n"/>
      <c r="F1307" s="34" t="n"/>
      <c r="G1307" s="34" t="n"/>
      <c r="H1307" s="30" t="inlineStr">
        <is>
          <t>Oui</t>
        </is>
      </c>
    </row>
    <row r="1308">
      <c r="A1308" s="31" t="inlineStr">
        <is>
          <t>Nom</t>
        </is>
      </c>
      <c r="B1308" s="32" t="inlineStr">
        <is>
          <t>Karatéka Lao</t>
        </is>
      </c>
      <c r="C1308" s="32" t="n"/>
      <c r="D1308" s="32" t="n"/>
      <c r="E1308" s="32" t="n"/>
      <c r="F1308" s="32" t="n"/>
      <c r="G1308" s="32" t="n"/>
      <c r="H1308" s="30" t="inlineStr">
        <is>
          <t>Oui</t>
        </is>
      </c>
    </row>
    <row r="1309">
      <c r="A1309" s="31" t="inlineStr">
        <is>
          <t>Pokémon</t>
        </is>
      </c>
      <c r="B1309" s="33" t="inlineStr">
        <is>
          <t>TYGNON</t>
        </is>
      </c>
      <c r="C1309" s="33" t="n"/>
      <c r="D1309" s="33" t="n"/>
      <c r="E1309" s="33" t="n"/>
      <c r="F1309" s="33" t="n"/>
      <c r="G1309" s="33" t="n"/>
      <c r="H1309" s="30" t="inlineStr">
        <is>
          <t>Oui</t>
        </is>
      </c>
    </row>
    <row r="1310">
      <c r="A1310" s="31" t="inlineStr">
        <is>
          <t>Niveau</t>
        </is>
      </c>
      <c r="B1310" s="33" t="n">
        <v>29</v>
      </c>
      <c r="C1310" s="33" t="n"/>
      <c r="D1310" s="33" t="n"/>
      <c r="E1310" s="33" t="n"/>
      <c r="F1310" s="33" t="n"/>
      <c r="G1310" s="33" t="n"/>
      <c r="H1310" s="30" t="inlineStr">
        <is>
          <t>Oui</t>
        </is>
      </c>
    </row>
    <row r="1311">
      <c r="A1311" s="31" t="inlineStr">
        <is>
          <t>Objet</t>
        </is>
      </c>
      <c r="B1311" s="33" t="inlineStr">
        <is>
          <t>Aucun</t>
        </is>
      </c>
      <c r="C1311" s="33" t="n"/>
      <c r="D1311" s="33" t="n"/>
      <c r="E1311" s="33" t="n"/>
      <c r="F1311" s="33" t="n"/>
      <c r="G1311" s="33" t="n"/>
      <c r="H1311" s="30" t="inlineStr">
        <is>
          <t>Oui</t>
        </is>
      </c>
    </row>
    <row r="1312">
      <c r="A1312" s="31" t="inlineStr">
        <is>
          <t>Talent</t>
        </is>
      </c>
      <c r="B1312" s="33" t="inlineStr">
        <is>
          <t>Regard Vif</t>
        </is>
      </c>
      <c r="C1312" s="33" t="n"/>
      <c r="D1312" s="33" t="n"/>
      <c r="E1312" s="33" t="n"/>
      <c r="F1312" s="33" t="n"/>
      <c r="G1312" s="33" t="n"/>
      <c r="H1312" s="30" t="inlineStr">
        <is>
          <t>Oui</t>
        </is>
      </c>
    </row>
    <row r="1313">
      <c r="A1313" s="31" t="inlineStr">
        <is>
          <t>Capacités</t>
        </is>
      </c>
      <c r="B1313" s="34" t="inlineStr">
        <is>
          <t>Mach Punch</t>
        </is>
      </c>
      <c r="C1313" s="34" t="n"/>
      <c r="D1313" s="34" t="n"/>
      <c r="E1313" s="34" t="n"/>
      <c r="F1313" s="34" t="n"/>
      <c r="G1313" s="34" t="n"/>
      <c r="H1313" s="30" t="inlineStr">
        <is>
          <t>Oui</t>
        </is>
      </c>
    </row>
    <row r="1314">
      <c r="A1314" s="31" t="n"/>
      <c r="B1314" s="34" t="inlineStr">
        <is>
          <t>Pisto-Poing</t>
        </is>
      </c>
      <c r="C1314" s="34" t="n"/>
      <c r="D1314" s="34" t="n"/>
      <c r="E1314" s="34" t="n"/>
      <c r="F1314" s="34" t="n"/>
      <c r="G1314" s="34" t="n"/>
      <c r="H1314" s="30" t="inlineStr">
        <is>
          <t>Oui</t>
        </is>
      </c>
    </row>
    <row r="1315">
      <c r="A1315" s="31" t="n"/>
      <c r="B1315" s="34" t="inlineStr">
        <is>
          <t>Ruse</t>
        </is>
      </c>
      <c r="C1315" s="34" t="n"/>
      <c r="D1315" s="34" t="n"/>
      <c r="E1315" s="34" t="n"/>
      <c r="F1315" s="34" t="n"/>
      <c r="G1315" s="34" t="n"/>
      <c r="H1315" s="30" t="inlineStr">
        <is>
          <t>Oui</t>
        </is>
      </c>
    </row>
    <row r="1316">
      <c r="A1316" s="31" t="n"/>
      <c r="B1316" s="34" t="inlineStr">
        <is>
          <t>Onde Vide</t>
        </is>
      </c>
      <c r="C1316" s="34" t="n"/>
      <c r="D1316" s="34" t="n"/>
      <c r="E1316" s="34" t="n"/>
      <c r="F1316" s="34" t="n"/>
      <c r="G1316" s="34" t="n"/>
      <c r="H1316" s="30" t="inlineStr">
        <is>
          <t>Oui</t>
        </is>
      </c>
    </row>
    <row r="1317">
      <c r="A1317" s="31" t="inlineStr">
        <is>
          <t>Nom</t>
        </is>
      </c>
      <c r="B1317" s="32" t="inlineStr">
        <is>
          <t>Karatéka Ryu</t>
        </is>
      </c>
      <c r="C1317" s="32" t="n"/>
      <c r="D1317" s="32" t="n"/>
      <c r="E1317" s="32" t="n"/>
      <c r="F1317" s="32" t="n"/>
      <c r="G1317" s="32" t="n"/>
      <c r="H1317" s="30" t="inlineStr">
        <is>
          <t>Oui</t>
        </is>
      </c>
    </row>
    <row r="1318">
      <c r="A1318" s="31" t="inlineStr">
        <is>
          <t>Pokémon</t>
        </is>
      </c>
      <c r="B1318" s="33" t="inlineStr">
        <is>
          <t>MACHOC</t>
        </is>
      </c>
      <c r="C1318" s="33" t="inlineStr">
        <is>
          <t>MACHOPEUR</t>
        </is>
      </c>
      <c r="D1318" s="33" t="n"/>
      <c r="E1318" s="33" t="n"/>
      <c r="F1318" s="33" t="n"/>
      <c r="G1318" s="33" t="n"/>
      <c r="H1318" s="30" t="inlineStr">
        <is>
          <t>Oui</t>
        </is>
      </c>
    </row>
    <row r="1319">
      <c r="A1319" s="31" t="inlineStr">
        <is>
          <t>Niveau</t>
        </is>
      </c>
      <c r="B1319" s="33" t="n">
        <v>27</v>
      </c>
      <c r="C1319" s="33" t="n">
        <v>27</v>
      </c>
      <c r="D1319" s="33" t="n"/>
      <c r="E1319" s="33" t="n"/>
      <c r="F1319" s="33" t="n"/>
      <c r="G1319" s="33" t="n"/>
      <c r="H1319" s="30" t="inlineStr">
        <is>
          <t>Oui</t>
        </is>
      </c>
    </row>
    <row r="1320">
      <c r="A1320" s="31" t="inlineStr">
        <is>
          <t>Objet</t>
        </is>
      </c>
      <c r="B1320" s="33" t="inlineStr">
        <is>
          <t>Aucun</t>
        </is>
      </c>
      <c r="C1320" s="33" t="inlineStr">
        <is>
          <t>Aucun</t>
        </is>
      </c>
      <c r="D1320" s="33" t="n"/>
      <c r="E1320" s="33" t="n"/>
      <c r="F1320" s="33" t="n"/>
      <c r="G1320" s="33" t="n"/>
      <c r="H1320" s="30" t="inlineStr">
        <is>
          <t>Oui</t>
        </is>
      </c>
    </row>
    <row r="1321">
      <c r="A1321" s="31" t="inlineStr">
        <is>
          <t>Talent</t>
        </is>
      </c>
      <c r="B1321" s="33" t="inlineStr">
        <is>
          <t>Cran</t>
        </is>
      </c>
      <c r="C1321" s="33" t="inlineStr">
        <is>
          <t>Cran</t>
        </is>
      </c>
      <c r="D1321" s="33" t="n"/>
      <c r="E1321" s="33" t="n"/>
      <c r="F1321" s="33" t="n"/>
      <c r="G1321" s="33" t="n"/>
      <c r="H1321" s="30" t="inlineStr">
        <is>
          <t>Oui</t>
        </is>
      </c>
    </row>
    <row r="1322">
      <c r="A1322" s="31" t="inlineStr">
        <is>
          <t>Capacités</t>
        </is>
      </c>
      <c r="B1322" s="34" t="inlineStr">
        <is>
          <t>Vendetta</t>
        </is>
      </c>
      <c r="C1322" s="34" t="inlineStr">
        <is>
          <t>Vendetta</t>
        </is>
      </c>
      <c r="D1322" s="34" t="n"/>
      <c r="E1322" s="34" t="n"/>
      <c r="F1322" s="34" t="n"/>
      <c r="G1322" s="34" t="n"/>
      <c r="H1322" s="30" t="inlineStr">
        <is>
          <t>Oui</t>
        </is>
      </c>
    </row>
    <row r="1323">
      <c r="A1323" s="31" t="n"/>
      <c r="B1323" s="34" t="inlineStr">
        <is>
          <t>Sabotage</t>
        </is>
      </c>
      <c r="C1323" s="34" t="inlineStr">
        <is>
          <t>Sabotage</t>
        </is>
      </c>
      <c r="D1323" s="34" t="n"/>
      <c r="E1323" s="34" t="n"/>
      <c r="F1323" s="34" t="n"/>
      <c r="G1323" s="34" t="n"/>
      <c r="H1323" s="30" t="inlineStr">
        <is>
          <t>Oui</t>
        </is>
      </c>
    </row>
    <row r="1324">
      <c r="A1324" s="31" t="n"/>
      <c r="B1324" s="34" t="inlineStr">
        <is>
          <t>Corps Perdu</t>
        </is>
      </c>
      <c r="C1324" s="34" t="inlineStr">
        <is>
          <t>Corps Perdu</t>
        </is>
      </c>
      <c r="D1324" s="34" t="n"/>
      <c r="E1324" s="34" t="n"/>
      <c r="F1324" s="34" t="n"/>
      <c r="G1324" s="34" t="n"/>
      <c r="H1324" s="30" t="inlineStr">
        <is>
          <t>Oui</t>
        </is>
      </c>
    </row>
    <row r="1325">
      <c r="A1325" s="31" t="n"/>
      <c r="B1325" s="34" t="inlineStr">
        <is>
          <t>Réveil Forcé</t>
        </is>
      </c>
      <c r="C1325" s="34" t="inlineStr">
        <is>
          <t>Réveil Forcé</t>
        </is>
      </c>
      <c r="D1325" s="34" t="n"/>
      <c r="E1325" s="34" t="n"/>
      <c r="F1325" s="34" t="n"/>
      <c r="G1325" s="34" t="n"/>
      <c r="H1325" s="30" t="inlineStr">
        <is>
          <t>Oui</t>
        </is>
      </c>
    </row>
    <row r="1326">
      <c r="A1326" s="31" t="inlineStr">
        <is>
          <t>Nom</t>
        </is>
      </c>
      <c r="B1326" s="32" t="inlineStr">
        <is>
          <t>Karatéka Ping</t>
        </is>
      </c>
      <c r="C1326" s="32" t="n"/>
      <c r="D1326" s="32" t="n"/>
      <c r="E1326" s="32" t="n"/>
      <c r="F1326" s="32" t="n"/>
      <c r="G1326" s="32" t="n"/>
      <c r="H1326" s="30" t="inlineStr">
        <is>
          <t>Oui</t>
        </is>
      </c>
    </row>
    <row r="1327">
      <c r="A1327" s="31" t="inlineStr">
        <is>
          <t>Pokémon</t>
        </is>
      </c>
      <c r="B1327" s="33" t="inlineStr">
        <is>
          <t>FEROSINGE</t>
        </is>
      </c>
      <c r="C1327" s="33" t="inlineStr">
        <is>
          <t>MACHOPEUR</t>
        </is>
      </c>
      <c r="D1327" s="33" t="inlineStr">
        <is>
          <t>COLOSSINGE</t>
        </is>
      </c>
      <c r="E1327" s="33" t="n"/>
      <c r="F1327" s="33" t="n"/>
      <c r="G1327" s="33" t="n"/>
      <c r="H1327" s="30" t="inlineStr">
        <is>
          <t>Oui</t>
        </is>
      </c>
    </row>
    <row r="1328">
      <c r="A1328" s="31" t="inlineStr">
        <is>
          <t>Niveau</t>
        </is>
      </c>
      <c r="B1328" s="33" t="n">
        <v>27</v>
      </c>
      <c r="C1328" s="33" t="n">
        <v>27</v>
      </c>
      <c r="D1328" s="33" t="n">
        <v>27</v>
      </c>
      <c r="E1328" s="33" t="n"/>
      <c r="F1328" s="33" t="n"/>
      <c r="G1328" s="33" t="n"/>
      <c r="H1328" s="30" t="inlineStr">
        <is>
          <t>Oui</t>
        </is>
      </c>
    </row>
    <row r="1329">
      <c r="A1329" s="31" t="inlineStr">
        <is>
          <t>Objet</t>
        </is>
      </c>
      <c r="B1329" s="33" t="inlineStr">
        <is>
          <t>Aucun</t>
        </is>
      </c>
      <c r="C1329" s="33" t="inlineStr">
        <is>
          <t>Aucun</t>
        </is>
      </c>
      <c r="D1329" s="33" t="inlineStr">
        <is>
          <t>Aucun</t>
        </is>
      </c>
      <c r="E1329" s="33" t="n"/>
      <c r="F1329" s="33" t="n"/>
      <c r="G1329" s="33" t="n"/>
      <c r="H1329" s="30" t="inlineStr">
        <is>
          <t>Oui</t>
        </is>
      </c>
    </row>
    <row r="1330">
      <c r="A1330" s="31" t="inlineStr">
        <is>
          <t>Talent</t>
        </is>
      </c>
      <c r="B1330" s="33" t="inlineStr">
        <is>
          <t>Esprit Vital</t>
        </is>
      </c>
      <c r="C1330" s="33" t="inlineStr">
        <is>
          <t>Cran</t>
        </is>
      </c>
      <c r="D1330" s="33" t="inlineStr">
        <is>
          <t>Esprit Vital</t>
        </is>
      </c>
      <c r="E1330" s="33" t="n"/>
      <c r="F1330" s="33" t="n"/>
      <c r="G1330" s="33" t="n"/>
      <c r="H1330" s="30" t="inlineStr">
        <is>
          <t>Oui</t>
        </is>
      </c>
    </row>
    <row r="1331">
      <c r="A1331" s="31" t="inlineStr">
        <is>
          <t>Capacités</t>
        </is>
      </c>
      <c r="B1331" s="34" t="inlineStr">
        <is>
          <t>Frappe Atlas</t>
        </is>
      </c>
      <c r="C1331" s="34" t="inlineStr">
        <is>
          <t>Vendetta</t>
        </is>
      </c>
      <c r="D1331" s="34" t="inlineStr">
        <is>
          <t>Frappe Atlas</t>
        </is>
      </c>
      <c r="E1331" s="34" t="n"/>
      <c r="F1331" s="34" t="n"/>
      <c r="G1331" s="34" t="n"/>
      <c r="H1331" s="30" t="inlineStr">
        <is>
          <t>Oui</t>
        </is>
      </c>
    </row>
    <row r="1332">
      <c r="A1332" s="31" t="n"/>
      <c r="B1332" s="34" t="inlineStr">
        <is>
          <t>Vantardise</t>
        </is>
      </c>
      <c r="C1332" s="34" t="inlineStr">
        <is>
          <t>Sabotage</t>
        </is>
      </c>
      <c r="D1332" s="34" t="inlineStr">
        <is>
          <t>Vantardise</t>
        </is>
      </c>
      <c r="E1332" s="34" t="n"/>
      <c r="F1332" s="34" t="n"/>
      <c r="G1332" s="34" t="n"/>
      <c r="H1332" s="30" t="inlineStr">
        <is>
          <t>Oui</t>
        </is>
      </c>
    </row>
    <row r="1333">
      <c r="A1333" s="31" t="n"/>
      <c r="B1333" s="34" t="inlineStr">
        <is>
          <t>Coup Croix</t>
        </is>
      </c>
      <c r="C1333" s="34" t="inlineStr">
        <is>
          <t>Corps Perdu</t>
        </is>
      </c>
      <c r="D1333" s="34" t="inlineStr">
        <is>
          <t>Coup Croix</t>
        </is>
      </c>
      <c r="E1333" s="34" t="n"/>
      <c r="F1333" s="34" t="n"/>
      <c r="G1333" s="34" t="n"/>
      <c r="H1333" s="30" t="inlineStr">
        <is>
          <t>Oui</t>
        </is>
      </c>
    </row>
    <row r="1334">
      <c r="A1334" s="31" t="n"/>
      <c r="B1334" s="34" t="inlineStr">
        <is>
          <t>Assurance</t>
        </is>
      </c>
      <c r="C1334" s="34" t="inlineStr">
        <is>
          <t>Réveil Forcé</t>
        </is>
      </c>
      <c r="D1334" s="34" t="inlineStr">
        <is>
          <t>Assurance</t>
        </is>
      </c>
      <c r="E1334" s="34" t="n"/>
      <c r="F1334" s="34" t="n"/>
      <c r="G1334" s="34" t="n"/>
      <c r="H1334" s="30" t="inlineStr">
        <is>
          <t>Oui</t>
        </is>
      </c>
    </row>
    <row r="1335" ht="18" customHeight="1">
      <c r="A1335" s="26" t="inlineStr">
        <is>
          <t>Route 47</t>
        </is>
      </c>
      <c r="B1335" s="26" t="n"/>
      <c r="C1335" s="26" t="n"/>
      <c r="D1335" s="26" t="n"/>
      <c r="E1335" s="26" t="n"/>
      <c r="F1335" s="26" t="n"/>
      <c r="G1335" s="26" t="n"/>
      <c r="H1335" s="30" t="inlineStr">
        <is>
          <t>Oui</t>
        </is>
      </c>
    </row>
    <row r="1336">
      <c r="A1336" s="31" t="inlineStr">
        <is>
          <t>Nom</t>
        </is>
      </c>
      <c r="B1336" s="32" t="inlineStr">
        <is>
          <t>Montagnard Gabin</t>
        </is>
      </c>
      <c r="C1336" s="32" t="n"/>
      <c r="D1336" s="32" t="n"/>
      <c r="E1336" s="32" t="n"/>
      <c r="F1336" s="32" t="n"/>
      <c r="G1336" s="32" t="n"/>
      <c r="H1336" s="30" t="inlineStr">
        <is>
          <t>Oui</t>
        </is>
      </c>
    </row>
    <row r="1337">
      <c r="A1337" s="31" t="inlineStr">
        <is>
          <t>Pokémon</t>
        </is>
      </c>
      <c r="B1337" s="33" t="inlineStr">
        <is>
          <t>INSOLOURDO</t>
        </is>
      </c>
      <c r="C1337" s="33" t="inlineStr">
        <is>
          <t>INSOLOURDO</t>
        </is>
      </c>
      <c r="D1337" s="33" t="inlineStr">
        <is>
          <t>DEUSOLOURDO</t>
        </is>
      </c>
      <c r="E1337" s="33" t="n"/>
      <c r="F1337" s="33" t="n"/>
      <c r="G1337" s="33" t="n"/>
      <c r="H1337" s="30" t="inlineStr">
        <is>
          <t>Oui</t>
        </is>
      </c>
    </row>
    <row r="1338">
      <c r="A1338" s="31" t="inlineStr">
        <is>
          <t>Niveau</t>
        </is>
      </c>
      <c r="B1338" s="33" t="n">
        <v>26</v>
      </c>
      <c r="C1338" s="33" t="n">
        <v>26</v>
      </c>
      <c r="D1338" s="33" t="n">
        <v>27</v>
      </c>
      <c r="E1338" s="33" t="n"/>
      <c r="F1338" s="33" t="n"/>
      <c r="G1338" s="33" t="n"/>
      <c r="H1338" s="30" t="inlineStr">
        <is>
          <t>Oui</t>
        </is>
      </c>
    </row>
    <row r="1339">
      <c r="A1339" s="31" t="inlineStr">
        <is>
          <t>Objet</t>
        </is>
      </c>
      <c r="B1339" s="33" t="inlineStr">
        <is>
          <t>Aucun</t>
        </is>
      </c>
      <c r="C1339" s="33" t="inlineStr">
        <is>
          <t>Aucun</t>
        </is>
      </c>
      <c r="D1339" s="33" t="inlineStr">
        <is>
          <t>Aucun</t>
        </is>
      </c>
      <c r="E1339" s="33" t="n"/>
      <c r="F1339" s="33" t="n"/>
      <c r="G1339" s="33" t="n"/>
      <c r="H1339" s="30" t="inlineStr">
        <is>
          <t>Oui</t>
        </is>
      </c>
    </row>
    <row r="1340">
      <c r="A1340" s="31" t="inlineStr">
        <is>
          <t>Talent</t>
        </is>
      </c>
      <c r="B1340" s="33" t="inlineStr">
        <is>
          <t>Sérénité</t>
        </is>
      </c>
      <c r="C1340" s="33" t="inlineStr">
        <is>
          <t>Sérénité</t>
        </is>
      </c>
      <c r="D1340" s="33" t="inlineStr">
        <is>
          <t>Sérénité</t>
        </is>
      </c>
      <c r="E1340" s="33" t="n"/>
      <c r="F1340" s="33" t="n"/>
      <c r="G1340" s="33" t="n"/>
      <c r="H1340" s="30" t="inlineStr">
        <is>
          <t>Oui</t>
        </is>
      </c>
    </row>
    <row r="1341">
      <c r="A1341" s="31" t="inlineStr">
        <is>
          <t>Capacités</t>
        </is>
      </c>
      <c r="B1341" s="34" t="inlineStr">
        <is>
          <t>Pouvoir Antique</t>
        </is>
      </c>
      <c r="C1341" s="34" t="inlineStr">
        <is>
          <t>Pouvoir Antique</t>
        </is>
      </c>
      <c r="D1341" s="34" t="inlineStr">
        <is>
          <t>Regard Médusant</t>
        </is>
      </c>
      <c r="E1341" s="34" t="n"/>
      <c r="F1341" s="34" t="n"/>
      <c r="G1341" s="34" t="n"/>
      <c r="H1341" s="30" t="inlineStr">
        <is>
          <t>Oui</t>
        </is>
      </c>
    </row>
    <row r="1342">
      <c r="A1342" s="31" t="n"/>
      <c r="B1342" s="34" t="inlineStr">
        <is>
          <t>Plaquage</t>
        </is>
      </c>
      <c r="C1342" s="34" t="inlineStr">
        <is>
          <t>Plaquage</t>
        </is>
      </c>
      <c r="D1342" s="34" t="inlineStr">
        <is>
          <t>Grincement</t>
        </is>
      </c>
      <c r="E1342" s="34" t="n"/>
      <c r="F1342" s="34" t="n"/>
      <c r="G1342" s="34" t="n"/>
      <c r="H1342" s="30" t="inlineStr">
        <is>
          <t>Oui</t>
        </is>
      </c>
    </row>
    <row r="1343">
      <c r="A1343" s="31" t="n"/>
      <c r="B1343" s="34" t="inlineStr">
        <is>
          <t>Tunnelier</t>
        </is>
      </c>
      <c r="C1343" s="34" t="inlineStr">
        <is>
          <t>Tunnelier</t>
        </is>
      </c>
      <c r="D1343" s="34" t="inlineStr">
        <is>
          <t>Pouvoir Antique</t>
        </is>
      </c>
      <c r="E1343" s="34" t="n"/>
      <c r="F1343" s="34" t="n"/>
      <c r="G1343" s="34" t="n"/>
      <c r="H1343" s="30" t="inlineStr">
        <is>
          <t>Oui</t>
        </is>
      </c>
    </row>
    <row r="1344">
      <c r="A1344" s="31" t="n"/>
      <c r="B1344" s="34" t="inlineStr">
        <is>
          <t>Atterrissage</t>
        </is>
      </c>
      <c r="C1344" s="34" t="inlineStr">
        <is>
          <t>Atterrissage</t>
        </is>
      </c>
      <c r="D1344" s="34" t="inlineStr">
        <is>
          <t>Tunnelier</t>
        </is>
      </c>
      <c r="E1344" s="34" t="n"/>
      <c r="F1344" s="34" t="n"/>
      <c r="G1344" s="34" t="n"/>
      <c r="H1344" s="30" t="inlineStr">
        <is>
          <t>Oui</t>
        </is>
      </c>
    </row>
    <row r="1345">
      <c r="A1345" s="31" t="inlineStr">
        <is>
          <t>Nom</t>
        </is>
      </c>
      <c r="B1345" s="32" t="inlineStr">
        <is>
          <t>Campeur Titouan</t>
        </is>
      </c>
      <c r="C1345" s="32" t="n"/>
      <c r="D1345" s="32" t="n"/>
      <c r="E1345" s="32" t="n"/>
      <c r="F1345" s="32" t="n"/>
      <c r="G1345" s="32" t="n"/>
      <c r="H1345" s="30" t="inlineStr">
        <is>
          <t>Oui</t>
        </is>
      </c>
    </row>
    <row r="1346">
      <c r="A1346" s="31" t="inlineStr">
        <is>
          <t>Pokémon</t>
        </is>
      </c>
      <c r="B1346" s="33" t="inlineStr">
        <is>
          <t>FLORAVOL</t>
        </is>
      </c>
      <c r="C1346" s="33" t="inlineStr">
        <is>
          <t>MARILL</t>
        </is>
      </c>
      <c r="D1346" s="33" t="n"/>
      <c r="E1346" s="33" t="n"/>
      <c r="F1346" s="33" t="n"/>
      <c r="G1346" s="33" t="n"/>
      <c r="H1346" s="30" t="inlineStr">
        <is>
          <t>Oui</t>
        </is>
      </c>
    </row>
    <row r="1347">
      <c r="A1347" s="31" t="inlineStr">
        <is>
          <t>Niveau</t>
        </is>
      </c>
      <c r="B1347" s="33" t="n">
        <v>26</v>
      </c>
      <c r="C1347" s="33" t="n">
        <v>26</v>
      </c>
      <c r="D1347" s="33" t="n"/>
      <c r="E1347" s="33" t="n"/>
      <c r="F1347" s="33" t="n"/>
      <c r="G1347" s="33" t="n"/>
      <c r="H1347" s="30" t="inlineStr">
        <is>
          <t>Oui</t>
        </is>
      </c>
    </row>
    <row r="1348">
      <c r="A1348" s="31" t="inlineStr">
        <is>
          <t>Objet</t>
        </is>
      </c>
      <c r="B1348" s="33" t="inlineStr">
        <is>
          <t>Aucun</t>
        </is>
      </c>
      <c r="C1348" s="33" t="inlineStr">
        <is>
          <t>Aucun</t>
        </is>
      </c>
      <c r="D1348" s="33" t="n"/>
      <c r="E1348" s="33" t="n"/>
      <c r="F1348" s="33" t="n"/>
      <c r="G1348" s="33" t="n"/>
      <c r="H1348" s="30" t="inlineStr">
        <is>
          <t>Oui</t>
        </is>
      </c>
    </row>
    <row r="1349">
      <c r="A1349" s="31" t="inlineStr">
        <is>
          <t>Talent</t>
        </is>
      </c>
      <c r="B1349" s="33" t="inlineStr">
        <is>
          <t>Chlorophylle</t>
        </is>
      </c>
      <c r="C1349" s="33" t="inlineStr">
        <is>
          <t>Isograisse</t>
        </is>
      </c>
      <c r="D1349" s="33" t="n"/>
      <c r="E1349" s="33" t="n"/>
      <c r="F1349" s="33" t="n"/>
      <c r="G1349" s="33" t="n"/>
      <c r="H1349" s="30" t="inlineStr">
        <is>
          <t>Oui</t>
        </is>
      </c>
    </row>
    <row r="1350">
      <c r="A1350" s="31" t="inlineStr">
        <is>
          <t>Capacités</t>
        </is>
      </c>
      <c r="B1350" s="34" t="inlineStr">
        <is>
          <t>Para-Spore</t>
        </is>
      </c>
      <c r="C1350" s="34" t="inlineStr">
        <is>
          <t>Bulles d'O</t>
        </is>
      </c>
      <c r="D1350" s="34" t="n"/>
      <c r="E1350" s="34" t="n"/>
      <c r="F1350" s="34" t="n"/>
      <c r="G1350" s="34" t="n"/>
      <c r="H1350" s="30" t="inlineStr">
        <is>
          <t>Oui</t>
        </is>
      </c>
    </row>
    <row r="1351">
      <c r="A1351" s="31" t="n"/>
      <c r="B1351" s="34" t="inlineStr">
        <is>
          <t>Poudre Dodo</t>
        </is>
      </c>
      <c r="C1351" s="34" t="inlineStr">
        <is>
          <t>Coup d'Main</t>
        </is>
      </c>
      <c r="D1351" s="34" t="n"/>
      <c r="E1351" s="34" t="n"/>
      <c r="F1351" s="34" t="n"/>
      <c r="G1351" s="34" t="n"/>
      <c r="H1351" s="30" t="inlineStr">
        <is>
          <t>Oui</t>
        </is>
      </c>
    </row>
    <row r="1352">
      <c r="A1352" s="31" t="n"/>
      <c r="B1352" s="34" t="inlineStr">
        <is>
          <t>Balle Graine</t>
        </is>
      </c>
      <c r="C1352" s="34" t="inlineStr">
        <is>
          <t>Hydro-Queue</t>
        </is>
      </c>
      <c r="D1352" s="34" t="n"/>
      <c r="E1352" s="34" t="n"/>
      <c r="F1352" s="34" t="n"/>
      <c r="G1352" s="34" t="n"/>
      <c r="H1352" s="30" t="inlineStr">
        <is>
          <t>Oui</t>
        </is>
      </c>
    </row>
    <row r="1353">
      <c r="A1353" s="31" t="n"/>
      <c r="B1353" s="34" t="inlineStr">
        <is>
          <t>Vampigraine</t>
        </is>
      </c>
      <c r="C1353" s="34" t="inlineStr">
        <is>
          <t>Câlinerie</t>
        </is>
      </c>
      <c r="D1353" s="34" t="n"/>
      <c r="E1353" s="34" t="n"/>
      <c r="F1353" s="34" t="n"/>
      <c r="G1353" s="34" t="n"/>
      <c r="H1353" s="30" t="inlineStr">
        <is>
          <t>Oui</t>
        </is>
      </c>
    </row>
    <row r="1354">
      <c r="A1354" s="31" t="inlineStr">
        <is>
          <t>Nom</t>
        </is>
      </c>
      <c r="B1354" s="32" t="inlineStr">
        <is>
          <t>Jeune Couple Serge&amp;Dom (combat double)</t>
        </is>
      </c>
      <c r="C1354" s="32" t="n"/>
      <c r="D1354" s="32" t="n"/>
      <c r="E1354" s="32" t="n"/>
      <c r="F1354" s="32" t="n"/>
      <c r="G1354" s="32" t="n"/>
      <c r="H1354" s="30" t="inlineStr">
        <is>
          <t>Oui</t>
        </is>
      </c>
    </row>
    <row r="1355">
      <c r="A1355" s="31" t="inlineStr">
        <is>
          <t>Pokémon</t>
        </is>
      </c>
      <c r="B1355" s="33" t="inlineStr">
        <is>
          <t>ELEKTEK</t>
        </is>
      </c>
      <c r="C1355" s="33" t="inlineStr">
        <is>
          <t>MAGMAR</t>
        </is>
      </c>
      <c r="D1355" s="33" t="n"/>
      <c r="E1355" s="33" t="n"/>
      <c r="F1355" s="33" t="n"/>
      <c r="G1355" s="33" t="n"/>
      <c r="H1355" s="30" t="inlineStr">
        <is>
          <t>Oui</t>
        </is>
      </c>
    </row>
    <row r="1356">
      <c r="A1356" s="31" t="inlineStr">
        <is>
          <t>Niveau</t>
        </is>
      </c>
      <c r="B1356" s="33" t="n">
        <v>26</v>
      </c>
      <c r="C1356" s="33" t="n">
        <v>26</v>
      </c>
      <c r="D1356" s="33" t="n"/>
      <c r="E1356" s="33" t="n"/>
      <c r="F1356" s="33" t="n"/>
      <c r="G1356" s="33" t="n"/>
      <c r="H1356" s="30" t="inlineStr">
        <is>
          <t>Oui</t>
        </is>
      </c>
    </row>
    <row r="1357">
      <c r="A1357" s="31" t="inlineStr">
        <is>
          <t>Objet</t>
        </is>
      </c>
      <c r="B1357" s="33" t="inlineStr">
        <is>
          <t>Aucun</t>
        </is>
      </c>
      <c r="C1357" s="33" t="inlineStr">
        <is>
          <t>Aucun</t>
        </is>
      </c>
      <c r="D1357" s="33" t="n"/>
      <c r="E1357" s="33" t="n"/>
      <c r="F1357" s="33" t="n"/>
      <c r="G1357" s="33" t="n"/>
      <c r="H1357" s="30" t="inlineStr">
        <is>
          <t>Oui</t>
        </is>
      </c>
    </row>
    <row r="1358">
      <c r="A1358" s="31" t="inlineStr">
        <is>
          <t>Talent</t>
        </is>
      </c>
      <c r="B1358" s="33" t="inlineStr">
        <is>
          <t>Statik</t>
        </is>
      </c>
      <c r="C1358" s="33" t="inlineStr">
        <is>
          <t>Corps Ardent</t>
        </is>
      </c>
      <c r="D1358" s="33" t="n"/>
      <c r="E1358" s="33" t="n"/>
      <c r="F1358" s="33" t="n"/>
      <c r="G1358" s="33" t="n"/>
      <c r="H1358" s="30" t="inlineStr">
        <is>
          <t>Oui</t>
        </is>
      </c>
    </row>
    <row r="1359">
      <c r="A1359" s="31" t="inlineStr">
        <is>
          <t>Capacités</t>
        </is>
      </c>
      <c r="B1359" s="34" t="inlineStr">
        <is>
          <t>Onde de Choc</t>
        </is>
      </c>
      <c r="C1359" s="34" t="inlineStr">
        <is>
          <t>Danse Flammes</t>
        </is>
      </c>
      <c r="D1359" s="34" t="n"/>
      <c r="E1359" s="34" t="n"/>
      <c r="F1359" s="34" t="n"/>
      <c r="G1359" s="34" t="n"/>
      <c r="H1359" s="30" t="inlineStr">
        <is>
          <t>Oui</t>
        </is>
      </c>
    </row>
    <row r="1360">
      <c r="A1360" s="31" t="n"/>
      <c r="B1360" s="34" t="inlineStr">
        <is>
          <t>Cage Éclair</t>
        </is>
      </c>
      <c r="C1360" s="34" t="inlineStr">
        <is>
          <t>Bain de Smog</t>
        </is>
      </c>
      <c r="D1360" s="34" t="n"/>
      <c r="E1360" s="34" t="n"/>
      <c r="F1360" s="34" t="n"/>
      <c r="G1360" s="34" t="n"/>
      <c r="H1360" s="30" t="inlineStr">
        <is>
          <t>Oui</t>
        </is>
      </c>
    </row>
    <row r="1361">
      <c r="A1361" s="31" t="n"/>
      <c r="B1361" s="34" t="inlineStr">
        <is>
          <t>Boule Élek</t>
        </is>
      </c>
      <c r="C1361" s="34" t="inlineStr">
        <is>
          <t>Rebondifeu</t>
        </is>
      </c>
      <c r="D1361" s="34" t="n"/>
      <c r="E1361" s="34" t="n"/>
      <c r="F1361" s="34" t="n"/>
      <c r="G1361" s="34" t="n"/>
      <c r="H1361" s="30" t="inlineStr">
        <is>
          <t>Oui</t>
        </is>
      </c>
    </row>
    <row r="1362">
      <c r="A1362" s="31" t="n"/>
      <c r="B1362" s="34" t="inlineStr">
        <is>
          <t>Mur Lumière</t>
        </is>
      </c>
      <c r="C1362" s="34" t="inlineStr">
        <is>
          <t>Onde Folie</t>
        </is>
      </c>
      <c r="D1362" s="34" t="n"/>
      <c r="E1362" s="34" t="n"/>
      <c r="F1362" s="34" t="n"/>
      <c r="G1362" s="34" t="n"/>
      <c r="H1362" s="30" t="inlineStr">
        <is>
          <t>Oui</t>
        </is>
      </c>
    </row>
    <row r="1363">
      <c r="A1363" s="31" t="inlineStr">
        <is>
          <t>Nom</t>
        </is>
      </c>
      <c r="B1363" s="32" t="inlineStr">
        <is>
          <t>Jeune Couple Ludo&amp;Dalia (combat double)</t>
        </is>
      </c>
      <c r="C1363" s="32" t="n"/>
      <c r="D1363" s="32" t="n"/>
      <c r="E1363" s="32" t="n"/>
      <c r="F1363" s="32" t="n"/>
      <c r="G1363" s="32" t="n"/>
      <c r="H1363" s="30" t="inlineStr">
        <is>
          <t>Oui</t>
        </is>
      </c>
    </row>
    <row r="1364">
      <c r="A1364" s="31" t="inlineStr">
        <is>
          <t>Pokémon</t>
        </is>
      </c>
      <c r="B1364" s="33" t="inlineStr">
        <is>
          <t>ONIX</t>
        </is>
      </c>
      <c r="C1364" s="33" t="inlineStr">
        <is>
          <t>CRUSTABRI</t>
        </is>
      </c>
      <c r="D1364" s="33" t="n"/>
      <c r="E1364" s="33" t="n"/>
      <c r="F1364" s="33" t="n"/>
      <c r="G1364" s="33" t="n"/>
      <c r="H1364" s="30" t="inlineStr">
        <is>
          <t>Oui</t>
        </is>
      </c>
    </row>
    <row r="1365">
      <c r="A1365" s="31" t="inlineStr">
        <is>
          <t>Niveau</t>
        </is>
      </c>
      <c r="B1365" s="33" t="n">
        <v>26</v>
      </c>
      <c r="C1365" s="33" t="n">
        <v>26</v>
      </c>
      <c r="D1365" s="33" t="n"/>
      <c r="E1365" s="33" t="n"/>
      <c r="F1365" s="33" t="n"/>
      <c r="G1365" s="33" t="n"/>
      <c r="H1365" s="30" t="inlineStr">
        <is>
          <t>Oui</t>
        </is>
      </c>
    </row>
    <row r="1366">
      <c r="A1366" s="31" t="inlineStr">
        <is>
          <t>Objet</t>
        </is>
      </c>
      <c r="B1366" s="33" t="inlineStr">
        <is>
          <t>Aucun</t>
        </is>
      </c>
      <c r="C1366" s="33" t="inlineStr">
        <is>
          <t>Aucun</t>
        </is>
      </c>
      <c r="D1366" s="33" t="n"/>
      <c r="E1366" s="33" t="n"/>
      <c r="F1366" s="33" t="n"/>
      <c r="G1366" s="33" t="n"/>
      <c r="H1366" s="30" t="inlineStr">
        <is>
          <t>Oui</t>
        </is>
      </c>
    </row>
    <row r="1367">
      <c r="A1367" s="31" t="inlineStr">
        <is>
          <t>Talent</t>
        </is>
      </c>
      <c r="B1367" s="33" t="inlineStr">
        <is>
          <t>Tête de Roc</t>
        </is>
      </c>
      <c r="C1367" s="33" t="inlineStr">
        <is>
          <t>Coque Armure</t>
        </is>
      </c>
      <c r="D1367" s="33" t="n"/>
      <c r="E1367" s="33" t="n"/>
      <c r="F1367" s="33" t="n"/>
      <c r="G1367" s="33" t="n"/>
      <c r="H1367" s="30" t="inlineStr">
        <is>
          <t>Oui</t>
        </is>
      </c>
    </row>
    <row r="1368">
      <c r="A1368" s="31" t="inlineStr">
        <is>
          <t>Capacités</t>
        </is>
      </c>
      <c r="B1368" s="34" t="inlineStr">
        <is>
          <t>Poliroche</t>
        </is>
      </c>
      <c r="C1368" s="34" t="inlineStr">
        <is>
          <t>Ultrason</t>
        </is>
      </c>
      <c r="D1368" s="34" t="n"/>
      <c r="E1368" s="34" t="n"/>
      <c r="F1368" s="34" t="n"/>
      <c r="G1368" s="34" t="n"/>
      <c r="H1368" s="30" t="inlineStr">
        <is>
          <t>Oui</t>
        </is>
      </c>
    </row>
    <row r="1369">
      <c r="A1369" s="31" t="n"/>
      <c r="B1369" s="34" t="inlineStr">
        <is>
          <t>Gyroballe</t>
        </is>
      </c>
      <c r="C1369" s="34" t="inlineStr">
        <is>
          <t>Abri</t>
        </is>
      </c>
      <c r="D1369" s="34" t="n"/>
      <c r="E1369" s="34" t="n"/>
      <c r="F1369" s="34" t="n"/>
      <c r="G1369" s="34" t="n"/>
      <c r="H1369" s="30" t="inlineStr">
        <is>
          <t>Oui</t>
        </is>
      </c>
    </row>
    <row r="1370">
      <c r="A1370" s="31" t="n"/>
      <c r="B1370" s="34" t="inlineStr">
        <is>
          <t>Anti-Air</t>
        </is>
      </c>
      <c r="C1370" s="34" t="inlineStr">
        <is>
          <t>Onde Boréale</t>
        </is>
      </c>
      <c r="D1370" s="34" t="n"/>
      <c r="E1370" s="34" t="n"/>
      <c r="F1370" s="34" t="n"/>
      <c r="G1370" s="34" t="n"/>
      <c r="H1370" s="30" t="inlineStr">
        <is>
          <t>Oui</t>
        </is>
      </c>
    </row>
    <row r="1371">
      <c r="A1371" s="31" t="n"/>
      <c r="B1371" s="34" t="inlineStr">
        <is>
          <t>Draco-Souffle</t>
        </is>
      </c>
      <c r="C1371" s="34" t="inlineStr">
        <is>
          <t>Picanon</t>
        </is>
      </c>
      <c r="D1371" s="34" t="n"/>
      <c r="E1371" s="34" t="n"/>
      <c r="F1371" s="34" t="n"/>
      <c r="G1371" s="34" t="n"/>
      <c r="H1371" s="30" t="inlineStr">
        <is>
          <t>Oui</t>
        </is>
      </c>
    </row>
    <row r="1372" ht="18" customHeight="1">
      <c r="A1372" s="26" t="inlineStr">
        <is>
          <t>Route 42</t>
        </is>
      </c>
      <c r="B1372" s="26" t="n"/>
      <c r="C1372" s="26" t="n"/>
      <c r="D1372" s="26" t="n"/>
      <c r="E1372" s="26" t="n"/>
      <c r="F1372" s="26" t="n"/>
      <c r="G1372" s="26" t="n"/>
      <c r="H1372" s="30" t="inlineStr">
        <is>
          <t>Oui</t>
        </is>
      </c>
    </row>
    <row r="1373">
      <c r="A1373" s="31" t="inlineStr">
        <is>
          <t>Nom</t>
        </is>
      </c>
      <c r="B1373" s="32" t="inlineStr">
        <is>
          <t>Pêcheur Conan</t>
        </is>
      </c>
      <c r="C1373" s="32" t="n"/>
      <c r="D1373" s="32" t="n"/>
      <c r="E1373" s="32" t="n"/>
      <c r="F1373" s="32" t="n"/>
      <c r="G1373" s="32" t="n"/>
      <c r="H1373" s="30" t="inlineStr">
        <is>
          <t>Oui</t>
        </is>
      </c>
    </row>
    <row r="1374">
      <c r="A1374" s="31" t="inlineStr">
        <is>
          <t>Pokémon</t>
        </is>
      </c>
      <c r="B1374" s="33" t="inlineStr">
        <is>
          <t>QWILFISH</t>
        </is>
      </c>
      <c r="C1374" s="33" t="n"/>
      <c r="D1374" s="33" t="n"/>
      <c r="E1374" s="33" t="n"/>
      <c r="F1374" s="33" t="n"/>
      <c r="G1374" s="33" t="n"/>
      <c r="H1374" s="30" t="inlineStr">
        <is>
          <t>Oui</t>
        </is>
      </c>
    </row>
    <row r="1375">
      <c r="A1375" s="31" t="inlineStr">
        <is>
          <t>Niveau</t>
        </is>
      </c>
      <c r="B1375" s="33" t="n">
        <v>24</v>
      </c>
      <c r="C1375" s="33" t="n"/>
      <c r="D1375" s="33" t="n"/>
      <c r="E1375" s="33" t="n"/>
      <c r="F1375" s="33" t="n"/>
      <c r="G1375" s="33" t="n"/>
      <c r="H1375" s="30" t="inlineStr">
        <is>
          <t>Oui</t>
        </is>
      </c>
    </row>
    <row r="1376">
      <c r="A1376" s="31" t="inlineStr">
        <is>
          <t>Objet</t>
        </is>
      </c>
      <c r="B1376" s="33" t="inlineStr">
        <is>
          <t>Aucun</t>
        </is>
      </c>
      <c r="C1376" s="33" t="n"/>
      <c r="D1376" s="33" t="n"/>
      <c r="E1376" s="33" t="n"/>
      <c r="F1376" s="33" t="n"/>
      <c r="G1376" s="33" t="n"/>
      <c r="H1376" s="30" t="inlineStr">
        <is>
          <t>Oui</t>
        </is>
      </c>
    </row>
    <row r="1377">
      <c r="A1377" s="31" t="inlineStr">
        <is>
          <t>Talent</t>
        </is>
      </c>
      <c r="B1377" s="33" t="inlineStr">
        <is>
          <t>Point Poison</t>
        </is>
      </c>
      <c r="C1377" s="33" t="n"/>
      <c r="D1377" s="33" t="n"/>
      <c r="E1377" s="33" t="n"/>
      <c r="F1377" s="33" t="n"/>
      <c r="G1377" s="33" t="n"/>
      <c r="H1377" s="30" t="inlineStr">
        <is>
          <t>Oui</t>
        </is>
      </c>
    </row>
    <row r="1378">
      <c r="A1378" s="31" t="inlineStr">
        <is>
          <t>Capacités</t>
        </is>
      </c>
      <c r="B1378" s="34" t="inlineStr">
        <is>
          <t>Lilliput</t>
        </is>
      </c>
      <c r="C1378" s="34" t="n"/>
      <c r="D1378" s="34" t="n"/>
      <c r="E1378" s="34" t="n"/>
      <c r="F1378" s="34" t="n"/>
      <c r="G1378" s="34" t="n"/>
      <c r="H1378" s="30" t="inlineStr">
        <is>
          <t>Oui</t>
        </is>
      </c>
    </row>
    <row r="1379">
      <c r="A1379" s="31" t="n"/>
      <c r="B1379" s="34" t="inlineStr">
        <is>
          <t>Écume</t>
        </is>
      </c>
      <c r="C1379" s="34" t="n"/>
      <c r="D1379" s="34" t="n"/>
      <c r="E1379" s="34" t="n"/>
      <c r="F1379" s="34" t="n"/>
      <c r="G1379" s="34" t="n"/>
      <c r="H1379" s="30" t="inlineStr">
        <is>
          <t>Oui</t>
        </is>
      </c>
    </row>
    <row r="1380">
      <c r="A1380" s="31" t="n"/>
      <c r="B1380" s="34" t="inlineStr">
        <is>
          <t>Roulade</t>
        </is>
      </c>
      <c r="C1380" s="34" t="n"/>
      <c r="D1380" s="34" t="n"/>
      <c r="E1380" s="34" t="n"/>
      <c r="F1380" s="34" t="n"/>
      <c r="G1380" s="34" t="n"/>
      <c r="H1380" s="30" t="inlineStr">
        <is>
          <t>Oui</t>
        </is>
      </c>
    </row>
    <row r="1381">
      <c r="A1381" s="31" t="n"/>
      <c r="B1381" s="34" t="inlineStr">
        <is>
          <t>Pics Toxik</t>
        </is>
      </c>
      <c r="C1381" s="34" t="n"/>
      <c r="D1381" s="34" t="n"/>
      <c r="E1381" s="34" t="n"/>
      <c r="F1381" s="34" t="n"/>
      <c r="G1381" s="34" t="n"/>
      <c r="H1381" s="30" t="inlineStr">
        <is>
          <t>Oui</t>
        </is>
      </c>
    </row>
    <row r="1382">
      <c r="A1382" s="31" t="inlineStr">
        <is>
          <t>Nom</t>
        </is>
      </c>
      <c r="B1382" s="32" t="inlineStr">
        <is>
          <t>Montagnard Moïse</t>
        </is>
      </c>
      <c r="C1382" s="32" t="n"/>
      <c r="D1382" s="32" t="n"/>
      <c r="E1382" s="32" t="n"/>
      <c r="F1382" s="32" t="n"/>
      <c r="G1382" s="32" t="n"/>
      <c r="H1382" s="30" t="inlineStr">
        <is>
          <t>Oui</t>
        </is>
      </c>
    </row>
    <row r="1383">
      <c r="A1383" s="31" t="inlineStr">
        <is>
          <t>Pokémon</t>
        </is>
      </c>
      <c r="B1383" s="33" t="inlineStr">
        <is>
          <t>GRAVALANCH</t>
        </is>
      </c>
      <c r="C1383" s="33" t="inlineStr">
        <is>
          <t>TRIOPIKEUR</t>
        </is>
      </c>
      <c r="D1383" s="33" t="n"/>
      <c r="E1383" s="33" t="n"/>
      <c r="F1383" s="33" t="n"/>
      <c r="G1383" s="33" t="n"/>
      <c r="H1383" s="30" t="inlineStr">
        <is>
          <t>Oui</t>
        </is>
      </c>
    </row>
    <row r="1384">
      <c r="A1384" s="31" t="inlineStr">
        <is>
          <t>Niveau</t>
        </is>
      </c>
      <c r="B1384" s="33" t="n">
        <v>24</v>
      </c>
      <c r="C1384" s="33" t="n">
        <v>24</v>
      </c>
      <c r="D1384" s="33" t="n"/>
      <c r="E1384" s="33" t="n"/>
      <c r="F1384" s="33" t="n"/>
      <c r="G1384" s="33" t="n"/>
      <c r="H1384" s="30" t="inlineStr">
        <is>
          <t>Oui</t>
        </is>
      </c>
    </row>
    <row r="1385">
      <c r="A1385" s="31" t="inlineStr">
        <is>
          <t>Objet</t>
        </is>
      </c>
      <c r="B1385" s="33" t="inlineStr">
        <is>
          <t>Aucun</t>
        </is>
      </c>
      <c r="C1385" s="33" t="inlineStr">
        <is>
          <t>Aucun</t>
        </is>
      </c>
      <c r="D1385" s="33" t="n"/>
      <c r="E1385" s="33" t="n"/>
      <c r="F1385" s="33" t="n"/>
      <c r="G1385" s="33" t="n"/>
      <c r="H1385" s="30" t="inlineStr">
        <is>
          <t>Oui</t>
        </is>
      </c>
    </row>
    <row r="1386">
      <c r="A1386" s="31" t="inlineStr">
        <is>
          <t>Talent</t>
        </is>
      </c>
      <c r="B1386" s="33" t="inlineStr">
        <is>
          <t>Tête de Roc</t>
        </is>
      </c>
      <c r="C1386" s="33" t="inlineStr">
        <is>
          <t>Voile Sable</t>
        </is>
      </c>
      <c r="D1386" s="33" t="n"/>
      <c r="E1386" s="33" t="n"/>
      <c r="F1386" s="33" t="n"/>
      <c r="G1386" s="33" t="n"/>
      <c r="H1386" s="30" t="inlineStr">
        <is>
          <t>Oui</t>
        </is>
      </c>
    </row>
    <row r="1387">
      <c r="A1387" s="31" t="inlineStr">
        <is>
          <t>Capacités</t>
        </is>
      </c>
      <c r="B1387" s="34" t="inlineStr">
        <is>
          <t>Jet-Pierres</t>
        </is>
      </c>
      <c r="C1387" s="34" t="inlineStr">
        <is>
          <t>Coud'Boue</t>
        </is>
      </c>
      <c r="D1387" s="34" t="n"/>
      <c r="E1387" s="34" t="n"/>
      <c r="F1387" s="34" t="n"/>
      <c r="G1387" s="34" t="n"/>
      <c r="H1387" s="30" t="inlineStr">
        <is>
          <t>Oui</t>
        </is>
      </c>
    </row>
    <row r="1388">
      <c r="A1388" s="31" t="n"/>
      <c r="B1388" s="34" t="inlineStr">
        <is>
          <t>Anti-Air</t>
        </is>
      </c>
      <c r="C1388" s="34" t="inlineStr">
        <is>
          <t>Ampleur</t>
        </is>
      </c>
      <c r="D1388" s="34" t="n"/>
      <c r="E1388" s="34" t="n"/>
      <c r="F1388" s="34" t="n"/>
      <c r="G1388" s="34" t="n"/>
      <c r="H1388" s="30" t="inlineStr">
        <is>
          <t>Oui</t>
        </is>
      </c>
    </row>
    <row r="1389">
      <c r="A1389" s="31" t="n"/>
      <c r="B1389" s="34" t="inlineStr">
        <is>
          <t>Piétisol</t>
        </is>
      </c>
      <c r="C1389" s="34" t="inlineStr">
        <is>
          <t>Piétisol</t>
        </is>
      </c>
      <c r="D1389" s="34" t="n"/>
      <c r="E1389" s="34" t="n"/>
      <c r="F1389" s="34" t="n"/>
      <c r="G1389" s="34" t="n"/>
      <c r="H1389" s="30" t="inlineStr">
        <is>
          <t>Oui</t>
        </is>
      </c>
    </row>
    <row r="1390">
      <c r="A1390" s="31" t="n"/>
      <c r="B1390" s="34" t="inlineStr">
        <is>
          <t>Destruction</t>
        </is>
      </c>
      <c r="C1390" s="34" t="inlineStr">
        <is>
          <t>Coup Bas</t>
        </is>
      </c>
      <c r="D1390" s="34" t="n"/>
      <c r="E1390" s="34" t="n"/>
      <c r="F1390" s="34" t="n"/>
      <c r="G1390" s="34" t="n"/>
      <c r="H1390" s="30" t="inlineStr">
        <is>
          <t>Oui</t>
        </is>
      </c>
    </row>
    <row r="1391">
      <c r="A1391" s="31" t="inlineStr">
        <is>
          <t>Nom</t>
        </is>
      </c>
      <c r="B1391" s="32" t="inlineStr">
        <is>
          <t>Pokémaniac Seb</t>
        </is>
      </c>
      <c r="C1391" s="32" t="n"/>
      <c r="D1391" s="32" t="n"/>
      <c r="E1391" s="32" t="n"/>
      <c r="F1391" s="32" t="n"/>
      <c r="G1391" s="32" t="n"/>
      <c r="H1391" s="30" t="inlineStr">
        <is>
          <t>Oui</t>
        </is>
      </c>
    </row>
    <row r="1392">
      <c r="A1392" s="31" t="inlineStr">
        <is>
          <t>Pokémon</t>
        </is>
      </c>
      <c r="B1392" s="33" t="inlineStr">
        <is>
          <t>NIDORINO</t>
        </is>
      </c>
      <c r="C1392" s="33" t="inlineStr">
        <is>
          <t>NIDOKING</t>
        </is>
      </c>
      <c r="D1392" s="33" t="n"/>
      <c r="E1392" s="33" t="n"/>
      <c r="F1392" s="33" t="n"/>
      <c r="G1392" s="33" t="n"/>
      <c r="H1392" s="30" t="inlineStr">
        <is>
          <t>Oui</t>
        </is>
      </c>
    </row>
    <row r="1393">
      <c r="A1393" s="31" t="inlineStr">
        <is>
          <t>Niveau</t>
        </is>
      </c>
      <c r="B1393" s="33" t="n">
        <v>24</v>
      </c>
      <c r="C1393" s="33" t="n">
        <v>24</v>
      </c>
      <c r="D1393" s="33" t="n"/>
      <c r="E1393" s="33" t="n"/>
      <c r="F1393" s="33" t="n"/>
      <c r="G1393" s="33" t="n"/>
      <c r="H1393" s="30" t="inlineStr">
        <is>
          <t>Oui</t>
        </is>
      </c>
    </row>
    <row r="1394">
      <c r="A1394" s="31" t="inlineStr">
        <is>
          <t>Objet</t>
        </is>
      </c>
      <c r="B1394" s="33" t="inlineStr">
        <is>
          <t>Aucun</t>
        </is>
      </c>
      <c r="C1394" s="33" t="inlineStr">
        <is>
          <t>Aucun</t>
        </is>
      </c>
      <c r="D1394" s="33" t="n"/>
      <c r="E1394" s="33" t="n"/>
      <c r="F1394" s="33" t="n"/>
      <c r="G1394" s="33" t="n"/>
      <c r="H1394" s="30" t="inlineStr">
        <is>
          <t>Oui</t>
        </is>
      </c>
    </row>
    <row r="1395">
      <c r="A1395" s="31" t="inlineStr">
        <is>
          <t>Talent</t>
        </is>
      </c>
      <c r="B1395" s="33" t="inlineStr">
        <is>
          <t>Point Poison</t>
        </is>
      </c>
      <c r="C1395" s="33" t="inlineStr">
        <is>
          <t>Point Poison</t>
        </is>
      </c>
      <c r="D1395" s="33" t="n"/>
      <c r="E1395" s="33" t="n"/>
      <c r="F1395" s="33" t="n"/>
      <c r="G1395" s="33" t="n"/>
      <c r="H1395" s="30" t="inlineStr">
        <is>
          <t>Oui</t>
        </is>
      </c>
    </row>
    <row r="1396">
      <c r="A1396" s="31" t="inlineStr">
        <is>
          <t>Capacités</t>
        </is>
      </c>
      <c r="B1396" s="34" t="inlineStr">
        <is>
          <t>Dard-Venin</t>
        </is>
      </c>
      <c r="C1396" s="34" t="inlineStr">
        <is>
          <t>Puissance</t>
        </is>
      </c>
      <c r="D1396" s="34" t="n"/>
      <c r="E1396" s="34" t="n"/>
      <c r="F1396" s="34" t="n"/>
      <c r="G1396" s="34" t="n"/>
      <c r="H1396" s="30" t="inlineStr">
        <is>
          <t>Oui</t>
        </is>
      </c>
    </row>
    <row r="1397">
      <c r="A1397" s="31" t="n"/>
      <c r="B1397" s="34" t="inlineStr">
        <is>
          <t>Furie</t>
        </is>
      </c>
      <c r="C1397" s="34" t="inlineStr">
        <is>
          <t>Double Pied</t>
        </is>
      </c>
      <c r="D1397" s="34" t="n"/>
      <c r="E1397" s="34" t="n"/>
      <c r="F1397" s="34" t="n"/>
      <c r="G1397" s="34" t="n"/>
      <c r="H1397" s="30" t="inlineStr">
        <is>
          <t>Oui</t>
        </is>
      </c>
    </row>
    <row r="1398">
      <c r="A1398" s="31" t="n"/>
      <c r="B1398" s="34" t="inlineStr">
        <is>
          <t>Koud'Korne</t>
        </is>
      </c>
      <c r="C1398" s="34" t="inlineStr">
        <is>
          <t>Dard-Venin</t>
        </is>
      </c>
      <c r="D1398" s="34" t="n"/>
      <c r="E1398" s="34" t="n"/>
      <c r="F1398" s="34" t="n"/>
      <c r="G1398" s="34" t="n"/>
      <c r="H1398" s="30" t="inlineStr">
        <is>
          <t>Oui</t>
        </is>
      </c>
    </row>
    <row r="1399">
      <c r="A1399" s="31" t="n"/>
      <c r="B1399" s="34" t="inlineStr">
        <is>
          <t>Piétisol</t>
        </is>
      </c>
      <c r="C1399" s="34" t="inlineStr">
        <is>
          <t>Attrition</t>
        </is>
      </c>
      <c r="D1399" s="34" t="n"/>
      <c r="E1399" s="34" t="n"/>
      <c r="F1399" s="34" t="n"/>
      <c r="G1399" s="34" t="n"/>
      <c r="H1399" s="30" t="inlineStr">
        <is>
          <t>Oui</t>
        </is>
      </c>
    </row>
    <row r="1400" ht="18" customHeight="1">
      <c r="A1400" s="26" t="inlineStr">
        <is>
          <t>Mont Creuset — 1F Nord</t>
        </is>
      </c>
      <c r="B1400" s="26" t="n"/>
      <c r="C1400" s="26" t="n"/>
      <c r="D1400" s="26" t="n"/>
      <c r="E1400" s="26" t="n"/>
      <c r="F1400" s="26" t="n"/>
      <c r="G1400" s="26" t="n"/>
      <c r="H1400" s="30" t="inlineStr">
        <is>
          <t>Oui</t>
        </is>
      </c>
    </row>
    <row r="1401">
      <c r="A1401" s="31" t="inlineStr">
        <is>
          <t>Nom</t>
        </is>
      </c>
      <c r="B1401" s="32" t="inlineStr">
        <is>
          <t>Pokémaniac Gabu</t>
        </is>
      </c>
      <c r="C1401" s="32" t="n"/>
      <c r="D1401" s="32" t="n"/>
      <c r="E1401" s="32" t="n"/>
      <c r="F1401" s="32" t="n"/>
      <c r="G1401" s="32" t="n"/>
      <c r="H1401" s="30" t="inlineStr">
        <is>
          <t>Oui</t>
        </is>
      </c>
    </row>
    <row r="1402">
      <c r="A1402" s="31" t="inlineStr">
        <is>
          <t>Pokémon</t>
        </is>
      </c>
      <c r="B1402" s="33" t="inlineStr">
        <is>
          <t>NIDOKING</t>
        </is>
      </c>
      <c r="C1402" s="33" t="inlineStr">
        <is>
          <t>NIDOQUEEN</t>
        </is>
      </c>
      <c r="D1402" s="33" t="n"/>
      <c r="E1402" s="33" t="n"/>
      <c r="F1402" s="33" t="n"/>
      <c r="G1402" s="33" t="n"/>
      <c r="H1402" s="30" t="inlineStr">
        <is>
          <t>Oui</t>
        </is>
      </c>
    </row>
    <row r="1403">
      <c r="A1403" s="31" t="inlineStr">
        <is>
          <t>Niveau</t>
        </is>
      </c>
      <c r="B1403" s="33" t="n">
        <v>20</v>
      </c>
      <c r="C1403" s="33" t="n">
        <v>20</v>
      </c>
      <c r="D1403" s="33" t="n"/>
      <c r="E1403" s="33" t="n"/>
      <c r="F1403" s="33" t="n"/>
      <c r="G1403" s="33" t="n"/>
      <c r="H1403" s="30" t="inlineStr">
        <is>
          <t>Oui</t>
        </is>
      </c>
    </row>
    <row r="1404">
      <c r="A1404" s="31" t="inlineStr">
        <is>
          <t>Objet</t>
        </is>
      </c>
      <c r="B1404" s="33" t="inlineStr">
        <is>
          <t>Aucun</t>
        </is>
      </c>
      <c r="C1404" s="33" t="inlineStr">
        <is>
          <t>Aucun</t>
        </is>
      </c>
      <c r="D1404" s="33" t="n"/>
      <c r="E1404" s="33" t="n"/>
      <c r="F1404" s="33" t="n"/>
      <c r="G1404" s="33" t="n"/>
      <c r="H1404" s="30" t="inlineStr">
        <is>
          <t>Oui</t>
        </is>
      </c>
    </row>
    <row r="1405">
      <c r="A1405" s="31" t="inlineStr">
        <is>
          <t>Talent</t>
        </is>
      </c>
      <c r="B1405" s="33" t="inlineStr">
        <is>
          <t>Point Poison</t>
        </is>
      </c>
      <c r="C1405" s="33" t="inlineStr">
        <is>
          <t>Point Poison</t>
        </is>
      </c>
      <c r="D1405" s="33" t="n"/>
      <c r="E1405" s="33" t="n"/>
      <c r="F1405" s="33" t="n"/>
      <c r="G1405" s="33" t="n"/>
      <c r="H1405" s="30" t="inlineStr">
        <is>
          <t>Oui</t>
        </is>
      </c>
    </row>
    <row r="1406">
      <c r="A1406" s="31" t="inlineStr">
        <is>
          <t>Capacités</t>
        </is>
      </c>
      <c r="B1406" s="34" t="inlineStr">
        <is>
          <t>Picpic</t>
        </is>
      </c>
      <c r="C1406" s="34" t="inlineStr">
        <is>
          <t>Griffe</t>
        </is>
      </c>
      <c r="D1406" s="34" t="n"/>
      <c r="E1406" s="34" t="n"/>
      <c r="F1406" s="34" t="n"/>
      <c r="G1406" s="34" t="n"/>
      <c r="H1406" s="30" t="inlineStr">
        <is>
          <t>Oui</t>
        </is>
      </c>
    </row>
    <row r="1407">
      <c r="A1407" s="31" t="n"/>
      <c r="B1407" s="34" t="inlineStr">
        <is>
          <t>Puissance</t>
        </is>
      </c>
      <c r="C1407" s="34" t="inlineStr">
        <is>
          <t>Mimi-Queue</t>
        </is>
      </c>
      <c r="D1407" s="34" t="n"/>
      <c r="E1407" s="34" t="n"/>
      <c r="F1407" s="34" t="n"/>
      <c r="G1407" s="34" t="n"/>
      <c r="H1407" s="30" t="inlineStr">
        <is>
          <t>Oui</t>
        </is>
      </c>
    </row>
    <row r="1408">
      <c r="A1408" s="31" t="n"/>
      <c r="B1408" s="34" t="inlineStr">
        <is>
          <t>Double Pied</t>
        </is>
      </c>
      <c r="C1408" s="34" t="inlineStr">
        <is>
          <t>Double Pied</t>
        </is>
      </c>
      <c r="D1408" s="34" t="n"/>
      <c r="E1408" s="34" t="n"/>
      <c r="F1408" s="34" t="n"/>
      <c r="G1408" s="34" t="n"/>
      <c r="H1408" s="30" t="inlineStr">
        <is>
          <t>Oui</t>
        </is>
      </c>
    </row>
    <row r="1409">
      <c r="A1409" s="31" t="n"/>
      <c r="B1409" s="34" t="inlineStr">
        <is>
          <t>Dard-Venin</t>
        </is>
      </c>
      <c r="C1409" s="34" t="inlineStr">
        <is>
          <t>Dard-Venin</t>
        </is>
      </c>
      <c r="D1409" s="34" t="n"/>
      <c r="E1409" s="34" t="n"/>
      <c r="F1409" s="34" t="n"/>
      <c r="G1409" s="34" t="n"/>
      <c r="H1409" s="30" t="inlineStr">
        <is>
          <t>Oui</t>
        </is>
      </c>
    </row>
    <row r="1410">
      <c r="A1410" s="31" t="inlineStr">
        <is>
          <t>Nom</t>
        </is>
      </c>
      <c r="B1410" s="32" t="inlineStr">
        <is>
          <t>Intello Gauvain</t>
        </is>
      </c>
      <c r="C1410" s="32" t="n"/>
      <c r="D1410" s="32" t="n"/>
      <c r="E1410" s="32" t="n"/>
      <c r="F1410" s="32" t="n"/>
      <c r="G1410" s="32" t="n"/>
      <c r="H1410" s="30" t="inlineStr">
        <is>
          <t>Oui</t>
        </is>
      </c>
    </row>
    <row r="1411">
      <c r="A1411" s="31" t="inlineStr">
        <is>
          <t>Pokémon</t>
        </is>
      </c>
      <c r="B1411" s="33" t="inlineStr">
        <is>
          <t>RAMOLOSS</t>
        </is>
      </c>
      <c r="C1411" s="33" t="n"/>
      <c r="D1411" s="33" t="n"/>
      <c r="E1411" s="33" t="n"/>
      <c r="F1411" s="33" t="n"/>
      <c r="G1411" s="33" t="n"/>
      <c r="H1411" s="30" t="inlineStr">
        <is>
          <t>Oui</t>
        </is>
      </c>
    </row>
    <row r="1412">
      <c r="A1412" s="31" t="inlineStr">
        <is>
          <t>Niveau</t>
        </is>
      </c>
      <c r="B1412" s="33" t="n">
        <v>19</v>
      </c>
      <c r="C1412" s="33" t="n"/>
      <c r="D1412" s="33" t="n"/>
      <c r="E1412" s="33" t="n"/>
      <c r="F1412" s="33" t="n"/>
      <c r="G1412" s="33" t="n"/>
      <c r="H1412" s="30" t="inlineStr">
        <is>
          <t>Oui</t>
        </is>
      </c>
    </row>
    <row r="1413">
      <c r="A1413" s="31" t="inlineStr">
        <is>
          <t>Objet</t>
        </is>
      </c>
      <c r="B1413" s="33" t="inlineStr">
        <is>
          <t>Aucun</t>
        </is>
      </c>
      <c r="C1413" s="33" t="n"/>
      <c r="D1413" s="33" t="n"/>
      <c r="E1413" s="33" t="n"/>
      <c r="F1413" s="33" t="n"/>
      <c r="G1413" s="33" t="n"/>
      <c r="H1413" s="30" t="inlineStr">
        <is>
          <t>Oui</t>
        </is>
      </c>
    </row>
    <row r="1414">
      <c r="A1414" s="31" t="inlineStr">
        <is>
          <t>Talent</t>
        </is>
      </c>
      <c r="B1414" s="33" t="inlineStr">
        <is>
          <t>Benêt</t>
        </is>
      </c>
      <c r="C1414" s="33" t="n"/>
      <c r="D1414" s="33" t="n"/>
      <c r="E1414" s="33" t="n"/>
      <c r="F1414" s="33" t="n"/>
      <c r="G1414" s="33" t="n"/>
      <c r="H1414" s="30" t="inlineStr">
        <is>
          <t>Oui</t>
        </is>
      </c>
    </row>
    <row r="1415">
      <c r="A1415" s="31" t="inlineStr">
        <is>
          <t>Capacités</t>
        </is>
      </c>
      <c r="B1415" s="34" t="inlineStr">
        <is>
          <t>Rugissement</t>
        </is>
      </c>
      <c r="C1415" s="34" t="n"/>
      <c r="D1415" s="34" t="n"/>
      <c r="E1415" s="34" t="n"/>
      <c r="F1415" s="34" t="n"/>
      <c r="G1415" s="34" t="n"/>
      <c r="H1415" s="30" t="inlineStr">
        <is>
          <t>Oui</t>
        </is>
      </c>
    </row>
    <row r="1416">
      <c r="A1416" s="31" t="n"/>
      <c r="B1416" s="34" t="inlineStr">
        <is>
          <t>Pistolet à O</t>
        </is>
      </c>
      <c r="C1416" s="34" t="n"/>
      <c r="D1416" s="34" t="n"/>
      <c r="E1416" s="34" t="n"/>
      <c r="F1416" s="34" t="n"/>
      <c r="G1416" s="34" t="n"/>
      <c r="H1416" s="30" t="inlineStr">
        <is>
          <t>Oui</t>
        </is>
      </c>
    </row>
    <row r="1417">
      <c r="A1417" s="31" t="n"/>
      <c r="B1417" s="34" t="inlineStr">
        <is>
          <t>Choc Mental</t>
        </is>
      </c>
      <c r="C1417" s="34" t="n"/>
      <c r="D1417" s="34" t="n"/>
      <c r="E1417" s="34" t="n"/>
      <c r="F1417" s="34" t="n"/>
      <c r="G1417" s="34" t="n"/>
      <c r="H1417" s="30" t="inlineStr">
        <is>
          <t>Oui</t>
        </is>
      </c>
    </row>
    <row r="1418">
      <c r="A1418" s="31" t="n"/>
      <c r="B1418" s="34" t="inlineStr">
        <is>
          <t>Entrave</t>
        </is>
      </c>
      <c r="C1418" s="34" t="n"/>
      <c r="D1418" s="34" t="n"/>
      <c r="E1418" s="34" t="n"/>
      <c r="F1418" s="34" t="n"/>
      <c r="G1418" s="34" t="n"/>
      <c r="H1418" s="30" t="inlineStr">
        <is>
          <t>Oui</t>
        </is>
      </c>
    </row>
    <row r="1419" ht="18" customHeight="1">
      <c r="A1419" s="26" t="inlineStr">
        <is>
          <t>Route 43</t>
        </is>
      </c>
      <c r="B1419" s="26" t="n"/>
      <c r="C1419" s="26" t="n"/>
      <c r="D1419" s="26" t="n"/>
      <c r="E1419" s="26" t="n"/>
      <c r="F1419" s="26" t="n"/>
      <c r="G1419" s="26" t="n"/>
      <c r="H1419" s="30" t="inlineStr">
        <is>
          <t>Oui</t>
        </is>
      </c>
    </row>
    <row r="1420">
      <c r="A1420" s="31" t="inlineStr">
        <is>
          <t>Nom</t>
        </is>
      </c>
      <c r="B1420" s="32" t="inlineStr">
        <is>
          <t>Pokémaniac Robert</t>
        </is>
      </c>
      <c r="C1420" s="32" t="n"/>
      <c r="D1420" s="32" t="n"/>
      <c r="E1420" s="32" t="n"/>
      <c r="F1420" s="32" t="n"/>
      <c r="G1420" s="32" t="n"/>
      <c r="H1420" s="30" t="inlineStr">
        <is>
          <t>Oui</t>
        </is>
      </c>
    </row>
    <row r="1421">
      <c r="A1421" s="31" t="inlineStr">
        <is>
          <t>Pokémon</t>
        </is>
      </c>
      <c r="B1421" s="33" t="inlineStr">
        <is>
          <t>FLAGADOSS</t>
        </is>
      </c>
      <c r="C1421" s="33" t="inlineStr">
        <is>
          <t>CARABAFFE</t>
        </is>
      </c>
      <c r="D1421" s="33" t="n"/>
      <c r="E1421" s="33" t="n"/>
      <c r="F1421" s="33" t="n"/>
      <c r="G1421" s="33" t="n"/>
      <c r="H1421" s="30" t="inlineStr">
        <is>
          <t>Oui</t>
        </is>
      </c>
    </row>
    <row r="1422">
      <c r="A1422" s="31" t="inlineStr">
        <is>
          <t>Niveau</t>
        </is>
      </c>
      <c r="B1422" s="33" t="n">
        <v>26</v>
      </c>
      <c r="C1422" s="33" t="n">
        <v>26</v>
      </c>
      <c r="D1422" s="33" t="n"/>
      <c r="E1422" s="33" t="n"/>
      <c r="F1422" s="33" t="n"/>
      <c r="G1422" s="33" t="n"/>
      <c r="H1422" s="30" t="inlineStr">
        <is>
          <t>Oui</t>
        </is>
      </c>
    </row>
    <row r="1423">
      <c r="A1423" s="31" t="inlineStr">
        <is>
          <t>Objet</t>
        </is>
      </c>
      <c r="B1423" s="33" t="inlineStr">
        <is>
          <t>Aucun</t>
        </is>
      </c>
      <c r="C1423" s="33" t="inlineStr">
        <is>
          <t>Aucun</t>
        </is>
      </c>
      <c r="D1423" s="33" t="n"/>
      <c r="E1423" s="33" t="n"/>
      <c r="F1423" s="33" t="n"/>
      <c r="G1423" s="33" t="n"/>
      <c r="H1423" s="30" t="inlineStr">
        <is>
          <t>Oui</t>
        </is>
      </c>
    </row>
    <row r="1424">
      <c r="A1424" s="31" t="inlineStr">
        <is>
          <t>Talent</t>
        </is>
      </c>
      <c r="B1424" s="33" t="inlineStr">
        <is>
          <t>Benêt</t>
        </is>
      </c>
      <c r="C1424" s="33" t="inlineStr">
        <is>
          <t>Torrent</t>
        </is>
      </c>
      <c r="D1424" s="33" t="n"/>
      <c r="E1424" s="33" t="n"/>
      <c r="F1424" s="33" t="n"/>
      <c r="G1424" s="33" t="n"/>
      <c r="H1424" s="30" t="inlineStr">
        <is>
          <t>Oui</t>
        </is>
      </c>
    </row>
    <row r="1425">
      <c r="A1425" s="31" t="inlineStr">
        <is>
          <t>Capacités</t>
        </is>
      </c>
      <c r="B1425" s="34" t="inlineStr">
        <is>
          <t>Pistolet à O</t>
        </is>
      </c>
      <c r="C1425" s="34" t="inlineStr">
        <is>
          <t>Écume</t>
        </is>
      </c>
      <c r="D1425" s="34" t="n"/>
      <c r="E1425" s="34" t="n"/>
      <c r="F1425" s="34" t="n"/>
      <c r="G1425" s="34" t="n"/>
      <c r="H1425" s="30" t="inlineStr">
        <is>
          <t>Oui</t>
        </is>
      </c>
    </row>
    <row r="1426">
      <c r="A1426" s="31" t="n"/>
      <c r="B1426" s="34" t="inlineStr">
        <is>
          <t>Choc Mental</t>
        </is>
      </c>
      <c r="C1426" s="34" t="inlineStr">
        <is>
          <t>Morsure</t>
        </is>
      </c>
      <c r="D1426" s="34" t="n"/>
      <c r="E1426" s="34" t="n"/>
      <c r="F1426" s="34" t="n"/>
      <c r="G1426" s="34" t="n"/>
      <c r="H1426" s="30" t="inlineStr">
        <is>
          <t>Oui</t>
        </is>
      </c>
    </row>
    <row r="1427">
      <c r="A1427" s="31" t="n"/>
      <c r="B1427" s="34" t="inlineStr">
        <is>
          <t>Entrave</t>
        </is>
      </c>
      <c r="C1427" s="34" t="inlineStr">
        <is>
          <t>Tour Rapide</t>
        </is>
      </c>
      <c r="D1427" s="34" t="n"/>
      <c r="E1427" s="34" t="n"/>
      <c r="F1427" s="34" t="n"/>
      <c r="G1427" s="34" t="n"/>
      <c r="H1427" s="30" t="inlineStr">
        <is>
          <t>Oui</t>
        </is>
      </c>
    </row>
    <row r="1428">
      <c r="A1428" s="31" t="n"/>
      <c r="B1428" s="34" t="inlineStr">
        <is>
          <t>Coup d'Boule</t>
        </is>
      </c>
      <c r="C1428" s="34" t="inlineStr">
        <is>
          <t>Abri</t>
        </is>
      </c>
      <c r="D1428" s="34" t="n"/>
      <c r="E1428" s="34" t="n"/>
      <c r="F1428" s="34" t="n"/>
      <c r="G1428" s="34" t="n"/>
      <c r="H1428" s="30" t="inlineStr">
        <is>
          <t>Oui</t>
        </is>
      </c>
    </row>
    <row r="1429">
      <c r="A1429" s="31" t="inlineStr">
        <is>
          <t>Nom</t>
        </is>
      </c>
      <c r="B1429" s="32" t="inlineStr">
        <is>
          <t>Pokémaniac Wilfrid</t>
        </is>
      </c>
      <c r="C1429" s="32" t="n"/>
      <c r="D1429" s="32" t="n"/>
      <c r="E1429" s="32" t="n"/>
      <c r="F1429" s="32" t="n"/>
      <c r="G1429" s="32" t="n"/>
      <c r="H1429" s="30" t="inlineStr">
        <is>
          <t>Oui</t>
        </is>
      </c>
    </row>
    <row r="1430">
      <c r="A1430" s="31" t="inlineStr">
        <is>
          <t>Pokémon</t>
        </is>
      </c>
      <c r="B1430" s="33" t="inlineStr">
        <is>
          <t>EXCELANGUE</t>
        </is>
      </c>
      <c r="C1430" s="33" t="inlineStr">
        <is>
          <t>HERBIZARRE</t>
        </is>
      </c>
      <c r="D1430" s="33" t="n"/>
      <c r="E1430" s="33" t="n"/>
      <c r="F1430" s="33" t="n"/>
      <c r="G1430" s="33" t="n"/>
      <c r="H1430" s="30" t="inlineStr">
        <is>
          <t>Oui</t>
        </is>
      </c>
    </row>
    <row r="1431">
      <c r="A1431" s="31" t="inlineStr">
        <is>
          <t>Niveau</t>
        </is>
      </c>
      <c r="B1431" s="33" t="n">
        <v>26</v>
      </c>
      <c r="C1431" s="33" t="n">
        <v>26</v>
      </c>
      <c r="D1431" s="33" t="n"/>
      <c r="E1431" s="33" t="n"/>
      <c r="F1431" s="33" t="n"/>
      <c r="G1431" s="33" t="n"/>
      <c r="H1431" s="30" t="inlineStr">
        <is>
          <t>Oui</t>
        </is>
      </c>
    </row>
    <row r="1432">
      <c r="A1432" s="31" t="inlineStr">
        <is>
          <t>Objet</t>
        </is>
      </c>
      <c r="B1432" s="33" t="inlineStr">
        <is>
          <t>Aucun</t>
        </is>
      </c>
      <c r="C1432" s="33" t="inlineStr">
        <is>
          <t>Aucun</t>
        </is>
      </c>
      <c r="D1432" s="33" t="n"/>
      <c r="E1432" s="33" t="n"/>
      <c r="F1432" s="33" t="n"/>
      <c r="G1432" s="33" t="n"/>
      <c r="H1432" s="30" t="inlineStr">
        <is>
          <t>Oui</t>
        </is>
      </c>
    </row>
    <row r="1433">
      <c r="A1433" s="31" t="inlineStr">
        <is>
          <t>Talent</t>
        </is>
      </c>
      <c r="B1433" s="33" t="inlineStr">
        <is>
          <t>Tempo Perso</t>
        </is>
      </c>
      <c r="C1433" s="33" t="inlineStr">
        <is>
          <t>Engrais</t>
        </is>
      </c>
      <c r="D1433" s="33" t="n"/>
      <c r="E1433" s="33" t="n"/>
      <c r="F1433" s="33" t="n"/>
      <c r="G1433" s="33" t="n"/>
      <c r="H1433" s="30" t="inlineStr">
        <is>
          <t>Oui</t>
        </is>
      </c>
    </row>
    <row r="1434">
      <c r="A1434" s="31" t="inlineStr">
        <is>
          <t>Capacités</t>
        </is>
      </c>
      <c r="B1434" s="34" t="inlineStr">
        <is>
          <t>Sabotage</t>
        </is>
      </c>
      <c r="C1434" s="34" t="inlineStr">
        <is>
          <t>Bélier</t>
        </is>
      </c>
      <c r="D1434" s="34" t="n"/>
      <c r="E1434" s="34" t="n"/>
      <c r="F1434" s="34" t="n"/>
      <c r="G1434" s="34" t="n"/>
      <c r="H1434" s="30" t="inlineStr">
        <is>
          <t>Oui</t>
        </is>
      </c>
    </row>
    <row r="1435">
      <c r="A1435" s="31" t="n"/>
      <c r="B1435" s="34" t="inlineStr">
        <is>
          <t>Ligotage</t>
        </is>
      </c>
      <c r="C1435" s="34" t="inlineStr">
        <is>
          <t>Tranch'Herbe</t>
        </is>
      </c>
      <c r="D1435" s="34" t="n"/>
      <c r="E1435" s="34" t="n"/>
      <c r="F1435" s="34" t="n"/>
      <c r="G1435" s="34" t="n"/>
      <c r="H1435" s="30" t="inlineStr">
        <is>
          <t>Oui</t>
        </is>
      </c>
    </row>
    <row r="1436">
      <c r="A1436" s="31" t="n"/>
      <c r="B1436" s="34" t="inlineStr">
        <is>
          <t>Écrasement</t>
        </is>
      </c>
      <c r="C1436" s="34" t="inlineStr">
        <is>
          <t>Doux Parfum</t>
        </is>
      </c>
      <c r="D1436" s="34" t="n"/>
      <c r="E1436" s="34" t="n"/>
      <c r="F1436" s="34" t="n"/>
      <c r="G1436" s="34" t="n"/>
      <c r="H1436" s="30" t="inlineStr">
        <is>
          <t>Oui</t>
        </is>
      </c>
    </row>
    <row r="1437">
      <c r="A1437" s="31" t="n"/>
      <c r="B1437" s="34" t="inlineStr">
        <is>
          <t>Entrave</t>
        </is>
      </c>
      <c r="C1437" s="34" t="inlineStr">
        <is>
          <t>Détritus</t>
        </is>
      </c>
      <c r="D1437" s="34" t="n"/>
      <c r="E1437" s="34" t="n"/>
      <c r="F1437" s="34" t="n"/>
      <c r="G1437" s="34" t="n"/>
      <c r="H1437" s="30" t="inlineStr">
        <is>
          <t>Oui</t>
        </is>
      </c>
    </row>
    <row r="1438">
      <c r="A1438" s="31" t="inlineStr">
        <is>
          <t>Nom</t>
        </is>
      </c>
      <c r="B1438" s="32" t="inlineStr">
        <is>
          <t>Pokémaniac Thomas</t>
        </is>
      </c>
      <c r="C1438" s="32" t="n"/>
      <c r="D1438" s="32" t="n"/>
      <c r="E1438" s="32" t="n"/>
      <c r="F1438" s="32" t="n"/>
      <c r="G1438" s="32" t="n"/>
      <c r="H1438" s="30" t="inlineStr">
        <is>
          <t>Oui</t>
        </is>
      </c>
    </row>
    <row r="1439">
      <c r="A1439" s="31" t="inlineStr">
        <is>
          <t>Pokémon</t>
        </is>
      </c>
      <c r="B1439" s="33" t="inlineStr">
        <is>
          <t>NIDOKING</t>
        </is>
      </c>
      <c r="C1439" s="33" t="inlineStr">
        <is>
          <t>REPTINCEL</t>
        </is>
      </c>
      <c r="D1439" s="33" t="n"/>
      <c r="E1439" s="33" t="n"/>
      <c r="F1439" s="33" t="n"/>
      <c r="G1439" s="33" t="n"/>
      <c r="H1439" s="30" t="inlineStr">
        <is>
          <t>Oui</t>
        </is>
      </c>
    </row>
    <row r="1440">
      <c r="A1440" s="31" t="inlineStr">
        <is>
          <t>Niveau</t>
        </is>
      </c>
      <c r="B1440" s="33" t="n">
        <v>26</v>
      </c>
      <c r="C1440" s="33" t="n">
        <v>26</v>
      </c>
      <c r="D1440" s="33" t="n"/>
      <c r="E1440" s="33" t="n"/>
      <c r="F1440" s="33" t="n"/>
      <c r="G1440" s="33" t="n"/>
      <c r="H1440" s="30" t="inlineStr">
        <is>
          <t>Oui</t>
        </is>
      </c>
    </row>
    <row r="1441">
      <c r="A1441" s="31" t="inlineStr">
        <is>
          <t>Objet</t>
        </is>
      </c>
      <c r="B1441" s="33" t="inlineStr">
        <is>
          <t>Aucun</t>
        </is>
      </c>
      <c r="C1441" s="33" t="inlineStr">
        <is>
          <t>Aucun</t>
        </is>
      </c>
      <c r="D1441" s="33" t="n"/>
      <c r="E1441" s="33" t="n"/>
      <c r="F1441" s="33" t="n"/>
      <c r="G1441" s="33" t="n"/>
      <c r="H1441" s="30" t="inlineStr">
        <is>
          <t>Oui</t>
        </is>
      </c>
    </row>
    <row r="1442">
      <c r="A1442" s="31" t="inlineStr">
        <is>
          <t>Talent</t>
        </is>
      </c>
      <c r="B1442" s="33" t="inlineStr">
        <is>
          <t>Point Poison</t>
        </is>
      </c>
      <c r="C1442" s="33" t="inlineStr">
        <is>
          <t>Brasier</t>
        </is>
      </c>
      <c r="D1442" s="33" t="n"/>
      <c r="E1442" s="33" t="n"/>
      <c r="F1442" s="33" t="n"/>
      <c r="G1442" s="33" t="n"/>
      <c r="H1442" s="30" t="inlineStr">
        <is>
          <t>Oui</t>
        </is>
      </c>
    </row>
    <row r="1443">
      <c r="A1443" s="31" t="inlineStr">
        <is>
          <t>Capacités</t>
        </is>
      </c>
      <c r="B1443" s="34" t="inlineStr">
        <is>
          <t>Puissance</t>
        </is>
      </c>
      <c r="C1443" s="34" t="inlineStr">
        <is>
          <t>Griffe Acier</t>
        </is>
      </c>
      <c r="D1443" s="34" t="n"/>
      <c r="E1443" s="34" t="n"/>
      <c r="F1443" s="34" t="n"/>
      <c r="G1443" s="34" t="n"/>
      <c r="H1443" s="30" t="inlineStr">
        <is>
          <t>Oui</t>
        </is>
      </c>
    </row>
    <row r="1444">
      <c r="A1444" s="31" t="n"/>
      <c r="B1444" s="34" t="inlineStr">
        <is>
          <t>Double Pied</t>
        </is>
      </c>
      <c r="C1444" s="34" t="inlineStr">
        <is>
          <t>Brouillard</t>
        </is>
      </c>
      <c r="D1444" s="34" t="n"/>
      <c r="E1444" s="34" t="n"/>
      <c r="F1444" s="34" t="n"/>
      <c r="G1444" s="34" t="n"/>
      <c r="H1444" s="30" t="inlineStr">
        <is>
          <t>Oui</t>
        </is>
      </c>
    </row>
    <row r="1445">
      <c r="A1445" s="31" t="n"/>
      <c r="B1445" s="34" t="inlineStr">
        <is>
          <t>Dard-Venin</t>
        </is>
      </c>
      <c r="C1445" s="34" t="inlineStr">
        <is>
          <t>Draco-Rage</t>
        </is>
      </c>
      <c r="D1445" s="34" t="n"/>
      <c r="E1445" s="34" t="n"/>
      <c r="F1445" s="34" t="n"/>
      <c r="G1445" s="34" t="n"/>
      <c r="H1445" s="30" t="inlineStr">
        <is>
          <t>Oui</t>
        </is>
      </c>
    </row>
    <row r="1446">
      <c r="A1446" s="31" t="n"/>
      <c r="B1446" s="34" t="inlineStr">
        <is>
          <t>Attrition</t>
        </is>
      </c>
      <c r="C1446" s="34" t="inlineStr">
        <is>
          <t>Grimace</t>
        </is>
      </c>
      <c r="D1446" s="34" t="n"/>
      <c r="E1446" s="34" t="n"/>
      <c r="F1446" s="34" t="n"/>
      <c r="G1446" s="34" t="n"/>
      <c r="H1446" s="30" t="inlineStr">
        <is>
          <t>Oui</t>
        </is>
      </c>
    </row>
    <row r="1447">
      <c r="A1447" s="31" t="inlineStr">
        <is>
          <t>Nom</t>
        </is>
      </c>
      <c r="B1447" s="32" t="inlineStr">
        <is>
          <t>Pêcheur Eugène</t>
        </is>
      </c>
      <c r="C1447" s="32" t="n"/>
      <c r="D1447" s="32" t="n"/>
      <c r="E1447" s="32" t="n"/>
      <c r="F1447" s="32" t="n"/>
      <c r="G1447" s="32" t="n"/>
      <c r="H1447" s="30" t="inlineStr">
        <is>
          <t>Oui</t>
        </is>
      </c>
    </row>
    <row r="1448">
      <c r="A1448" s="31" t="inlineStr">
        <is>
          <t>Pokémon</t>
        </is>
      </c>
      <c r="B1448" s="33" t="inlineStr">
        <is>
          <t>LEVIATOR</t>
        </is>
      </c>
      <c r="C1448" s="33" t="inlineStr">
        <is>
          <t>LEVIATOR</t>
        </is>
      </c>
      <c r="D1448" s="33" t="n"/>
      <c r="E1448" s="33" t="n"/>
      <c r="F1448" s="33" t="n"/>
      <c r="G1448" s="33" t="n"/>
      <c r="H1448" s="30" t="inlineStr">
        <is>
          <t>Oui</t>
        </is>
      </c>
    </row>
    <row r="1449">
      <c r="A1449" s="31" t="inlineStr">
        <is>
          <t>Niveau</t>
        </is>
      </c>
      <c r="B1449" s="33" t="n">
        <v>25</v>
      </c>
      <c r="C1449" s="33" t="n">
        <v>25</v>
      </c>
      <c r="D1449" s="33" t="n"/>
      <c r="E1449" s="33" t="n"/>
      <c r="F1449" s="33" t="n"/>
      <c r="G1449" s="33" t="n"/>
      <c r="H1449" s="30" t="inlineStr">
        <is>
          <t>Oui</t>
        </is>
      </c>
    </row>
    <row r="1450">
      <c r="A1450" s="31" t="inlineStr">
        <is>
          <t>Objet</t>
        </is>
      </c>
      <c r="B1450" s="33" t="inlineStr">
        <is>
          <t>Aucun</t>
        </is>
      </c>
      <c r="C1450" s="33" t="inlineStr">
        <is>
          <t>Aucun</t>
        </is>
      </c>
      <c r="D1450" s="33" t="n"/>
      <c r="E1450" s="33" t="n"/>
      <c r="F1450" s="33" t="n"/>
      <c r="G1450" s="33" t="n"/>
      <c r="H1450" s="30" t="inlineStr">
        <is>
          <t>Oui</t>
        </is>
      </c>
    </row>
    <row r="1451">
      <c r="A1451" s="31" t="inlineStr">
        <is>
          <t>Talent</t>
        </is>
      </c>
      <c r="B1451" s="33" t="inlineStr">
        <is>
          <t>Intimidation</t>
        </is>
      </c>
      <c r="C1451" s="33" t="inlineStr">
        <is>
          <t>Intimidation</t>
        </is>
      </c>
      <c r="D1451" s="33" t="n"/>
      <c r="E1451" s="33" t="n"/>
      <c r="F1451" s="33" t="n"/>
      <c r="G1451" s="33" t="n"/>
      <c r="H1451" s="30" t="inlineStr">
        <is>
          <t>Oui</t>
        </is>
      </c>
    </row>
    <row r="1452">
      <c r="A1452" s="31" t="inlineStr">
        <is>
          <t>Capacités</t>
        </is>
      </c>
      <c r="B1452" s="34" t="inlineStr">
        <is>
          <t>Mania</t>
        </is>
      </c>
      <c r="C1452" s="34" t="inlineStr">
        <is>
          <t>Mania</t>
        </is>
      </c>
      <c r="D1452" s="34" t="n"/>
      <c r="E1452" s="34" t="n"/>
      <c r="F1452" s="34" t="n"/>
      <c r="G1452" s="34" t="n"/>
      <c r="H1452" s="30" t="inlineStr">
        <is>
          <t>Oui</t>
        </is>
      </c>
    </row>
    <row r="1453">
      <c r="A1453" s="31" t="n"/>
      <c r="B1453" s="34" t="inlineStr">
        <is>
          <t>Groz'Yeux</t>
        </is>
      </c>
      <c r="C1453" s="34" t="inlineStr">
        <is>
          <t>Groz'Yeux</t>
        </is>
      </c>
      <c r="D1453" s="34" t="n"/>
      <c r="E1453" s="34" t="n"/>
      <c r="F1453" s="34" t="n"/>
      <c r="G1453" s="34" t="n"/>
      <c r="H1453" s="30" t="inlineStr">
        <is>
          <t>Oui</t>
        </is>
      </c>
    </row>
    <row r="1454">
      <c r="A1454" s="31" t="n"/>
      <c r="B1454" s="34" t="inlineStr">
        <is>
          <t>Siphon</t>
        </is>
      </c>
      <c r="C1454" s="34" t="inlineStr">
        <is>
          <t>Siphon</t>
        </is>
      </c>
      <c r="D1454" s="34" t="n"/>
      <c r="E1454" s="34" t="n"/>
      <c r="F1454" s="34" t="n"/>
      <c r="G1454" s="34" t="n"/>
      <c r="H1454" s="30" t="inlineStr">
        <is>
          <t>Oui</t>
        </is>
      </c>
    </row>
    <row r="1455">
      <c r="A1455" s="31" t="n"/>
      <c r="B1455" s="34" t="inlineStr">
        <is>
          <t>Ouragan</t>
        </is>
      </c>
      <c r="C1455" s="34" t="inlineStr">
        <is>
          <t>Ouragan</t>
        </is>
      </c>
      <c r="D1455" s="34" t="n"/>
      <c r="E1455" s="34" t="n"/>
      <c r="F1455" s="34" t="n"/>
      <c r="G1455" s="34" t="n"/>
      <c r="H1455" s="30" t="inlineStr">
        <is>
          <t>Oui</t>
        </is>
      </c>
    </row>
    <row r="1456">
      <c r="A1456" s="31" t="inlineStr">
        <is>
          <t>Nom</t>
        </is>
      </c>
      <c r="B1456" s="32" t="inlineStr">
        <is>
          <t>Campeur Rémi</t>
        </is>
      </c>
      <c r="C1456" s="32" t="n"/>
      <c r="D1456" s="32" t="n"/>
      <c r="E1456" s="32" t="n"/>
      <c r="F1456" s="32" t="n"/>
      <c r="G1456" s="32" t="n"/>
      <c r="H1456" s="30" t="inlineStr">
        <is>
          <t>Oui</t>
        </is>
      </c>
    </row>
    <row r="1457">
      <c r="A1457" s="31" t="inlineStr">
        <is>
          <t>Pokémon</t>
        </is>
      </c>
      <c r="B1457" s="33" t="inlineStr">
        <is>
          <t>SABLAIREAU</t>
        </is>
      </c>
      <c r="C1457" s="33" t="inlineStr">
        <is>
          <t>NOSFERALTO</t>
        </is>
      </c>
      <c r="D1457" s="33" t="n"/>
      <c r="E1457" s="33" t="n"/>
      <c r="F1457" s="33" t="n"/>
      <c r="G1457" s="33" t="n"/>
      <c r="H1457" s="30" t="inlineStr">
        <is>
          <t>Oui</t>
        </is>
      </c>
    </row>
    <row r="1458">
      <c r="A1458" s="31" t="inlineStr">
        <is>
          <t>Niveau</t>
        </is>
      </c>
      <c r="B1458" s="33" t="n">
        <v>25</v>
      </c>
      <c r="C1458" s="33" t="n">
        <v>25</v>
      </c>
      <c r="D1458" s="33" t="n"/>
      <c r="E1458" s="33" t="n"/>
      <c r="F1458" s="33" t="n"/>
      <c r="G1458" s="33" t="n"/>
      <c r="H1458" s="30" t="inlineStr">
        <is>
          <t>Oui</t>
        </is>
      </c>
    </row>
    <row r="1459">
      <c r="A1459" s="31" t="inlineStr">
        <is>
          <t>Objet</t>
        </is>
      </c>
      <c r="B1459" s="33" t="inlineStr">
        <is>
          <t>Aucun</t>
        </is>
      </c>
      <c r="C1459" s="33" t="inlineStr">
        <is>
          <t>Aucun</t>
        </is>
      </c>
      <c r="D1459" s="33" t="n"/>
      <c r="E1459" s="33" t="n"/>
      <c r="F1459" s="33" t="n"/>
      <c r="G1459" s="33" t="n"/>
      <c r="H1459" s="30" t="inlineStr">
        <is>
          <t>Oui</t>
        </is>
      </c>
    </row>
    <row r="1460">
      <c r="A1460" s="31" t="inlineStr">
        <is>
          <t>Talent</t>
        </is>
      </c>
      <c r="B1460" s="33" t="inlineStr">
        <is>
          <t>Voile Sable</t>
        </is>
      </c>
      <c r="C1460" s="33" t="inlineStr">
        <is>
          <t>Attention</t>
        </is>
      </c>
      <c r="D1460" s="33" t="n"/>
      <c r="E1460" s="33" t="n"/>
      <c r="F1460" s="33" t="n"/>
      <c r="G1460" s="33" t="n"/>
      <c r="H1460" s="30" t="inlineStr">
        <is>
          <t>Oui</t>
        </is>
      </c>
    </row>
    <row r="1461">
      <c r="A1461" s="31" t="inlineStr">
        <is>
          <t>Capacités</t>
        </is>
      </c>
      <c r="B1461" s="34" t="inlineStr">
        <is>
          <t>Ampleur</t>
        </is>
      </c>
      <c r="C1461" s="34" t="inlineStr">
        <is>
          <t>Cru-Ailes</t>
        </is>
      </c>
      <c r="D1461" s="34" t="n"/>
      <c r="E1461" s="34" t="n"/>
      <c r="F1461" s="34" t="n"/>
      <c r="G1461" s="34" t="n"/>
      <c r="H1461" s="30" t="inlineStr">
        <is>
          <t>Oui</t>
        </is>
      </c>
    </row>
    <row r="1462">
      <c r="A1462" s="31" t="n"/>
      <c r="B1462" s="34" t="inlineStr">
        <is>
          <t>Météores</t>
        </is>
      </c>
      <c r="C1462" s="34" t="inlineStr">
        <is>
          <t>Onde Folie</t>
        </is>
      </c>
      <c r="D1462" s="34" t="n"/>
      <c r="E1462" s="34" t="n"/>
      <c r="F1462" s="34" t="n"/>
      <c r="G1462" s="34" t="n"/>
      <c r="H1462" s="30" t="inlineStr">
        <is>
          <t>Oui</t>
        </is>
      </c>
    </row>
    <row r="1463">
      <c r="A1463" s="31" t="n"/>
      <c r="B1463" s="34" t="inlineStr">
        <is>
          <t>Combo-Griffe</t>
        </is>
      </c>
      <c r="C1463" s="34" t="inlineStr">
        <is>
          <t>Tranch'Air</t>
        </is>
      </c>
      <c r="D1463" s="34" t="n"/>
      <c r="E1463" s="34" t="n"/>
      <c r="F1463" s="34" t="n"/>
      <c r="G1463" s="34" t="n"/>
      <c r="H1463" s="30" t="inlineStr">
        <is>
          <t>Oui</t>
        </is>
      </c>
    </row>
    <row r="1464">
      <c r="A1464" s="31" t="n"/>
      <c r="B1464" s="34" t="inlineStr">
        <is>
          <t>Tourbi-Sable</t>
        </is>
      </c>
      <c r="C1464" s="34" t="inlineStr">
        <is>
          <t>Météores</t>
        </is>
      </c>
      <c r="D1464" s="34" t="n"/>
      <c r="E1464" s="34" t="n"/>
      <c r="F1464" s="34" t="n"/>
      <c r="G1464" s="34" t="n"/>
      <c r="H1464" s="30" t="inlineStr">
        <is>
          <t>Oui</t>
        </is>
      </c>
    </row>
    <row r="1465">
      <c r="A1465" s="31" t="inlineStr">
        <is>
          <t>Nom</t>
        </is>
      </c>
      <c r="B1465" s="32" t="inlineStr">
        <is>
          <t>Pique-Nique Flavie</t>
        </is>
      </c>
      <c r="C1465" s="32" t="n"/>
      <c r="D1465" s="32" t="n"/>
      <c r="E1465" s="32" t="n"/>
      <c r="F1465" s="32" t="n"/>
      <c r="G1465" s="32" t="n"/>
      <c r="H1465" s="30" t="inlineStr">
        <is>
          <t>Oui</t>
        </is>
      </c>
    </row>
    <row r="1466">
      <c r="A1466" s="31" t="inlineStr">
        <is>
          <t>Pokémon</t>
        </is>
      </c>
      <c r="B1466" s="33" t="inlineStr">
        <is>
          <t>MELOFEE</t>
        </is>
      </c>
      <c r="C1466" s="33" t="inlineStr">
        <is>
          <t>GRODOUDOU</t>
        </is>
      </c>
      <c r="D1466" s="33" t="n"/>
      <c r="E1466" s="33" t="n"/>
      <c r="F1466" s="33" t="n"/>
      <c r="G1466" s="33" t="n"/>
      <c r="H1466" s="30" t="inlineStr">
        <is>
          <t>Oui</t>
        </is>
      </c>
    </row>
    <row r="1467">
      <c r="A1467" s="31" t="inlineStr">
        <is>
          <t>Niveau</t>
        </is>
      </c>
      <c r="B1467" s="33" t="n">
        <v>21</v>
      </c>
      <c r="C1467" s="33" t="n">
        <v>24</v>
      </c>
      <c r="D1467" s="33" t="n"/>
      <c r="E1467" s="33" t="n"/>
      <c r="F1467" s="33" t="n"/>
      <c r="G1467" s="33" t="n"/>
      <c r="H1467" s="30" t="inlineStr">
        <is>
          <t>Oui</t>
        </is>
      </c>
    </row>
    <row r="1468">
      <c r="A1468" s="31" t="inlineStr">
        <is>
          <t>Objet</t>
        </is>
      </c>
      <c r="B1468" s="33" t="inlineStr">
        <is>
          <t>Aucun</t>
        </is>
      </c>
      <c r="C1468" s="33" t="inlineStr">
        <is>
          <t>Aucun</t>
        </is>
      </c>
      <c r="D1468" s="33" t="n"/>
      <c r="E1468" s="33" t="n"/>
      <c r="F1468" s="33" t="n"/>
      <c r="G1468" s="33" t="n"/>
      <c r="H1468" s="30" t="inlineStr">
        <is>
          <t>Oui</t>
        </is>
      </c>
    </row>
    <row r="1469">
      <c r="A1469" s="31" t="inlineStr">
        <is>
          <t>Talent</t>
        </is>
      </c>
      <c r="B1469" s="33" t="inlineStr">
        <is>
          <t>Joli Sourire</t>
        </is>
      </c>
      <c r="C1469" s="33" t="inlineStr">
        <is>
          <t>Joli Sourire</t>
        </is>
      </c>
      <c r="D1469" s="33" t="n"/>
      <c r="E1469" s="33" t="n"/>
      <c r="F1469" s="33" t="n"/>
      <c r="G1469" s="33" t="n"/>
      <c r="H1469" s="30" t="inlineStr">
        <is>
          <t>Oui</t>
        </is>
      </c>
    </row>
    <row r="1470">
      <c r="A1470" s="31" t="inlineStr">
        <is>
          <t>Capacités</t>
        </is>
      </c>
      <c r="B1470" s="34" t="inlineStr">
        <is>
          <t>Boul'Armure</t>
        </is>
      </c>
      <c r="C1470" s="34" t="inlineStr">
        <is>
          <t>Berceuse</t>
        </is>
      </c>
      <c r="D1470" s="34" t="n"/>
      <c r="E1470" s="34" t="n"/>
      <c r="F1470" s="34" t="n"/>
      <c r="G1470" s="34" t="n"/>
      <c r="H1470" s="30" t="inlineStr">
        <is>
          <t>Oui</t>
        </is>
      </c>
    </row>
    <row r="1471">
      <c r="A1471" s="31" t="n"/>
      <c r="B1471" s="34" t="inlineStr">
        <is>
          <t>Par Ici</t>
        </is>
      </c>
      <c r="C1471" s="34" t="inlineStr">
        <is>
          <t>Boul'Armure</t>
        </is>
      </c>
      <c r="D1471" s="34" t="n"/>
      <c r="E1471" s="34" t="n"/>
      <c r="F1471" s="34" t="n"/>
      <c r="G1471" s="34" t="n"/>
      <c r="H1471" s="30" t="inlineStr">
        <is>
          <t>Oui</t>
        </is>
      </c>
    </row>
    <row r="1472">
      <c r="A1472" s="31" t="n"/>
      <c r="B1472" s="34" t="inlineStr">
        <is>
          <t>Voix Envoûtante</t>
        </is>
      </c>
      <c r="C1472" s="34" t="inlineStr">
        <is>
          <t>Entrave</t>
        </is>
      </c>
      <c r="D1472" s="34" t="n"/>
      <c r="E1472" s="34" t="n"/>
      <c r="F1472" s="34" t="n"/>
      <c r="G1472" s="34" t="n"/>
      <c r="H1472" s="30" t="inlineStr">
        <is>
          <t>Oui</t>
        </is>
      </c>
    </row>
    <row r="1473">
      <c r="A1473" s="31" t="n"/>
      <c r="B1473" s="34" t="inlineStr">
        <is>
          <t>Passe-Cadeau</t>
        </is>
      </c>
      <c r="C1473" s="34" t="inlineStr">
        <is>
          <t>Torgnoles</t>
        </is>
      </c>
      <c r="D1473" s="34" t="n"/>
      <c r="E1473" s="34" t="n"/>
      <c r="F1473" s="34" t="n"/>
      <c r="G1473" s="34" t="n"/>
      <c r="H1473" s="30" t="inlineStr">
        <is>
          <t>Oui</t>
        </is>
      </c>
    </row>
    <row r="1474" ht="18" customHeight="1">
      <c r="A1474" s="26" t="inlineStr">
        <is>
          <t>Lac Colère</t>
        </is>
      </c>
      <c r="B1474" s="26" t="n"/>
      <c r="C1474" s="26" t="n"/>
      <c r="D1474" s="26" t="n"/>
      <c r="E1474" s="26" t="n"/>
      <c r="F1474" s="26" t="n"/>
      <c r="G1474" s="26" t="n"/>
      <c r="H1474" s="30" t="inlineStr">
        <is>
          <t>Oui</t>
        </is>
      </c>
    </row>
    <row r="1475">
      <c r="A1475" s="31" t="inlineStr">
        <is>
          <t>Nom</t>
        </is>
      </c>
      <c r="B1475" s="32" t="inlineStr">
        <is>
          <t>Pêcheur Panis</t>
        </is>
      </c>
      <c r="C1475" s="32" t="n"/>
      <c r="D1475" s="32" t="n"/>
      <c r="E1475" s="32" t="n"/>
      <c r="F1475" s="32" t="n"/>
      <c r="G1475" s="32" t="n"/>
      <c r="H1475" s="30" t="inlineStr">
        <is>
          <t>Oui</t>
        </is>
      </c>
    </row>
    <row r="1476">
      <c r="A1476" s="31" t="inlineStr">
        <is>
          <t>Pokémon</t>
        </is>
      </c>
      <c r="B1476" s="33" t="inlineStr">
        <is>
          <t>LEVIATOR</t>
        </is>
      </c>
      <c r="C1476" s="33" t="n"/>
      <c r="D1476" s="33" t="n"/>
      <c r="E1476" s="33" t="n"/>
      <c r="F1476" s="33" t="n"/>
      <c r="G1476" s="33" t="n"/>
      <c r="H1476" s="30" t="inlineStr">
        <is>
          <t>Oui</t>
        </is>
      </c>
    </row>
    <row r="1477">
      <c r="A1477" s="31" t="inlineStr">
        <is>
          <t>Niveau</t>
        </is>
      </c>
      <c r="B1477" s="33" t="n">
        <v>27</v>
      </c>
      <c r="C1477" s="33" t="n"/>
      <c r="D1477" s="33" t="n"/>
      <c r="E1477" s="33" t="n"/>
      <c r="F1477" s="33" t="n"/>
      <c r="G1477" s="33" t="n"/>
      <c r="H1477" s="30" t="inlineStr">
        <is>
          <t>Oui</t>
        </is>
      </c>
    </row>
    <row r="1478">
      <c r="A1478" s="31" t="inlineStr">
        <is>
          <t>Objet</t>
        </is>
      </c>
      <c r="B1478" s="33" t="inlineStr">
        <is>
          <t>Aucun</t>
        </is>
      </c>
      <c r="C1478" s="33" t="n"/>
      <c r="D1478" s="33" t="n"/>
      <c r="E1478" s="33" t="n"/>
      <c r="F1478" s="33" t="n"/>
      <c r="G1478" s="33" t="n"/>
      <c r="H1478" s="30" t="inlineStr">
        <is>
          <t>Oui</t>
        </is>
      </c>
    </row>
    <row r="1479">
      <c r="A1479" s="31" t="inlineStr">
        <is>
          <t>Talent</t>
        </is>
      </c>
      <c r="B1479" s="33" t="inlineStr">
        <is>
          <t>Intimidation</t>
        </is>
      </c>
      <c r="C1479" s="33" t="n"/>
      <c r="D1479" s="33" t="n"/>
      <c r="E1479" s="33" t="n"/>
      <c r="F1479" s="33" t="n"/>
      <c r="G1479" s="33" t="n"/>
      <c r="H1479" s="30" t="inlineStr">
        <is>
          <t>Oui</t>
        </is>
      </c>
    </row>
    <row r="1480">
      <c r="A1480" s="31" t="inlineStr">
        <is>
          <t>Capacités</t>
        </is>
      </c>
      <c r="B1480" s="34" t="inlineStr">
        <is>
          <t>Groz'Yeux</t>
        </is>
      </c>
      <c r="C1480" s="34" t="n"/>
      <c r="D1480" s="34" t="n"/>
      <c r="E1480" s="34" t="n"/>
      <c r="F1480" s="34" t="n"/>
      <c r="G1480" s="34" t="n"/>
      <c r="H1480" s="30" t="inlineStr">
        <is>
          <t>Oui</t>
        </is>
      </c>
    </row>
    <row r="1481">
      <c r="A1481" s="31" t="n"/>
      <c r="B1481" s="34" t="inlineStr">
        <is>
          <t>Siphon</t>
        </is>
      </c>
      <c r="C1481" s="34" t="n"/>
      <c r="D1481" s="34" t="n"/>
      <c r="E1481" s="34" t="n"/>
      <c r="F1481" s="34" t="n"/>
      <c r="G1481" s="34" t="n"/>
      <c r="H1481" s="30" t="inlineStr">
        <is>
          <t>Oui</t>
        </is>
      </c>
    </row>
    <row r="1482">
      <c r="A1482" s="31" t="n"/>
      <c r="B1482" s="34" t="inlineStr">
        <is>
          <t>Ouragan</t>
        </is>
      </c>
      <c r="C1482" s="34" t="n"/>
      <c r="D1482" s="34" t="n"/>
      <c r="E1482" s="34" t="n"/>
      <c r="F1482" s="34" t="n"/>
      <c r="G1482" s="34" t="n"/>
      <c r="H1482" s="30" t="inlineStr">
        <is>
          <t>Oui</t>
        </is>
      </c>
    </row>
    <row r="1483">
      <c r="A1483" s="31" t="n"/>
      <c r="B1483" s="34" t="inlineStr">
        <is>
          <t>Crocs Givre</t>
        </is>
      </c>
      <c r="C1483" s="34" t="n"/>
      <c r="D1483" s="34" t="n"/>
      <c r="E1483" s="34" t="n"/>
      <c r="F1483" s="34" t="n"/>
      <c r="G1483" s="34" t="n"/>
      <c r="H1483" s="30" t="inlineStr">
        <is>
          <t>Oui</t>
        </is>
      </c>
    </row>
    <row r="1484">
      <c r="A1484" s="31" t="inlineStr">
        <is>
          <t>Nom</t>
        </is>
      </c>
      <c r="B1484" s="32" t="inlineStr">
        <is>
          <t>Pêcheur Lucas</t>
        </is>
      </c>
      <c r="C1484" s="32" t="n"/>
      <c r="D1484" s="32" t="n"/>
      <c r="E1484" s="32" t="n"/>
      <c r="F1484" s="32" t="n"/>
      <c r="G1484" s="32" t="n"/>
      <c r="H1484" s="30" t="inlineStr">
        <is>
          <t>Oui</t>
        </is>
      </c>
    </row>
    <row r="1485">
      <c r="A1485" s="31" t="inlineStr">
        <is>
          <t>Pokémon</t>
        </is>
      </c>
      <c r="B1485" s="33" t="inlineStr">
        <is>
          <t>AQUALI</t>
        </is>
      </c>
      <c r="C1485" s="33" t="n"/>
      <c r="D1485" s="33" t="n"/>
      <c r="E1485" s="33" t="n"/>
      <c r="F1485" s="33" t="n"/>
      <c r="G1485" s="33" t="n"/>
      <c r="H1485" s="30" t="inlineStr">
        <is>
          <t>Oui</t>
        </is>
      </c>
    </row>
    <row r="1486">
      <c r="A1486" s="31" t="inlineStr">
        <is>
          <t>Niveau</t>
        </is>
      </c>
      <c r="B1486" s="33" t="n">
        <v>28</v>
      </c>
      <c r="C1486" s="33" t="n"/>
      <c r="D1486" s="33" t="n"/>
      <c r="E1486" s="33" t="n"/>
      <c r="F1486" s="33" t="n"/>
      <c r="G1486" s="33" t="n"/>
      <c r="H1486" s="30" t="inlineStr">
        <is>
          <t>Oui</t>
        </is>
      </c>
    </row>
    <row r="1487">
      <c r="A1487" s="31" t="inlineStr">
        <is>
          <t>Objet</t>
        </is>
      </c>
      <c r="B1487" s="33" t="inlineStr">
        <is>
          <t>Aucun</t>
        </is>
      </c>
      <c r="C1487" s="33" t="n"/>
      <c r="D1487" s="33" t="n"/>
      <c r="E1487" s="33" t="n"/>
      <c r="F1487" s="33" t="n"/>
      <c r="G1487" s="33" t="n"/>
      <c r="H1487" s="30" t="inlineStr">
        <is>
          <t>Oui</t>
        </is>
      </c>
    </row>
    <row r="1488">
      <c r="A1488" s="31" t="inlineStr">
        <is>
          <t>Talent</t>
        </is>
      </c>
      <c r="B1488" s="33" t="inlineStr">
        <is>
          <t>Absorbe-Eau</t>
        </is>
      </c>
      <c r="C1488" s="33" t="n"/>
      <c r="D1488" s="33" t="n"/>
      <c r="E1488" s="33" t="n"/>
      <c r="F1488" s="33" t="n"/>
      <c r="G1488" s="33" t="n"/>
      <c r="H1488" s="30" t="inlineStr">
        <is>
          <t>Oui</t>
        </is>
      </c>
    </row>
    <row r="1489">
      <c r="A1489" s="31" t="inlineStr">
        <is>
          <t>Capacités</t>
        </is>
      </c>
      <c r="B1489" s="34" t="inlineStr">
        <is>
          <t>Vive-Attaque</t>
        </is>
      </c>
      <c r="C1489" s="34" t="n"/>
      <c r="D1489" s="34" t="n"/>
      <c r="E1489" s="34" t="n"/>
      <c r="F1489" s="34" t="n"/>
      <c r="G1489" s="34" t="n"/>
      <c r="H1489" s="30" t="inlineStr">
        <is>
          <t>Oui</t>
        </is>
      </c>
    </row>
    <row r="1490">
      <c r="A1490" s="31" t="n"/>
      <c r="B1490" s="34" t="inlineStr">
        <is>
          <t>Vibraqua</t>
        </is>
      </c>
      <c r="C1490" s="34" t="n"/>
      <c r="D1490" s="34" t="n"/>
      <c r="E1490" s="34" t="n"/>
      <c r="F1490" s="34" t="n"/>
      <c r="G1490" s="34" t="n"/>
      <c r="H1490" s="30" t="inlineStr">
        <is>
          <t>Oui</t>
        </is>
      </c>
    </row>
    <row r="1491">
      <c r="A1491" s="31" t="n"/>
      <c r="B1491" s="34" t="inlineStr">
        <is>
          <t>Onde Boréale</t>
        </is>
      </c>
      <c r="C1491" s="34" t="n"/>
      <c r="D1491" s="34" t="n"/>
      <c r="E1491" s="34" t="n"/>
      <c r="F1491" s="34" t="n"/>
      <c r="G1491" s="34" t="n"/>
      <c r="H1491" s="30" t="inlineStr">
        <is>
          <t>Oui</t>
        </is>
      </c>
    </row>
    <row r="1492">
      <c r="A1492" s="31" t="n"/>
      <c r="B1492" s="34" t="inlineStr">
        <is>
          <t>Anneau Hydro</t>
        </is>
      </c>
      <c r="C1492" s="34" t="n"/>
      <c r="D1492" s="34" t="n"/>
      <c r="E1492" s="34" t="n"/>
      <c r="F1492" s="34" t="n"/>
      <c r="G1492" s="34" t="n"/>
      <c r="H1492" s="30" t="inlineStr">
        <is>
          <t>Oui</t>
        </is>
      </c>
    </row>
    <row r="1493">
      <c r="A1493" s="31" t="inlineStr">
        <is>
          <t>Nom</t>
        </is>
      </c>
      <c r="B1493" s="32" t="inlineStr">
        <is>
          <t>Topdresseur Aaron</t>
        </is>
      </c>
      <c r="C1493" s="32" t="n"/>
      <c r="D1493" s="32" t="n"/>
      <c r="E1493" s="32" t="n"/>
      <c r="F1493" s="32" t="n"/>
      <c r="G1493" s="32" t="n"/>
      <c r="H1493" s="30" t="inlineStr">
        <is>
          <t>Oui</t>
        </is>
      </c>
    </row>
    <row r="1494">
      <c r="A1494" s="31" t="inlineStr">
        <is>
          <t>Pokémon</t>
        </is>
      </c>
      <c r="B1494" s="33" t="inlineStr">
        <is>
          <t>HERBIZARRE</t>
        </is>
      </c>
      <c r="C1494" s="33" t="inlineStr">
        <is>
          <t>REPTINCEL</t>
        </is>
      </c>
      <c r="D1494" s="33" t="inlineStr">
        <is>
          <t>CARABAFFE</t>
        </is>
      </c>
      <c r="E1494" s="33" t="n"/>
      <c r="F1494" s="33" t="n"/>
      <c r="G1494" s="33" t="n"/>
      <c r="H1494" s="30" t="inlineStr">
        <is>
          <t>Oui</t>
        </is>
      </c>
    </row>
    <row r="1495">
      <c r="A1495" s="31" t="inlineStr">
        <is>
          <t>Niveau</t>
        </is>
      </c>
      <c r="B1495" s="33" t="n">
        <v>27</v>
      </c>
      <c r="C1495" s="33" t="n">
        <v>27</v>
      </c>
      <c r="D1495" s="33" t="n">
        <v>27</v>
      </c>
      <c r="E1495" s="33" t="n"/>
      <c r="F1495" s="33" t="n"/>
      <c r="G1495" s="33" t="n"/>
      <c r="H1495" s="30" t="inlineStr">
        <is>
          <t>Oui</t>
        </is>
      </c>
    </row>
    <row r="1496">
      <c r="A1496" s="31" t="inlineStr">
        <is>
          <t>Objet</t>
        </is>
      </c>
      <c r="B1496" s="33" t="inlineStr">
        <is>
          <t>Aucun</t>
        </is>
      </c>
      <c r="C1496" s="33" t="inlineStr">
        <is>
          <t>Aucun</t>
        </is>
      </c>
      <c r="D1496" s="33" t="inlineStr">
        <is>
          <t>Aucun</t>
        </is>
      </c>
      <c r="E1496" s="33" t="n"/>
      <c r="F1496" s="33" t="n"/>
      <c r="G1496" s="33" t="n"/>
      <c r="H1496" s="30" t="inlineStr">
        <is>
          <t>Oui</t>
        </is>
      </c>
    </row>
    <row r="1497">
      <c r="A1497" s="31" t="inlineStr">
        <is>
          <t>Talent</t>
        </is>
      </c>
      <c r="B1497" s="33" t="inlineStr">
        <is>
          <t>Engrais</t>
        </is>
      </c>
      <c r="C1497" s="33" t="inlineStr">
        <is>
          <t>Brasier</t>
        </is>
      </c>
      <c r="D1497" s="33" t="inlineStr">
        <is>
          <t>Torrent</t>
        </is>
      </c>
      <c r="E1497" s="33" t="n"/>
      <c r="F1497" s="33" t="n"/>
      <c r="G1497" s="33" t="n"/>
      <c r="H1497" s="30" t="inlineStr">
        <is>
          <t>Oui</t>
        </is>
      </c>
    </row>
    <row r="1498">
      <c r="A1498" s="31" t="inlineStr">
        <is>
          <t>Capacités</t>
        </is>
      </c>
      <c r="B1498" s="34" t="inlineStr">
        <is>
          <t>Bélier</t>
        </is>
      </c>
      <c r="C1498" s="34" t="inlineStr">
        <is>
          <t>Griffe Acier</t>
        </is>
      </c>
      <c r="D1498" s="34" t="inlineStr">
        <is>
          <t>Écume</t>
        </is>
      </c>
      <c r="E1498" s="34" t="n"/>
      <c r="F1498" s="34" t="n"/>
      <c r="G1498" s="34" t="n"/>
      <c r="H1498" s="30" t="inlineStr">
        <is>
          <t>Oui</t>
        </is>
      </c>
    </row>
    <row r="1499">
      <c r="A1499" s="31" t="n"/>
      <c r="B1499" s="34" t="inlineStr">
        <is>
          <t>Tranch'Herbe</t>
        </is>
      </c>
      <c r="C1499" s="34" t="inlineStr">
        <is>
          <t>Brouillard</t>
        </is>
      </c>
      <c r="D1499" s="34" t="inlineStr">
        <is>
          <t>Morsure</t>
        </is>
      </c>
      <c r="E1499" s="34" t="n"/>
      <c r="F1499" s="34" t="n"/>
      <c r="G1499" s="34" t="n"/>
      <c r="H1499" s="30" t="inlineStr">
        <is>
          <t>Oui</t>
        </is>
      </c>
    </row>
    <row r="1500">
      <c r="A1500" s="31" t="n"/>
      <c r="B1500" s="34" t="inlineStr">
        <is>
          <t>Doux Parfum</t>
        </is>
      </c>
      <c r="C1500" s="34" t="inlineStr">
        <is>
          <t>Draco-Rage</t>
        </is>
      </c>
      <c r="D1500" s="34" t="inlineStr">
        <is>
          <t>Tour Rapide</t>
        </is>
      </c>
      <c r="E1500" s="34" t="n"/>
      <c r="F1500" s="34" t="n"/>
      <c r="G1500" s="34" t="n"/>
      <c r="H1500" s="30" t="inlineStr">
        <is>
          <t>Oui</t>
        </is>
      </c>
    </row>
    <row r="1501">
      <c r="A1501" s="31" t="n"/>
      <c r="B1501" s="34" t="inlineStr">
        <is>
          <t>Détritus</t>
        </is>
      </c>
      <c r="C1501" s="34" t="inlineStr">
        <is>
          <t>Grimace</t>
        </is>
      </c>
      <c r="D1501" s="34" t="inlineStr">
        <is>
          <t>Abri</t>
        </is>
      </c>
      <c r="E1501" s="34" t="n"/>
      <c r="F1501" s="34" t="n"/>
      <c r="G1501" s="34" t="n"/>
      <c r="H1501" s="30" t="inlineStr">
        <is>
          <t>Oui</t>
        </is>
      </c>
    </row>
    <row r="1502">
      <c r="A1502" s="31" t="inlineStr">
        <is>
          <t>Nom</t>
        </is>
      </c>
      <c r="B1502" s="32" t="inlineStr">
        <is>
          <t>Topdresseur Sally</t>
        </is>
      </c>
      <c r="C1502" s="32" t="n"/>
      <c r="D1502" s="32" t="n"/>
      <c r="E1502" s="32" t="n"/>
      <c r="F1502" s="32" t="n"/>
      <c r="G1502" s="32" t="n"/>
      <c r="H1502" s="30" t="inlineStr">
        <is>
          <t>Oui</t>
        </is>
      </c>
    </row>
    <row r="1503">
      <c r="A1503" s="31" t="inlineStr">
        <is>
          <t>Pokémon</t>
        </is>
      </c>
      <c r="B1503" s="33" t="inlineStr">
        <is>
          <t>FLORAVOL</t>
        </is>
      </c>
      <c r="C1503" s="33" t="inlineStr">
        <is>
          <t>FEUNARD</t>
        </is>
      </c>
      <c r="D1503" s="33" t="n"/>
      <c r="E1503" s="33" t="n"/>
      <c r="F1503" s="33" t="n"/>
      <c r="G1503" s="33" t="n"/>
      <c r="H1503" s="30" t="inlineStr">
        <is>
          <t>Oui</t>
        </is>
      </c>
    </row>
    <row r="1504">
      <c r="A1504" s="31" t="inlineStr">
        <is>
          <t>Niveau</t>
        </is>
      </c>
      <c r="B1504" s="33" t="n">
        <v>28</v>
      </c>
      <c r="C1504" s="33" t="n">
        <v>27</v>
      </c>
      <c r="D1504" s="33" t="n"/>
      <c r="E1504" s="33" t="n"/>
      <c r="F1504" s="33" t="n"/>
      <c r="G1504" s="33" t="n"/>
      <c r="H1504" s="30" t="inlineStr">
        <is>
          <t>Oui</t>
        </is>
      </c>
    </row>
    <row r="1505">
      <c r="A1505" s="31" t="inlineStr">
        <is>
          <t>Objet</t>
        </is>
      </c>
      <c r="B1505" s="33" t="inlineStr">
        <is>
          <t>Aucun</t>
        </is>
      </c>
      <c r="C1505" s="33" t="inlineStr">
        <is>
          <t>Aucun</t>
        </is>
      </c>
      <c r="D1505" s="33" t="n"/>
      <c r="E1505" s="33" t="n"/>
      <c r="F1505" s="33" t="n"/>
      <c r="G1505" s="33" t="n"/>
      <c r="H1505" s="30" t="inlineStr">
        <is>
          <t>Oui</t>
        </is>
      </c>
    </row>
    <row r="1506">
      <c r="A1506" s="31" t="inlineStr">
        <is>
          <t>Talent</t>
        </is>
      </c>
      <c r="B1506" s="33" t="inlineStr">
        <is>
          <t>Chlorophylle</t>
        </is>
      </c>
      <c r="C1506" s="33" t="inlineStr">
        <is>
          <t>Torche</t>
        </is>
      </c>
      <c r="D1506" s="33" t="n"/>
      <c r="E1506" s="33" t="n"/>
      <c r="F1506" s="33" t="n"/>
      <c r="G1506" s="33" t="n"/>
      <c r="H1506" s="30" t="inlineStr">
        <is>
          <t>Oui</t>
        </is>
      </c>
    </row>
    <row r="1507">
      <c r="A1507" s="31" t="inlineStr">
        <is>
          <t>Capacités</t>
        </is>
      </c>
      <c r="B1507" s="34" t="inlineStr">
        <is>
          <t>Poudre Dodo</t>
        </is>
      </c>
      <c r="C1507" s="34" t="inlineStr">
        <is>
          <t>Lance-Flammes</t>
        </is>
      </c>
      <c r="D1507" s="34" t="n"/>
      <c r="E1507" s="34" t="n"/>
      <c r="F1507" s="34" t="n"/>
      <c r="G1507" s="34" t="n"/>
      <c r="H1507" s="30" t="inlineStr">
        <is>
          <t>Oui</t>
        </is>
      </c>
    </row>
    <row r="1508">
      <c r="A1508" s="31" t="n"/>
      <c r="B1508" s="34" t="inlineStr">
        <is>
          <t>Balle Graine</t>
        </is>
      </c>
      <c r="C1508" s="34" t="inlineStr">
        <is>
          <t>Vive-Attaque</t>
        </is>
      </c>
      <c r="D1508" s="34" t="n"/>
      <c r="E1508" s="34" t="n"/>
      <c r="F1508" s="34" t="n"/>
      <c r="G1508" s="34" t="n"/>
      <c r="H1508" s="30" t="inlineStr">
        <is>
          <t>Oui</t>
        </is>
      </c>
    </row>
    <row r="1509">
      <c r="A1509" s="31" t="n"/>
      <c r="B1509" s="34" t="inlineStr">
        <is>
          <t>Vampigraine</t>
        </is>
      </c>
      <c r="C1509" s="34" t="inlineStr">
        <is>
          <t>Onde Folie</t>
        </is>
      </c>
      <c r="D1509" s="34" t="n"/>
      <c r="E1509" s="34" t="n"/>
      <c r="F1509" s="34" t="n"/>
      <c r="G1509" s="34" t="n"/>
      <c r="H1509" s="30" t="inlineStr">
        <is>
          <t>Oui</t>
        </is>
      </c>
    </row>
    <row r="1510">
      <c r="A1510" s="31" t="n"/>
      <c r="B1510" s="34" t="inlineStr">
        <is>
          <t>Méga-Sangsue</t>
        </is>
      </c>
      <c r="C1510" s="34" t="inlineStr">
        <is>
          <t>Rune Protect</t>
        </is>
      </c>
      <c r="D1510" s="34" t="n"/>
      <c r="E1510" s="34" t="n"/>
      <c r="F1510" s="34" t="n"/>
      <c r="G1510" s="34" t="n"/>
      <c r="H1510" s="30" t="inlineStr">
        <is>
          <t>Oui</t>
        </is>
      </c>
    </row>
    <row r="1511" ht="18" customHeight="1">
      <c r="A1511" s="26" t="inlineStr">
        <is>
          <t>Repaire Rocket — B1F</t>
        </is>
      </c>
      <c r="B1511" s="26" t="n"/>
      <c r="C1511" s="26" t="n"/>
      <c r="D1511" s="26" t="n"/>
      <c r="E1511" s="26" t="n"/>
      <c r="F1511" s="26" t="n"/>
      <c r="G1511" s="26" t="n"/>
      <c r="H1511" s="30" t="inlineStr">
        <is>
          <t>Oui</t>
        </is>
      </c>
    </row>
    <row r="1512">
      <c r="A1512" s="31" t="inlineStr">
        <is>
          <t>Nom</t>
        </is>
      </c>
      <c r="B1512" s="32" t="inlineStr">
        <is>
          <t>Rocket Sbire</t>
        </is>
      </c>
      <c r="C1512" s="32" t="n"/>
      <c r="D1512" s="32" t="n"/>
      <c r="E1512" s="32" t="n"/>
      <c r="F1512" s="32" t="n"/>
      <c r="G1512" s="32" t="n"/>
      <c r="H1512" s="30" t="inlineStr">
        <is>
          <t>Oui</t>
        </is>
      </c>
    </row>
    <row r="1513">
      <c r="A1513" s="31" t="inlineStr">
        <is>
          <t>Pokémon</t>
        </is>
      </c>
      <c r="B1513" s="33" t="inlineStr">
        <is>
          <t>SOPORIFIK</t>
        </is>
      </c>
      <c r="C1513" s="33" t="inlineStr">
        <is>
          <t>SCORPLANE</t>
        </is>
      </c>
      <c r="D1513" s="33" t="n"/>
      <c r="E1513" s="33" t="n"/>
      <c r="F1513" s="33" t="n"/>
      <c r="G1513" s="33" t="n"/>
      <c r="H1513" s="30" t="inlineStr">
        <is>
          <t>Oui</t>
        </is>
      </c>
    </row>
    <row r="1514">
      <c r="A1514" s="31" t="inlineStr">
        <is>
          <t>Niveau</t>
        </is>
      </c>
      <c r="B1514" s="33" t="n">
        <v>26</v>
      </c>
      <c r="C1514" s="33" t="n">
        <v>26</v>
      </c>
      <c r="D1514" s="33" t="n"/>
      <c r="E1514" s="33" t="n"/>
      <c r="F1514" s="33" t="n"/>
      <c r="G1514" s="33" t="n"/>
      <c r="H1514" s="30" t="inlineStr">
        <is>
          <t>Oui</t>
        </is>
      </c>
    </row>
    <row r="1515">
      <c r="A1515" s="31" t="inlineStr">
        <is>
          <t>Objet</t>
        </is>
      </c>
      <c r="B1515" s="33" t="inlineStr">
        <is>
          <t>Aucun</t>
        </is>
      </c>
      <c r="C1515" s="33" t="inlineStr">
        <is>
          <t>Aucun</t>
        </is>
      </c>
      <c r="D1515" s="33" t="n"/>
      <c r="E1515" s="33" t="n"/>
      <c r="F1515" s="33" t="n"/>
      <c r="G1515" s="33" t="n"/>
      <c r="H1515" s="30" t="inlineStr">
        <is>
          <t>Oui</t>
        </is>
      </c>
    </row>
    <row r="1516">
      <c r="A1516" s="31" t="inlineStr">
        <is>
          <t>Talent</t>
        </is>
      </c>
      <c r="B1516" s="33" t="inlineStr">
        <is>
          <t>Insomnia</t>
        </is>
      </c>
      <c r="C1516" s="33" t="inlineStr">
        <is>
          <t>Hyper Cutter</t>
        </is>
      </c>
      <c r="D1516" s="33" t="n"/>
      <c r="E1516" s="33" t="n"/>
      <c r="F1516" s="33" t="n"/>
      <c r="G1516" s="33" t="n"/>
      <c r="H1516" s="30" t="inlineStr">
        <is>
          <t>Oui</t>
        </is>
      </c>
    </row>
    <row r="1517">
      <c r="A1517" s="31" t="inlineStr">
        <is>
          <t>Capacités</t>
        </is>
      </c>
      <c r="B1517" s="34" t="inlineStr">
        <is>
          <t>Coup d'Boule</t>
        </is>
      </c>
      <c r="C1517" s="34" t="inlineStr">
        <is>
          <t>Charge Os</t>
        </is>
      </c>
      <c r="D1517" s="34" t="n"/>
      <c r="E1517" s="34" t="n"/>
      <c r="F1517" s="34" t="n"/>
      <c r="G1517" s="34" t="n"/>
      <c r="H1517" s="30" t="inlineStr">
        <is>
          <t>Oui</t>
        </is>
      </c>
    </row>
    <row r="1518">
      <c r="A1518" s="31" t="n"/>
      <c r="B1518" s="34" t="inlineStr">
        <is>
          <t>Gaz Toxik</t>
        </is>
      </c>
      <c r="C1518" s="34" t="inlineStr">
        <is>
          <t>Taillade</t>
        </is>
      </c>
      <c r="D1518" s="34" t="n"/>
      <c r="E1518" s="34" t="n"/>
      <c r="F1518" s="34" t="n"/>
      <c r="G1518" s="34" t="n"/>
      <c r="H1518" s="30" t="inlineStr">
        <is>
          <t>Oui</t>
        </is>
      </c>
    </row>
    <row r="1519">
      <c r="A1519" s="31" t="n"/>
      <c r="B1519" s="34" t="inlineStr">
        <is>
          <t>Yoga</t>
        </is>
      </c>
      <c r="C1519" s="34" t="inlineStr">
        <is>
          <t>Feinte</t>
        </is>
      </c>
      <c r="D1519" s="34" t="n"/>
      <c r="E1519" s="34" t="n"/>
      <c r="F1519" s="34" t="n"/>
      <c r="G1519" s="34" t="n"/>
      <c r="H1519" s="30" t="inlineStr">
        <is>
          <t>Oui</t>
        </is>
      </c>
    </row>
    <row r="1520">
      <c r="A1520" s="31" t="n"/>
      <c r="B1520" s="34" t="inlineStr">
        <is>
          <t>Rafale Psy</t>
        </is>
      </c>
      <c r="C1520" s="34" t="inlineStr">
        <is>
          <t>Acrobatie</t>
        </is>
      </c>
      <c r="D1520" s="34" t="n"/>
      <c r="E1520" s="34" t="n"/>
      <c r="F1520" s="34" t="n"/>
      <c r="G1520" s="34" t="n"/>
      <c r="H1520" s="30" t="inlineStr">
        <is>
          <t>Oui</t>
        </is>
      </c>
    </row>
    <row r="1521">
      <c r="A1521" s="31" t="inlineStr">
        <is>
          <t>Nom</t>
        </is>
      </c>
      <c r="B1521" s="32" t="inlineStr">
        <is>
          <t>Rocket Sbire</t>
        </is>
      </c>
      <c r="C1521" s="32" t="n"/>
      <c r="D1521" s="32" t="n"/>
      <c r="E1521" s="32" t="n"/>
      <c r="F1521" s="32" t="n"/>
      <c r="G1521" s="32" t="n"/>
      <c r="H1521" s="30" t="inlineStr">
        <is>
          <t>Oui</t>
        </is>
      </c>
    </row>
    <row r="1522">
      <c r="A1522" s="31" t="inlineStr">
        <is>
          <t>Pokémon</t>
        </is>
      </c>
      <c r="B1522" s="33" t="inlineStr">
        <is>
          <t>NOSFERALTO</t>
        </is>
      </c>
      <c r="C1522" s="33" t="inlineStr">
        <is>
          <t>MIGALOS</t>
        </is>
      </c>
      <c r="D1522" s="33" t="inlineStr">
        <is>
          <t>RATTATAC</t>
        </is>
      </c>
      <c r="E1522" s="33" t="n"/>
      <c r="F1522" s="33" t="n"/>
      <c r="G1522" s="33" t="n"/>
      <c r="H1522" s="30" t="inlineStr">
        <is>
          <t>Oui</t>
        </is>
      </c>
    </row>
    <row r="1523">
      <c r="A1523" s="31" t="inlineStr">
        <is>
          <t>Niveau</t>
        </is>
      </c>
      <c r="B1523" s="33" t="n">
        <v>27</v>
      </c>
      <c r="C1523" s="33" t="n">
        <v>27</v>
      </c>
      <c r="D1523" s="33" t="n">
        <v>27</v>
      </c>
      <c r="E1523" s="33" t="n"/>
      <c r="F1523" s="33" t="n"/>
      <c r="G1523" s="33" t="n"/>
      <c r="H1523" s="30" t="inlineStr">
        <is>
          <t>Oui</t>
        </is>
      </c>
    </row>
    <row r="1524">
      <c r="A1524" s="31" t="inlineStr">
        <is>
          <t>Objet</t>
        </is>
      </c>
      <c r="B1524" s="33" t="inlineStr">
        <is>
          <t>Aucun</t>
        </is>
      </c>
      <c r="C1524" s="33" t="inlineStr">
        <is>
          <t>Aucun</t>
        </is>
      </c>
      <c r="D1524" s="33" t="inlineStr">
        <is>
          <t>Aucun</t>
        </is>
      </c>
      <c r="E1524" s="33" t="n"/>
      <c r="F1524" s="33" t="n"/>
      <c r="G1524" s="33" t="n"/>
      <c r="H1524" s="30" t="inlineStr">
        <is>
          <t>Oui</t>
        </is>
      </c>
    </row>
    <row r="1525">
      <c r="A1525" s="31" t="inlineStr">
        <is>
          <t>Talent</t>
        </is>
      </c>
      <c r="B1525" s="33" t="inlineStr">
        <is>
          <t>Attention</t>
        </is>
      </c>
      <c r="C1525" s="33" t="inlineStr">
        <is>
          <t>Essaim</t>
        </is>
      </c>
      <c r="D1525" s="33" t="inlineStr">
        <is>
          <t>Fuite</t>
        </is>
      </c>
      <c r="E1525" s="33" t="n"/>
      <c r="F1525" s="33" t="n"/>
      <c r="G1525" s="33" t="n"/>
      <c r="H1525" s="30" t="inlineStr">
        <is>
          <t>Oui</t>
        </is>
      </c>
    </row>
    <row r="1526">
      <c r="A1526" s="31" t="inlineStr">
        <is>
          <t>Capacités</t>
        </is>
      </c>
      <c r="B1526" s="34" t="inlineStr">
        <is>
          <t>Onde Folie</t>
        </is>
      </c>
      <c r="C1526" s="34" t="inlineStr">
        <is>
          <t>Grimace</t>
        </is>
      </c>
      <c r="D1526" s="34" t="inlineStr">
        <is>
          <t>Poursuite</t>
        </is>
      </c>
      <c r="E1526" s="34" t="n"/>
      <c r="F1526" s="34" t="n"/>
      <c r="G1526" s="34" t="n"/>
      <c r="H1526" s="30" t="inlineStr">
        <is>
          <t>Oui</t>
        </is>
      </c>
    </row>
    <row r="1527">
      <c r="A1527" s="31" t="n"/>
      <c r="B1527" s="34" t="inlineStr">
        <is>
          <t>Tranch'Air</t>
        </is>
      </c>
      <c r="C1527" s="34" t="inlineStr">
        <is>
          <t>Ombre Nocturne</t>
        </is>
      </c>
      <c r="D1527" s="34" t="inlineStr">
        <is>
          <t>Croc de Mort</t>
        </is>
      </c>
      <c r="E1527" s="34" t="n"/>
      <c r="F1527" s="34" t="n"/>
      <c r="G1527" s="34" t="n"/>
      <c r="H1527" s="30" t="inlineStr">
        <is>
          <t>Oui</t>
        </is>
      </c>
    </row>
    <row r="1528">
      <c r="A1528" s="31" t="n"/>
      <c r="B1528" s="34" t="inlineStr">
        <is>
          <t>Météores</t>
        </is>
      </c>
      <c r="C1528" s="34" t="inlineStr">
        <is>
          <t>Ombre Portée</t>
        </is>
      </c>
      <c r="D1528" s="34" t="inlineStr">
        <is>
          <t>Assurance</t>
        </is>
      </c>
      <c r="E1528" s="34" t="n"/>
      <c r="F1528" s="34" t="n"/>
      <c r="G1528" s="34" t="n"/>
      <c r="H1528" s="30" t="inlineStr">
        <is>
          <t>Oui</t>
        </is>
      </c>
    </row>
    <row r="1529">
      <c r="A1529" s="31" t="n"/>
      <c r="B1529" s="34" t="inlineStr">
        <is>
          <t>Crochet Venin</t>
        </is>
      </c>
      <c r="C1529" s="34" t="inlineStr">
        <is>
          <t>Combo-Griffe</t>
        </is>
      </c>
      <c r="D1529" s="34" t="inlineStr">
        <is>
          <t>Mâchouille</t>
        </is>
      </c>
      <c r="E1529" s="34" t="n"/>
      <c r="F1529" s="34" t="n"/>
      <c r="G1529" s="34" t="n"/>
      <c r="H1529" s="30" t="inlineStr">
        <is>
          <t>Oui</t>
        </is>
      </c>
    </row>
    <row r="1530">
      <c r="A1530" s="31" t="inlineStr">
        <is>
          <t>Nom</t>
        </is>
      </c>
      <c r="B1530" s="32" t="inlineStr">
        <is>
          <t>Collec Jed</t>
        </is>
      </c>
      <c r="C1530" s="32" t="n"/>
      <c r="D1530" s="32" t="n"/>
      <c r="E1530" s="32" t="n"/>
      <c r="F1530" s="32" t="n"/>
      <c r="G1530" s="32" t="n"/>
      <c r="H1530" s="30" t="inlineStr">
        <is>
          <t>Oui</t>
        </is>
      </c>
    </row>
    <row r="1531">
      <c r="A1531" s="31" t="inlineStr">
        <is>
          <t>Pokémon</t>
        </is>
      </c>
      <c r="B1531" s="33" t="inlineStr">
        <is>
          <t>MAGNETI</t>
        </is>
      </c>
      <c r="C1531" s="33" t="inlineStr">
        <is>
          <t>PORYGON</t>
        </is>
      </c>
      <c r="D1531" s="33" t="n"/>
      <c r="E1531" s="33" t="n"/>
      <c r="F1531" s="33" t="n"/>
      <c r="G1531" s="33" t="n"/>
      <c r="H1531" s="30" t="inlineStr">
        <is>
          <t>Oui</t>
        </is>
      </c>
    </row>
    <row r="1532">
      <c r="A1532" s="31" t="inlineStr">
        <is>
          <t>Niveau</t>
        </is>
      </c>
      <c r="B1532" s="33" t="n">
        <v>28</v>
      </c>
      <c r="C1532" s="33" t="n">
        <v>28</v>
      </c>
      <c r="D1532" s="33" t="n"/>
      <c r="E1532" s="33" t="n"/>
      <c r="F1532" s="33" t="n"/>
      <c r="G1532" s="33" t="n"/>
      <c r="H1532" s="30" t="inlineStr">
        <is>
          <t>Oui</t>
        </is>
      </c>
    </row>
    <row r="1533">
      <c r="A1533" s="31" t="inlineStr">
        <is>
          <t>Objet</t>
        </is>
      </c>
      <c r="B1533" s="33" t="inlineStr">
        <is>
          <t>Aucun</t>
        </is>
      </c>
      <c r="C1533" s="33" t="inlineStr">
        <is>
          <t>Aucun</t>
        </is>
      </c>
      <c r="D1533" s="33" t="n"/>
      <c r="E1533" s="33" t="n"/>
      <c r="F1533" s="33" t="n"/>
      <c r="G1533" s="33" t="n"/>
      <c r="H1533" s="30" t="inlineStr">
        <is>
          <t>Oui</t>
        </is>
      </c>
    </row>
    <row r="1534">
      <c r="A1534" s="31" t="inlineStr">
        <is>
          <t>Talent</t>
        </is>
      </c>
      <c r="B1534" s="33" t="inlineStr">
        <is>
          <t>Magnépiège</t>
        </is>
      </c>
      <c r="C1534" s="33" t="inlineStr">
        <is>
          <t>Calque</t>
        </is>
      </c>
      <c r="D1534" s="33" t="n"/>
      <c r="E1534" s="33" t="n"/>
      <c r="F1534" s="33" t="n"/>
      <c r="G1534" s="33" t="n"/>
      <c r="H1534" s="30" t="inlineStr">
        <is>
          <t>Oui</t>
        </is>
      </c>
    </row>
    <row r="1535">
      <c r="A1535" s="31" t="inlineStr">
        <is>
          <t>Capacités</t>
        </is>
      </c>
      <c r="B1535" s="34" t="inlineStr">
        <is>
          <t>Sonic Boom</t>
        </is>
      </c>
      <c r="C1535" s="34" t="inlineStr">
        <is>
          <t>Rafale Psy</t>
        </is>
      </c>
      <c r="D1535" s="34" t="n"/>
      <c r="E1535" s="34" t="n"/>
      <c r="F1535" s="34" t="n"/>
      <c r="G1535" s="34" t="n"/>
      <c r="H1535" s="30" t="inlineStr">
        <is>
          <t>Oui</t>
        </is>
      </c>
    </row>
    <row r="1536">
      <c r="A1536" s="31" t="n"/>
      <c r="B1536" s="34" t="inlineStr">
        <is>
          <t>Étincelle</t>
        </is>
      </c>
      <c r="C1536" s="34" t="inlineStr">
        <is>
          <t>Hâte</t>
        </is>
      </c>
      <c r="D1536" s="34" t="n"/>
      <c r="E1536" s="34" t="n"/>
      <c r="F1536" s="34" t="n"/>
      <c r="G1536" s="34" t="n"/>
      <c r="H1536" s="30" t="inlineStr">
        <is>
          <t>Oui</t>
        </is>
      </c>
    </row>
    <row r="1537">
      <c r="A1537" s="31" t="n"/>
      <c r="B1537" s="34" t="inlineStr">
        <is>
          <t>Miroi-Tir</t>
        </is>
      </c>
      <c r="C1537" s="34" t="inlineStr">
        <is>
          <t>Soin</t>
        </is>
      </c>
      <c r="D1537" s="34" t="n"/>
      <c r="E1537" s="34" t="n"/>
      <c r="F1537" s="34" t="n"/>
      <c r="G1537" s="34" t="n"/>
      <c r="H1537" s="30" t="inlineStr">
        <is>
          <t>Oui</t>
        </is>
      </c>
    </row>
    <row r="1538">
      <c r="A1538" s="31" t="n"/>
      <c r="B1538" s="34" t="inlineStr">
        <is>
          <t>Strido-Son</t>
        </is>
      </c>
      <c r="C1538" s="34" t="inlineStr">
        <is>
          <t>Vol Magnétik</t>
        </is>
      </c>
      <c r="D1538" s="34" t="n"/>
      <c r="E1538" s="34" t="n"/>
      <c r="F1538" s="34" t="n"/>
      <c r="G1538" s="34" t="n"/>
      <c r="H1538" s="30" t="inlineStr">
        <is>
          <t>Oui</t>
        </is>
      </c>
    </row>
    <row r="1539">
      <c r="A1539" s="31" t="inlineStr">
        <is>
          <t>Nom</t>
        </is>
      </c>
      <c r="B1539" s="32" t="inlineStr">
        <is>
          <t>Rocket Sbire</t>
        </is>
      </c>
      <c r="C1539" s="32" t="n"/>
      <c r="D1539" s="32" t="n"/>
      <c r="E1539" s="32" t="n"/>
      <c r="F1539" s="32" t="n"/>
      <c r="G1539" s="32" t="n"/>
      <c r="H1539" s="30" t="inlineStr">
        <is>
          <t>Oui</t>
        </is>
      </c>
    </row>
    <row r="1540">
      <c r="A1540" s="31" t="inlineStr">
        <is>
          <t>Pokémon</t>
        </is>
      </c>
      <c r="B1540" s="33" t="inlineStr">
        <is>
          <t>KANGOUREX</t>
        </is>
      </c>
      <c r="C1540" s="33" t="n"/>
      <c r="D1540" s="33" t="n"/>
      <c r="E1540" s="33" t="n"/>
      <c r="F1540" s="33" t="n"/>
      <c r="G1540" s="33" t="n"/>
      <c r="H1540" s="30" t="inlineStr">
        <is>
          <t>Oui</t>
        </is>
      </c>
    </row>
    <row r="1541">
      <c r="A1541" s="31" t="inlineStr">
        <is>
          <t>Niveau</t>
        </is>
      </c>
      <c r="B1541" s="33" t="n">
        <v>28</v>
      </c>
      <c r="C1541" s="33" t="n"/>
      <c r="D1541" s="33" t="n"/>
      <c r="E1541" s="33" t="n"/>
      <c r="F1541" s="33" t="n"/>
      <c r="G1541" s="33" t="n"/>
      <c r="H1541" s="30" t="inlineStr">
        <is>
          <t>Oui</t>
        </is>
      </c>
    </row>
    <row r="1542">
      <c r="A1542" s="31" t="inlineStr">
        <is>
          <t>Objet</t>
        </is>
      </c>
      <c r="B1542" s="33" t="inlineStr">
        <is>
          <t>Aucun</t>
        </is>
      </c>
      <c r="C1542" s="33" t="n"/>
      <c r="D1542" s="33" t="n"/>
      <c r="E1542" s="33" t="n"/>
      <c r="F1542" s="33" t="n"/>
      <c r="G1542" s="33" t="n"/>
      <c r="H1542" s="30" t="inlineStr">
        <is>
          <t>Oui</t>
        </is>
      </c>
    </row>
    <row r="1543">
      <c r="A1543" s="31" t="inlineStr">
        <is>
          <t>Talent</t>
        </is>
      </c>
      <c r="B1543" s="33" t="inlineStr">
        <is>
          <t>Matinal</t>
        </is>
      </c>
      <c r="C1543" s="33" t="n"/>
      <c r="D1543" s="33" t="n"/>
      <c r="E1543" s="33" t="n"/>
      <c r="F1543" s="33" t="n"/>
      <c r="G1543" s="33" t="n"/>
      <c r="H1543" s="30" t="inlineStr">
        <is>
          <t>Oui</t>
        </is>
      </c>
    </row>
    <row r="1544">
      <c r="A1544" s="31" t="inlineStr">
        <is>
          <t>Capacités</t>
        </is>
      </c>
      <c r="B1544" s="34" t="inlineStr">
        <is>
          <t>Morsure</t>
        </is>
      </c>
      <c r="C1544" s="34" t="n"/>
      <c r="D1544" s="34" t="n"/>
      <c r="E1544" s="34" t="n"/>
      <c r="F1544" s="34" t="n"/>
      <c r="G1544" s="34" t="n"/>
      <c r="H1544" s="30" t="inlineStr">
        <is>
          <t>Oui</t>
        </is>
      </c>
    </row>
    <row r="1545">
      <c r="A1545" s="31" t="n"/>
      <c r="B1545" s="34" t="inlineStr">
        <is>
          <t>Coup Double</t>
        </is>
      </c>
      <c r="C1545" s="34" t="n"/>
      <c r="D1545" s="34" t="n"/>
      <c r="E1545" s="34" t="n"/>
      <c r="F1545" s="34" t="n"/>
      <c r="G1545" s="34" t="n"/>
      <c r="H1545" s="30" t="inlineStr">
        <is>
          <t>Oui</t>
        </is>
      </c>
    </row>
    <row r="1546">
      <c r="A1546" s="31" t="n"/>
      <c r="B1546" s="34" t="inlineStr">
        <is>
          <t>Frénésie</t>
        </is>
      </c>
      <c r="C1546" s="34" t="n"/>
      <c r="D1546" s="34" t="n"/>
      <c r="E1546" s="34" t="n"/>
      <c r="F1546" s="34" t="n"/>
      <c r="G1546" s="34" t="n"/>
      <c r="H1546" s="30" t="inlineStr">
        <is>
          <t>Oui</t>
        </is>
      </c>
    </row>
    <row r="1547">
      <c r="A1547" s="31" t="n"/>
      <c r="B1547" s="34" t="inlineStr">
        <is>
          <t>Ultimapoing</t>
        </is>
      </c>
      <c r="C1547" s="34" t="n"/>
      <c r="D1547" s="34" t="n"/>
      <c r="E1547" s="34" t="n"/>
      <c r="F1547" s="34" t="n"/>
      <c r="G1547" s="34" t="n"/>
      <c r="H1547" s="30" t="inlineStr">
        <is>
          <t>Oui</t>
        </is>
      </c>
    </row>
    <row r="1548" ht="18" customHeight="1">
      <c r="A1548" s="26" t="inlineStr">
        <is>
          <t>Repaire Rocket — B2F</t>
        </is>
      </c>
      <c r="B1548" s="26" t="n"/>
      <c r="C1548" s="26" t="n"/>
      <c r="D1548" s="26" t="n"/>
      <c r="E1548" s="26" t="n"/>
      <c r="F1548" s="26" t="n"/>
      <c r="G1548" s="26" t="n"/>
      <c r="H1548" s="30" t="inlineStr">
        <is>
          <t>Oui</t>
        </is>
      </c>
    </row>
    <row r="1549">
      <c r="A1549" s="31" t="inlineStr">
        <is>
          <t>Nom</t>
        </is>
      </c>
      <c r="B1549" s="32" t="inlineStr">
        <is>
          <t>Commandant Ariane (combat multi, avec Peter)</t>
        </is>
      </c>
      <c r="C1549" s="32" t="n"/>
      <c r="D1549" s="32" t="n"/>
      <c r="E1549" s="32" t="n"/>
      <c r="F1549" s="32" t="n"/>
      <c r="G1549" s="32" t="n"/>
      <c r="H1549" s="30" t="inlineStr">
        <is>
          <t>Oui</t>
        </is>
      </c>
    </row>
    <row r="1550">
      <c r="A1550" s="31" t="inlineStr">
        <is>
          <t>Pokémon</t>
        </is>
      </c>
      <c r="B1550" s="33" t="inlineStr">
        <is>
          <t>ARBOK</t>
        </is>
      </c>
      <c r="C1550" s="33" t="inlineStr">
        <is>
          <t>PERSIAN</t>
        </is>
      </c>
      <c r="D1550" s="33" t="inlineStr">
        <is>
          <t>RAFFLESIA</t>
        </is>
      </c>
      <c r="E1550" s="33" t="n"/>
      <c r="F1550" s="33" t="n"/>
      <c r="G1550" s="33" t="n"/>
      <c r="H1550" s="30" t="inlineStr">
        <is>
          <t>Oui</t>
        </is>
      </c>
    </row>
    <row r="1551">
      <c r="A1551" s="31" t="inlineStr">
        <is>
          <t>Niveau</t>
        </is>
      </c>
      <c r="B1551" s="33" t="n">
        <v>31</v>
      </c>
      <c r="C1551" s="33" t="n">
        <v>30</v>
      </c>
      <c r="D1551" s="33" t="n">
        <v>30</v>
      </c>
      <c r="E1551" s="33" t="n"/>
      <c r="F1551" s="33" t="n"/>
      <c r="G1551" s="33" t="n"/>
      <c r="H1551" s="30" t="inlineStr">
        <is>
          <t>Oui</t>
        </is>
      </c>
    </row>
    <row r="1552">
      <c r="A1552" s="31" t="inlineStr">
        <is>
          <t>Objet</t>
        </is>
      </c>
      <c r="B1552" s="33" t="inlineStr">
        <is>
          <t>Aucun</t>
        </is>
      </c>
      <c r="C1552" s="33" t="inlineStr">
        <is>
          <t>Aucun</t>
        </is>
      </c>
      <c r="D1552" s="33" t="inlineStr">
        <is>
          <t>Aucun</t>
        </is>
      </c>
      <c r="E1552" s="33" t="n"/>
      <c r="F1552" s="33" t="n"/>
      <c r="G1552" s="33" t="n"/>
      <c r="H1552" s="30" t="inlineStr">
        <is>
          <t>Oui</t>
        </is>
      </c>
    </row>
    <row r="1553">
      <c r="A1553" s="31" t="inlineStr">
        <is>
          <t>Talent</t>
        </is>
      </c>
      <c r="B1553" s="33" t="inlineStr">
        <is>
          <t>Intimidation</t>
        </is>
      </c>
      <c r="C1553" s="33" t="inlineStr">
        <is>
          <t>Échauffement</t>
        </is>
      </c>
      <c r="D1553" s="33" t="inlineStr">
        <is>
          <t>Chlorophylle</t>
        </is>
      </c>
      <c r="E1553" s="33" t="n"/>
      <c r="F1553" s="33" t="n"/>
      <c r="G1553" s="33" t="n"/>
      <c r="H1553" s="30" t="inlineStr">
        <is>
          <t>Oui</t>
        </is>
      </c>
    </row>
    <row r="1554">
      <c r="A1554" s="31" t="inlineStr">
        <is>
          <t>Capacités</t>
        </is>
      </c>
      <c r="B1554" s="34" t="inlineStr">
        <is>
          <t>Groz'Yeux</t>
        </is>
      </c>
      <c r="C1554" s="34" t="inlineStr">
        <is>
          <t>Feinte</t>
        </is>
      </c>
      <c r="D1554" s="34" t="inlineStr">
        <is>
          <t>Doux Parfum</t>
        </is>
      </c>
      <c r="E1554" s="34" t="n"/>
      <c r="F1554" s="34" t="n"/>
      <c r="G1554" s="34" t="n"/>
      <c r="H1554" s="30" t="inlineStr">
        <is>
          <t>Oui</t>
        </is>
      </c>
    </row>
    <row r="1555">
      <c r="A1555" s="31" t="n"/>
      <c r="B1555" s="34" t="inlineStr">
        <is>
          <t>Crochet Venin</t>
        </is>
      </c>
      <c r="C1555" s="34" t="inlineStr">
        <is>
          <t>Jackpot</t>
        </is>
      </c>
      <c r="D1555" s="34" t="inlineStr">
        <is>
          <t>Poudre Dodo</t>
        </is>
      </c>
      <c r="E1555" s="34" t="n"/>
      <c r="F1555" s="34" t="n"/>
      <c r="G1555" s="34" t="n"/>
      <c r="H1555" s="30" t="inlineStr">
        <is>
          <t>Oui</t>
        </is>
      </c>
    </row>
    <row r="1556">
      <c r="A1556" s="31" t="n"/>
      <c r="B1556" s="34" t="inlineStr">
        <is>
          <t>Morsure</t>
        </is>
      </c>
      <c r="C1556" s="34" t="inlineStr">
        <is>
          <t>Coud'Boue</t>
        </is>
      </c>
      <c r="D1556" s="34" t="inlineStr">
        <is>
          <t>Bombe Beurk</t>
        </is>
      </c>
      <c r="E1556" s="34" t="n"/>
      <c r="F1556" s="34" t="n"/>
      <c r="G1556" s="34" t="n"/>
      <c r="H1556" s="30" t="inlineStr">
        <is>
          <t>Oui</t>
        </is>
      </c>
    </row>
    <row r="1557">
      <c r="A1557" s="31" t="n"/>
      <c r="B1557" s="34" t="inlineStr">
        <is>
          <t>Ligotage</t>
        </is>
      </c>
      <c r="C1557" s="34" t="inlineStr">
        <is>
          <t>Tranche</t>
        </is>
      </c>
      <c r="D1557" s="34" t="inlineStr">
        <is>
          <t>Giga-Sangsue</t>
        </is>
      </c>
      <c r="E1557" s="34" t="n"/>
      <c r="F1557" s="34" t="n"/>
      <c r="G1557" s="34" t="n"/>
      <c r="H1557" s="30" t="inlineStr">
        <is>
          <t>Oui</t>
        </is>
      </c>
    </row>
    <row r="1558">
      <c r="A1558" s="31" t="inlineStr">
        <is>
          <t>Nom</t>
        </is>
      </c>
      <c r="B1558" s="32" t="inlineStr">
        <is>
          <t>Rocket Sbire (combat multi, avec Peter)</t>
        </is>
      </c>
      <c r="C1558" s="32" t="n"/>
      <c r="D1558" s="32" t="n"/>
      <c r="E1558" s="32" t="n"/>
      <c r="F1558" s="32" t="n"/>
      <c r="G1558" s="32" t="n"/>
      <c r="H1558" s="30" t="inlineStr">
        <is>
          <t>Oui</t>
        </is>
      </c>
    </row>
    <row r="1559">
      <c r="A1559" s="31" t="inlineStr">
        <is>
          <t>Pokémon</t>
        </is>
      </c>
      <c r="B1559" s="33" t="inlineStr">
        <is>
          <t>NOSFERALTO</t>
        </is>
      </c>
      <c r="C1559" s="33" t="inlineStr">
        <is>
          <t>NOSFERALTO</t>
        </is>
      </c>
      <c r="D1559" s="33" t="inlineStr">
        <is>
          <t>ARBOK</t>
        </is>
      </c>
      <c r="E1559" s="33" t="n"/>
      <c r="F1559" s="33" t="n"/>
      <c r="G1559" s="33" t="n"/>
      <c r="H1559" s="30" t="inlineStr">
        <is>
          <t>Oui</t>
        </is>
      </c>
    </row>
    <row r="1560">
      <c r="A1560" s="31" t="inlineStr">
        <is>
          <t>Niveau</t>
        </is>
      </c>
      <c r="B1560" s="33" t="n">
        <v>25</v>
      </c>
      <c r="C1560" s="33" t="n">
        <v>25</v>
      </c>
      <c r="D1560" s="33" t="n">
        <v>30</v>
      </c>
      <c r="E1560" s="33" t="n"/>
      <c r="F1560" s="33" t="n"/>
      <c r="G1560" s="33" t="n"/>
      <c r="H1560" s="30" t="inlineStr">
        <is>
          <t>Oui</t>
        </is>
      </c>
    </row>
    <row r="1561">
      <c r="A1561" s="31" t="inlineStr">
        <is>
          <t>Objet</t>
        </is>
      </c>
      <c r="B1561" s="33" t="inlineStr">
        <is>
          <t>Aucun</t>
        </is>
      </c>
      <c r="C1561" s="33" t="inlineStr">
        <is>
          <t>Aucun</t>
        </is>
      </c>
      <c r="D1561" s="33" t="inlineStr">
        <is>
          <t>Aucun</t>
        </is>
      </c>
      <c r="E1561" s="33" t="n"/>
      <c r="F1561" s="33" t="n"/>
      <c r="G1561" s="33" t="n"/>
      <c r="H1561" s="30" t="inlineStr">
        <is>
          <t>Oui</t>
        </is>
      </c>
    </row>
    <row r="1562">
      <c r="A1562" s="31" t="inlineStr">
        <is>
          <t>Talent</t>
        </is>
      </c>
      <c r="B1562" s="33" t="inlineStr">
        <is>
          <t>Attention</t>
        </is>
      </c>
      <c r="C1562" s="33" t="inlineStr">
        <is>
          <t>Attention</t>
        </is>
      </c>
      <c r="D1562" s="33" t="inlineStr">
        <is>
          <t>Intimidation</t>
        </is>
      </c>
      <c r="E1562" s="33" t="n"/>
      <c r="F1562" s="33" t="n"/>
      <c r="G1562" s="33" t="n"/>
      <c r="H1562" s="30" t="inlineStr">
        <is>
          <t>Oui</t>
        </is>
      </c>
    </row>
    <row r="1563">
      <c r="A1563" s="31" t="inlineStr">
        <is>
          <t>Capacités</t>
        </is>
      </c>
      <c r="B1563" s="34" t="inlineStr">
        <is>
          <t>Cru-Ailes</t>
        </is>
      </c>
      <c r="C1563" s="34" t="inlineStr">
        <is>
          <t>Cru-Ailes</t>
        </is>
      </c>
      <c r="D1563" s="34" t="inlineStr">
        <is>
          <t>Stockage</t>
        </is>
      </c>
      <c r="E1563" s="34" t="n"/>
      <c r="F1563" s="34" t="n"/>
      <c r="G1563" s="34" t="n"/>
      <c r="H1563" s="30" t="inlineStr">
        <is>
          <t>Oui</t>
        </is>
      </c>
    </row>
    <row r="1564">
      <c r="A1564" s="31" t="n"/>
      <c r="B1564" s="34" t="inlineStr">
        <is>
          <t>Onde Folie</t>
        </is>
      </c>
      <c r="C1564" s="34" t="inlineStr">
        <is>
          <t>Onde Folie</t>
        </is>
      </c>
      <c r="D1564" s="34" t="inlineStr">
        <is>
          <t>Avale</t>
        </is>
      </c>
      <c r="E1564" s="34" t="n"/>
      <c r="F1564" s="34" t="n"/>
      <c r="G1564" s="34" t="n"/>
      <c r="H1564" s="30" t="inlineStr">
        <is>
          <t>Oui</t>
        </is>
      </c>
    </row>
    <row r="1565">
      <c r="A1565" s="31" t="n"/>
      <c r="B1565" s="34" t="inlineStr">
        <is>
          <t>Tranch'Air</t>
        </is>
      </c>
      <c r="C1565" s="34" t="inlineStr">
        <is>
          <t>Tranch'Air</t>
        </is>
      </c>
      <c r="D1565" s="34" t="inlineStr">
        <is>
          <t>Relâche</t>
        </is>
      </c>
      <c r="E1565" s="34" t="n"/>
      <c r="F1565" s="34" t="n"/>
      <c r="G1565" s="34" t="n"/>
      <c r="H1565" s="30" t="inlineStr">
        <is>
          <t>Oui</t>
        </is>
      </c>
    </row>
    <row r="1566">
      <c r="A1566" s="31" t="n"/>
      <c r="B1566" s="34" t="inlineStr">
        <is>
          <t>Météores</t>
        </is>
      </c>
      <c r="C1566" s="34" t="inlineStr">
        <is>
          <t>Météores</t>
        </is>
      </c>
      <c r="D1566" s="34" t="inlineStr">
        <is>
          <t>Crochet Venin</t>
        </is>
      </c>
      <c r="E1566" s="34" t="n"/>
      <c r="F1566" s="34" t="n"/>
      <c r="G1566" s="34" t="n"/>
      <c r="H1566" s="30" t="inlineStr">
        <is>
          <t>Oui</t>
        </is>
      </c>
    </row>
    <row r="1567">
      <c r="A1567" s="31" t="inlineStr">
        <is>
          <t>Nom</t>
        </is>
      </c>
      <c r="B1567" s="32" t="inlineStr">
        <is>
          <t>Rocket Sbire</t>
        </is>
      </c>
      <c r="C1567" s="32" t="n"/>
      <c r="D1567" s="32" t="n"/>
      <c r="E1567" s="32" t="n"/>
      <c r="F1567" s="32" t="n"/>
      <c r="G1567" s="32" t="n"/>
      <c r="H1567" s="30" t="inlineStr">
        <is>
          <t>Oui</t>
        </is>
      </c>
    </row>
    <row r="1568">
      <c r="A1568" s="31" t="inlineStr">
        <is>
          <t>Pokémon</t>
        </is>
      </c>
      <c r="B1568" s="33" t="inlineStr">
        <is>
          <t>NOSFERALTO</t>
        </is>
      </c>
      <c r="C1568" s="33" t="n"/>
      <c r="D1568" s="33" t="n"/>
      <c r="E1568" s="33" t="n"/>
      <c r="F1568" s="33" t="n"/>
      <c r="G1568" s="33" t="n"/>
      <c r="H1568" s="30" t="inlineStr">
        <is>
          <t>Oui</t>
        </is>
      </c>
    </row>
    <row r="1569">
      <c r="A1569" s="31" t="inlineStr">
        <is>
          <t>Niveau</t>
        </is>
      </c>
      <c r="B1569" s="33" t="n">
        <v>29</v>
      </c>
      <c r="C1569" s="33" t="n"/>
      <c r="D1569" s="33" t="n"/>
      <c r="E1569" s="33" t="n"/>
      <c r="F1569" s="33" t="n"/>
      <c r="G1569" s="33" t="n"/>
      <c r="H1569" s="30" t="inlineStr">
        <is>
          <t>Oui</t>
        </is>
      </c>
    </row>
    <row r="1570">
      <c r="A1570" s="31" t="inlineStr">
        <is>
          <t>Objet</t>
        </is>
      </c>
      <c r="B1570" s="33" t="inlineStr">
        <is>
          <t>Aucun</t>
        </is>
      </c>
      <c r="C1570" s="33" t="n"/>
      <c r="D1570" s="33" t="n"/>
      <c r="E1570" s="33" t="n"/>
      <c r="F1570" s="33" t="n"/>
      <c r="G1570" s="33" t="n"/>
      <c r="H1570" s="30" t="inlineStr">
        <is>
          <t>Oui</t>
        </is>
      </c>
    </row>
    <row r="1571">
      <c r="A1571" s="31" t="inlineStr">
        <is>
          <t>Talent</t>
        </is>
      </c>
      <c r="B1571" s="33" t="inlineStr">
        <is>
          <t>Attention</t>
        </is>
      </c>
      <c r="C1571" s="33" t="n"/>
      <c r="D1571" s="33" t="n"/>
      <c r="E1571" s="33" t="n"/>
      <c r="F1571" s="33" t="n"/>
      <c r="G1571" s="33" t="n"/>
      <c r="H1571" s="30" t="inlineStr">
        <is>
          <t>Oui</t>
        </is>
      </c>
    </row>
    <row r="1572">
      <c r="A1572" s="31" t="inlineStr">
        <is>
          <t>Capacités</t>
        </is>
      </c>
      <c r="B1572" s="34" t="inlineStr">
        <is>
          <t>Onde Folie</t>
        </is>
      </c>
      <c r="C1572" s="34" t="n"/>
      <c r="D1572" s="34" t="n"/>
      <c r="E1572" s="34" t="n"/>
      <c r="F1572" s="34" t="n"/>
      <c r="G1572" s="34" t="n"/>
      <c r="H1572" s="30" t="inlineStr">
        <is>
          <t>Oui</t>
        </is>
      </c>
    </row>
    <row r="1573">
      <c r="A1573" s="31" t="n"/>
      <c r="B1573" s="34" t="inlineStr">
        <is>
          <t>Tranch'Air</t>
        </is>
      </c>
      <c r="C1573" s="34" t="n"/>
      <c r="D1573" s="34" t="n"/>
      <c r="E1573" s="34" t="n"/>
      <c r="F1573" s="34" t="n"/>
      <c r="G1573" s="34" t="n"/>
      <c r="H1573" s="30" t="inlineStr">
        <is>
          <t>Oui</t>
        </is>
      </c>
    </row>
    <row r="1574">
      <c r="A1574" s="31" t="n"/>
      <c r="B1574" s="34" t="inlineStr">
        <is>
          <t>Météores</t>
        </is>
      </c>
      <c r="C1574" s="34" t="n"/>
      <c r="D1574" s="34" t="n"/>
      <c r="E1574" s="34" t="n"/>
      <c r="F1574" s="34" t="n"/>
      <c r="G1574" s="34" t="n"/>
      <c r="H1574" s="30" t="inlineStr">
        <is>
          <t>Oui</t>
        </is>
      </c>
    </row>
    <row r="1575">
      <c r="A1575" s="31" t="n"/>
      <c r="B1575" s="34" t="inlineStr">
        <is>
          <t>Crochet Venin</t>
        </is>
      </c>
      <c r="C1575" s="34" t="n"/>
      <c r="D1575" s="34" t="n"/>
      <c r="E1575" s="34" t="n"/>
      <c r="F1575" s="34" t="n"/>
      <c r="G1575" s="34" t="n"/>
      <c r="H1575" s="30" t="inlineStr">
        <is>
          <t>Oui</t>
        </is>
      </c>
    </row>
    <row r="1576">
      <c r="A1576" s="31" t="inlineStr">
        <is>
          <t>Nom</t>
        </is>
      </c>
      <c r="B1576" s="32" t="inlineStr">
        <is>
          <t>Rocket Sbire</t>
        </is>
      </c>
      <c r="C1576" s="32" t="n"/>
      <c r="D1576" s="32" t="n"/>
      <c r="E1576" s="32" t="n"/>
      <c r="F1576" s="32" t="n"/>
      <c r="G1576" s="32" t="n"/>
      <c r="H1576" s="30" t="inlineStr">
        <is>
          <t>Oui</t>
        </is>
      </c>
    </row>
    <row r="1577">
      <c r="A1577" s="31" t="inlineStr">
        <is>
          <t>Pokémon</t>
        </is>
      </c>
      <c r="B1577" s="33" t="inlineStr">
        <is>
          <t>RATTATAC</t>
        </is>
      </c>
      <c r="C1577" s="33" t="inlineStr">
        <is>
          <t>TADMORV</t>
        </is>
      </c>
      <c r="D1577" s="33" t="inlineStr">
        <is>
          <t>NOSFERALTO</t>
        </is>
      </c>
      <c r="E1577" s="33" t="n"/>
      <c r="F1577" s="33" t="n"/>
      <c r="G1577" s="33" t="n"/>
      <c r="H1577" s="30" t="inlineStr">
        <is>
          <t>Oui</t>
        </is>
      </c>
    </row>
    <row r="1578">
      <c r="A1578" s="31" t="inlineStr">
        <is>
          <t>Niveau</t>
        </is>
      </c>
      <c r="B1578" s="33" t="n">
        <v>26</v>
      </c>
      <c r="C1578" s="33" t="n">
        <v>27</v>
      </c>
      <c r="D1578" s="33" t="n">
        <v>26</v>
      </c>
      <c r="E1578" s="33" t="n"/>
      <c r="F1578" s="33" t="n"/>
      <c r="G1578" s="33" t="n"/>
      <c r="H1578" s="30" t="inlineStr">
        <is>
          <t>Oui</t>
        </is>
      </c>
    </row>
    <row r="1579">
      <c r="A1579" s="31" t="inlineStr">
        <is>
          <t>Objet</t>
        </is>
      </c>
      <c r="B1579" s="33" t="inlineStr">
        <is>
          <t>Aucun</t>
        </is>
      </c>
      <c r="C1579" s="33" t="inlineStr">
        <is>
          <t>Aucun</t>
        </is>
      </c>
      <c r="D1579" s="33" t="inlineStr">
        <is>
          <t>Aucun</t>
        </is>
      </c>
      <c r="E1579" s="33" t="n"/>
      <c r="F1579" s="33" t="n"/>
      <c r="G1579" s="33" t="n"/>
      <c r="H1579" s="30" t="inlineStr">
        <is>
          <t>Oui</t>
        </is>
      </c>
    </row>
    <row r="1580">
      <c r="A1580" s="31" t="inlineStr">
        <is>
          <t>Talent</t>
        </is>
      </c>
      <c r="B1580" s="33" t="inlineStr">
        <is>
          <t>Fuite</t>
        </is>
      </c>
      <c r="C1580" s="33" t="inlineStr">
        <is>
          <t>Puanteur</t>
        </is>
      </c>
      <c r="D1580" s="33" t="inlineStr">
        <is>
          <t>Attention</t>
        </is>
      </c>
      <c r="E1580" s="33" t="n"/>
      <c r="F1580" s="33" t="n"/>
      <c r="G1580" s="33" t="n"/>
      <c r="H1580" s="30" t="inlineStr">
        <is>
          <t>Oui</t>
        </is>
      </c>
    </row>
    <row r="1581">
      <c r="A1581" s="31" t="inlineStr">
        <is>
          <t>Capacités</t>
        </is>
      </c>
      <c r="B1581" s="34" t="inlineStr">
        <is>
          <t>Poursuite</t>
        </is>
      </c>
      <c r="C1581" s="34" t="inlineStr">
        <is>
          <t>Détritus</t>
        </is>
      </c>
      <c r="D1581" s="34" t="inlineStr">
        <is>
          <t>Cru-Ailes</t>
        </is>
      </c>
      <c r="E1581" s="34" t="n"/>
      <c r="F1581" s="34" t="n"/>
      <c r="G1581" s="34" t="n"/>
      <c r="H1581" s="30" t="inlineStr">
        <is>
          <t>Oui</t>
        </is>
      </c>
    </row>
    <row r="1582">
      <c r="A1582" s="31" t="n"/>
      <c r="B1582" s="34" t="inlineStr">
        <is>
          <t>Croc de Mort</t>
        </is>
      </c>
      <c r="C1582" s="34" t="inlineStr">
        <is>
          <t>Boue-Bombe</t>
        </is>
      </c>
      <c r="D1582" s="34" t="inlineStr">
        <is>
          <t>Onde Folie</t>
        </is>
      </c>
      <c r="E1582" s="34" t="n"/>
      <c r="F1582" s="34" t="n"/>
      <c r="G1582" s="34" t="n"/>
      <c r="H1582" s="30" t="inlineStr">
        <is>
          <t>Oui</t>
        </is>
      </c>
    </row>
    <row r="1583">
      <c r="A1583" s="31" t="n"/>
      <c r="B1583" s="34" t="inlineStr">
        <is>
          <t>Assurance</t>
        </is>
      </c>
      <c r="C1583" s="34" t="inlineStr">
        <is>
          <t>Lilliput</t>
        </is>
      </c>
      <c r="D1583" s="34" t="inlineStr">
        <is>
          <t>Tranch'Air</t>
        </is>
      </c>
      <c r="E1583" s="34" t="n"/>
      <c r="F1583" s="34" t="n"/>
      <c r="G1583" s="34" t="n"/>
      <c r="H1583" s="30" t="inlineStr">
        <is>
          <t>Oui</t>
        </is>
      </c>
    </row>
    <row r="1584">
      <c r="A1584" s="31" t="n"/>
      <c r="B1584" s="34" t="inlineStr">
        <is>
          <t>Mâchouille</t>
        </is>
      </c>
      <c r="C1584" s="34" t="inlineStr">
        <is>
          <t>Dégommage</t>
        </is>
      </c>
      <c r="D1584" s="34" t="inlineStr">
        <is>
          <t>Météores</t>
        </is>
      </c>
      <c r="E1584" s="34" t="n"/>
      <c r="F1584" s="34" t="n"/>
      <c r="G1584" s="34" t="n"/>
      <c r="H1584" s="30" t="inlineStr">
        <is>
          <t>Oui</t>
        </is>
      </c>
    </row>
    <row r="1585">
      <c r="A1585" s="31" t="inlineStr">
        <is>
          <t>Nom</t>
        </is>
      </c>
      <c r="B1585" s="32" t="inlineStr">
        <is>
          <t>Rocket Sbire</t>
        </is>
      </c>
      <c r="C1585" s="32" t="n"/>
      <c r="D1585" s="32" t="n"/>
      <c r="E1585" s="32" t="n"/>
      <c r="F1585" s="32" t="n"/>
      <c r="G1585" s="32" t="n"/>
      <c r="H1585" s="30" t="inlineStr">
        <is>
          <t>Oui</t>
        </is>
      </c>
    </row>
    <row r="1586">
      <c r="A1586" s="31" t="inlineStr">
        <is>
          <t>Pokémon</t>
        </is>
      </c>
      <c r="B1586" s="33" t="inlineStr">
        <is>
          <t>AEROMITE</t>
        </is>
      </c>
      <c r="C1586" s="33" t="n"/>
      <c r="D1586" s="33" t="n"/>
      <c r="E1586" s="33" t="n"/>
      <c r="F1586" s="33" t="n"/>
      <c r="G1586" s="33" t="n"/>
      <c r="H1586" s="30" t="inlineStr">
        <is>
          <t>Oui</t>
        </is>
      </c>
    </row>
    <row r="1587">
      <c r="A1587" s="31" t="inlineStr">
        <is>
          <t>Niveau</t>
        </is>
      </c>
      <c r="B1587" s="33" t="n">
        <v>31</v>
      </c>
      <c r="C1587" s="33" t="n"/>
      <c r="D1587" s="33" t="n"/>
      <c r="E1587" s="33" t="n"/>
      <c r="F1587" s="33" t="n"/>
      <c r="G1587" s="33" t="n"/>
      <c r="H1587" s="30" t="inlineStr">
        <is>
          <t>Oui</t>
        </is>
      </c>
    </row>
    <row r="1588">
      <c r="A1588" s="31" t="inlineStr">
        <is>
          <t>Objet</t>
        </is>
      </c>
      <c r="B1588" s="33" t="inlineStr">
        <is>
          <t>Aucun</t>
        </is>
      </c>
      <c r="C1588" s="33" t="n"/>
      <c r="D1588" s="33" t="n"/>
      <c r="E1588" s="33" t="n"/>
      <c r="F1588" s="33" t="n"/>
      <c r="G1588" s="33" t="n"/>
      <c r="H1588" s="30" t="inlineStr">
        <is>
          <t>Oui</t>
        </is>
      </c>
    </row>
    <row r="1589">
      <c r="A1589" s="31" t="inlineStr">
        <is>
          <t>Talent</t>
        </is>
      </c>
      <c r="B1589" s="33" t="inlineStr">
        <is>
          <t>Écran Poudre</t>
        </is>
      </c>
      <c r="C1589" s="33" t="n"/>
      <c r="D1589" s="33" t="n"/>
      <c r="E1589" s="33" t="n"/>
      <c r="F1589" s="33" t="n"/>
      <c r="G1589" s="33" t="n"/>
      <c r="H1589" s="30" t="inlineStr">
        <is>
          <t>Oui</t>
        </is>
      </c>
    </row>
    <row r="1590">
      <c r="A1590" s="31" t="inlineStr">
        <is>
          <t>Capacités</t>
        </is>
      </c>
      <c r="B1590" s="34" t="inlineStr">
        <is>
          <t>Rafale Psy</t>
        </is>
      </c>
      <c r="C1590" s="34" t="n"/>
      <c r="D1590" s="34" t="n"/>
      <c r="E1590" s="34" t="n"/>
      <c r="F1590" s="34" t="n"/>
      <c r="G1590" s="34" t="n"/>
      <c r="H1590" s="30" t="inlineStr">
        <is>
          <t>Oui</t>
        </is>
      </c>
    </row>
    <row r="1591">
      <c r="A1591" s="31" t="n"/>
      <c r="B1591" s="34" t="inlineStr">
        <is>
          <t>Para-Spore</t>
        </is>
      </c>
      <c r="C1591" s="34" t="n"/>
      <c r="D1591" s="34" t="n"/>
      <c r="E1591" s="34" t="n"/>
      <c r="F1591" s="34" t="n"/>
      <c r="G1591" s="34" t="n"/>
      <c r="H1591" s="30" t="inlineStr">
        <is>
          <t>Oui</t>
        </is>
      </c>
    </row>
    <row r="1592">
      <c r="A1592" s="31" t="n"/>
      <c r="B1592" s="34" t="inlineStr">
        <is>
          <t>Rayon Signal</t>
        </is>
      </c>
      <c r="C1592" s="34" t="n"/>
      <c r="D1592" s="34" t="n"/>
      <c r="E1592" s="34" t="n"/>
      <c r="F1592" s="34" t="n"/>
      <c r="G1592" s="34" t="n"/>
      <c r="H1592" s="30" t="inlineStr">
        <is>
          <t>Oui</t>
        </is>
      </c>
    </row>
    <row r="1593">
      <c r="A1593" s="31" t="n"/>
      <c r="B1593" s="34" t="inlineStr">
        <is>
          <t>Poudre Dodo</t>
        </is>
      </c>
      <c r="C1593" s="34" t="n"/>
      <c r="D1593" s="34" t="n"/>
      <c r="E1593" s="34" t="n"/>
      <c r="F1593" s="34" t="n"/>
      <c r="G1593" s="34" t="n"/>
      <c r="H1593" s="30" t="inlineStr">
        <is>
          <t>Oui</t>
        </is>
      </c>
    </row>
    <row r="1594" ht="18" customHeight="1">
      <c r="A1594" s="26" t="inlineStr">
        <is>
          <t>Repaire Rocket — B3F</t>
        </is>
      </c>
      <c r="B1594" s="26" t="n"/>
      <c r="C1594" s="26" t="n"/>
      <c r="D1594" s="26" t="n"/>
      <c r="E1594" s="26" t="n"/>
      <c r="F1594" s="26" t="n"/>
      <c r="G1594" s="26" t="n"/>
      <c r="H1594" s="30" t="inlineStr">
        <is>
          <t>Oui</t>
        </is>
      </c>
    </row>
    <row r="1595">
      <c r="A1595" s="31" t="inlineStr">
        <is>
          <t>Nom</t>
        </is>
      </c>
      <c r="B1595" s="32" t="inlineStr">
        <is>
          <t>Rocket Sbire</t>
        </is>
      </c>
      <c r="C1595" s="32" t="n"/>
      <c r="D1595" s="32" t="n"/>
      <c r="E1595" s="32" t="n"/>
      <c r="F1595" s="32" t="n"/>
      <c r="G1595" s="32" t="n"/>
      <c r="H1595" s="30" t="inlineStr">
        <is>
          <t>Oui</t>
        </is>
      </c>
    </row>
    <row r="1596">
      <c r="A1596" s="31" t="inlineStr">
        <is>
          <t>Pokémon</t>
        </is>
      </c>
      <c r="B1596" s="33" t="inlineStr">
        <is>
          <t>ARBOK</t>
        </is>
      </c>
      <c r="C1596" s="33" t="inlineStr">
        <is>
          <t>FARFURET</t>
        </is>
      </c>
      <c r="D1596" s="33" t="n"/>
      <c r="E1596" s="33" t="n"/>
      <c r="F1596" s="33" t="n"/>
      <c r="G1596" s="33" t="n"/>
      <c r="H1596" s="30" t="inlineStr">
        <is>
          <t>Oui</t>
        </is>
      </c>
    </row>
    <row r="1597">
      <c r="A1597" s="31" t="inlineStr">
        <is>
          <t>Niveau</t>
        </is>
      </c>
      <c r="B1597" s="33" t="n">
        <v>28</v>
      </c>
      <c r="C1597" s="33" t="n">
        <v>28</v>
      </c>
      <c r="D1597" s="33" t="n"/>
      <c r="E1597" s="33" t="n"/>
      <c r="F1597" s="33" t="n"/>
      <c r="G1597" s="33" t="n"/>
      <c r="H1597" s="30" t="inlineStr">
        <is>
          <t>Oui</t>
        </is>
      </c>
    </row>
    <row r="1598">
      <c r="A1598" s="31" t="inlineStr">
        <is>
          <t>Objet</t>
        </is>
      </c>
      <c r="B1598" s="33" t="inlineStr">
        <is>
          <t>Aucun</t>
        </is>
      </c>
      <c r="C1598" s="33" t="inlineStr">
        <is>
          <t>Aucun</t>
        </is>
      </c>
      <c r="D1598" s="33" t="n"/>
      <c r="E1598" s="33" t="n"/>
      <c r="F1598" s="33" t="n"/>
      <c r="G1598" s="33" t="n"/>
      <c r="H1598" s="30" t="inlineStr">
        <is>
          <t>Oui</t>
        </is>
      </c>
    </row>
    <row r="1599">
      <c r="A1599" s="31" t="inlineStr">
        <is>
          <t>Talent</t>
        </is>
      </c>
      <c r="B1599" s="33" t="inlineStr">
        <is>
          <t>Intimidation</t>
        </is>
      </c>
      <c r="C1599" s="33" t="inlineStr">
        <is>
          <t>Attention</t>
        </is>
      </c>
      <c r="D1599" s="33" t="n"/>
      <c r="E1599" s="33" t="n"/>
      <c r="F1599" s="33" t="n"/>
      <c r="G1599" s="33" t="n"/>
      <c r="H1599" s="30" t="inlineStr">
        <is>
          <t>Oui</t>
        </is>
      </c>
    </row>
    <row r="1600">
      <c r="A1600" s="31" t="inlineStr">
        <is>
          <t>Capacités</t>
        </is>
      </c>
      <c r="B1600" s="34" t="inlineStr">
        <is>
          <t>Acide</t>
        </is>
      </c>
      <c r="C1600" s="34" t="inlineStr">
        <is>
          <t>Hâte</t>
        </is>
      </c>
      <c r="D1600" s="34" t="n"/>
      <c r="E1600" s="34" t="n"/>
      <c r="F1600" s="34" t="n"/>
      <c r="G1600" s="34" t="n"/>
      <c r="H1600" s="30" t="inlineStr">
        <is>
          <t>Oui</t>
        </is>
      </c>
    </row>
    <row r="1601">
      <c r="A1601" s="31" t="n"/>
      <c r="B1601" s="34" t="inlineStr">
        <is>
          <t>Stockage</t>
        </is>
      </c>
      <c r="C1601" s="34" t="inlineStr">
        <is>
          <t>Griffe Acier</t>
        </is>
      </c>
      <c r="D1601" s="34" t="n"/>
      <c r="E1601" s="34" t="n"/>
      <c r="F1601" s="34" t="n"/>
      <c r="G1601" s="34" t="n"/>
      <c r="H1601" s="30" t="inlineStr">
        <is>
          <t>Oui</t>
        </is>
      </c>
    </row>
    <row r="1602">
      <c r="A1602" s="31" t="n"/>
      <c r="B1602" s="34" t="inlineStr">
        <is>
          <t>Avale</t>
        </is>
      </c>
      <c r="C1602" s="34" t="inlineStr">
        <is>
          <t>Aiguisage</t>
        </is>
      </c>
      <c r="D1602" s="34" t="n"/>
      <c r="E1602" s="34" t="n"/>
      <c r="F1602" s="34" t="n"/>
      <c r="G1602" s="34" t="n"/>
      <c r="H1602" s="30" t="inlineStr">
        <is>
          <t>Oui</t>
        </is>
      </c>
    </row>
    <row r="1603">
      <c r="A1603" s="31" t="n"/>
      <c r="B1603" s="34" t="inlineStr">
        <is>
          <t>Relâche</t>
        </is>
      </c>
      <c r="C1603" s="34" t="inlineStr">
        <is>
          <t>Baston</t>
        </is>
      </c>
      <c r="D1603" s="34" t="n"/>
      <c r="E1603" s="34" t="n"/>
      <c r="F1603" s="34" t="n"/>
      <c r="G1603" s="34" t="n"/>
      <c r="H1603" s="30" t="inlineStr">
        <is>
          <t>Oui</t>
        </is>
      </c>
    </row>
    <row r="1604">
      <c r="A1604" s="31" t="inlineStr">
        <is>
          <t>Nom</t>
        </is>
      </c>
      <c r="B1604" s="32" t="inlineStr">
        <is>
          <t>Rocket Eto</t>
        </is>
      </c>
      <c r="C1604" s="32" t="n"/>
      <c r="D1604" s="32" t="n"/>
      <c r="E1604" s="32" t="n"/>
      <c r="F1604" s="32" t="n"/>
      <c r="G1604" s="32" t="n"/>
      <c r="H1604" s="30" t="inlineStr">
        <is>
          <t>Oui</t>
        </is>
      </c>
    </row>
    <row r="1605">
      <c r="A1605" s="31" t="inlineStr">
        <is>
          <t>Pokémon</t>
        </is>
      </c>
      <c r="B1605" s="33" t="inlineStr">
        <is>
          <t>LIPPOUTOU</t>
        </is>
      </c>
      <c r="C1605" s="33" t="inlineStr">
        <is>
          <t>TETARTE</t>
        </is>
      </c>
      <c r="D1605" s="33" t="inlineStr">
        <is>
          <t>MAGMAR</t>
        </is>
      </c>
      <c r="E1605" s="33" t="inlineStr">
        <is>
          <t>ELEKTEK</t>
        </is>
      </c>
      <c r="F1605" s="33" t="n"/>
      <c r="G1605" s="33" t="n"/>
      <c r="H1605" s="30" t="inlineStr">
        <is>
          <t>Oui</t>
        </is>
      </c>
    </row>
    <row r="1606">
      <c r="A1606" s="31" t="inlineStr">
        <is>
          <t>Niveau</t>
        </is>
      </c>
      <c r="B1606" s="33" t="n">
        <v>28</v>
      </c>
      <c r="C1606" s="33" t="n">
        <v>28</v>
      </c>
      <c r="D1606" s="33" t="n">
        <v>28</v>
      </c>
      <c r="E1606" s="33" t="n">
        <v>28</v>
      </c>
      <c r="F1606" s="33" t="n"/>
      <c r="G1606" s="33" t="n"/>
      <c r="H1606" s="30" t="inlineStr">
        <is>
          <t>Oui</t>
        </is>
      </c>
    </row>
    <row r="1607">
      <c r="A1607" s="31" t="inlineStr">
        <is>
          <t>Objet</t>
        </is>
      </c>
      <c r="B1607" s="33" t="inlineStr">
        <is>
          <t>Aucun</t>
        </is>
      </c>
      <c r="C1607" s="33" t="inlineStr">
        <is>
          <t>Aucun</t>
        </is>
      </c>
      <c r="D1607" s="33" t="inlineStr">
        <is>
          <t>Aucun</t>
        </is>
      </c>
      <c r="E1607" s="33" t="inlineStr">
        <is>
          <t>Aucun</t>
        </is>
      </c>
      <c r="F1607" s="33" t="n"/>
      <c r="G1607" s="33" t="n"/>
      <c r="H1607" s="30" t="inlineStr">
        <is>
          <t>Oui</t>
        </is>
      </c>
    </row>
    <row r="1608">
      <c r="A1608" s="31" t="inlineStr">
        <is>
          <t>Talent</t>
        </is>
      </c>
      <c r="B1608" s="33" t="inlineStr">
        <is>
          <t>Benêt</t>
        </is>
      </c>
      <c r="C1608" s="33" t="inlineStr">
        <is>
          <t>Absorbe-Eau</t>
        </is>
      </c>
      <c r="D1608" s="33" t="inlineStr">
        <is>
          <t>Corps Ardent</t>
        </is>
      </c>
      <c r="E1608" s="33" t="inlineStr">
        <is>
          <t>Statik</t>
        </is>
      </c>
      <c r="F1608" s="33" t="n"/>
      <c r="G1608" s="33" t="n"/>
      <c r="H1608" s="30" t="inlineStr">
        <is>
          <t>Oui</t>
        </is>
      </c>
    </row>
    <row r="1609">
      <c r="A1609" s="31" t="inlineStr">
        <is>
          <t>Capacités</t>
        </is>
      </c>
      <c r="B1609" s="34" t="inlineStr">
        <is>
          <t>Poing Glace</t>
        </is>
      </c>
      <c r="C1609" s="34" t="inlineStr">
        <is>
          <t>Torgnoles</t>
        </is>
      </c>
      <c r="D1609" s="34" t="inlineStr">
        <is>
          <t>Danse Flammes</t>
        </is>
      </c>
      <c r="E1609" s="34" t="inlineStr">
        <is>
          <t>Onde de Choc</t>
        </is>
      </c>
      <c r="F1609" s="34" t="n"/>
      <c r="G1609" s="34" t="n"/>
      <c r="H1609" s="30" t="inlineStr">
        <is>
          <t>Oui</t>
        </is>
      </c>
    </row>
    <row r="1610">
      <c r="A1610" s="31" t="n"/>
      <c r="B1610" s="34" t="inlineStr">
        <is>
          <t>Crève-Cœur</t>
        </is>
      </c>
      <c r="C1610" s="34" t="inlineStr">
        <is>
          <t>Danse Pluie</t>
        </is>
      </c>
      <c r="D1610" s="34" t="inlineStr">
        <is>
          <t>Bain de Smog</t>
        </is>
      </c>
      <c r="E1610" s="34" t="inlineStr">
        <is>
          <t>Cage Éclair</t>
        </is>
      </c>
      <c r="F1610" s="34" t="n"/>
      <c r="G1610" s="34" t="n"/>
      <c r="H1610" s="30" t="inlineStr">
        <is>
          <t>Oui</t>
        </is>
      </c>
    </row>
    <row r="1611">
      <c r="A1611" s="31" t="n"/>
      <c r="B1611" s="34" t="inlineStr">
        <is>
          <t>Regard Noir</t>
        </is>
      </c>
      <c r="C1611" s="34" t="inlineStr">
        <is>
          <t>Plaquage</t>
        </is>
      </c>
      <c r="D1611" s="34" t="inlineStr">
        <is>
          <t>Rebondifeu</t>
        </is>
      </c>
      <c r="E1611" s="34" t="inlineStr">
        <is>
          <t>Boule Élek</t>
        </is>
      </c>
      <c r="F1611" s="34" t="n"/>
      <c r="G1611" s="34" t="n"/>
      <c r="H1611" s="30" t="inlineStr">
        <is>
          <t>Oui</t>
        </is>
      </c>
    </row>
    <row r="1612">
      <c r="A1612" s="31" t="n"/>
      <c r="B1612" s="34" t="inlineStr">
        <is>
          <t>Croco Larme</t>
        </is>
      </c>
      <c r="C1612" s="34" t="inlineStr">
        <is>
          <t>Bulles d'O</t>
        </is>
      </c>
      <c r="D1612" s="34" t="inlineStr">
        <is>
          <t>Onde Folie</t>
        </is>
      </c>
      <c r="E1612" s="34" t="inlineStr">
        <is>
          <t>Mur Lumière</t>
        </is>
      </c>
      <c r="F1612" s="34" t="n"/>
      <c r="G1612" s="34" t="n"/>
      <c r="H1612" s="30" t="inlineStr">
        <is>
          <t>Oui</t>
        </is>
      </c>
    </row>
    <row r="1613">
      <c r="A1613" s="31" t="inlineStr">
        <is>
          <t>Nom</t>
        </is>
      </c>
      <c r="B1613" s="32" t="inlineStr">
        <is>
          <t>Collec Zéphyr</t>
        </is>
      </c>
      <c r="C1613" s="32" t="n"/>
      <c r="D1613" s="32" t="n"/>
      <c r="E1613" s="32" t="n"/>
      <c r="F1613" s="32" t="n"/>
      <c r="G1613" s="32" t="n"/>
      <c r="H1613" s="30" t="inlineStr">
        <is>
          <t>Oui</t>
        </is>
      </c>
    </row>
    <row r="1614">
      <c r="A1614" s="31" t="inlineStr">
        <is>
          <t>Pokémon</t>
        </is>
      </c>
      <c r="B1614" s="33" t="inlineStr">
        <is>
          <t>SMOGO</t>
        </is>
      </c>
      <c r="C1614" s="33" t="inlineStr">
        <is>
          <t>RAICHU</t>
        </is>
      </c>
      <c r="D1614" s="33" t="n"/>
      <c r="E1614" s="33" t="n"/>
      <c r="F1614" s="33" t="n"/>
      <c r="G1614" s="33" t="n"/>
      <c r="H1614" s="30" t="inlineStr">
        <is>
          <t>Oui</t>
        </is>
      </c>
    </row>
    <row r="1615">
      <c r="A1615" s="31" t="inlineStr">
        <is>
          <t>Niveau</t>
        </is>
      </c>
      <c r="B1615" s="33" t="n">
        <v>28</v>
      </c>
      <c r="C1615" s="33" t="n">
        <v>28</v>
      </c>
      <c r="D1615" s="33" t="n"/>
      <c r="E1615" s="33" t="n"/>
      <c r="F1615" s="33" t="n"/>
      <c r="G1615" s="33" t="n"/>
      <c r="H1615" s="30" t="inlineStr">
        <is>
          <t>Oui</t>
        </is>
      </c>
    </row>
    <row r="1616">
      <c r="A1616" s="31" t="inlineStr">
        <is>
          <t>Objet</t>
        </is>
      </c>
      <c r="B1616" s="33" t="inlineStr">
        <is>
          <t>Aucun</t>
        </is>
      </c>
      <c r="C1616" s="33" t="inlineStr">
        <is>
          <t>Aucun</t>
        </is>
      </c>
      <c r="D1616" s="33" t="n"/>
      <c r="E1616" s="33" t="n"/>
      <c r="F1616" s="33" t="n"/>
      <c r="G1616" s="33" t="n"/>
      <c r="H1616" s="30" t="inlineStr">
        <is>
          <t>Oui</t>
        </is>
      </c>
    </row>
    <row r="1617">
      <c r="A1617" s="31" t="inlineStr">
        <is>
          <t>Talent</t>
        </is>
      </c>
      <c r="B1617" s="33" t="inlineStr">
        <is>
          <t>Lévitation</t>
        </is>
      </c>
      <c r="C1617" s="33" t="inlineStr">
        <is>
          <t>Statik</t>
        </is>
      </c>
      <c r="D1617" s="33" t="n"/>
      <c r="E1617" s="33" t="n"/>
      <c r="F1617" s="33" t="n"/>
      <c r="G1617" s="33" t="n"/>
      <c r="H1617" s="30" t="inlineStr">
        <is>
          <t>Oui</t>
        </is>
      </c>
    </row>
    <row r="1618">
      <c r="A1618" s="31" t="inlineStr">
        <is>
          <t>Capacités</t>
        </is>
      </c>
      <c r="B1618" s="34" t="inlineStr">
        <is>
          <t>Bain de Smog</t>
        </is>
      </c>
      <c r="C1618" s="34" t="inlineStr">
        <is>
          <t>Éclair</t>
        </is>
      </c>
      <c r="D1618" s="34" t="n"/>
      <c r="E1618" s="34" t="n"/>
      <c r="F1618" s="34" t="n"/>
      <c r="G1618" s="34" t="n"/>
      <c r="H1618" s="30" t="inlineStr">
        <is>
          <t>Oui</t>
        </is>
      </c>
    </row>
    <row r="1619">
      <c r="A1619" s="31" t="n"/>
      <c r="B1619" s="34" t="inlineStr">
        <is>
          <t>Détritus</t>
        </is>
      </c>
      <c r="C1619" s="34" t="inlineStr">
        <is>
          <t>Mimi-Queue</t>
        </is>
      </c>
      <c r="D1619" s="34" t="n"/>
      <c r="E1619" s="34" t="n"/>
      <c r="F1619" s="34" t="n"/>
      <c r="G1619" s="34" t="n"/>
      <c r="H1619" s="30" t="inlineStr">
        <is>
          <t>Oui</t>
        </is>
      </c>
    </row>
    <row r="1620">
      <c r="A1620" s="31" t="n"/>
      <c r="B1620" s="34" t="inlineStr">
        <is>
          <t>Destruction</t>
        </is>
      </c>
      <c r="C1620" s="34" t="inlineStr">
        <is>
          <t>Vive-Attaque</t>
        </is>
      </c>
      <c r="D1620" s="34" t="n"/>
      <c r="E1620" s="34" t="n"/>
      <c r="F1620" s="34" t="n"/>
      <c r="G1620" s="34" t="n"/>
      <c r="H1620" s="30" t="inlineStr">
        <is>
          <t>Oui</t>
        </is>
      </c>
    </row>
    <row r="1621">
      <c r="A1621" s="31" t="n"/>
      <c r="B1621" s="34" t="inlineStr">
        <is>
          <t>Buée Noire</t>
        </is>
      </c>
      <c r="C1621" s="34" t="inlineStr">
        <is>
          <t>Tonnerre</t>
        </is>
      </c>
      <c r="D1621" s="34" t="n"/>
      <c r="E1621" s="34" t="n"/>
      <c r="F1621" s="34" t="n"/>
      <c r="G1621" s="34" t="n"/>
      <c r="H1621" s="30" t="inlineStr">
        <is>
          <t>Oui</t>
        </is>
      </c>
    </row>
    <row r="1622">
      <c r="A1622" s="31" t="inlineStr">
        <is>
          <t>Nom</t>
        </is>
      </c>
      <c r="B1622" s="32" t="inlineStr">
        <is>
          <t>Collec Florin</t>
        </is>
      </c>
      <c r="C1622" s="32" t="n"/>
      <c r="D1622" s="32" t="n"/>
      <c r="E1622" s="32" t="n"/>
      <c r="F1622" s="32" t="n"/>
      <c r="G1622" s="32" t="n"/>
      <c r="H1622" s="30" t="inlineStr">
        <is>
          <t>Oui</t>
        </is>
      </c>
    </row>
    <row r="1623">
      <c r="A1623" s="31" t="inlineStr">
        <is>
          <t>Pokémon</t>
        </is>
      </c>
      <c r="B1623" s="33" t="inlineStr">
        <is>
          <t>ELECTRODE</t>
        </is>
      </c>
      <c r="C1623" s="33" t="n"/>
      <c r="D1623" s="33" t="n"/>
      <c r="E1623" s="33" t="n"/>
      <c r="F1623" s="33" t="n"/>
      <c r="G1623" s="33" t="n"/>
      <c r="H1623" s="30" t="inlineStr">
        <is>
          <t>Oui</t>
        </is>
      </c>
    </row>
    <row r="1624">
      <c r="A1624" s="31" t="inlineStr">
        <is>
          <t>Niveau</t>
        </is>
      </c>
      <c r="B1624" s="33" t="n">
        <v>28</v>
      </c>
      <c r="C1624" s="33" t="n"/>
      <c r="D1624" s="33" t="n"/>
      <c r="E1624" s="33" t="n"/>
      <c r="F1624" s="33" t="n"/>
      <c r="G1624" s="33" t="n"/>
      <c r="H1624" s="30" t="inlineStr">
        <is>
          <t>Oui</t>
        </is>
      </c>
    </row>
    <row r="1625">
      <c r="A1625" s="31" t="inlineStr">
        <is>
          <t>Objet</t>
        </is>
      </c>
      <c r="B1625" s="33" t="inlineStr">
        <is>
          <t>Aucun</t>
        </is>
      </c>
      <c r="C1625" s="33" t="n"/>
      <c r="D1625" s="33" t="n"/>
      <c r="E1625" s="33" t="n"/>
      <c r="F1625" s="33" t="n"/>
      <c r="G1625" s="33" t="n"/>
      <c r="H1625" s="30" t="inlineStr">
        <is>
          <t>Oui</t>
        </is>
      </c>
    </row>
    <row r="1626">
      <c r="A1626" s="31" t="inlineStr">
        <is>
          <t>Talent</t>
        </is>
      </c>
      <c r="B1626" s="33" t="inlineStr">
        <is>
          <t>Anti-Bruit</t>
        </is>
      </c>
      <c r="C1626" s="33" t="n"/>
      <c r="D1626" s="33" t="n"/>
      <c r="E1626" s="33" t="n"/>
      <c r="F1626" s="33" t="n"/>
      <c r="G1626" s="33" t="n"/>
      <c r="H1626" s="30" t="inlineStr">
        <is>
          <t>Oui</t>
        </is>
      </c>
    </row>
    <row r="1627">
      <c r="A1627" s="31" t="inlineStr">
        <is>
          <t>Capacités</t>
        </is>
      </c>
      <c r="B1627" s="34" t="inlineStr">
        <is>
          <t>Rayon Chargé</t>
        </is>
      </c>
      <c r="C1627" s="34" t="n"/>
      <c r="D1627" s="34" t="n"/>
      <c r="E1627" s="34" t="n"/>
      <c r="F1627" s="34" t="n"/>
      <c r="G1627" s="34" t="n"/>
      <c r="H1627" s="30" t="inlineStr">
        <is>
          <t>Oui</t>
        </is>
      </c>
    </row>
    <row r="1628">
      <c r="A1628" s="31" t="n"/>
      <c r="B1628" s="34" t="inlineStr">
        <is>
          <t>Météores</t>
        </is>
      </c>
      <c r="C1628" s="34" t="n"/>
      <c r="D1628" s="34" t="n"/>
      <c r="E1628" s="34" t="n"/>
      <c r="F1628" s="34" t="n"/>
      <c r="G1628" s="34" t="n"/>
      <c r="H1628" s="30" t="inlineStr">
        <is>
          <t>Oui</t>
        </is>
      </c>
    </row>
    <row r="1629">
      <c r="A1629" s="31" t="n"/>
      <c r="B1629" s="34" t="inlineStr">
        <is>
          <t>Boule Élek</t>
        </is>
      </c>
      <c r="C1629" s="34" t="n"/>
      <c r="D1629" s="34" t="n"/>
      <c r="E1629" s="34" t="n"/>
      <c r="F1629" s="34" t="n"/>
      <c r="G1629" s="34" t="n"/>
      <c r="H1629" s="30" t="inlineStr">
        <is>
          <t>Oui</t>
        </is>
      </c>
    </row>
    <row r="1630">
      <c r="A1630" s="31" t="n"/>
      <c r="B1630" s="34" t="inlineStr">
        <is>
          <t>Destruction</t>
        </is>
      </c>
      <c r="C1630" s="34" t="n"/>
      <c r="D1630" s="34" t="n"/>
      <c r="E1630" s="34" t="n"/>
      <c r="F1630" s="34" t="n"/>
      <c r="G1630" s="34" t="n"/>
      <c r="H1630" s="30" t="inlineStr">
        <is>
          <t>Oui</t>
        </is>
      </c>
    </row>
    <row r="1631">
      <c r="A1631" s="31" t="inlineStr">
        <is>
          <t>Nom</t>
        </is>
      </c>
      <c r="B1631" s="32" t="inlineStr">
        <is>
          <t>Commandant Lambda</t>
        </is>
      </c>
      <c r="C1631" s="32" t="n"/>
      <c r="D1631" s="32" t="n"/>
      <c r="E1631" s="32" t="n"/>
      <c r="F1631" s="32" t="n"/>
      <c r="G1631" s="32" t="n"/>
      <c r="H1631" s="30" t="inlineStr">
        <is>
          <t>Oui</t>
        </is>
      </c>
    </row>
    <row r="1632">
      <c r="A1632" s="31" t="inlineStr">
        <is>
          <t>Pokémon</t>
        </is>
      </c>
      <c r="B1632" s="33" t="inlineStr">
        <is>
          <t>POMDEPIK</t>
        </is>
      </c>
      <c r="C1632" s="33" t="inlineStr">
        <is>
          <t>EMBRYLEX</t>
        </is>
      </c>
      <c r="D1632" s="33" t="inlineStr">
        <is>
          <t>VOLCAROPOD</t>
        </is>
      </c>
      <c r="E1632" s="33" t="inlineStr">
        <is>
          <t>CRUSTABRI</t>
        </is>
      </c>
      <c r="F1632" s="33" t="n"/>
      <c r="G1632" s="33" t="n"/>
      <c r="H1632" s="30" t="inlineStr">
        <is>
          <t>Oui</t>
        </is>
      </c>
    </row>
    <row r="1633">
      <c r="A1633" s="31" t="inlineStr">
        <is>
          <t>Niveau</t>
        </is>
      </c>
      <c r="B1633" s="33" t="n">
        <v>30</v>
      </c>
      <c r="C1633" s="33" t="n">
        <v>30</v>
      </c>
      <c r="D1633" s="33" t="n">
        <v>30</v>
      </c>
      <c r="E1633" s="33" t="n">
        <v>30</v>
      </c>
      <c r="F1633" s="33" t="n"/>
      <c r="G1633" s="33" t="n"/>
      <c r="H1633" s="30" t="inlineStr">
        <is>
          <t>Oui</t>
        </is>
      </c>
    </row>
    <row r="1634">
      <c r="A1634" s="31" t="inlineStr">
        <is>
          <t>Objet</t>
        </is>
      </c>
      <c r="B1634" s="33" t="inlineStr">
        <is>
          <t>Aucun</t>
        </is>
      </c>
      <c r="C1634" s="33" t="inlineStr">
        <is>
          <t>Aucun</t>
        </is>
      </c>
      <c r="D1634" s="33" t="inlineStr">
        <is>
          <t>Aucun</t>
        </is>
      </c>
      <c r="E1634" s="33" t="inlineStr">
        <is>
          <t>Aucun</t>
        </is>
      </c>
      <c r="F1634" s="33" t="n"/>
      <c r="G1634" s="33" t="n"/>
      <c r="H1634" s="30" t="inlineStr">
        <is>
          <t>Oui</t>
        </is>
      </c>
    </row>
    <row r="1635">
      <c r="A1635" s="31" t="inlineStr">
        <is>
          <t>Talent</t>
        </is>
      </c>
      <c r="B1635" s="33" t="inlineStr">
        <is>
          <t>Fermeté</t>
        </is>
      </c>
      <c r="C1635" s="33" t="inlineStr">
        <is>
          <t>Cran</t>
        </is>
      </c>
      <c r="D1635" s="33" t="inlineStr">
        <is>
          <t>Armumagma</t>
        </is>
      </c>
      <c r="E1635" s="33" t="inlineStr">
        <is>
          <t>Coque Armure</t>
        </is>
      </c>
      <c r="F1635" s="33" t="n"/>
      <c r="G1635" s="33" t="n"/>
      <c r="H1635" s="30" t="inlineStr">
        <is>
          <t>Oui</t>
        </is>
      </c>
    </row>
    <row r="1636">
      <c r="A1636" s="31" t="inlineStr">
        <is>
          <t>Capacités</t>
        </is>
      </c>
      <c r="B1636" s="34" t="inlineStr">
        <is>
          <t>Dard-Nuée</t>
        </is>
      </c>
      <c r="C1636" s="34" t="inlineStr">
        <is>
          <t>Éboulement</t>
        </is>
      </c>
      <c r="D1636" s="34" t="inlineStr">
        <is>
          <t>Purédpois</t>
        </is>
      </c>
      <c r="E1636" s="34" t="inlineStr">
        <is>
          <t>Laser Glace</t>
        </is>
      </c>
      <c r="F1636" s="34" t="n"/>
      <c r="G1636" s="34" t="n"/>
      <c r="H1636" s="30" t="inlineStr">
        <is>
          <t>Oui</t>
        </is>
      </c>
    </row>
    <row r="1637">
      <c r="A1637" s="31" t="n"/>
      <c r="B1637" s="34" t="inlineStr">
        <is>
          <t>Explosion</t>
        </is>
      </c>
      <c r="C1637" s="34" t="inlineStr">
        <is>
          <t>Grincement</t>
        </is>
      </c>
      <c r="D1637" s="34" t="inlineStr">
        <is>
          <t>Lance-Flammes</t>
        </is>
      </c>
      <c r="E1637" s="34" t="inlineStr">
        <is>
          <t>Claquoir</t>
        </is>
      </c>
      <c r="F1637" s="34" t="n"/>
      <c r="G1637" s="34" t="n"/>
      <c r="H1637" s="30" t="inlineStr">
        <is>
          <t>Oui</t>
        </is>
      </c>
    </row>
    <row r="1638">
      <c r="A1638" s="31" t="n"/>
      <c r="B1638" s="34" t="inlineStr">
        <is>
          <t>Picots</t>
        </is>
      </c>
      <c r="C1638" s="34" t="inlineStr">
        <is>
          <t>Morsure</t>
        </is>
      </c>
      <c r="D1638" s="34" t="inlineStr">
        <is>
          <t>Pouvoir Antique</t>
        </is>
      </c>
      <c r="E1638" s="34" t="inlineStr">
        <is>
          <t>Picanon</t>
        </is>
      </c>
      <c r="F1638" s="34" t="n"/>
      <c r="G1638" s="34" t="n"/>
      <c r="H1638" s="30" t="inlineStr">
        <is>
          <t>Oui</t>
        </is>
      </c>
    </row>
    <row r="1639">
      <c r="A1639" s="31" t="n"/>
      <c r="B1639" s="34" t="inlineStr">
        <is>
          <t>Picanon</t>
        </is>
      </c>
      <c r="C1639" s="34" t="inlineStr">
        <is>
          <t>Mania</t>
        </is>
      </c>
      <c r="D1639" s="34" t="inlineStr">
        <is>
          <t>Malédiction</t>
        </is>
      </c>
      <c r="E1639" s="34" t="inlineStr">
        <is>
          <t>Surf</t>
        </is>
      </c>
      <c r="F1639" s="34" t="n"/>
      <c r="G1639" s="34" t="n"/>
      <c r="H1639" s="30" t="inlineStr">
        <is>
          <t>Oui</t>
        </is>
      </c>
    </row>
    <row r="1640" ht="18" customHeight="1">
      <c r="A1640" s="26" t="inlineStr">
        <is>
          <t>Acajou — Arène</t>
        </is>
      </c>
      <c r="B1640" s="26" t="n"/>
      <c r="C1640" s="26" t="n"/>
      <c r="D1640" s="26" t="n"/>
      <c r="E1640" s="26" t="n"/>
      <c r="F1640" s="26" t="n"/>
      <c r="G1640" s="26" t="n"/>
      <c r="H1640" s="30" t="inlineStr">
        <is>
          <t>Oui</t>
        </is>
      </c>
    </row>
    <row r="1641">
      <c r="A1641" s="31" t="inlineStr">
        <is>
          <t>Nom</t>
        </is>
      </c>
      <c r="B1641" s="32" t="inlineStr">
        <is>
          <t>Skieuse Otto</t>
        </is>
      </c>
      <c r="C1641" s="32" t="n"/>
      <c r="D1641" s="32" t="n"/>
      <c r="E1641" s="32" t="n"/>
      <c r="F1641" s="32" t="n"/>
      <c r="G1641" s="32" t="n"/>
      <c r="H1641" s="30" t="inlineStr">
        <is>
          <t>Oui</t>
        </is>
      </c>
    </row>
    <row r="1642">
      <c r="A1642" s="31" t="inlineStr">
        <is>
          <t>Pokémon</t>
        </is>
      </c>
      <c r="B1642" s="33" t="inlineStr">
        <is>
          <t>LAMANTINE</t>
        </is>
      </c>
      <c r="C1642" s="33" t="inlineStr">
        <is>
          <t>CADOIZO</t>
        </is>
      </c>
      <c r="D1642" s="33" t="n"/>
      <c r="E1642" s="33" t="n"/>
      <c r="F1642" s="33" t="n"/>
      <c r="G1642" s="33" t="n"/>
      <c r="H1642" s="30" t="inlineStr">
        <is>
          <t>Oui</t>
        </is>
      </c>
    </row>
    <row r="1643">
      <c r="A1643" s="31" t="inlineStr">
        <is>
          <t>Niveau</t>
        </is>
      </c>
      <c r="B1643" s="33" t="n">
        <v>29</v>
      </c>
      <c r="C1643" s="33" t="n">
        <v>30</v>
      </c>
      <c r="D1643" s="33" t="n"/>
      <c r="E1643" s="33" t="n"/>
      <c r="F1643" s="33" t="n"/>
      <c r="G1643" s="33" t="n"/>
      <c r="H1643" s="30" t="inlineStr">
        <is>
          <t>Oui</t>
        </is>
      </c>
    </row>
    <row r="1644">
      <c r="A1644" s="31" t="inlineStr">
        <is>
          <t>Objet</t>
        </is>
      </c>
      <c r="B1644" s="33" t="inlineStr">
        <is>
          <t>Aucun</t>
        </is>
      </c>
      <c r="C1644" s="33" t="inlineStr">
        <is>
          <t>Aucun</t>
        </is>
      </c>
      <c r="D1644" s="33" t="n"/>
      <c r="E1644" s="33" t="n"/>
      <c r="F1644" s="33" t="n"/>
      <c r="G1644" s="33" t="n"/>
      <c r="H1644" s="30" t="inlineStr">
        <is>
          <t>Oui</t>
        </is>
      </c>
    </row>
    <row r="1645">
      <c r="A1645" s="31" t="inlineStr">
        <is>
          <t>Talent</t>
        </is>
      </c>
      <c r="B1645" s="33" t="inlineStr">
        <is>
          <t>Isograisse</t>
        </is>
      </c>
      <c r="C1645" s="33" t="inlineStr">
        <is>
          <t>Esprit Vital</t>
        </is>
      </c>
      <c r="D1645" s="33" t="n"/>
      <c r="E1645" s="33" t="n"/>
      <c r="F1645" s="33" t="n"/>
      <c r="G1645" s="33" t="n"/>
      <c r="H1645" s="30" t="inlineStr">
        <is>
          <t>Oui</t>
        </is>
      </c>
    </row>
    <row r="1646">
      <c r="A1646" s="31" t="inlineStr">
        <is>
          <t>Capacités</t>
        </is>
      </c>
      <c r="B1646" s="34" t="inlineStr">
        <is>
          <t>Éclats Glace</t>
        </is>
      </c>
      <c r="C1646" s="34" t="inlineStr">
        <is>
          <t>Cadeau</t>
        </is>
      </c>
      <c r="D1646" s="34" t="n"/>
      <c r="E1646" s="34" t="n"/>
      <c r="F1646" s="34" t="n"/>
      <c r="G1646" s="34" t="n"/>
      <c r="H1646" s="30" t="inlineStr">
        <is>
          <t>Oui</t>
        </is>
      </c>
    </row>
    <row r="1647">
      <c r="A1647" s="31" t="n"/>
      <c r="B1647" s="34" t="inlineStr">
        <is>
          <t>Repos</t>
        </is>
      </c>
      <c r="C1647" s="34" t="inlineStr">
        <is>
          <t>Bec Vrille</t>
        </is>
      </c>
      <c r="D1647" s="34" t="n"/>
      <c r="E1647" s="34" t="n"/>
      <c r="F1647" s="34" t="n"/>
      <c r="G1647" s="34" t="n"/>
      <c r="H1647" s="30" t="inlineStr">
        <is>
          <t>Oui</t>
        </is>
      </c>
    </row>
    <row r="1648">
      <c r="A1648" s="31" t="n"/>
      <c r="B1648" s="34" t="inlineStr">
        <is>
          <t>Anneau Hydro</t>
        </is>
      </c>
      <c r="C1648" s="34" t="n"/>
      <c r="D1648" s="34" t="n"/>
      <c r="E1648" s="34" t="n"/>
      <c r="F1648" s="34" t="n"/>
      <c r="G1648" s="34" t="n"/>
      <c r="H1648" s="30" t="inlineStr">
        <is>
          <t>Oui</t>
        </is>
      </c>
    </row>
    <row r="1649">
      <c r="A1649" s="31" t="n"/>
      <c r="B1649" s="34" t="inlineStr">
        <is>
          <t>Onde Boréale</t>
        </is>
      </c>
      <c r="C1649" s="34" t="n"/>
      <c r="D1649" s="34" t="n"/>
      <c r="E1649" s="34" t="n"/>
      <c r="F1649" s="34" t="n"/>
      <c r="G1649" s="34" t="n"/>
      <c r="H1649" s="30" t="inlineStr">
        <is>
          <t>Oui</t>
        </is>
      </c>
    </row>
    <row r="1650">
      <c r="A1650" s="31" t="inlineStr">
        <is>
          <t>Nom</t>
        </is>
      </c>
      <c r="B1650" s="32" t="inlineStr">
        <is>
          <t>Skieuse Brad</t>
        </is>
      </c>
      <c r="C1650" s="32" t="n"/>
      <c r="D1650" s="32" t="n"/>
      <c r="E1650" s="32" t="n"/>
      <c r="F1650" s="32" t="n"/>
      <c r="G1650" s="32" t="n"/>
      <c r="H1650" s="30" t="inlineStr">
        <is>
          <t>Oui</t>
        </is>
      </c>
    </row>
    <row r="1651">
      <c r="A1651" s="31" t="inlineStr">
        <is>
          <t>Pokémon</t>
        </is>
      </c>
      <c r="B1651" s="33" t="inlineStr">
        <is>
          <t>MARCACRIN</t>
        </is>
      </c>
      <c r="C1651" s="33" t="inlineStr">
        <is>
          <t>FARFURET</t>
        </is>
      </c>
      <c r="D1651" s="33" t="n"/>
      <c r="E1651" s="33" t="n"/>
      <c r="F1651" s="33" t="n"/>
      <c r="G1651" s="33" t="n"/>
      <c r="H1651" s="30" t="inlineStr">
        <is>
          <t>Oui</t>
        </is>
      </c>
    </row>
    <row r="1652">
      <c r="A1652" s="31" t="inlineStr">
        <is>
          <t>Niveau</t>
        </is>
      </c>
      <c r="B1652" s="33" t="n">
        <v>30</v>
      </c>
      <c r="C1652" s="33" t="n">
        <v>30</v>
      </c>
      <c r="D1652" s="33" t="n"/>
      <c r="E1652" s="33" t="n"/>
      <c r="F1652" s="33" t="n"/>
      <c r="G1652" s="33" t="n"/>
      <c r="H1652" s="30" t="inlineStr">
        <is>
          <t>Oui</t>
        </is>
      </c>
    </row>
    <row r="1653">
      <c r="A1653" s="31" t="inlineStr">
        <is>
          <t>Objet</t>
        </is>
      </c>
      <c r="B1653" s="33" t="inlineStr">
        <is>
          <t>Aucun</t>
        </is>
      </c>
      <c r="C1653" s="33" t="inlineStr">
        <is>
          <t>Aucun</t>
        </is>
      </c>
      <c r="D1653" s="33" t="n"/>
      <c r="E1653" s="33" t="n"/>
      <c r="F1653" s="33" t="n"/>
      <c r="G1653" s="33" t="n"/>
      <c r="H1653" s="30" t="inlineStr">
        <is>
          <t>Oui</t>
        </is>
      </c>
    </row>
    <row r="1654">
      <c r="A1654" s="31" t="inlineStr">
        <is>
          <t>Talent</t>
        </is>
      </c>
      <c r="B1654" s="33" t="inlineStr">
        <is>
          <t>Benêt</t>
        </is>
      </c>
      <c r="C1654" s="33" t="inlineStr">
        <is>
          <t>Attention</t>
        </is>
      </c>
      <c r="D1654" s="33" t="n"/>
      <c r="E1654" s="33" t="n"/>
      <c r="F1654" s="33" t="n"/>
      <c r="G1654" s="33" t="n"/>
      <c r="H1654" s="30" t="inlineStr">
        <is>
          <t>Oui</t>
        </is>
      </c>
    </row>
    <row r="1655">
      <c r="A1655" s="31" t="inlineStr">
        <is>
          <t>Capacités</t>
        </is>
      </c>
      <c r="B1655" s="34" t="inlineStr">
        <is>
          <t>Boue-Bombe</t>
        </is>
      </c>
      <c r="C1655" s="34" t="inlineStr">
        <is>
          <t>Hâte</t>
        </is>
      </c>
      <c r="D1655" s="34" t="n"/>
      <c r="E1655" s="34" t="n"/>
      <c r="F1655" s="34" t="n"/>
      <c r="G1655" s="34" t="n"/>
      <c r="H1655" s="30" t="inlineStr">
        <is>
          <t>Oui</t>
        </is>
      </c>
    </row>
    <row r="1656">
      <c r="A1656" s="31" t="n"/>
      <c r="B1656" s="34" t="inlineStr">
        <is>
          <t>Vent Glace</t>
        </is>
      </c>
      <c r="C1656" s="34" t="inlineStr">
        <is>
          <t>Griffe Acier</t>
        </is>
      </c>
      <c r="D1656" s="34" t="n"/>
      <c r="E1656" s="34" t="n"/>
      <c r="F1656" s="34" t="n"/>
      <c r="G1656" s="34" t="n"/>
      <c r="H1656" s="30" t="inlineStr">
        <is>
          <t>Oui</t>
        </is>
      </c>
    </row>
    <row r="1657">
      <c r="A1657" s="31" t="n"/>
      <c r="B1657" s="34" t="inlineStr">
        <is>
          <t>Éclats Glace</t>
        </is>
      </c>
      <c r="C1657" s="34" t="inlineStr">
        <is>
          <t>Aiguisage</t>
        </is>
      </c>
      <c r="D1657" s="34" t="n"/>
      <c r="E1657" s="34" t="n"/>
      <c r="F1657" s="34" t="n"/>
      <c r="G1657" s="34" t="n"/>
      <c r="H1657" s="30" t="inlineStr">
        <is>
          <t>Oui</t>
        </is>
      </c>
    </row>
    <row r="1658">
      <c r="A1658" s="31" t="n"/>
      <c r="B1658" s="34" t="inlineStr">
        <is>
          <t>Bélier</t>
        </is>
      </c>
      <c r="C1658" s="34" t="inlineStr">
        <is>
          <t>Baston</t>
        </is>
      </c>
      <c r="D1658" s="34" t="n"/>
      <c r="E1658" s="34" t="n"/>
      <c r="F1658" s="34" t="n"/>
      <c r="G1658" s="34" t="n"/>
      <c r="H1658" s="30" t="inlineStr">
        <is>
          <t>Oui</t>
        </is>
      </c>
    </row>
    <row r="1659">
      <c r="A1659" s="31" t="inlineStr">
        <is>
          <t>Nom</t>
        </is>
      </c>
      <c r="B1659" s="32" t="inlineStr">
        <is>
          <t>Skieuse Douglas</t>
        </is>
      </c>
      <c r="C1659" s="32" t="n"/>
      <c r="D1659" s="32" t="n"/>
      <c r="E1659" s="32" t="n"/>
      <c r="F1659" s="32" t="n"/>
      <c r="G1659" s="32" t="n"/>
      <c r="H1659" s="30" t="inlineStr">
        <is>
          <t>Oui</t>
        </is>
      </c>
    </row>
    <row r="1660">
      <c r="A1660" s="31" t="inlineStr">
        <is>
          <t>Pokémon</t>
        </is>
      </c>
      <c r="B1660" s="33" t="inlineStr">
        <is>
          <t>KOKIYAS</t>
        </is>
      </c>
      <c r="C1660" s="33" t="inlineStr">
        <is>
          <t>OTARIA</t>
        </is>
      </c>
      <c r="D1660" s="33" t="inlineStr">
        <is>
          <t>CRUSTABRI</t>
        </is>
      </c>
      <c r="E1660" s="33" t="n"/>
      <c r="F1660" s="33" t="n"/>
      <c r="G1660" s="33" t="n"/>
      <c r="H1660" s="30" t="inlineStr">
        <is>
          <t>Oui</t>
        </is>
      </c>
    </row>
    <row r="1661">
      <c r="A1661" s="31" t="inlineStr">
        <is>
          <t>Niveau</t>
        </is>
      </c>
      <c r="B1661" s="33" t="n">
        <v>28</v>
      </c>
      <c r="C1661" s="33" t="n">
        <v>28</v>
      </c>
      <c r="D1661" s="33" t="n">
        <v>30</v>
      </c>
      <c r="E1661" s="33" t="n"/>
      <c r="F1661" s="33" t="n"/>
      <c r="G1661" s="33" t="n"/>
      <c r="H1661" s="30" t="inlineStr">
        <is>
          <t>Oui</t>
        </is>
      </c>
    </row>
    <row r="1662">
      <c r="A1662" s="31" t="inlineStr">
        <is>
          <t>Objet</t>
        </is>
      </c>
      <c r="B1662" s="33" t="inlineStr">
        <is>
          <t>Aucun</t>
        </is>
      </c>
      <c r="C1662" s="33" t="inlineStr">
        <is>
          <t>Aucun</t>
        </is>
      </c>
      <c r="D1662" s="33" t="inlineStr">
        <is>
          <t>Aucun</t>
        </is>
      </c>
      <c r="E1662" s="33" t="n"/>
      <c r="F1662" s="33" t="n"/>
      <c r="G1662" s="33" t="n"/>
      <c r="H1662" s="30" t="inlineStr">
        <is>
          <t>Oui</t>
        </is>
      </c>
    </row>
    <row r="1663">
      <c r="A1663" s="31" t="inlineStr">
        <is>
          <t>Talent</t>
        </is>
      </c>
      <c r="B1663" s="33" t="inlineStr">
        <is>
          <t>Coque Armure</t>
        </is>
      </c>
      <c r="C1663" s="33" t="inlineStr">
        <is>
          <t>Isograisse</t>
        </is>
      </c>
      <c r="D1663" s="33" t="inlineStr">
        <is>
          <t>Coque Armure</t>
        </is>
      </c>
      <c r="E1663" s="33" t="n"/>
      <c r="F1663" s="33" t="n"/>
      <c r="G1663" s="33" t="n"/>
      <c r="H1663" s="30" t="inlineStr">
        <is>
          <t>Oui</t>
        </is>
      </c>
    </row>
    <row r="1664">
      <c r="A1664" s="31" t="inlineStr">
        <is>
          <t>Capacités</t>
        </is>
      </c>
      <c r="B1664" s="34" t="inlineStr">
        <is>
          <t>Abri</t>
        </is>
      </c>
      <c r="C1664" s="34" t="inlineStr">
        <is>
          <t>Éclats Glace</t>
        </is>
      </c>
      <c r="D1664" s="34" t="inlineStr">
        <is>
          <t>Abri</t>
        </is>
      </c>
      <c r="E1664" s="34" t="n"/>
      <c r="F1664" s="34" t="n"/>
      <c r="G1664" s="34" t="n"/>
      <c r="H1664" s="30" t="inlineStr">
        <is>
          <t>Oui</t>
        </is>
      </c>
    </row>
    <row r="1665">
      <c r="A1665" s="31" t="n"/>
      <c r="B1665" s="34" t="inlineStr">
        <is>
          <t>Groz'Yeux</t>
        </is>
      </c>
      <c r="C1665" s="34" t="inlineStr">
        <is>
          <t>Repos</t>
        </is>
      </c>
      <c r="D1665" s="34" t="inlineStr">
        <is>
          <t>Onde Boréale</t>
        </is>
      </c>
      <c r="E1665" s="34" t="n"/>
      <c r="F1665" s="34" t="n"/>
      <c r="G1665" s="34" t="n"/>
      <c r="H1665" s="30" t="inlineStr">
        <is>
          <t>Oui</t>
        </is>
      </c>
    </row>
    <row r="1666">
      <c r="A1666" s="31" t="n"/>
      <c r="B1666" s="34" t="inlineStr">
        <is>
          <t>Claquoir</t>
        </is>
      </c>
      <c r="C1666" s="34" t="inlineStr">
        <is>
          <t>Anneau Hydro</t>
        </is>
      </c>
      <c r="D1666" s="34" t="inlineStr">
        <is>
          <t>Picanon</t>
        </is>
      </c>
      <c r="E1666" s="34" t="n"/>
      <c r="F1666" s="34" t="n"/>
      <c r="G1666" s="34" t="n"/>
      <c r="H1666" s="30" t="inlineStr">
        <is>
          <t>Oui</t>
        </is>
      </c>
    </row>
    <row r="1667">
      <c r="A1667" s="31" t="n"/>
      <c r="B1667" s="34" t="inlineStr">
        <is>
          <t>Éclats Glace</t>
        </is>
      </c>
      <c r="C1667" s="34" t="inlineStr">
        <is>
          <t>Onde Boréale</t>
        </is>
      </c>
      <c r="D1667" s="34" t="inlineStr">
        <is>
          <t>Picots</t>
        </is>
      </c>
      <c r="E1667" s="34" t="n"/>
      <c r="F1667" s="34" t="n"/>
      <c r="G1667" s="34" t="n"/>
      <c r="H1667" s="30" t="inlineStr">
        <is>
          <t>Oui</t>
        </is>
      </c>
    </row>
    <row r="1668">
      <c r="A1668" s="31" t="inlineStr">
        <is>
          <t>Nom</t>
        </is>
      </c>
      <c r="B1668" s="32" t="inlineStr">
        <is>
          <t>Skieuse Roxanne</t>
        </is>
      </c>
      <c r="C1668" s="32" t="n"/>
      <c r="D1668" s="32" t="n"/>
      <c r="E1668" s="32" t="n"/>
      <c r="F1668" s="32" t="n"/>
      <c r="G1668" s="32" t="n"/>
      <c r="H1668" s="30" t="inlineStr">
        <is>
          <t>Oui</t>
        </is>
      </c>
    </row>
    <row r="1669">
      <c r="A1669" s="31" t="inlineStr">
        <is>
          <t>Pokémon</t>
        </is>
      </c>
      <c r="B1669" s="33" t="inlineStr">
        <is>
          <t>LIPPOUTOU</t>
        </is>
      </c>
      <c r="C1669" s="33" t="n"/>
      <c r="D1669" s="33" t="n"/>
      <c r="E1669" s="33" t="n"/>
      <c r="F1669" s="33" t="n"/>
      <c r="G1669" s="33" t="n"/>
      <c r="H1669" s="30" t="inlineStr">
        <is>
          <t>Oui</t>
        </is>
      </c>
    </row>
    <row r="1670">
      <c r="A1670" s="31" t="inlineStr">
        <is>
          <t>Niveau</t>
        </is>
      </c>
      <c r="B1670" s="33" t="n">
        <v>30</v>
      </c>
      <c r="C1670" s="33" t="n"/>
      <c r="D1670" s="33" t="n"/>
      <c r="E1670" s="33" t="n"/>
      <c r="F1670" s="33" t="n"/>
      <c r="G1670" s="33" t="n"/>
      <c r="H1670" s="30" t="inlineStr">
        <is>
          <t>Oui</t>
        </is>
      </c>
    </row>
    <row r="1671">
      <c r="A1671" s="31" t="inlineStr">
        <is>
          <t>Objet</t>
        </is>
      </c>
      <c r="B1671" s="33" t="inlineStr">
        <is>
          <t>Aucun</t>
        </is>
      </c>
      <c r="C1671" s="33" t="n"/>
      <c r="D1671" s="33" t="n"/>
      <c r="E1671" s="33" t="n"/>
      <c r="F1671" s="33" t="n"/>
      <c r="G1671" s="33" t="n"/>
      <c r="H1671" s="30" t="inlineStr">
        <is>
          <t>Oui</t>
        </is>
      </c>
    </row>
    <row r="1672">
      <c r="A1672" s="31" t="inlineStr">
        <is>
          <t>Talent</t>
        </is>
      </c>
      <c r="B1672" s="33" t="inlineStr">
        <is>
          <t>Benêt</t>
        </is>
      </c>
      <c r="C1672" s="33" t="n"/>
      <c r="D1672" s="33" t="n"/>
      <c r="E1672" s="33" t="n"/>
      <c r="F1672" s="33" t="n"/>
      <c r="G1672" s="33" t="n"/>
      <c r="H1672" s="30" t="inlineStr">
        <is>
          <t>Oui</t>
        </is>
      </c>
    </row>
    <row r="1673">
      <c r="A1673" s="31" t="inlineStr">
        <is>
          <t>Capacités</t>
        </is>
      </c>
      <c r="B1673" s="34" t="inlineStr">
        <is>
          <t>Poing Glace</t>
        </is>
      </c>
      <c r="C1673" s="34" t="n"/>
      <c r="D1673" s="34" t="n"/>
      <c r="E1673" s="34" t="n"/>
      <c r="F1673" s="34" t="n"/>
      <c r="G1673" s="34" t="n"/>
      <c r="H1673" s="30" t="inlineStr">
        <is>
          <t>Oui</t>
        </is>
      </c>
    </row>
    <row r="1674">
      <c r="A1674" s="31" t="n"/>
      <c r="B1674" s="34" t="inlineStr">
        <is>
          <t>Crève-Cœur</t>
        </is>
      </c>
      <c r="C1674" s="34" t="n"/>
      <c r="D1674" s="34" t="n"/>
      <c r="E1674" s="34" t="n"/>
      <c r="F1674" s="34" t="n"/>
      <c r="G1674" s="34" t="n"/>
      <c r="H1674" s="30" t="inlineStr">
        <is>
          <t>Oui</t>
        </is>
      </c>
    </row>
    <row r="1675">
      <c r="A1675" s="31" t="n"/>
      <c r="B1675" s="34" t="inlineStr">
        <is>
          <t>Regard Noir</t>
        </is>
      </c>
      <c r="C1675" s="34" t="n"/>
      <c r="D1675" s="34" t="n"/>
      <c r="E1675" s="34" t="n"/>
      <c r="F1675" s="34" t="n"/>
      <c r="G1675" s="34" t="n"/>
      <c r="H1675" s="30" t="inlineStr">
        <is>
          <t>Oui</t>
        </is>
      </c>
    </row>
    <row r="1676">
      <c r="A1676" s="31" t="n"/>
      <c r="B1676" s="34" t="inlineStr">
        <is>
          <t>Croco Larme</t>
        </is>
      </c>
      <c r="C1676" s="34" t="n"/>
      <c r="D1676" s="34" t="n"/>
      <c r="E1676" s="34" t="n"/>
      <c r="F1676" s="34" t="n"/>
      <c r="G1676" s="34" t="n"/>
      <c r="H1676" s="30" t="inlineStr">
        <is>
          <t>Oui</t>
        </is>
      </c>
    </row>
    <row r="1677">
      <c r="A1677" s="31" t="inlineStr">
        <is>
          <t>Nom</t>
        </is>
      </c>
      <c r="B1677" s="32" t="inlineStr">
        <is>
          <t>Skieuse Clarisse</t>
        </is>
      </c>
      <c r="C1677" s="32" t="n"/>
      <c r="D1677" s="32" t="n"/>
      <c r="E1677" s="32" t="n"/>
      <c r="F1677" s="32" t="n"/>
      <c r="G1677" s="32" t="n"/>
      <c r="H1677" s="30" t="inlineStr">
        <is>
          <t>Oui</t>
        </is>
      </c>
    </row>
    <row r="1678">
      <c r="A1678" s="31" t="inlineStr">
        <is>
          <t>Pokémon</t>
        </is>
      </c>
      <c r="B1678" s="33" t="inlineStr">
        <is>
          <t>LAMANTINE</t>
        </is>
      </c>
      <c r="C1678" s="33" t="n"/>
      <c r="D1678" s="33" t="n"/>
      <c r="E1678" s="33" t="n"/>
      <c r="F1678" s="33" t="n"/>
      <c r="G1678" s="33" t="n"/>
      <c r="H1678" s="30" t="inlineStr">
        <is>
          <t>Oui</t>
        </is>
      </c>
    </row>
    <row r="1679">
      <c r="A1679" s="31" t="inlineStr">
        <is>
          <t>Niveau</t>
        </is>
      </c>
      <c r="B1679" s="33" t="n">
        <v>31</v>
      </c>
      <c r="C1679" s="33" t="n"/>
      <c r="D1679" s="33" t="n"/>
      <c r="E1679" s="33" t="n"/>
      <c r="F1679" s="33" t="n"/>
      <c r="G1679" s="33" t="n"/>
      <c r="H1679" s="30" t="inlineStr">
        <is>
          <t>Oui</t>
        </is>
      </c>
    </row>
    <row r="1680">
      <c r="A1680" s="31" t="inlineStr">
        <is>
          <t>Objet</t>
        </is>
      </c>
      <c r="B1680" s="33" t="inlineStr">
        <is>
          <t>Aucun</t>
        </is>
      </c>
      <c r="C1680" s="33" t="n"/>
      <c r="D1680" s="33" t="n"/>
      <c r="E1680" s="33" t="n"/>
      <c r="F1680" s="33" t="n"/>
      <c r="G1680" s="33" t="n"/>
      <c r="H1680" s="30" t="inlineStr">
        <is>
          <t>Oui</t>
        </is>
      </c>
    </row>
    <row r="1681">
      <c r="A1681" s="31" t="inlineStr">
        <is>
          <t>Talent</t>
        </is>
      </c>
      <c r="B1681" s="33" t="inlineStr">
        <is>
          <t>Isograisse</t>
        </is>
      </c>
      <c r="C1681" s="33" t="n"/>
      <c r="D1681" s="33" t="n"/>
      <c r="E1681" s="33" t="n"/>
      <c r="F1681" s="33" t="n"/>
      <c r="G1681" s="33" t="n"/>
      <c r="H1681" s="30" t="inlineStr">
        <is>
          <t>Oui</t>
        </is>
      </c>
    </row>
    <row r="1682">
      <c r="A1682" s="31" t="inlineStr">
        <is>
          <t>Capacités</t>
        </is>
      </c>
      <c r="B1682" s="34" t="inlineStr">
        <is>
          <t>Repos</t>
        </is>
      </c>
      <c r="C1682" s="34" t="n"/>
      <c r="D1682" s="34" t="n"/>
      <c r="E1682" s="34" t="n"/>
      <c r="F1682" s="34" t="n"/>
      <c r="G1682" s="34" t="n"/>
      <c r="H1682" s="30" t="inlineStr">
        <is>
          <t>Oui</t>
        </is>
      </c>
    </row>
    <row r="1683">
      <c r="A1683" s="31" t="n"/>
      <c r="B1683" s="34" t="inlineStr">
        <is>
          <t>Anneau Hydro</t>
        </is>
      </c>
      <c r="C1683" s="34" t="n"/>
      <c r="D1683" s="34" t="n"/>
      <c r="E1683" s="34" t="n"/>
      <c r="F1683" s="34" t="n"/>
      <c r="G1683" s="34" t="n"/>
      <c r="H1683" s="30" t="inlineStr">
        <is>
          <t>Oui</t>
        </is>
      </c>
    </row>
    <row r="1684">
      <c r="A1684" s="31" t="n"/>
      <c r="B1684" s="34" t="inlineStr">
        <is>
          <t>Onde Boréale</t>
        </is>
      </c>
      <c r="C1684" s="34" t="n"/>
      <c r="D1684" s="34" t="n"/>
      <c r="E1684" s="34" t="n"/>
      <c r="F1684" s="34" t="n"/>
      <c r="G1684" s="34" t="n"/>
      <c r="H1684" s="30" t="inlineStr">
        <is>
          <t>Oui</t>
        </is>
      </c>
    </row>
    <row r="1685">
      <c r="A1685" s="31" t="n"/>
      <c r="B1685" s="34" t="inlineStr">
        <is>
          <t>Aqua-Jet</t>
        </is>
      </c>
      <c r="C1685" s="34" t="n"/>
      <c r="D1685" s="34" t="n"/>
      <c r="E1685" s="34" t="n"/>
      <c r="F1685" s="34" t="n"/>
      <c r="G1685" s="34" t="n"/>
      <c r="H1685" s="30" t="inlineStr">
        <is>
          <t>Oui</t>
        </is>
      </c>
    </row>
    <row r="1686">
      <c r="A1686" s="31" t="inlineStr">
        <is>
          <t>Nom</t>
        </is>
      </c>
      <c r="B1686" s="32" t="inlineStr">
        <is>
          <t>Champion Frédo (si c'est votre 1re Arène parmi Oliville, Irisia et Acajou)</t>
        </is>
      </c>
      <c r="C1686" s="32" t="n"/>
      <c r="D1686" s="32" t="n"/>
      <c r="E1686" s="32" t="n"/>
      <c r="F1686" s="32" t="n"/>
      <c r="G1686" s="32" t="n"/>
      <c r="H1686" s="30" t="inlineStr">
        <is>
          <t>Oui</t>
        </is>
      </c>
    </row>
    <row r="1687">
      <c r="A1687" s="31" t="inlineStr">
        <is>
          <t>Pokémon</t>
        </is>
      </c>
      <c r="B1687" s="33" t="inlineStr">
        <is>
          <t>LAMANTINE</t>
        </is>
      </c>
      <c r="C1687" s="33" t="inlineStr">
        <is>
          <t>FARFURET</t>
        </is>
      </c>
      <c r="D1687" s="33" t="inlineStr">
        <is>
          <t>LIPPOUTOU</t>
        </is>
      </c>
      <c r="E1687" s="33" t="inlineStr">
        <is>
          <t>COCHIGNON</t>
        </is>
      </c>
      <c r="F1687" s="33" t="n"/>
      <c r="G1687" s="33" t="n"/>
      <c r="H1687" s="30" t="inlineStr">
        <is>
          <t>Oui</t>
        </is>
      </c>
    </row>
    <row r="1688">
      <c r="A1688" s="31" t="inlineStr">
        <is>
          <t>Niveau</t>
        </is>
      </c>
      <c r="B1688" s="33" t="n">
        <v>31</v>
      </c>
      <c r="C1688" s="33" t="n">
        <v>32</v>
      </c>
      <c r="D1688" s="33" t="n">
        <v>31</v>
      </c>
      <c r="E1688" s="33" t="n">
        <v>33</v>
      </c>
      <c r="F1688" s="33" t="n"/>
      <c r="G1688" s="33" t="n"/>
      <c r="H1688" s="30" t="inlineStr">
        <is>
          <t>Oui</t>
        </is>
      </c>
    </row>
    <row r="1689">
      <c r="A1689" s="31" t="inlineStr">
        <is>
          <t>Objet</t>
        </is>
      </c>
      <c r="B1689" s="33" t="inlineStr">
        <is>
          <t>Aucun</t>
        </is>
      </c>
      <c r="C1689" s="33" t="inlineStr">
        <is>
          <t>Aucun</t>
        </is>
      </c>
      <c r="D1689" s="33" t="inlineStr">
        <is>
          <t>Aucun</t>
        </is>
      </c>
      <c r="E1689" s="33" t="inlineStr">
        <is>
          <t>Baie Sitrus</t>
        </is>
      </c>
      <c r="F1689" s="33" t="n"/>
      <c r="G1689" s="33" t="n"/>
      <c r="H1689" s="30" t="inlineStr">
        <is>
          <t>Oui</t>
        </is>
      </c>
    </row>
    <row r="1690">
      <c r="A1690" s="31" t="inlineStr">
        <is>
          <t>Talent</t>
        </is>
      </c>
      <c r="B1690" s="33" t="inlineStr">
        <is>
          <t>Isograisse</t>
        </is>
      </c>
      <c r="C1690" s="33" t="inlineStr">
        <is>
          <t>Attention</t>
        </is>
      </c>
      <c r="D1690" s="33" t="inlineStr">
        <is>
          <t>Benêt</t>
        </is>
      </c>
      <c r="E1690" s="33" t="inlineStr">
        <is>
          <t>Benêt</t>
        </is>
      </c>
      <c r="F1690" s="33" t="n"/>
      <c r="G1690" s="33" t="n"/>
      <c r="H1690" s="30" t="inlineStr">
        <is>
          <t>Oui</t>
        </is>
      </c>
    </row>
    <row r="1691">
      <c r="A1691" s="31" t="inlineStr">
        <is>
          <t>Capacités</t>
        </is>
      </c>
      <c r="B1691" s="34" t="inlineStr">
        <is>
          <t>Anneau Hydro</t>
        </is>
      </c>
      <c r="C1691" s="34" t="inlineStr">
        <is>
          <t>Feinte</t>
        </is>
      </c>
      <c r="D1691" s="34" t="inlineStr">
        <is>
          <t>Poing Glace</t>
        </is>
      </c>
      <c r="E1691" s="34" t="inlineStr">
        <is>
          <t>Coup d'Boule</t>
        </is>
      </c>
      <c r="F1691" s="34" t="n"/>
      <c r="G1691" s="34" t="n"/>
      <c r="H1691" s="30" t="inlineStr">
        <is>
          <t>Oui</t>
        </is>
      </c>
    </row>
    <row r="1692">
      <c r="A1692" s="31" t="n"/>
      <c r="B1692" s="34" t="inlineStr">
        <is>
          <t>Onde Boréale</t>
        </is>
      </c>
      <c r="C1692" s="34" t="inlineStr">
        <is>
          <t>Griffe Acier</t>
        </is>
      </c>
      <c r="D1692" s="34" t="inlineStr">
        <is>
          <t>Psyko</t>
        </is>
      </c>
      <c r="E1692" s="34" t="inlineStr">
        <is>
          <t>Séisme</t>
        </is>
      </c>
      <c r="F1692" s="34" t="n"/>
      <c r="G1692" s="34" t="n"/>
      <c r="H1692" s="30" t="inlineStr">
        <is>
          <t>Oui</t>
        </is>
      </c>
    </row>
    <row r="1693">
      <c r="A1693" s="31" t="n"/>
      <c r="B1693" s="34" t="inlineStr">
        <is>
          <t>Danse Pluie</t>
        </is>
      </c>
      <c r="C1693" s="34" t="inlineStr">
        <is>
          <t>Aiguisage</t>
        </is>
      </c>
      <c r="D1693" s="34" t="inlineStr">
        <is>
          <t>Danse Pluie</t>
        </is>
      </c>
      <c r="E1693" s="34" t="inlineStr">
        <is>
          <t>Pouvoir Antique</t>
        </is>
      </c>
      <c r="F1693" s="34" t="n"/>
      <c r="G1693" s="34" t="n"/>
      <c r="H1693" s="30" t="inlineStr">
        <is>
          <t>Oui</t>
        </is>
      </c>
    </row>
    <row r="1694">
      <c r="A1694" s="31" t="n"/>
      <c r="B1694" s="34" t="inlineStr">
        <is>
          <t>Aqua-Jet</t>
        </is>
      </c>
      <c r="C1694" s="34" t="inlineStr">
        <is>
          <t>Avalanche</t>
        </is>
      </c>
      <c r="D1694" s="34" t="inlineStr">
        <is>
          <t>Grobisou</t>
        </is>
      </c>
      <c r="E1694" s="34" t="inlineStr">
        <is>
          <t>Crocs Givre</t>
        </is>
      </c>
      <c r="F1694" s="34" t="n"/>
      <c r="G1694" s="34" t="n"/>
      <c r="H1694" s="30" t="inlineStr">
        <is>
          <t>Oui</t>
        </is>
      </c>
    </row>
    <row r="1695">
      <c r="A1695" s="31" t="inlineStr">
        <is>
          <t>Nom</t>
        </is>
      </c>
      <c r="B1695" s="32" t="inlineStr">
        <is>
          <t>Champion Frédo (si c'est votre 2e Arène parmi Oliville, Irisia et Acajou)</t>
        </is>
      </c>
      <c r="C1695" s="32" t="n"/>
      <c r="D1695" s="32" t="n"/>
      <c r="E1695" s="32" t="n"/>
      <c r="F1695" s="32" t="n"/>
      <c r="G1695" s="32" t="n"/>
      <c r="H1695" s="30" t="inlineStr">
        <is>
          <t>Oui</t>
        </is>
      </c>
    </row>
    <row r="1696">
      <c r="A1696" s="31" t="inlineStr">
        <is>
          <t>Pokémon</t>
        </is>
      </c>
      <c r="B1696" s="33" t="inlineStr">
        <is>
          <t>CRUSTABRI</t>
        </is>
      </c>
      <c r="C1696" s="33" t="inlineStr">
        <is>
          <t>FARFURET</t>
        </is>
      </c>
      <c r="D1696" s="33" t="inlineStr">
        <is>
          <t>LIPPOUTOU</t>
        </is>
      </c>
      <c r="E1696" s="33" t="inlineStr">
        <is>
          <t>LAMANTINE</t>
        </is>
      </c>
      <c r="F1696" s="33" t="inlineStr">
        <is>
          <t>COCHIGNON</t>
        </is>
      </c>
      <c r="G1696" s="33" t="n"/>
      <c r="H1696" s="30" t="inlineStr">
        <is>
          <t>Oui</t>
        </is>
      </c>
    </row>
    <row r="1697">
      <c r="A1697" s="31" t="inlineStr">
        <is>
          <t>Niveau</t>
        </is>
      </c>
      <c r="B1697" s="33" t="n">
        <v>33</v>
      </c>
      <c r="C1697" s="33" t="n">
        <v>34</v>
      </c>
      <c r="D1697" s="33" t="n">
        <v>33</v>
      </c>
      <c r="E1697" s="33" t="n">
        <v>34</v>
      </c>
      <c r="F1697" s="33" t="n">
        <v>35</v>
      </c>
      <c r="G1697" s="33" t="n"/>
      <c r="H1697" s="30" t="inlineStr">
        <is>
          <t>Oui</t>
        </is>
      </c>
    </row>
    <row r="1698">
      <c r="A1698" s="31" t="inlineStr">
        <is>
          <t>Objet</t>
        </is>
      </c>
      <c r="B1698" s="33" t="inlineStr">
        <is>
          <t>Aucun</t>
        </is>
      </c>
      <c r="C1698" s="33" t="inlineStr">
        <is>
          <t>Aucun</t>
        </is>
      </c>
      <c r="D1698" s="33" t="inlineStr">
        <is>
          <t>Aucun</t>
        </is>
      </c>
      <c r="E1698" s="33" t="inlineStr">
        <is>
          <t>Aucun</t>
        </is>
      </c>
      <c r="F1698" s="33" t="inlineStr">
        <is>
          <t>Baie Sitrus</t>
        </is>
      </c>
      <c r="G1698" s="33" t="n"/>
      <c r="H1698" s="30" t="inlineStr">
        <is>
          <t>Oui</t>
        </is>
      </c>
    </row>
    <row r="1699">
      <c r="A1699" s="31" t="inlineStr">
        <is>
          <t>Talent</t>
        </is>
      </c>
      <c r="B1699" s="33" t="inlineStr">
        <is>
          <t>Coque Armure</t>
        </is>
      </c>
      <c r="C1699" s="33" t="inlineStr">
        <is>
          <t>Attention</t>
        </is>
      </c>
      <c r="D1699" s="33" t="inlineStr">
        <is>
          <t>Benêt</t>
        </is>
      </c>
      <c r="E1699" s="33" t="inlineStr">
        <is>
          <t>Isograisse</t>
        </is>
      </c>
      <c r="F1699" s="33" t="inlineStr">
        <is>
          <t>Benêt</t>
        </is>
      </c>
      <c r="G1699" s="33" t="n"/>
      <c r="H1699" s="30" t="inlineStr">
        <is>
          <t>Oui</t>
        </is>
      </c>
    </row>
    <row r="1700">
      <c r="A1700" s="31" t="inlineStr">
        <is>
          <t>Capacités</t>
        </is>
      </c>
      <c r="B1700" s="34" t="inlineStr">
        <is>
          <t>Surf</t>
        </is>
      </c>
      <c r="C1700" s="34" t="inlineStr">
        <is>
          <t>Feinte</t>
        </is>
      </c>
      <c r="D1700" s="34" t="inlineStr">
        <is>
          <t>Poing Glace</t>
        </is>
      </c>
      <c r="E1700" s="34" t="inlineStr">
        <is>
          <t>Saumure</t>
        </is>
      </c>
      <c r="F1700" s="34" t="inlineStr">
        <is>
          <t>Coup d'Boule</t>
        </is>
      </c>
      <c r="G1700" s="34" t="n"/>
      <c r="H1700" s="30" t="inlineStr">
        <is>
          <t>Oui</t>
        </is>
      </c>
    </row>
    <row r="1701">
      <c r="A1701" s="31" t="n"/>
      <c r="B1701" s="34" t="inlineStr">
        <is>
          <t>Picots</t>
        </is>
      </c>
      <c r="C1701" s="34" t="inlineStr">
        <is>
          <t>Griffe Acier</t>
        </is>
      </c>
      <c r="D1701" s="34" t="inlineStr">
        <is>
          <t>Psyko</t>
        </is>
      </c>
      <c r="E1701" s="34" t="inlineStr">
        <is>
          <t>Onde Boréale</t>
        </is>
      </c>
      <c r="F1701" s="34" t="inlineStr">
        <is>
          <t>Séisme</t>
        </is>
      </c>
      <c r="G1701" s="34" t="n"/>
      <c r="H1701" s="30" t="inlineStr">
        <is>
          <t>Oui</t>
        </is>
      </c>
    </row>
    <row r="1702">
      <c r="A1702" s="31" t="n"/>
      <c r="B1702" s="34" t="inlineStr">
        <is>
          <t>Onde Boréale</t>
        </is>
      </c>
      <c r="C1702" s="34" t="inlineStr">
        <is>
          <t>Protection</t>
        </is>
      </c>
      <c r="D1702" s="34" t="inlineStr">
        <is>
          <t>Danse Pluie</t>
        </is>
      </c>
      <c r="E1702" s="34" t="inlineStr">
        <is>
          <t>Ronflement</t>
        </is>
      </c>
      <c r="F1702" s="34" t="inlineStr">
        <is>
          <t>Pouvoir Antique</t>
        </is>
      </c>
      <c r="G1702" s="34" t="n"/>
      <c r="H1702" s="30" t="inlineStr">
        <is>
          <t>Oui</t>
        </is>
      </c>
    </row>
    <row r="1703">
      <c r="A1703" s="31" t="n"/>
      <c r="B1703" s="34" t="inlineStr">
        <is>
          <t>Danse Pluie</t>
        </is>
      </c>
      <c r="C1703" s="34" t="inlineStr">
        <is>
          <t>Poing Glace</t>
        </is>
      </c>
      <c r="D1703" s="34" t="inlineStr">
        <is>
          <t>Grobisou</t>
        </is>
      </c>
      <c r="E1703" s="34" t="inlineStr">
        <is>
          <t>Repos</t>
        </is>
      </c>
      <c r="F1703" s="34" t="inlineStr">
        <is>
          <t>Crocs Givre</t>
        </is>
      </c>
      <c r="G1703" s="34" t="n"/>
      <c r="H1703" s="30" t="inlineStr">
        <is>
          <t>Oui</t>
        </is>
      </c>
    </row>
    <row r="1704">
      <c r="A1704" s="31" t="inlineStr">
        <is>
          <t>Nom</t>
        </is>
      </c>
      <c r="B1704" s="32" t="inlineStr">
        <is>
          <t>Champion Frédo (si c'est votre 3e Arène parmi Oliville, Irisia et Acajou)</t>
        </is>
      </c>
      <c r="C1704" s="32" t="n"/>
      <c r="D1704" s="32" t="n"/>
      <c r="E1704" s="32" t="n"/>
      <c r="F1704" s="32" t="n"/>
      <c r="G1704" s="32" t="n"/>
      <c r="H1704" s="30" t="inlineStr">
        <is>
          <t>Oui</t>
        </is>
      </c>
    </row>
    <row r="1705">
      <c r="A1705" s="31" t="inlineStr">
        <is>
          <t>Pokémon</t>
        </is>
      </c>
      <c r="B1705" s="33" t="inlineStr">
        <is>
          <t>CRUSTABRI</t>
        </is>
      </c>
      <c r="C1705" s="33" t="inlineStr">
        <is>
          <t>FARFURET</t>
        </is>
      </c>
      <c r="D1705" s="33" t="inlineStr">
        <is>
          <t>LIPPOUTOU</t>
        </is>
      </c>
      <c r="E1705" s="33" t="inlineStr">
        <is>
          <t>LAMANTINE</t>
        </is>
      </c>
      <c r="F1705" s="33" t="inlineStr">
        <is>
          <t>MAMMOCHON</t>
        </is>
      </c>
      <c r="G1705" s="33" t="n"/>
      <c r="H1705" s="30" t="inlineStr">
        <is>
          <t>Oui</t>
        </is>
      </c>
    </row>
    <row r="1706">
      <c r="A1706" s="31" t="inlineStr">
        <is>
          <t>Niveau</t>
        </is>
      </c>
      <c r="B1706" s="33" t="n">
        <v>37</v>
      </c>
      <c r="C1706" s="33" t="n">
        <v>37</v>
      </c>
      <c r="D1706" s="33" t="n">
        <v>37</v>
      </c>
      <c r="E1706" s="33" t="n">
        <v>37</v>
      </c>
      <c r="F1706" s="33" t="n">
        <v>38</v>
      </c>
      <c r="G1706" s="33" t="n"/>
      <c r="H1706" s="30" t="inlineStr">
        <is>
          <t>Oui</t>
        </is>
      </c>
    </row>
    <row r="1707">
      <c r="A1707" s="31" t="inlineStr">
        <is>
          <t>Objet</t>
        </is>
      </c>
      <c r="B1707" s="33" t="inlineStr">
        <is>
          <t>Aucun</t>
        </is>
      </c>
      <c r="C1707" s="33" t="inlineStr">
        <is>
          <t>Aucun</t>
        </is>
      </c>
      <c r="D1707" s="33" t="inlineStr">
        <is>
          <t>Aucun</t>
        </is>
      </c>
      <c r="E1707" s="33" t="inlineStr">
        <is>
          <t>Aucun</t>
        </is>
      </c>
      <c r="F1707" s="33" t="inlineStr">
        <is>
          <t>Baie Sitrus</t>
        </is>
      </c>
      <c r="G1707" s="33" t="n"/>
      <c r="H1707" s="30" t="inlineStr">
        <is>
          <t>Oui</t>
        </is>
      </c>
    </row>
    <row r="1708">
      <c r="A1708" s="31" t="inlineStr">
        <is>
          <t>Talent</t>
        </is>
      </c>
      <c r="B1708" s="33" t="inlineStr">
        <is>
          <t>Coque Armure</t>
        </is>
      </c>
      <c r="C1708" s="33" t="inlineStr">
        <is>
          <t>Attention</t>
        </is>
      </c>
      <c r="D1708" s="33" t="inlineStr">
        <is>
          <t>Benêt</t>
        </is>
      </c>
      <c r="E1708" s="33" t="inlineStr">
        <is>
          <t>Isograisse</t>
        </is>
      </c>
      <c r="F1708" s="33" t="inlineStr">
        <is>
          <t>Benêt</t>
        </is>
      </c>
      <c r="G1708" s="33" t="n"/>
      <c r="H1708" s="30" t="inlineStr">
        <is>
          <t>Oui</t>
        </is>
      </c>
    </row>
    <row r="1709">
      <c r="A1709" s="31" t="inlineStr">
        <is>
          <t>Capacités</t>
        </is>
      </c>
      <c r="B1709" s="34" t="inlineStr">
        <is>
          <t>Surf</t>
        </is>
      </c>
      <c r="C1709" s="34" t="inlineStr">
        <is>
          <t>Feinte</t>
        </is>
      </c>
      <c r="D1709" s="34" t="inlineStr">
        <is>
          <t>Poing Glace</t>
        </is>
      </c>
      <c r="E1709" s="34" t="inlineStr">
        <is>
          <t>Hydro-Queue</t>
        </is>
      </c>
      <c r="F1709" s="34" t="inlineStr">
        <is>
          <t>Bélier</t>
        </is>
      </c>
      <c r="G1709" s="34" t="n"/>
      <c r="H1709" s="30" t="inlineStr">
        <is>
          <t>Oui</t>
        </is>
      </c>
    </row>
    <row r="1710">
      <c r="A1710" s="31" t="n"/>
      <c r="B1710" s="34" t="inlineStr">
        <is>
          <t>Picots</t>
        </is>
      </c>
      <c r="C1710" s="34" t="inlineStr">
        <is>
          <t>Griffe Acier</t>
        </is>
      </c>
      <c r="D1710" s="34" t="inlineStr">
        <is>
          <t>Psyko</t>
        </is>
      </c>
      <c r="E1710" s="34" t="inlineStr">
        <is>
          <t>Onde Boréale</t>
        </is>
      </c>
      <c r="F1710" s="34" t="inlineStr">
        <is>
          <t>Séisme</t>
        </is>
      </c>
      <c r="G1710" s="34" t="n"/>
      <c r="H1710" s="30" t="inlineStr">
        <is>
          <t>Oui</t>
        </is>
      </c>
    </row>
    <row r="1711">
      <c r="A1711" s="31" t="n"/>
      <c r="B1711" s="34" t="inlineStr">
        <is>
          <t>Onde Boréale</t>
        </is>
      </c>
      <c r="C1711" s="34" t="inlineStr">
        <is>
          <t>Protection</t>
        </is>
      </c>
      <c r="D1711" s="34" t="inlineStr">
        <is>
          <t>Ball'Ombre</t>
        </is>
      </c>
      <c r="E1711" s="34" t="inlineStr">
        <is>
          <t>Ronflement</t>
        </is>
      </c>
      <c r="F1711" s="34" t="inlineStr">
        <is>
          <t>Pouvoir Antique</t>
        </is>
      </c>
      <c r="G1711" s="34" t="n"/>
      <c r="H1711" s="30" t="inlineStr">
        <is>
          <t>Oui</t>
        </is>
      </c>
    </row>
    <row r="1712">
      <c r="A1712" s="31" t="n"/>
      <c r="B1712" s="34" t="inlineStr">
        <is>
          <t>Danse Pluie</t>
        </is>
      </c>
      <c r="C1712" s="34" t="inlineStr">
        <is>
          <t>Blizzard</t>
        </is>
      </c>
      <c r="D1712" s="34" t="inlineStr">
        <is>
          <t>Grobisou</t>
        </is>
      </c>
      <c r="E1712" s="34" t="inlineStr">
        <is>
          <t>Repos</t>
        </is>
      </c>
      <c r="F1712" s="34" t="inlineStr">
        <is>
          <t>Crocs Givre</t>
        </is>
      </c>
      <c r="G1712" s="34" t="n"/>
      <c r="H1712" s="30" t="inlineStr">
        <is>
          <t>Oui</t>
        </is>
      </c>
    </row>
    <row r="1713" ht="18" customHeight="1">
      <c r="A1713" s="26" t="inlineStr">
        <is>
          <t>Doublonville — Tour Radio 1F</t>
        </is>
      </c>
      <c r="B1713" s="26" t="n"/>
      <c r="C1713" s="26" t="n"/>
      <c r="D1713" s="26" t="n"/>
      <c r="E1713" s="26" t="n"/>
      <c r="F1713" s="26" t="n"/>
      <c r="G1713" s="26" t="n"/>
      <c r="H1713" s="30" t="inlineStr">
        <is>
          <t>Oui</t>
        </is>
      </c>
    </row>
    <row r="1714">
      <c r="A1714" s="31" t="inlineStr">
        <is>
          <t>Nom</t>
        </is>
      </c>
      <c r="B1714" s="32" t="inlineStr">
        <is>
          <t>Rocket Sbire</t>
        </is>
      </c>
      <c r="C1714" s="32" t="n"/>
      <c r="D1714" s="32" t="n"/>
      <c r="E1714" s="32" t="n"/>
      <c r="F1714" s="32" t="n"/>
      <c r="G1714" s="32" t="n"/>
      <c r="H1714" s="30" t="inlineStr">
        <is>
          <t>Oui</t>
        </is>
      </c>
    </row>
    <row r="1715">
      <c r="A1715" s="31" t="inlineStr">
        <is>
          <t>Pokémon</t>
        </is>
      </c>
      <c r="B1715" s="33" t="inlineStr">
        <is>
          <t>RATTATAC</t>
        </is>
      </c>
      <c r="C1715" s="33" t="inlineStr">
        <is>
          <t>RATTATAC</t>
        </is>
      </c>
      <c r="D1715" s="33" t="inlineStr">
        <is>
          <t>RATTATAC</t>
        </is>
      </c>
      <c r="E1715" s="33" t="n"/>
      <c r="F1715" s="33" t="n"/>
      <c r="G1715" s="33" t="n"/>
      <c r="H1715" s="30" t="inlineStr">
        <is>
          <t>Oui</t>
        </is>
      </c>
    </row>
    <row r="1716">
      <c r="A1716" s="31" t="inlineStr">
        <is>
          <t>Niveau</t>
        </is>
      </c>
      <c r="B1716" s="33" t="n">
        <v>33</v>
      </c>
      <c r="C1716" s="33" t="n">
        <v>33</v>
      </c>
      <c r="D1716" s="33" t="n">
        <v>33</v>
      </c>
      <c r="E1716" s="33" t="n"/>
      <c r="F1716" s="33" t="n"/>
      <c r="G1716" s="33" t="n"/>
      <c r="H1716" s="30" t="inlineStr">
        <is>
          <t>Oui</t>
        </is>
      </c>
    </row>
    <row r="1717">
      <c r="A1717" s="31" t="inlineStr">
        <is>
          <t>Objet</t>
        </is>
      </c>
      <c r="B1717" s="33" t="inlineStr">
        <is>
          <t>Aucun</t>
        </is>
      </c>
      <c r="C1717" s="33" t="inlineStr">
        <is>
          <t>Aucun</t>
        </is>
      </c>
      <c r="D1717" s="33" t="inlineStr">
        <is>
          <t>Aucun</t>
        </is>
      </c>
      <c r="E1717" s="33" t="n"/>
      <c r="F1717" s="33" t="n"/>
      <c r="G1717" s="33" t="n"/>
      <c r="H1717" s="30" t="inlineStr">
        <is>
          <t>Oui</t>
        </is>
      </c>
    </row>
    <row r="1718">
      <c r="A1718" s="31" t="inlineStr">
        <is>
          <t>Talent</t>
        </is>
      </c>
      <c r="B1718" s="33" t="inlineStr">
        <is>
          <t>Fuite</t>
        </is>
      </c>
      <c r="C1718" s="33" t="inlineStr">
        <is>
          <t>Fuite</t>
        </is>
      </c>
      <c r="D1718" s="33" t="inlineStr">
        <is>
          <t>Fuite</t>
        </is>
      </c>
      <c r="E1718" s="33" t="n"/>
      <c r="F1718" s="33" t="n"/>
      <c r="G1718" s="33" t="n"/>
      <c r="H1718" s="30" t="inlineStr">
        <is>
          <t>Oui</t>
        </is>
      </c>
    </row>
    <row r="1719">
      <c r="A1719" s="31" t="inlineStr">
        <is>
          <t>Capacités</t>
        </is>
      </c>
      <c r="B1719" s="34" t="inlineStr">
        <is>
          <t>Croc de Mort</t>
        </is>
      </c>
      <c r="C1719" s="34" t="inlineStr">
        <is>
          <t>Croc de Mort</t>
        </is>
      </c>
      <c r="D1719" s="34" t="inlineStr">
        <is>
          <t>Croc de Mort</t>
        </is>
      </c>
      <c r="E1719" s="34" t="n"/>
      <c r="F1719" s="34" t="n"/>
      <c r="G1719" s="34" t="n"/>
      <c r="H1719" s="30" t="inlineStr">
        <is>
          <t>Oui</t>
        </is>
      </c>
    </row>
    <row r="1720">
      <c r="A1720" s="31" t="n"/>
      <c r="B1720" s="34" t="inlineStr">
        <is>
          <t>Assurance</t>
        </is>
      </c>
      <c r="C1720" s="34" t="inlineStr">
        <is>
          <t>Assurance</t>
        </is>
      </c>
      <c r="D1720" s="34" t="inlineStr">
        <is>
          <t>Assurance</t>
        </is>
      </c>
      <c r="E1720" s="34" t="n"/>
      <c r="F1720" s="34" t="n"/>
      <c r="G1720" s="34" t="n"/>
      <c r="H1720" s="30" t="inlineStr">
        <is>
          <t>Oui</t>
        </is>
      </c>
    </row>
    <row r="1721">
      <c r="A1721" s="31" t="n"/>
      <c r="B1721" s="34" t="inlineStr">
        <is>
          <t>Mâchouille</t>
        </is>
      </c>
      <c r="C1721" s="34" t="inlineStr">
        <is>
          <t>Mâchouille</t>
        </is>
      </c>
      <c r="D1721" s="34" t="inlineStr">
        <is>
          <t>Mâchouille</t>
        </is>
      </c>
      <c r="E1721" s="34" t="n"/>
      <c r="F1721" s="34" t="n"/>
      <c r="G1721" s="34" t="n"/>
      <c r="H1721" s="30" t="inlineStr">
        <is>
          <t>Oui</t>
        </is>
      </c>
    </row>
    <row r="1722">
      <c r="A1722" s="31" t="n"/>
      <c r="B1722" s="34" t="inlineStr">
        <is>
          <t>Coup Bas</t>
        </is>
      </c>
      <c r="C1722" s="34" t="inlineStr">
        <is>
          <t>Coup Bas</t>
        </is>
      </c>
      <c r="D1722" s="34" t="inlineStr">
        <is>
          <t>Coup Bas</t>
        </is>
      </c>
      <c r="E1722" s="34" t="n"/>
      <c r="F1722" s="34" t="n"/>
      <c r="G1722" s="34" t="n"/>
      <c r="H1722" s="30" t="inlineStr">
        <is>
          <t>Oui</t>
        </is>
      </c>
    </row>
    <row r="1723" ht="18" customHeight="1">
      <c r="A1723" s="26" t="inlineStr">
        <is>
          <t>Doublonville — Tour Radio 2F</t>
        </is>
      </c>
      <c r="B1723" s="26" t="n"/>
      <c r="C1723" s="26" t="n"/>
      <c r="D1723" s="26" t="n"/>
      <c r="E1723" s="26" t="n"/>
      <c r="F1723" s="26" t="n"/>
      <c r="G1723" s="26" t="n"/>
      <c r="H1723" s="30" t="inlineStr">
        <is>
          <t>Oui</t>
        </is>
      </c>
    </row>
    <row r="1724">
      <c r="A1724" s="31" t="inlineStr">
        <is>
          <t>Nom</t>
        </is>
      </c>
      <c r="B1724" s="32" t="inlineStr">
        <is>
          <t>Rocket Sbire</t>
        </is>
      </c>
      <c r="C1724" s="32" t="n"/>
      <c r="D1724" s="32" t="n"/>
      <c r="E1724" s="32" t="n"/>
      <c r="F1724" s="32" t="n"/>
      <c r="G1724" s="32" t="n"/>
      <c r="H1724" s="30" t="inlineStr">
        <is>
          <t>Oui</t>
        </is>
      </c>
    </row>
    <row r="1725">
      <c r="A1725" s="31" t="inlineStr">
        <is>
          <t>Pokémon</t>
        </is>
      </c>
      <c r="B1725" s="33" t="inlineStr">
        <is>
          <t>SMOGOGO</t>
        </is>
      </c>
      <c r="C1725" s="33" t="inlineStr">
        <is>
          <t>GROTADMORV</t>
        </is>
      </c>
      <c r="D1725" s="33" t="n"/>
      <c r="E1725" s="33" t="n"/>
      <c r="F1725" s="33" t="n"/>
      <c r="G1725" s="33" t="n"/>
      <c r="H1725" s="30" t="inlineStr">
        <is>
          <t>Oui</t>
        </is>
      </c>
    </row>
    <row r="1726">
      <c r="A1726" s="31" t="inlineStr">
        <is>
          <t>Niveau</t>
        </is>
      </c>
      <c r="B1726" s="33" t="n">
        <v>33</v>
      </c>
      <c r="C1726" s="33" t="n">
        <v>33</v>
      </c>
      <c r="D1726" s="33" t="n"/>
      <c r="E1726" s="33" t="n"/>
      <c r="F1726" s="33" t="n"/>
      <c r="G1726" s="33" t="n"/>
      <c r="H1726" s="30" t="inlineStr">
        <is>
          <t>Oui</t>
        </is>
      </c>
    </row>
    <row r="1727">
      <c r="A1727" s="31" t="inlineStr">
        <is>
          <t>Objet</t>
        </is>
      </c>
      <c r="B1727" s="33" t="inlineStr">
        <is>
          <t>Aucun</t>
        </is>
      </c>
      <c r="C1727" s="33" t="inlineStr">
        <is>
          <t>Aucun</t>
        </is>
      </c>
      <c r="D1727" s="33" t="n"/>
      <c r="E1727" s="33" t="n"/>
      <c r="F1727" s="33" t="n"/>
      <c r="G1727" s="33" t="n"/>
      <c r="H1727" s="30" t="inlineStr">
        <is>
          <t>Oui</t>
        </is>
      </c>
    </row>
    <row r="1728">
      <c r="A1728" s="31" t="inlineStr">
        <is>
          <t>Talent</t>
        </is>
      </c>
      <c r="B1728" s="33" t="inlineStr">
        <is>
          <t>Lévitation</t>
        </is>
      </c>
      <c r="C1728" s="33" t="inlineStr">
        <is>
          <t>Puanteur</t>
        </is>
      </c>
      <c r="D1728" s="33" t="n"/>
      <c r="E1728" s="33" t="n"/>
      <c r="F1728" s="33" t="n"/>
      <c r="G1728" s="33" t="n"/>
      <c r="H1728" s="30" t="inlineStr">
        <is>
          <t>Oui</t>
        </is>
      </c>
    </row>
    <row r="1729">
      <c r="A1729" s="31" t="inlineStr">
        <is>
          <t>Capacités</t>
        </is>
      </c>
      <c r="B1729" s="34" t="inlineStr">
        <is>
          <t>Détritus</t>
        </is>
      </c>
      <c r="C1729" s="34" t="inlineStr">
        <is>
          <t>Lilliput</t>
        </is>
      </c>
      <c r="D1729" s="34" t="n"/>
      <c r="E1729" s="34" t="n"/>
      <c r="F1729" s="34" t="n"/>
      <c r="G1729" s="34" t="n"/>
      <c r="H1729" s="30" t="inlineStr">
        <is>
          <t>Oui</t>
        </is>
      </c>
    </row>
    <row r="1730">
      <c r="A1730" s="31" t="n"/>
      <c r="B1730" s="34" t="inlineStr">
        <is>
          <t>Destruction</t>
        </is>
      </c>
      <c r="C1730" s="34" t="inlineStr">
        <is>
          <t>Dégommage</t>
        </is>
      </c>
      <c r="D1730" s="34" t="n"/>
      <c r="E1730" s="34" t="n"/>
      <c r="F1730" s="34" t="n"/>
      <c r="G1730" s="34" t="n"/>
      <c r="H1730" s="30" t="inlineStr">
        <is>
          <t>Oui</t>
        </is>
      </c>
    </row>
    <row r="1731">
      <c r="A1731" s="31" t="n"/>
      <c r="B1731" s="34" t="inlineStr">
        <is>
          <t>Buée Noire</t>
        </is>
      </c>
      <c r="C1731" s="34" t="inlineStr">
        <is>
          <t>Bombe Beurk</t>
        </is>
      </c>
      <c r="D1731" s="34" t="n"/>
      <c r="E1731" s="34" t="n"/>
      <c r="F1731" s="34" t="n"/>
      <c r="G1731" s="34" t="n"/>
      <c r="H1731" s="30" t="inlineStr">
        <is>
          <t>Oui</t>
        </is>
      </c>
    </row>
    <row r="1732">
      <c r="A1732" s="31" t="n"/>
      <c r="B1732" s="34" t="inlineStr">
        <is>
          <t>Gyroballe</t>
        </is>
      </c>
      <c r="C1732" s="34" t="inlineStr">
        <is>
          <t>Cradovague</t>
        </is>
      </c>
      <c r="D1732" s="34" t="n"/>
      <c r="E1732" s="34" t="n"/>
      <c r="F1732" s="34" t="n"/>
      <c r="G1732" s="34" t="n"/>
      <c r="H1732" s="30" t="inlineStr">
        <is>
          <t>Oui</t>
        </is>
      </c>
    </row>
    <row r="1733">
      <c r="A1733" s="31" t="inlineStr">
        <is>
          <t>Nom</t>
        </is>
      </c>
      <c r="B1733" s="32" t="inlineStr">
        <is>
          <t>Rocket Sbire</t>
        </is>
      </c>
      <c r="C1733" s="32" t="n"/>
      <c r="D1733" s="32" t="n"/>
      <c r="E1733" s="32" t="n"/>
      <c r="F1733" s="32" t="n"/>
      <c r="G1733" s="32" t="n"/>
      <c r="H1733" s="30" t="inlineStr">
        <is>
          <t>Oui</t>
        </is>
      </c>
    </row>
    <row r="1734">
      <c r="A1734" s="31" t="inlineStr">
        <is>
          <t>Pokémon</t>
        </is>
      </c>
      <c r="B1734" s="33" t="inlineStr">
        <is>
          <t>CAPUMAIN</t>
        </is>
      </c>
      <c r="C1734" s="33" t="inlineStr">
        <is>
          <t>SMOGO</t>
        </is>
      </c>
      <c r="D1734" s="33" t="inlineStr">
        <is>
          <t>CAPUMAIN</t>
        </is>
      </c>
      <c r="E1734" s="33" t="n"/>
      <c r="F1734" s="33" t="n"/>
      <c r="G1734" s="33" t="n"/>
      <c r="H1734" s="30" t="inlineStr">
        <is>
          <t>Oui</t>
        </is>
      </c>
    </row>
    <row r="1735">
      <c r="A1735" s="31" t="inlineStr">
        <is>
          <t>Niveau</t>
        </is>
      </c>
      <c r="B1735" s="33" t="n">
        <v>34</v>
      </c>
      <c r="C1735" s="33" t="n">
        <v>34</v>
      </c>
      <c r="D1735" s="33" t="n">
        <v>34</v>
      </c>
      <c r="E1735" s="33" t="n"/>
      <c r="F1735" s="33" t="n"/>
      <c r="G1735" s="33" t="n"/>
      <c r="H1735" s="30" t="inlineStr">
        <is>
          <t>Oui</t>
        </is>
      </c>
    </row>
    <row r="1736">
      <c r="A1736" s="31" t="inlineStr">
        <is>
          <t>Objet</t>
        </is>
      </c>
      <c r="B1736" s="33" t="inlineStr">
        <is>
          <t>Aucun</t>
        </is>
      </c>
      <c r="C1736" s="33" t="inlineStr">
        <is>
          <t>Aucun</t>
        </is>
      </c>
      <c r="D1736" s="33" t="inlineStr">
        <is>
          <t>Aucun</t>
        </is>
      </c>
      <c r="E1736" s="33" t="n"/>
      <c r="F1736" s="33" t="n"/>
      <c r="G1736" s="33" t="n"/>
      <c r="H1736" s="30" t="inlineStr">
        <is>
          <t>Oui</t>
        </is>
      </c>
    </row>
    <row r="1737">
      <c r="A1737" s="31" t="inlineStr">
        <is>
          <t>Talent</t>
        </is>
      </c>
      <c r="B1737" s="33" t="inlineStr">
        <is>
          <t>Fuite</t>
        </is>
      </c>
      <c r="C1737" s="33" t="inlineStr">
        <is>
          <t>Lévitation</t>
        </is>
      </c>
      <c r="D1737" s="33" t="inlineStr">
        <is>
          <t>Fuite</t>
        </is>
      </c>
      <c r="E1737" s="33" t="n"/>
      <c r="F1737" s="33" t="n"/>
      <c r="G1737" s="33" t="n"/>
      <c r="H1737" s="30" t="inlineStr">
        <is>
          <t>Oui</t>
        </is>
      </c>
    </row>
    <row r="1738">
      <c r="A1738" s="31" t="inlineStr">
        <is>
          <t>Capacités</t>
        </is>
      </c>
      <c r="B1738" s="34" t="inlineStr">
        <is>
          <t>Météores</t>
        </is>
      </c>
      <c r="C1738" s="34" t="inlineStr">
        <is>
          <t>Destruction</t>
        </is>
      </c>
      <c r="D1738" s="34" t="inlineStr">
        <is>
          <t>Météores</t>
        </is>
      </c>
      <c r="E1738" s="34" t="n"/>
      <c r="F1738" s="34" t="n"/>
      <c r="G1738" s="34" t="n"/>
      <c r="H1738" s="30" t="inlineStr">
        <is>
          <t>Oui</t>
        </is>
      </c>
    </row>
    <row r="1739">
      <c r="A1739" s="31" t="n"/>
      <c r="B1739" s="34" t="inlineStr">
        <is>
          <t>Grincement</t>
        </is>
      </c>
      <c r="C1739" s="34" t="inlineStr">
        <is>
          <t>Buée Noire</t>
        </is>
      </c>
      <c r="D1739" s="34" t="inlineStr">
        <is>
          <t>Grincement</t>
        </is>
      </c>
      <c r="E1739" s="34" t="n"/>
      <c r="F1739" s="34" t="n"/>
      <c r="G1739" s="34" t="n"/>
      <c r="H1739" s="30" t="inlineStr">
        <is>
          <t>Oui</t>
        </is>
      </c>
    </row>
    <row r="1740">
      <c r="A1740" s="31" t="n"/>
      <c r="B1740" s="34" t="inlineStr">
        <is>
          <t>Hâte</t>
        </is>
      </c>
      <c r="C1740" s="34" t="inlineStr">
        <is>
          <t>Gyroballe</t>
        </is>
      </c>
      <c r="D1740" s="34" t="inlineStr">
        <is>
          <t>Hâte</t>
        </is>
      </c>
      <c r="E1740" s="34" t="n"/>
      <c r="F1740" s="34" t="n"/>
      <c r="G1740" s="34" t="n"/>
      <c r="H1740" s="30" t="inlineStr">
        <is>
          <t>Oui</t>
        </is>
      </c>
    </row>
    <row r="1741">
      <c r="A1741" s="31" t="n"/>
      <c r="B1741" s="34" t="inlineStr">
        <is>
          <t>Coup Double</t>
        </is>
      </c>
      <c r="C1741" s="34" t="inlineStr">
        <is>
          <t>Bombe Beurk</t>
        </is>
      </c>
      <c r="D1741" s="34" t="inlineStr">
        <is>
          <t>Coup Double</t>
        </is>
      </c>
      <c r="E1741" s="34" t="n"/>
      <c r="F1741" s="34" t="n"/>
      <c r="G1741" s="34" t="n"/>
      <c r="H1741" s="30" t="inlineStr">
        <is>
          <t>Oui</t>
        </is>
      </c>
    </row>
    <row r="1742">
      <c r="A1742" s="31" t="inlineStr">
        <is>
          <t>Nom</t>
        </is>
      </c>
      <c r="B1742" s="32" t="inlineStr">
        <is>
          <t>Rocket Sbire</t>
        </is>
      </c>
      <c r="C1742" s="32" t="n"/>
      <c r="D1742" s="32" t="n"/>
      <c r="E1742" s="32" t="n"/>
      <c r="F1742" s="32" t="n"/>
      <c r="G1742" s="32" t="n"/>
      <c r="H1742" s="30" t="inlineStr">
        <is>
          <t>Oui</t>
        </is>
      </c>
    </row>
    <row r="1743">
      <c r="A1743" s="31" t="inlineStr">
        <is>
          <t>Pokémon</t>
        </is>
      </c>
      <c r="B1743" s="33" t="inlineStr">
        <is>
          <t>SCORPLANE</t>
        </is>
      </c>
      <c r="C1743" s="33" t="inlineStr">
        <is>
          <t>HYPNOMADE</t>
        </is>
      </c>
      <c r="D1743" s="33" t="n"/>
      <c r="E1743" s="33" t="n"/>
      <c r="F1743" s="33" t="n"/>
      <c r="G1743" s="33" t="n"/>
      <c r="H1743" s="30" t="inlineStr">
        <is>
          <t>Oui</t>
        </is>
      </c>
    </row>
    <row r="1744">
      <c r="A1744" s="31" t="inlineStr">
        <is>
          <t>Niveau</t>
        </is>
      </c>
      <c r="B1744" s="33" t="n">
        <v>34</v>
      </c>
      <c r="C1744" s="33" t="n">
        <v>34</v>
      </c>
      <c r="D1744" s="33" t="n"/>
      <c r="E1744" s="33" t="n"/>
      <c r="F1744" s="33" t="n"/>
      <c r="G1744" s="33" t="n"/>
      <c r="H1744" s="30" t="inlineStr">
        <is>
          <t>Oui</t>
        </is>
      </c>
    </row>
    <row r="1745">
      <c r="A1745" s="31" t="inlineStr">
        <is>
          <t>Objet</t>
        </is>
      </c>
      <c r="B1745" s="33" t="inlineStr">
        <is>
          <t>Aucun</t>
        </is>
      </c>
      <c r="C1745" s="33" t="inlineStr">
        <is>
          <t>Aucun</t>
        </is>
      </c>
      <c r="D1745" s="33" t="n"/>
      <c r="E1745" s="33" t="n"/>
      <c r="F1745" s="33" t="n"/>
      <c r="G1745" s="33" t="n"/>
      <c r="H1745" s="30" t="inlineStr">
        <is>
          <t>Oui</t>
        </is>
      </c>
    </row>
    <row r="1746">
      <c r="A1746" s="31" t="inlineStr">
        <is>
          <t>Talent</t>
        </is>
      </c>
      <c r="B1746" s="33" t="inlineStr">
        <is>
          <t>Hyper Cutter</t>
        </is>
      </c>
      <c r="C1746" s="33" t="inlineStr">
        <is>
          <t>Insomnia</t>
        </is>
      </c>
      <c r="D1746" s="33" t="n"/>
      <c r="E1746" s="33" t="n"/>
      <c r="F1746" s="33" t="n"/>
      <c r="G1746" s="33" t="n"/>
      <c r="H1746" s="30" t="inlineStr">
        <is>
          <t>Oui</t>
        </is>
      </c>
    </row>
    <row r="1747">
      <c r="A1747" s="31" t="inlineStr">
        <is>
          <t>Capacités</t>
        </is>
      </c>
      <c r="B1747" s="34" t="inlineStr">
        <is>
          <t>Feinte</t>
        </is>
      </c>
      <c r="C1747" s="34" t="inlineStr">
        <is>
          <t>Yoga</t>
        </is>
      </c>
      <c r="D1747" s="34" t="n"/>
      <c r="E1747" s="34" t="n"/>
      <c r="F1747" s="34" t="n"/>
      <c r="G1747" s="34" t="n"/>
      <c r="H1747" s="30" t="inlineStr">
        <is>
          <t>Oui</t>
        </is>
      </c>
    </row>
    <row r="1748">
      <c r="A1748" s="31" t="n"/>
      <c r="B1748" s="34" t="inlineStr">
        <is>
          <t>Acrobatie</t>
        </is>
      </c>
      <c r="C1748" s="34" t="inlineStr">
        <is>
          <t>Rafale Psy</t>
        </is>
      </c>
      <c r="D1748" s="34" t="n"/>
      <c r="E1748" s="34" t="n"/>
      <c r="F1748" s="34" t="n"/>
      <c r="G1748" s="34" t="n"/>
      <c r="H1748" s="30" t="inlineStr">
        <is>
          <t>Oui</t>
        </is>
      </c>
    </row>
    <row r="1749">
      <c r="A1749" s="31" t="n"/>
      <c r="B1749" s="34" t="inlineStr">
        <is>
          <t>Tranche</t>
        </is>
      </c>
      <c r="C1749" s="34" t="inlineStr">
        <is>
          <t>Réveil Forcé</t>
        </is>
      </c>
      <c r="D1749" s="34" t="n"/>
      <c r="E1749" s="34" t="n"/>
      <c r="F1749" s="34" t="n"/>
      <c r="G1749" s="34" t="n"/>
      <c r="H1749" s="30" t="inlineStr">
        <is>
          <t>Oui</t>
        </is>
      </c>
    </row>
    <row r="1750">
      <c r="A1750" s="31" t="n"/>
      <c r="B1750" s="34" t="inlineStr">
        <is>
          <t>Demi-Tour</t>
        </is>
      </c>
      <c r="C1750" s="34" t="inlineStr">
        <is>
          <t>Boost</t>
        </is>
      </c>
      <c r="D1750" s="34" t="n"/>
      <c r="E1750" s="34" t="n"/>
      <c r="F1750" s="34" t="n"/>
      <c r="G1750" s="34" t="n"/>
      <c r="H1750" s="30" t="inlineStr">
        <is>
          <t>Oui</t>
        </is>
      </c>
    </row>
    <row r="1751">
      <c r="A1751" s="31" t="inlineStr">
        <is>
          <t>Nom</t>
        </is>
      </c>
      <c r="B1751" s="32" t="inlineStr">
        <is>
          <t>Rocket Sbire</t>
        </is>
      </c>
      <c r="C1751" s="32" t="n"/>
      <c r="D1751" s="32" t="n"/>
      <c r="E1751" s="32" t="n"/>
      <c r="F1751" s="32" t="n"/>
      <c r="G1751" s="32" t="n"/>
      <c r="H1751" s="30" t="inlineStr">
        <is>
          <t>Oui</t>
        </is>
      </c>
    </row>
    <row r="1752">
      <c r="A1752" s="31" t="inlineStr">
        <is>
          <t>Pokémon</t>
        </is>
      </c>
      <c r="B1752" s="33" t="inlineStr">
        <is>
          <t>ARBOK</t>
        </is>
      </c>
      <c r="C1752" s="33" t="inlineStr">
        <is>
          <t>ORTIDE</t>
        </is>
      </c>
      <c r="D1752" s="33" t="n"/>
      <c r="E1752" s="33" t="n"/>
      <c r="F1752" s="33" t="n"/>
      <c r="G1752" s="33" t="n"/>
      <c r="H1752" s="30" t="inlineStr">
        <is>
          <t>Oui</t>
        </is>
      </c>
    </row>
    <row r="1753">
      <c r="A1753" s="31" t="inlineStr">
        <is>
          <t>Niveau</t>
        </is>
      </c>
      <c r="B1753" s="33" t="n">
        <v>35</v>
      </c>
      <c r="C1753" s="33" t="n">
        <v>35</v>
      </c>
      <c r="D1753" s="33" t="n"/>
      <c r="E1753" s="33" t="n"/>
      <c r="F1753" s="33" t="n"/>
      <c r="G1753" s="33" t="n"/>
      <c r="H1753" s="30" t="inlineStr">
        <is>
          <t>Oui</t>
        </is>
      </c>
    </row>
    <row r="1754">
      <c r="A1754" s="31" t="inlineStr">
        <is>
          <t>Objet</t>
        </is>
      </c>
      <c r="B1754" s="33" t="inlineStr">
        <is>
          <t>Aucun</t>
        </is>
      </c>
      <c r="C1754" s="33" t="inlineStr">
        <is>
          <t>Aucun</t>
        </is>
      </c>
      <c r="D1754" s="33" t="n"/>
      <c r="E1754" s="33" t="n"/>
      <c r="F1754" s="33" t="n"/>
      <c r="G1754" s="33" t="n"/>
      <c r="H1754" s="30" t="inlineStr">
        <is>
          <t>Oui</t>
        </is>
      </c>
    </row>
    <row r="1755">
      <c r="A1755" s="31" t="inlineStr">
        <is>
          <t>Talent</t>
        </is>
      </c>
      <c r="B1755" s="33" t="inlineStr">
        <is>
          <t>Intimidation</t>
        </is>
      </c>
      <c r="C1755" s="33" t="inlineStr">
        <is>
          <t>Chlorophylle</t>
        </is>
      </c>
      <c r="D1755" s="33" t="n"/>
      <c r="E1755" s="33" t="n"/>
      <c r="F1755" s="33" t="n"/>
      <c r="G1755" s="33" t="n"/>
      <c r="H1755" s="30" t="inlineStr">
        <is>
          <t>Oui</t>
        </is>
      </c>
    </row>
    <row r="1756">
      <c r="A1756" s="31" t="inlineStr">
        <is>
          <t>Capacités</t>
        </is>
      </c>
      <c r="B1756" s="34" t="inlineStr">
        <is>
          <t>Avale</t>
        </is>
      </c>
      <c r="C1756" s="34" t="inlineStr">
        <is>
          <t>Méga-Sangsue</t>
        </is>
      </c>
      <c r="D1756" s="34" t="n"/>
      <c r="E1756" s="34" t="n"/>
      <c r="F1756" s="34" t="n"/>
      <c r="G1756" s="34" t="n"/>
      <c r="H1756" s="30" t="inlineStr">
        <is>
          <t>Oui</t>
        </is>
      </c>
    </row>
    <row r="1757">
      <c r="A1757" s="31" t="n"/>
      <c r="B1757" s="34" t="inlineStr">
        <is>
          <t>Relâche</t>
        </is>
      </c>
      <c r="C1757" s="34" t="inlineStr">
        <is>
          <t>Air Veinard</t>
        </is>
      </c>
      <c r="D1757" s="34" t="n"/>
      <c r="E1757" s="34" t="n"/>
      <c r="F1757" s="34" t="n"/>
      <c r="G1757" s="34" t="n"/>
      <c r="H1757" s="30" t="inlineStr">
        <is>
          <t>Oui</t>
        </is>
      </c>
    </row>
    <row r="1758">
      <c r="A1758" s="31" t="n"/>
      <c r="B1758" s="34" t="inlineStr">
        <is>
          <t>Crochet Venin</t>
        </is>
      </c>
      <c r="C1758" s="34" t="inlineStr">
        <is>
          <t>Rayon Lune</t>
        </is>
      </c>
      <c r="D1758" s="34" t="n"/>
      <c r="E1758" s="34" t="n"/>
      <c r="F1758" s="34" t="n"/>
      <c r="G1758" s="34" t="n"/>
      <c r="H1758" s="30" t="inlineStr">
        <is>
          <t>Oui</t>
        </is>
      </c>
    </row>
    <row r="1759">
      <c r="A1759" s="31" t="n"/>
      <c r="B1759" s="34" t="inlineStr">
        <is>
          <t>Bombe Acide</t>
        </is>
      </c>
      <c r="C1759" s="34" t="inlineStr">
        <is>
          <t>Giga-Sangsue</t>
        </is>
      </c>
      <c r="D1759" s="34" t="n"/>
      <c r="E1759" s="34" t="n"/>
      <c r="F1759" s="34" t="n"/>
      <c r="G1759" s="34" t="n"/>
      <c r="H1759" s="30" t="inlineStr">
        <is>
          <t>Oui</t>
        </is>
      </c>
    </row>
    <row r="1760" ht="18" customHeight="1">
      <c r="A1760" s="26" t="inlineStr">
        <is>
          <t>Doublonville — Tour Radio 3F</t>
        </is>
      </c>
      <c r="B1760" s="26" t="n"/>
      <c r="C1760" s="26" t="n"/>
      <c r="D1760" s="26" t="n"/>
      <c r="E1760" s="26" t="n"/>
      <c r="F1760" s="26" t="n"/>
      <c r="G1760" s="26" t="n"/>
      <c r="H1760" s="30" t="inlineStr">
        <is>
          <t>Oui</t>
        </is>
      </c>
    </row>
    <row r="1761">
      <c r="A1761" s="31" t="inlineStr">
        <is>
          <t>Nom</t>
        </is>
      </c>
      <c r="B1761" s="32" t="inlineStr">
        <is>
          <t>Rocket Sbire</t>
        </is>
      </c>
      <c r="C1761" s="32" t="n"/>
      <c r="D1761" s="32" t="n"/>
      <c r="E1761" s="32" t="n"/>
      <c r="F1761" s="32" t="n"/>
      <c r="G1761" s="32" t="n"/>
      <c r="H1761" s="30" t="inlineStr">
        <is>
          <t>Oui</t>
        </is>
      </c>
    </row>
    <row r="1762">
      <c r="A1762" s="31" t="inlineStr">
        <is>
          <t>Pokémon</t>
        </is>
      </c>
      <c r="B1762" s="33" t="inlineStr">
        <is>
          <t>CAPUMAIN</t>
        </is>
      </c>
      <c r="C1762" s="33" t="inlineStr">
        <is>
          <t>CORNEBRE</t>
        </is>
      </c>
      <c r="D1762" s="33" t="inlineStr">
        <is>
          <t>FORETRESS</t>
        </is>
      </c>
      <c r="E1762" s="33" t="n"/>
      <c r="F1762" s="33" t="n"/>
      <c r="G1762" s="33" t="n"/>
      <c r="H1762" s="30" t="inlineStr">
        <is>
          <t>Oui</t>
        </is>
      </c>
    </row>
    <row r="1763">
      <c r="A1763" s="31" t="inlineStr">
        <is>
          <t>Niveau</t>
        </is>
      </c>
      <c r="B1763" s="33" t="n">
        <v>34</v>
      </c>
      <c r="C1763" s="33" t="n">
        <v>34</v>
      </c>
      <c r="D1763" s="33" t="n">
        <v>34</v>
      </c>
      <c r="E1763" s="33" t="n"/>
      <c r="F1763" s="33" t="n"/>
      <c r="G1763" s="33" t="n"/>
      <c r="H1763" s="30" t="inlineStr">
        <is>
          <t>Oui</t>
        </is>
      </c>
    </row>
    <row r="1764">
      <c r="A1764" s="31" t="inlineStr">
        <is>
          <t>Objet</t>
        </is>
      </c>
      <c r="B1764" s="33" t="inlineStr">
        <is>
          <t>Aucun</t>
        </is>
      </c>
      <c r="C1764" s="33" t="inlineStr">
        <is>
          <t>Aucun</t>
        </is>
      </c>
      <c r="D1764" s="33" t="inlineStr">
        <is>
          <t>Aucun</t>
        </is>
      </c>
      <c r="E1764" s="33" t="n"/>
      <c r="F1764" s="33" t="n"/>
      <c r="G1764" s="33" t="n"/>
      <c r="H1764" s="30" t="inlineStr">
        <is>
          <t>Oui</t>
        </is>
      </c>
    </row>
    <row r="1765">
      <c r="A1765" s="31" t="inlineStr">
        <is>
          <t>Talent</t>
        </is>
      </c>
      <c r="B1765" s="33" t="inlineStr">
        <is>
          <t>Fuite</t>
        </is>
      </c>
      <c r="C1765" s="33" t="inlineStr">
        <is>
          <t>Insomnia</t>
        </is>
      </c>
      <c r="D1765" s="33" t="inlineStr">
        <is>
          <t>Fermeté</t>
        </is>
      </c>
      <c r="E1765" s="33" t="n"/>
      <c r="F1765" s="33" t="n"/>
      <c r="G1765" s="33" t="n"/>
      <c r="H1765" s="30" t="inlineStr">
        <is>
          <t>Oui</t>
        </is>
      </c>
    </row>
    <row r="1766">
      <c r="A1766" s="31" t="inlineStr">
        <is>
          <t>Capacités</t>
        </is>
      </c>
      <c r="B1766" s="34" t="inlineStr">
        <is>
          <t>Météores</t>
        </is>
      </c>
      <c r="C1766" s="34" t="inlineStr">
        <is>
          <t>Cru-Ailes</t>
        </is>
      </c>
      <c r="D1766" s="34" t="inlineStr">
        <is>
          <t>Patience</t>
        </is>
      </c>
      <c r="E1766" s="34" t="n"/>
      <c r="F1766" s="34" t="n"/>
      <c r="G1766" s="34" t="n"/>
      <c r="H1766" s="30" t="inlineStr">
        <is>
          <t>Oui</t>
        </is>
      </c>
    </row>
    <row r="1767">
      <c r="A1767" s="31" t="n"/>
      <c r="B1767" s="34" t="inlineStr">
        <is>
          <t>Grincement</t>
        </is>
      </c>
      <c r="C1767" s="34" t="inlineStr">
        <is>
          <t>Ombre Nocturne</t>
        </is>
      </c>
      <c r="D1767" s="34" t="inlineStr">
        <is>
          <t>Don Naturel</t>
        </is>
      </c>
      <c r="E1767" s="34" t="n"/>
      <c r="F1767" s="34" t="n"/>
      <c r="G1767" s="34" t="n"/>
      <c r="H1767" s="30" t="inlineStr">
        <is>
          <t>Oui</t>
        </is>
      </c>
    </row>
    <row r="1768">
      <c r="A1768" s="31" t="n"/>
      <c r="B1768" s="34" t="inlineStr">
        <is>
          <t>Hâte</t>
        </is>
      </c>
      <c r="C1768" s="34" t="inlineStr">
        <is>
          <t>Assurance</t>
        </is>
      </c>
      <c r="D1768" s="34" t="inlineStr">
        <is>
          <t>Picots</t>
        </is>
      </c>
      <c r="E1768" s="34" t="n"/>
      <c r="F1768" s="34" t="n"/>
      <c r="G1768" s="34" t="n"/>
      <c r="H1768" s="30" t="inlineStr">
        <is>
          <t>Oui</t>
        </is>
      </c>
    </row>
    <row r="1769">
      <c r="A1769" s="31" t="n"/>
      <c r="B1769" s="34" t="inlineStr">
        <is>
          <t>Coup Double</t>
        </is>
      </c>
      <c r="C1769" s="34" t="inlineStr">
        <is>
          <t>Provoc</t>
        </is>
      </c>
      <c r="D1769" s="34" t="inlineStr">
        <is>
          <t>Représailles</t>
        </is>
      </c>
      <c r="E1769" s="34" t="n"/>
      <c r="F1769" s="34" t="n"/>
      <c r="G1769" s="34" t="n"/>
      <c r="H1769" s="30" t="inlineStr">
        <is>
          <t>Oui</t>
        </is>
      </c>
    </row>
    <row r="1770">
      <c r="A1770" s="31" t="inlineStr">
        <is>
          <t>Nom</t>
        </is>
      </c>
      <c r="B1770" s="32" t="inlineStr">
        <is>
          <t>Rocket Sbire</t>
        </is>
      </c>
      <c r="C1770" s="32" t="n"/>
      <c r="D1770" s="32" t="n"/>
      <c r="E1770" s="32" t="n"/>
      <c r="F1770" s="32" t="n"/>
      <c r="G1770" s="32" t="n"/>
      <c r="H1770" s="30" t="inlineStr">
        <is>
          <t>Oui</t>
        </is>
      </c>
    </row>
    <row r="1771">
      <c r="A1771" s="31" t="inlineStr">
        <is>
          <t>Pokémon</t>
        </is>
      </c>
      <c r="B1771" s="33" t="inlineStr">
        <is>
          <t>GROTADMORV</t>
        </is>
      </c>
      <c r="C1771" s="33" t="inlineStr">
        <is>
          <t>AEROMITE</t>
        </is>
      </c>
      <c r="D1771" s="33" t="n"/>
      <c r="E1771" s="33" t="n"/>
      <c r="F1771" s="33" t="n"/>
      <c r="G1771" s="33" t="n"/>
      <c r="H1771" s="30" t="inlineStr">
        <is>
          <t>Oui</t>
        </is>
      </c>
    </row>
    <row r="1772">
      <c r="A1772" s="31" t="inlineStr">
        <is>
          <t>Niveau</t>
        </is>
      </c>
      <c r="B1772" s="33" t="n">
        <v>34</v>
      </c>
      <c r="C1772" s="33" t="n">
        <v>34</v>
      </c>
      <c r="D1772" s="33" t="n"/>
      <c r="E1772" s="33" t="n"/>
      <c r="F1772" s="33" t="n"/>
      <c r="G1772" s="33" t="n"/>
      <c r="H1772" s="30" t="inlineStr">
        <is>
          <t>Oui</t>
        </is>
      </c>
    </row>
    <row r="1773">
      <c r="A1773" s="31" t="inlineStr">
        <is>
          <t>Objet</t>
        </is>
      </c>
      <c r="B1773" s="33" t="inlineStr">
        <is>
          <t>Aucun</t>
        </is>
      </c>
      <c r="C1773" s="33" t="inlineStr">
        <is>
          <t>Aucun</t>
        </is>
      </c>
      <c r="D1773" s="33" t="n"/>
      <c r="E1773" s="33" t="n"/>
      <c r="F1773" s="33" t="n"/>
      <c r="G1773" s="33" t="n"/>
      <c r="H1773" s="30" t="inlineStr">
        <is>
          <t>Oui</t>
        </is>
      </c>
    </row>
    <row r="1774">
      <c r="A1774" s="31" t="inlineStr">
        <is>
          <t>Talent</t>
        </is>
      </c>
      <c r="B1774" s="33" t="inlineStr">
        <is>
          <t>Puanteur</t>
        </is>
      </c>
      <c r="C1774" s="33" t="inlineStr">
        <is>
          <t>Écran Poudre</t>
        </is>
      </c>
      <c r="D1774" s="33" t="n"/>
      <c r="E1774" s="33" t="n"/>
      <c r="F1774" s="33" t="n"/>
      <c r="G1774" s="33" t="n"/>
      <c r="H1774" s="30" t="inlineStr">
        <is>
          <t>Oui</t>
        </is>
      </c>
    </row>
    <row r="1775">
      <c r="A1775" s="31" t="inlineStr">
        <is>
          <t>Capacités</t>
        </is>
      </c>
      <c r="B1775" s="34" t="inlineStr">
        <is>
          <t>Lilliput</t>
        </is>
      </c>
      <c r="C1775" s="34" t="inlineStr">
        <is>
          <t>Rafale Psy</t>
        </is>
      </c>
      <c r="D1775" s="34" t="n"/>
      <c r="E1775" s="34" t="n"/>
      <c r="F1775" s="34" t="n"/>
      <c r="G1775" s="34" t="n"/>
      <c r="H1775" s="30" t="inlineStr">
        <is>
          <t>Oui</t>
        </is>
      </c>
    </row>
    <row r="1776">
      <c r="A1776" s="31" t="n"/>
      <c r="B1776" s="34" t="inlineStr">
        <is>
          <t>Dégommage</t>
        </is>
      </c>
      <c r="C1776" s="34" t="inlineStr">
        <is>
          <t>Para-Spore</t>
        </is>
      </c>
      <c r="D1776" s="34" t="n"/>
      <c r="E1776" s="34" t="n"/>
      <c r="F1776" s="34" t="n"/>
      <c r="G1776" s="34" t="n"/>
      <c r="H1776" s="30" t="inlineStr">
        <is>
          <t>Oui</t>
        </is>
      </c>
    </row>
    <row r="1777">
      <c r="A1777" s="31" t="n"/>
      <c r="B1777" s="34" t="inlineStr">
        <is>
          <t>Bombe Beurk</t>
        </is>
      </c>
      <c r="C1777" s="34" t="inlineStr">
        <is>
          <t>Rayon Signal</t>
        </is>
      </c>
      <c r="D1777" s="34" t="n"/>
      <c r="E1777" s="34" t="n"/>
      <c r="F1777" s="34" t="n"/>
      <c r="G1777" s="34" t="n"/>
      <c r="H1777" s="30" t="inlineStr">
        <is>
          <t>Oui</t>
        </is>
      </c>
    </row>
    <row r="1778">
      <c r="A1778" s="31" t="n"/>
      <c r="B1778" s="34" t="inlineStr">
        <is>
          <t>Cradovague</t>
        </is>
      </c>
      <c r="C1778" s="34" t="inlineStr">
        <is>
          <t>Poudre Dodo</t>
        </is>
      </c>
      <c r="D1778" s="34" t="n"/>
      <c r="E1778" s="34" t="n"/>
      <c r="F1778" s="34" t="n"/>
      <c r="G1778" s="34" t="n"/>
      <c r="H1778" s="30" t="inlineStr">
        <is>
          <t>Oui</t>
        </is>
      </c>
    </row>
    <row r="1779">
      <c r="A1779" s="31" t="inlineStr">
        <is>
          <t>Nom</t>
        </is>
      </c>
      <c r="B1779" s="32" t="inlineStr">
        <is>
          <t>Rocket Sbire</t>
        </is>
      </c>
      <c r="C1779" s="32" t="n"/>
      <c r="D1779" s="32" t="n"/>
      <c r="E1779" s="32" t="n"/>
      <c r="F1779" s="32" t="n"/>
      <c r="G1779" s="32" t="n"/>
      <c r="H1779" s="30" t="inlineStr">
        <is>
          <t>Oui</t>
        </is>
      </c>
    </row>
    <row r="1780">
      <c r="A1780" s="31" t="inlineStr">
        <is>
          <t>Pokémon</t>
        </is>
      </c>
      <c r="B1780" s="33" t="inlineStr">
        <is>
          <t>TAUROS</t>
        </is>
      </c>
      <c r="C1780" s="33" t="inlineStr">
        <is>
          <t>FLAGADOSS</t>
        </is>
      </c>
      <c r="D1780" s="33" t="n"/>
      <c r="E1780" s="33" t="n"/>
      <c r="F1780" s="33" t="n"/>
      <c r="G1780" s="33" t="n"/>
      <c r="H1780" s="30" t="inlineStr">
        <is>
          <t>Oui</t>
        </is>
      </c>
    </row>
    <row r="1781">
      <c r="A1781" s="31" t="inlineStr">
        <is>
          <t>Niveau</t>
        </is>
      </c>
      <c r="B1781" s="33" t="n">
        <v>35</v>
      </c>
      <c r="C1781" s="33" t="n">
        <v>35</v>
      </c>
      <c r="D1781" s="33" t="n"/>
      <c r="E1781" s="33" t="n"/>
      <c r="F1781" s="33" t="n"/>
      <c r="G1781" s="33" t="n"/>
      <c r="H1781" s="30" t="inlineStr">
        <is>
          <t>Oui</t>
        </is>
      </c>
    </row>
    <row r="1782">
      <c r="A1782" s="31" t="inlineStr">
        <is>
          <t>Objet</t>
        </is>
      </c>
      <c r="B1782" s="33" t="inlineStr">
        <is>
          <t>Aucun</t>
        </is>
      </c>
      <c r="C1782" s="33" t="inlineStr">
        <is>
          <t>Aucun</t>
        </is>
      </c>
      <c r="D1782" s="33" t="n"/>
      <c r="E1782" s="33" t="n"/>
      <c r="F1782" s="33" t="n"/>
      <c r="G1782" s="33" t="n"/>
      <c r="H1782" s="30" t="inlineStr">
        <is>
          <t>Oui</t>
        </is>
      </c>
    </row>
    <row r="1783">
      <c r="A1783" s="31" t="inlineStr">
        <is>
          <t>Talent</t>
        </is>
      </c>
      <c r="B1783" s="33" t="inlineStr">
        <is>
          <t>Intimidation</t>
        </is>
      </c>
      <c r="C1783" s="33" t="inlineStr">
        <is>
          <t>Benêt</t>
        </is>
      </c>
      <c r="D1783" s="33" t="n"/>
      <c r="E1783" s="33" t="n"/>
      <c r="F1783" s="33" t="n"/>
      <c r="G1783" s="33" t="n"/>
      <c r="H1783" s="30" t="inlineStr">
        <is>
          <t>Oui</t>
        </is>
      </c>
    </row>
    <row r="1784">
      <c r="A1784" s="31" t="inlineStr">
        <is>
          <t>Capacités</t>
        </is>
      </c>
      <c r="B1784" s="34" t="inlineStr">
        <is>
          <t>Repos</t>
        </is>
      </c>
      <c r="C1784" s="34" t="inlineStr">
        <is>
          <t>Entrave</t>
        </is>
      </c>
      <c r="D1784" s="34" t="n"/>
      <c r="E1784" s="34" t="n"/>
      <c r="F1784" s="34" t="n"/>
      <c r="G1784" s="34" t="n"/>
      <c r="H1784" s="30" t="inlineStr">
        <is>
          <t>Oui</t>
        </is>
      </c>
    </row>
    <row r="1785">
      <c r="A1785" s="31" t="n"/>
      <c r="B1785" s="34" t="inlineStr">
        <is>
          <t>Représailles</t>
        </is>
      </c>
      <c r="C1785" s="34" t="inlineStr">
        <is>
          <t>Coup d'Boule</t>
        </is>
      </c>
      <c r="D1785" s="34" t="n"/>
      <c r="E1785" s="34" t="n"/>
      <c r="F1785" s="34" t="n"/>
      <c r="G1785" s="34" t="n"/>
      <c r="H1785" s="30" t="inlineStr">
        <is>
          <t>Oui</t>
        </is>
      </c>
    </row>
    <row r="1786">
      <c r="A1786" s="31" t="n"/>
      <c r="B1786" s="34" t="inlineStr">
        <is>
          <t>Rengorgement</t>
        </is>
      </c>
      <c r="C1786" s="34" t="inlineStr">
        <is>
          <t>Vibraqua</t>
        </is>
      </c>
      <c r="D1786" s="34" t="n"/>
      <c r="E1786" s="34" t="n"/>
      <c r="F1786" s="34" t="n"/>
      <c r="G1786" s="34" t="n"/>
      <c r="H1786" s="30" t="inlineStr">
        <is>
          <t>Oui</t>
        </is>
      </c>
    </row>
    <row r="1787">
      <c r="A1787" s="31" t="n"/>
      <c r="B1787" s="34" t="inlineStr">
        <is>
          <t>Bélier</t>
        </is>
      </c>
      <c r="C1787" s="34" t="inlineStr">
        <is>
          <t>Psykoud'Boul</t>
        </is>
      </c>
      <c r="D1787" s="34" t="n"/>
      <c r="E1787" s="34" t="n"/>
      <c r="F1787" s="34" t="n"/>
      <c r="G1787" s="34" t="n"/>
      <c r="H1787" s="30" t="inlineStr">
        <is>
          <t>Oui</t>
        </is>
      </c>
    </row>
    <row r="1788">
      <c r="A1788" s="31" t="inlineStr">
        <is>
          <t>Nom</t>
        </is>
      </c>
      <c r="B1788" s="32" t="inlineStr">
        <is>
          <t>Collec Marc</t>
        </is>
      </c>
      <c r="C1788" s="32" t="n"/>
      <c r="D1788" s="32" t="n"/>
      <c r="E1788" s="32" t="n"/>
      <c r="F1788" s="32" t="n"/>
      <c r="G1788" s="32" t="n"/>
      <c r="H1788" s="30" t="inlineStr">
        <is>
          <t>Oui</t>
        </is>
      </c>
    </row>
    <row r="1789">
      <c r="A1789" s="31" t="inlineStr">
        <is>
          <t>Pokémon</t>
        </is>
      </c>
      <c r="B1789" s="33" t="inlineStr">
        <is>
          <t>AMONISTAR</t>
        </is>
      </c>
      <c r="C1789" s="33" t="n"/>
      <c r="D1789" s="33" t="n"/>
      <c r="E1789" s="33" t="n"/>
      <c r="F1789" s="33" t="n"/>
      <c r="G1789" s="33" t="n"/>
      <c r="H1789" s="30" t="inlineStr">
        <is>
          <t>Oui</t>
        </is>
      </c>
    </row>
    <row r="1790">
      <c r="A1790" s="31" t="inlineStr">
        <is>
          <t>Niveau</t>
        </is>
      </c>
      <c r="B1790" s="33" t="n">
        <v>37</v>
      </c>
      <c r="C1790" s="33" t="n"/>
      <c r="D1790" s="33" t="n"/>
      <c r="E1790" s="33" t="n"/>
      <c r="F1790" s="33" t="n"/>
      <c r="G1790" s="33" t="n"/>
      <c r="H1790" s="30" t="inlineStr">
        <is>
          <t>Oui</t>
        </is>
      </c>
    </row>
    <row r="1791">
      <c r="A1791" s="31" t="inlineStr">
        <is>
          <t>Objet</t>
        </is>
      </c>
      <c r="B1791" s="33" t="inlineStr">
        <is>
          <t>Aucun</t>
        </is>
      </c>
      <c r="C1791" s="33" t="n"/>
      <c r="D1791" s="33" t="n"/>
      <c r="E1791" s="33" t="n"/>
      <c r="F1791" s="33" t="n"/>
      <c r="G1791" s="33" t="n"/>
      <c r="H1791" s="30" t="inlineStr">
        <is>
          <t>Oui</t>
        </is>
      </c>
    </row>
    <row r="1792">
      <c r="A1792" s="31" t="inlineStr">
        <is>
          <t>Talent</t>
        </is>
      </c>
      <c r="B1792" s="33" t="inlineStr">
        <is>
          <t>Glissade</t>
        </is>
      </c>
      <c r="C1792" s="33" t="n"/>
      <c r="D1792" s="33" t="n"/>
      <c r="E1792" s="33" t="n"/>
      <c r="F1792" s="33" t="n"/>
      <c r="G1792" s="33" t="n"/>
      <c r="H1792" s="30" t="inlineStr">
        <is>
          <t>Oui</t>
        </is>
      </c>
    </row>
    <row r="1793">
      <c r="A1793" s="31" t="inlineStr">
        <is>
          <t>Capacités</t>
        </is>
      </c>
      <c r="B1793" s="34" t="inlineStr">
        <is>
          <t>Tir de Boue</t>
        </is>
      </c>
      <c r="C1793" s="34" t="n"/>
      <c r="D1793" s="34" t="n"/>
      <c r="E1793" s="34" t="n"/>
      <c r="F1793" s="34" t="n"/>
      <c r="G1793" s="34" t="n"/>
      <c r="H1793" s="30" t="inlineStr">
        <is>
          <t>Oui</t>
        </is>
      </c>
    </row>
    <row r="1794">
      <c r="A1794" s="31" t="n"/>
      <c r="B1794" s="34" t="inlineStr">
        <is>
          <t>Saumure</t>
        </is>
      </c>
      <c r="C1794" s="34" t="n"/>
      <c r="D1794" s="34" t="n"/>
      <c r="E1794" s="34" t="n"/>
      <c r="F1794" s="34" t="n"/>
      <c r="G1794" s="34" t="n"/>
      <c r="H1794" s="30" t="inlineStr">
        <is>
          <t>Oui</t>
        </is>
      </c>
    </row>
    <row r="1795">
      <c r="A1795" s="31" t="n"/>
      <c r="B1795" s="34" t="inlineStr">
        <is>
          <t>Abri</t>
        </is>
      </c>
      <c r="C1795" s="34" t="n"/>
      <c r="D1795" s="34" t="n"/>
      <c r="E1795" s="34" t="n"/>
      <c r="F1795" s="34" t="n"/>
      <c r="G1795" s="34" t="n"/>
      <c r="H1795" s="30" t="inlineStr">
        <is>
          <t>Oui</t>
        </is>
      </c>
    </row>
    <row r="1796">
      <c r="A1796" s="31" t="n"/>
      <c r="B1796" s="34" t="inlineStr">
        <is>
          <t>Pouvoir Antique</t>
        </is>
      </c>
      <c r="C1796" s="34" t="n"/>
      <c r="D1796" s="34" t="n"/>
      <c r="E1796" s="34" t="n"/>
      <c r="F1796" s="34" t="n"/>
      <c r="G1796" s="34" t="n"/>
      <c r="H1796" s="30" t="inlineStr">
        <is>
          <t>Oui</t>
        </is>
      </c>
    </row>
    <row r="1797" ht="18" customHeight="1">
      <c r="A1797" s="26" t="inlineStr">
        <is>
          <t>Doublonville — Tour Radio 4F</t>
        </is>
      </c>
      <c r="B1797" s="26" t="n"/>
      <c r="C1797" s="26" t="n"/>
      <c r="D1797" s="26" t="n"/>
      <c r="E1797" s="26" t="n"/>
      <c r="F1797" s="26" t="n"/>
      <c r="G1797" s="26" t="n"/>
      <c r="H1797" s="30" t="inlineStr">
        <is>
          <t>Oui</t>
        </is>
      </c>
    </row>
    <row r="1798">
      <c r="A1798" s="31" t="inlineStr">
        <is>
          <t>Nom</t>
        </is>
      </c>
      <c r="B1798" s="32" t="inlineStr">
        <is>
          <t>Rocket Sbire</t>
        </is>
      </c>
      <c r="C1798" s="32" t="n"/>
      <c r="D1798" s="32" t="n"/>
      <c r="E1798" s="32" t="n"/>
      <c r="F1798" s="32" t="n"/>
      <c r="G1798" s="32" t="n"/>
      <c r="H1798" s="30" t="inlineStr">
        <is>
          <t>Oui</t>
        </is>
      </c>
    </row>
    <row r="1799">
      <c r="A1799" s="31" t="inlineStr">
        <is>
          <t>Pokémon</t>
        </is>
      </c>
      <c r="B1799" s="33" t="inlineStr">
        <is>
          <t>ARBOK</t>
        </is>
      </c>
      <c r="C1799" s="33" t="inlineStr">
        <is>
          <t>ORTIDE</t>
        </is>
      </c>
      <c r="D1799" s="33" t="inlineStr">
        <is>
          <t>MIGALOS</t>
        </is>
      </c>
      <c r="E1799" s="33" t="inlineStr">
        <is>
          <t>RAFFLESIA</t>
        </is>
      </c>
      <c r="F1799" s="33" t="n"/>
      <c r="G1799" s="33" t="n"/>
      <c r="H1799" s="30" t="inlineStr">
        <is>
          <t>Oui</t>
        </is>
      </c>
    </row>
    <row r="1800">
      <c r="A1800" s="31" t="inlineStr">
        <is>
          <t>Niveau</t>
        </is>
      </c>
      <c r="B1800" s="33" t="n">
        <v>36</v>
      </c>
      <c r="C1800" s="33" t="n">
        <v>35</v>
      </c>
      <c r="D1800" s="33" t="n">
        <v>36</v>
      </c>
      <c r="E1800" s="33" t="n">
        <v>36</v>
      </c>
      <c r="F1800" s="33" t="n"/>
      <c r="G1800" s="33" t="n"/>
      <c r="H1800" s="30" t="inlineStr">
        <is>
          <t>Oui</t>
        </is>
      </c>
    </row>
    <row r="1801">
      <c r="A1801" s="31" t="inlineStr">
        <is>
          <t>Objet</t>
        </is>
      </c>
      <c r="B1801" s="33" t="inlineStr">
        <is>
          <t>Aucun</t>
        </is>
      </c>
      <c r="C1801" s="33" t="inlineStr">
        <is>
          <t>Aucun</t>
        </is>
      </c>
      <c r="D1801" s="33" t="inlineStr">
        <is>
          <t>Aucun</t>
        </is>
      </c>
      <c r="E1801" s="33" t="inlineStr">
        <is>
          <t>Aucun</t>
        </is>
      </c>
      <c r="F1801" s="33" t="n"/>
      <c r="G1801" s="33" t="n"/>
      <c r="H1801" s="30" t="inlineStr">
        <is>
          <t>Oui</t>
        </is>
      </c>
    </row>
    <row r="1802">
      <c r="A1802" s="31" t="inlineStr">
        <is>
          <t>Talent</t>
        </is>
      </c>
      <c r="B1802" s="33" t="inlineStr">
        <is>
          <t>Intimidation</t>
        </is>
      </c>
      <c r="C1802" s="33" t="inlineStr">
        <is>
          <t>Chlorophylle</t>
        </is>
      </c>
      <c r="D1802" s="33" t="inlineStr">
        <is>
          <t>Essaim</t>
        </is>
      </c>
      <c r="E1802" s="33" t="inlineStr">
        <is>
          <t>Chlorophylle</t>
        </is>
      </c>
      <c r="F1802" s="33" t="n"/>
      <c r="G1802" s="33" t="n"/>
      <c r="H1802" s="30" t="inlineStr">
        <is>
          <t>Oui</t>
        </is>
      </c>
    </row>
    <row r="1803">
      <c r="A1803" s="31" t="inlineStr">
        <is>
          <t>Capacités</t>
        </is>
      </c>
      <c r="B1803" s="34" t="inlineStr">
        <is>
          <t>Avale</t>
        </is>
      </c>
      <c r="C1803" s="34" t="inlineStr">
        <is>
          <t>Méga-Sangsue</t>
        </is>
      </c>
      <c r="D1803" s="34" t="inlineStr">
        <is>
          <t>Ombre Portée</t>
        </is>
      </c>
      <c r="E1803" s="34" t="inlineStr">
        <is>
          <t>Para-Spore</t>
        </is>
      </c>
      <c r="F1803" s="34" t="n"/>
      <c r="G1803" s="34" t="n"/>
      <c r="H1803" s="30" t="inlineStr">
        <is>
          <t>Oui</t>
        </is>
      </c>
    </row>
    <row r="1804">
      <c r="A1804" s="31" t="n"/>
      <c r="B1804" s="34" t="inlineStr">
        <is>
          <t>Relâche</t>
        </is>
      </c>
      <c r="C1804" s="34" t="inlineStr">
        <is>
          <t>Air Veinard</t>
        </is>
      </c>
      <c r="D1804" s="34" t="inlineStr">
        <is>
          <t>Combo-Griffe</t>
        </is>
      </c>
      <c r="E1804" s="34" t="inlineStr">
        <is>
          <t>Poudre Dodo</t>
        </is>
      </c>
      <c r="F1804" s="34" t="n"/>
      <c r="G1804" s="34" t="n"/>
      <c r="H1804" s="30" t="inlineStr">
        <is>
          <t>Oui</t>
        </is>
      </c>
    </row>
    <row r="1805">
      <c r="A1805" s="31" t="n"/>
      <c r="B1805" s="34" t="inlineStr">
        <is>
          <t>Crochet Venin</t>
        </is>
      </c>
      <c r="C1805" s="34" t="inlineStr">
        <is>
          <t>Rayon Lune</t>
        </is>
      </c>
      <c r="D1805" s="34" t="inlineStr">
        <is>
          <t>Coup Bas</t>
        </is>
      </c>
      <c r="E1805" s="34" t="inlineStr">
        <is>
          <t>Méga-Sangsue</t>
        </is>
      </c>
      <c r="F1805" s="34" t="n"/>
      <c r="G1805" s="34" t="n"/>
      <c r="H1805" s="30" t="inlineStr">
        <is>
          <t>Oui</t>
        </is>
      </c>
    </row>
    <row r="1806">
      <c r="A1806" s="31" t="n"/>
      <c r="B1806" s="34" t="inlineStr">
        <is>
          <t>Bombe Acide</t>
        </is>
      </c>
      <c r="C1806" s="34" t="inlineStr">
        <is>
          <t>Giga-Sangsue</t>
        </is>
      </c>
      <c r="D1806" s="34" t="inlineStr">
        <is>
          <t>Toile</t>
        </is>
      </c>
      <c r="E1806" s="34" t="inlineStr">
        <is>
          <t>Air Veinard</t>
        </is>
      </c>
      <c r="F1806" s="34" t="n"/>
      <c r="G1806" s="34" t="n"/>
      <c r="H1806" s="30" t="inlineStr">
        <is>
          <t>Oui</t>
        </is>
      </c>
    </row>
    <row r="1807">
      <c r="A1807" s="31" t="inlineStr">
        <is>
          <t>Nom</t>
        </is>
      </c>
      <c r="B1807" s="32" t="inlineStr">
        <is>
          <t>Rocket Sbire</t>
        </is>
      </c>
      <c r="C1807" s="32" t="n"/>
      <c r="D1807" s="32" t="n"/>
      <c r="E1807" s="32" t="n"/>
      <c r="F1807" s="32" t="n"/>
      <c r="G1807" s="32" t="n"/>
      <c r="H1807" s="30" t="inlineStr">
        <is>
          <t>Oui</t>
        </is>
      </c>
    </row>
    <row r="1808">
      <c r="A1808" s="31" t="inlineStr">
        <is>
          <t>Pokémon</t>
        </is>
      </c>
      <c r="B1808" s="33" t="inlineStr">
        <is>
          <t>NOADKOKO</t>
        </is>
      </c>
      <c r="C1808" s="33" t="inlineStr">
        <is>
          <t>ELECTRODE</t>
        </is>
      </c>
      <c r="D1808" s="33" t="inlineStr">
        <is>
          <t>ELEKTEK</t>
        </is>
      </c>
      <c r="E1808" s="33" t="n"/>
      <c r="F1808" s="33" t="n"/>
      <c r="G1808" s="33" t="n"/>
      <c r="H1808" s="30" t="inlineStr">
        <is>
          <t>Oui</t>
        </is>
      </c>
    </row>
    <row r="1809">
      <c r="A1809" s="31" t="inlineStr">
        <is>
          <t>Niveau</t>
        </is>
      </c>
      <c r="B1809" s="33" t="n">
        <v>35</v>
      </c>
      <c r="C1809" s="33" t="n">
        <v>35</v>
      </c>
      <c r="D1809" s="33" t="n">
        <v>35</v>
      </c>
      <c r="E1809" s="33" t="n"/>
      <c r="F1809" s="33" t="n"/>
      <c r="G1809" s="33" t="n"/>
      <c r="H1809" s="30" t="inlineStr">
        <is>
          <t>Oui</t>
        </is>
      </c>
    </row>
    <row r="1810">
      <c r="A1810" s="31" t="inlineStr">
        <is>
          <t>Objet</t>
        </is>
      </c>
      <c r="B1810" s="33" t="inlineStr">
        <is>
          <t>Aucun</t>
        </is>
      </c>
      <c r="C1810" s="33" t="inlineStr">
        <is>
          <t>Aucun</t>
        </is>
      </c>
      <c r="D1810" s="33" t="inlineStr">
        <is>
          <t>Aucun</t>
        </is>
      </c>
      <c r="E1810" s="33" t="n"/>
      <c r="F1810" s="33" t="n"/>
      <c r="G1810" s="33" t="n"/>
      <c r="H1810" s="30" t="inlineStr">
        <is>
          <t>Oui</t>
        </is>
      </c>
    </row>
    <row r="1811">
      <c r="A1811" s="31" t="inlineStr">
        <is>
          <t>Talent</t>
        </is>
      </c>
      <c r="B1811" s="33" t="inlineStr">
        <is>
          <t>Chlorophylle</t>
        </is>
      </c>
      <c r="C1811" s="33" t="inlineStr">
        <is>
          <t>Anti-Bruit</t>
        </is>
      </c>
      <c r="D1811" s="33" t="inlineStr">
        <is>
          <t>Statik</t>
        </is>
      </c>
      <c r="E1811" s="33" t="n"/>
      <c r="F1811" s="33" t="n"/>
      <c r="G1811" s="33" t="n"/>
      <c r="H1811" s="30" t="inlineStr">
        <is>
          <t>Oui</t>
        </is>
      </c>
    </row>
    <row r="1812">
      <c r="A1812" s="31" t="inlineStr">
        <is>
          <t>Capacités</t>
        </is>
      </c>
      <c r="B1812" s="34" t="inlineStr">
        <is>
          <t>Bombe Œuf</t>
        </is>
      </c>
      <c r="C1812" s="34" t="inlineStr">
        <is>
          <t>Boule Élek</t>
        </is>
      </c>
      <c r="D1812" s="34" t="inlineStr">
        <is>
          <t>Cage Éclair</t>
        </is>
      </c>
      <c r="E1812" s="34" t="n"/>
      <c r="F1812" s="34" t="n"/>
      <c r="G1812" s="34" t="n"/>
      <c r="H1812" s="30" t="inlineStr">
        <is>
          <t>Oui</t>
        </is>
      </c>
    </row>
    <row r="1813">
      <c r="A1813" s="31" t="n"/>
      <c r="B1813" s="34" t="inlineStr">
        <is>
          <t>Para-Spore</t>
        </is>
      </c>
      <c r="C1813" s="34" t="inlineStr">
        <is>
          <t>Destruction</t>
        </is>
      </c>
      <c r="D1813" s="34" t="inlineStr">
        <is>
          <t>Boule Élek</t>
        </is>
      </c>
      <c r="E1813" s="34" t="n"/>
      <c r="F1813" s="34" t="n"/>
      <c r="G1813" s="34" t="n"/>
      <c r="H1813" s="30" t="inlineStr">
        <is>
          <t>Oui</t>
        </is>
      </c>
    </row>
    <row r="1814">
      <c r="A1814" s="31" t="n"/>
      <c r="B1814" s="34" t="inlineStr">
        <is>
          <t>Poudre Toxik</t>
        </is>
      </c>
      <c r="C1814" s="34" t="inlineStr">
        <is>
          <t>Mur Lumière</t>
        </is>
      </c>
      <c r="D1814" s="34" t="inlineStr">
        <is>
          <t>Mur Lumière</t>
        </is>
      </c>
      <c r="E1814" s="34" t="n"/>
      <c r="F1814" s="34" t="n"/>
      <c r="G1814" s="34" t="n"/>
      <c r="H1814" s="30" t="inlineStr">
        <is>
          <t>Oui</t>
        </is>
      </c>
    </row>
    <row r="1815">
      <c r="A1815" s="31" t="n"/>
      <c r="B1815" s="34" t="inlineStr">
        <is>
          <t>Poudre Dodo</t>
        </is>
      </c>
      <c r="C1815" s="34" t="inlineStr">
        <is>
          <t>Roulade</t>
        </is>
      </c>
      <c r="D1815" s="34" t="inlineStr">
        <is>
          <t>Poing Éclair</t>
        </is>
      </c>
      <c r="E1815" s="34" t="n"/>
      <c r="F1815" s="34" t="n"/>
      <c r="G1815" s="34" t="n"/>
      <c r="H1815" s="30" t="inlineStr">
        <is>
          <t>Oui</t>
        </is>
      </c>
    </row>
    <row r="1816">
      <c r="A1816" s="31" t="inlineStr">
        <is>
          <t>Nom</t>
        </is>
      </c>
      <c r="B1816" s="32" t="inlineStr">
        <is>
          <t>Commandant Lance</t>
        </is>
      </c>
      <c r="C1816" s="32" t="n"/>
      <c r="D1816" s="32" t="n"/>
      <c r="E1816" s="32" t="n"/>
      <c r="F1816" s="32" t="n"/>
      <c r="G1816" s="32" t="n"/>
      <c r="H1816" s="30" t="inlineStr">
        <is>
          <t>Oui</t>
        </is>
      </c>
    </row>
    <row r="1817">
      <c r="A1817" s="31" t="inlineStr">
        <is>
          <t>Pokémon</t>
        </is>
      </c>
      <c r="B1817" s="33" t="inlineStr">
        <is>
          <t>GROTADMORV</t>
        </is>
      </c>
      <c r="C1817" s="33" t="inlineStr">
        <is>
          <t>NIDOQUEEN</t>
        </is>
      </c>
      <c r="D1817" s="33" t="inlineStr">
        <is>
          <t>SMOGOGO</t>
        </is>
      </c>
      <c r="E1817" s="33" t="inlineStr">
        <is>
          <t>NIDOKING</t>
        </is>
      </c>
      <c r="F1817" s="33" t="inlineStr">
        <is>
          <t>RHINOFEROS</t>
        </is>
      </c>
      <c r="G1817" s="33" t="n"/>
      <c r="H1817" s="30" t="inlineStr">
        <is>
          <t>Oui</t>
        </is>
      </c>
    </row>
    <row r="1818">
      <c r="A1818" s="31" t="inlineStr">
        <is>
          <t>Niveau</t>
        </is>
      </c>
      <c r="B1818" s="33" t="n">
        <v>36</v>
      </c>
      <c r="C1818" s="33" t="n">
        <v>37</v>
      </c>
      <c r="D1818" s="33" t="n">
        <v>36</v>
      </c>
      <c r="E1818" s="33" t="n">
        <v>37</v>
      </c>
      <c r="F1818" s="33" t="n">
        <v>38</v>
      </c>
      <c r="G1818" s="33" t="n"/>
      <c r="H1818" s="30" t="inlineStr">
        <is>
          <t>Oui</t>
        </is>
      </c>
    </row>
    <row r="1819">
      <c r="A1819" s="31" t="inlineStr">
        <is>
          <t>Objet</t>
        </is>
      </c>
      <c r="B1819" s="33" t="inlineStr">
        <is>
          <t>Aucun</t>
        </is>
      </c>
      <c r="C1819" s="33" t="inlineStr">
        <is>
          <t>Aucun</t>
        </is>
      </c>
      <c r="D1819" s="33" t="inlineStr">
        <is>
          <t>Aucun</t>
        </is>
      </c>
      <c r="E1819" s="33" t="inlineStr">
        <is>
          <t>Aucun</t>
        </is>
      </c>
      <c r="F1819" s="33" t="inlineStr">
        <is>
          <t>Aucun</t>
        </is>
      </c>
      <c r="G1819" s="33" t="n"/>
      <c r="H1819" s="30" t="inlineStr">
        <is>
          <t>Oui</t>
        </is>
      </c>
    </row>
    <row r="1820">
      <c r="A1820" s="31" t="inlineStr">
        <is>
          <t>Talent</t>
        </is>
      </c>
      <c r="B1820" s="33" t="inlineStr">
        <is>
          <t>Puanteur</t>
        </is>
      </c>
      <c r="C1820" s="33" t="inlineStr">
        <is>
          <t>Point Poison</t>
        </is>
      </c>
      <c r="D1820" s="33" t="inlineStr">
        <is>
          <t>Lévitation</t>
        </is>
      </c>
      <c r="E1820" s="33" t="inlineStr">
        <is>
          <t>Point Poison</t>
        </is>
      </c>
      <c r="F1820" s="33" t="inlineStr">
        <is>
          <t>Paratonnerre</t>
        </is>
      </c>
      <c r="G1820" s="33" t="n"/>
      <c r="H1820" s="30" t="inlineStr">
        <is>
          <t>Oui</t>
        </is>
      </c>
    </row>
    <row r="1821">
      <c r="A1821" s="31" t="inlineStr">
        <is>
          <t>Capacités</t>
        </is>
      </c>
      <c r="B1821" s="34" t="inlineStr">
        <is>
          <t>Cradovague</t>
        </is>
      </c>
      <c r="C1821" s="34" t="inlineStr">
        <is>
          <t>Poison Croix</t>
        </is>
      </c>
      <c r="D1821" s="34" t="inlineStr">
        <is>
          <t>Bombe Beurk</t>
        </is>
      </c>
      <c r="E1821" s="34" t="inlineStr">
        <is>
          <t>Poison Croix</t>
        </is>
      </c>
      <c r="F1821" s="34" t="inlineStr">
        <is>
          <t>Séisme</t>
        </is>
      </c>
      <c r="G1821" s="34" t="n"/>
      <c r="H1821" s="30" t="inlineStr">
        <is>
          <t>Oui</t>
        </is>
      </c>
    </row>
    <row r="1822">
      <c r="A1822" s="31" t="n"/>
      <c r="B1822" s="34" t="inlineStr">
        <is>
          <t>Boue-Bombe</t>
        </is>
      </c>
      <c r="C1822" s="34" t="inlineStr">
        <is>
          <t>Double Pied</t>
        </is>
      </c>
      <c r="D1822" s="34" t="inlineStr">
        <is>
          <t>Destruction</t>
        </is>
      </c>
      <c r="E1822" s="34" t="inlineStr">
        <is>
          <t>Double Pied</t>
        </is>
      </c>
      <c r="F1822" s="34" t="inlineStr">
        <is>
          <t>Tunnelier</t>
        </is>
      </c>
      <c r="G1822" s="34" t="n"/>
      <c r="H1822" s="30" t="inlineStr">
        <is>
          <t>Oui</t>
        </is>
      </c>
    </row>
    <row r="1823">
      <c r="A1823" s="31" t="n"/>
      <c r="B1823" s="34" t="inlineStr">
        <is>
          <t>Acidarmure</t>
        </is>
      </c>
      <c r="C1823" s="34" t="inlineStr">
        <is>
          <t>Poing Éclair</t>
        </is>
      </c>
      <c r="D1823" s="34" t="inlineStr">
        <is>
          <t>Buée Noire</t>
        </is>
      </c>
      <c r="E1823" s="34" t="inlineStr">
        <is>
          <t>Poing Glace</t>
        </is>
      </c>
      <c r="F1823" s="34" t="inlineStr">
        <is>
          <t>Abîme</t>
        </is>
      </c>
      <c r="G1823" s="34" t="n"/>
      <c r="H1823" s="30" t="inlineStr">
        <is>
          <t>Oui</t>
        </is>
      </c>
    </row>
    <row r="1824">
      <c r="A1824" s="31" t="n"/>
      <c r="B1824" s="34" t="inlineStr">
        <is>
          <t>Lilliput</t>
        </is>
      </c>
      <c r="C1824" s="34" t="inlineStr">
        <is>
          <t>Plaquage</t>
        </is>
      </c>
      <c r="D1824" s="34" t="inlineStr">
        <is>
          <t>Gyroballe</t>
        </is>
      </c>
      <c r="E1824" s="34" t="inlineStr">
        <is>
          <t>Mania</t>
        </is>
      </c>
      <c r="F1824" s="34" t="inlineStr">
        <is>
          <t>Éboulement</t>
        </is>
      </c>
      <c r="G1824" s="34" t="n"/>
      <c r="H1824" s="30" t="inlineStr">
        <is>
          <t>Oui</t>
        </is>
      </c>
    </row>
    <row r="1825">
      <c r="A1825" s="31" t="inlineStr">
        <is>
          <t>Nom</t>
        </is>
      </c>
      <c r="B1825" s="32" t="inlineStr">
        <is>
          <t>Collec Rich</t>
        </is>
      </c>
      <c r="C1825" s="32" t="n"/>
      <c r="D1825" s="32" t="n"/>
      <c r="E1825" s="32" t="n"/>
      <c r="F1825" s="32" t="n"/>
      <c r="G1825" s="32" t="n"/>
      <c r="H1825" s="30" t="inlineStr">
        <is>
          <t>Oui</t>
        </is>
      </c>
    </row>
    <row r="1826">
      <c r="A1826" s="31" t="inlineStr">
        <is>
          <t>Pokémon</t>
        </is>
      </c>
      <c r="B1826" s="33" t="inlineStr">
        <is>
          <t>PORYGON</t>
        </is>
      </c>
      <c r="C1826" s="33" t="n"/>
      <c r="D1826" s="33" t="n"/>
      <c r="E1826" s="33" t="n"/>
      <c r="F1826" s="33" t="n"/>
      <c r="G1826" s="33" t="n"/>
      <c r="H1826" s="30" t="inlineStr">
        <is>
          <t>Oui</t>
        </is>
      </c>
    </row>
    <row r="1827">
      <c r="A1827" s="31" t="inlineStr">
        <is>
          <t>Niveau</t>
        </is>
      </c>
      <c r="B1827" s="33" t="n">
        <v>40</v>
      </c>
      <c r="C1827" s="33" t="n"/>
      <c r="D1827" s="33" t="n"/>
      <c r="E1827" s="33" t="n"/>
      <c r="F1827" s="33" t="n"/>
      <c r="G1827" s="33" t="n"/>
      <c r="H1827" s="30" t="inlineStr">
        <is>
          <t>Oui</t>
        </is>
      </c>
    </row>
    <row r="1828">
      <c r="A1828" s="31" t="inlineStr">
        <is>
          <t>Objet</t>
        </is>
      </c>
      <c r="B1828" s="33" t="inlineStr">
        <is>
          <t>Aucun</t>
        </is>
      </c>
      <c r="C1828" s="33" t="n"/>
      <c r="D1828" s="33" t="n"/>
      <c r="E1828" s="33" t="n"/>
      <c r="F1828" s="33" t="n"/>
      <c r="G1828" s="33" t="n"/>
      <c r="H1828" s="30" t="inlineStr">
        <is>
          <t>Oui</t>
        </is>
      </c>
    </row>
    <row r="1829">
      <c r="A1829" s="31" t="inlineStr">
        <is>
          <t>Talent</t>
        </is>
      </c>
      <c r="B1829" s="33" t="inlineStr">
        <is>
          <t>Calque</t>
        </is>
      </c>
      <c r="C1829" s="33" t="n"/>
      <c r="D1829" s="33" t="n"/>
      <c r="E1829" s="33" t="n"/>
      <c r="F1829" s="33" t="n"/>
      <c r="G1829" s="33" t="n"/>
      <c r="H1829" s="30" t="inlineStr">
        <is>
          <t>Oui</t>
        </is>
      </c>
    </row>
    <row r="1830">
      <c r="A1830" s="31" t="inlineStr">
        <is>
          <t>Capacités</t>
        </is>
      </c>
      <c r="B1830" s="34" t="inlineStr">
        <is>
          <t>Vol Magnétik</t>
        </is>
      </c>
      <c r="C1830" s="34" t="n"/>
      <c r="D1830" s="34" t="n"/>
      <c r="E1830" s="34" t="n"/>
      <c r="F1830" s="34" t="n"/>
      <c r="G1830" s="34" t="n"/>
      <c r="H1830" s="30" t="inlineStr">
        <is>
          <t>Oui</t>
        </is>
      </c>
    </row>
    <row r="1831">
      <c r="A1831" s="31" t="n"/>
      <c r="B1831" s="34" t="inlineStr">
        <is>
          <t>Rayon Signal</t>
        </is>
      </c>
      <c r="C1831" s="34" t="n"/>
      <c r="D1831" s="34" t="n"/>
      <c r="E1831" s="34" t="n"/>
      <c r="F1831" s="34" t="n"/>
      <c r="G1831" s="34" t="n"/>
      <c r="H1831" s="30" t="inlineStr">
        <is>
          <t>Oui</t>
        </is>
      </c>
    </row>
    <row r="1832">
      <c r="A1832" s="31" t="n"/>
      <c r="B1832" s="34" t="inlineStr">
        <is>
          <t>Recyclage</t>
        </is>
      </c>
      <c r="C1832" s="34" t="n"/>
      <c r="D1832" s="34" t="n"/>
      <c r="E1832" s="34" t="n"/>
      <c r="F1832" s="34" t="n"/>
      <c r="G1832" s="34" t="n"/>
      <c r="H1832" s="30" t="inlineStr">
        <is>
          <t>Oui</t>
        </is>
      </c>
    </row>
    <row r="1833">
      <c r="A1833" s="31" t="n"/>
      <c r="B1833" s="34" t="inlineStr">
        <is>
          <t>Coup d'Jus</t>
        </is>
      </c>
      <c r="C1833" s="34" t="n"/>
      <c r="D1833" s="34" t="n"/>
      <c r="E1833" s="34" t="n"/>
      <c r="F1833" s="34" t="n"/>
      <c r="G1833" s="34" t="n"/>
      <c r="H1833" s="30" t="inlineStr">
        <is>
          <t>Oui</t>
        </is>
      </c>
    </row>
    <row r="1834" ht="18" customHeight="1">
      <c r="A1834" s="26" t="inlineStr">
        <is>
          <t>Doublonville — Tour Radio 5F</t>
        </is>
      </c>
      <c r="B1834" s="26" t="n"/>
      <c r="C1834" s="26" t="n"/>
      <c r="D1834" s="26" t="n"/>
      <c r="E1834" s="26" t="n"/>
      <c r="F1834" s="26" t="n"/>
      <c r="G1834" s="26" t="n"/>
      <c r="H1834" s="30" t="inlineStr">
        <is>
          <t>Oui</t>
        </is>
      </c>
    </row>
    <row r="1835">
      <c r="A1835" s="31" t="inlineStr">
        <is>
          <t>Nom</t>
        </is>
      </c>
      <c r="B1835" s="32" t="inlineStr">
        <is>
          <t>Commandant Lambda</t>
        </is>
      </c>
      <c r="C1835" s="32" t="n"/>
      <c r="D1835" s="32" t="n"/>
      <c r="E1835" s="32" t="n"/>
      <c r="F1835" s="32" t="n"/>
      <c r="G1835" s="32" t="n"/>
      <c r="H1835" s="30" t="inlineStr">
        <is>
          <t>Oui</t>
        </is>
      </c>
    </row>
    <row r="1836">
      <c r="A1836" s="31" t="inlineStr">
        <is>
          <t>Pokémon</t>
        </is>
      </c>
      <c r="B1836" s="33" t="inlineStr">
        <is>
          <t>FORETRESS</t>
        </is>
      </c>
      <c r="C1836" s="33" t="inlineStr">
        <is>
          <t>YMPHECT</t>
        </is>
      </c>
      <c r="D1836" s="33" t="inlineStr">
        <is>
          <t>VOLCAROPOD</t>
        </is>
      </c>
      <c r="E1836" s="33" t="inlineStr">
        <is>
          <t>CRUSTABRI</t>
        </is>
      </c>
      <c r="F1836" s="33" t="n"/>
      <c r="G1836" s="33" t="n"/>
      <c r="H1836" s="30" t="inlineStr">
        <is>
          <t>Oui</t>
        </is>
      </c>
    </row>
    <row r="1837">
      <c r="A1837" s="31" t="inlineStr">
        <is>
          <t>Niveau</t>
        </is>
      </c>
      <c r="B1837" s="33" t="n">
        <v>38</v>
      </c>
      <c r="C1837" s="33" t="n">
        <v>38</v>
      </c>
      <c r="D1837" s="33" t="n">
        <v>39</v>
      </c>
      <c r="E1837" s="33" t="n">
        <v>38</v>
      </c>
      <c r="F1837" s="33" t="n"/>
      <c r="G1837" s="33" t="n"/>
      <c r="H1837" s="30" t="inlineStr">
        <is>
          <t>Oui</t>
        </is>
      </c>
    </row>
    <row r="1838">
      <c r="A1838" s="31" t="inlineStr">
        <is>
          <t>Objet</t>
        </is>
      </c>
      <c r="B1838" s="33" t="inlineStr">
        <is>
          <t>Aucun</t>
        </is>
      </c>
      <c r="C1838" s="33" t="inlineStr">
        <is>
          <t>Aucun</t>
        </is>
      </c>
      <c r="D1838" s="33" t="inlineStr">
        <is>
          <t>Aucun</t>
        </is>
      </c>
      <c r="E1838" s="33" t="inlineStr">
        <is>
          <t>Aucun</t>
        </is>
      </c>
      <c r="F1838" s="33" t="n"/>
      <c r="G1838" s="33" t="n"/>
      <c r="H1838" s="30" t="inlineStr">
        <is>
          <t>Oui</t>
        </is>
      </c>
    </row>
    <row r="1839">
      <c r="A1839" s="31" t="inlineStr">
        <is>
          <t>Talent</t>
        </is>
      </c>
      <c r="B1839" s="33" t="inlineStr">
        <is>
          <t>Fermeté</t>
        </is>
      </c>
      <c r="C1839" s="33" t="inlineStr">
        <is>
          <t>Mue</t>
        </is>
      </c>
      <c r="D1839" s="33" t="inlineStr">
        <is>
          <t>Armumagma</t>
        </is>
      </c>
      <c r="E1839" s="33" t="inlineStr">
        <is>
          <t>Coque Armure</t>
        </is>
      </c>
      <c r="F1839" s="33" t="n"/>
      <c r="G1839" s="33" t="n"/>
      <c r="H1839" s="30" t="inlineStr">
        <is>
          <t>Oui</t>
        </is>
      </c>
    </row>
    <row r="1840">
      <c r="A1840" s="31" t="inlineStr">
        <is>
          <t>Capacités</t>
        </is>
      </c>
      <c r="B1840" s="34" t="inlineStr">
        <is>
          <t>Dard-Nuée</t>
        </is>
      </c>
      <c r="C1840" s="34" t="inlineStr">
        <is>
          <t>Éboulement</t>
        </is>
      </c>
      <c r="D1840" s="34" t="inlineStr">
        <is>
          <t>Purédpois</t>
        </is>
      </c>
      <c r="E1840" s="34" t="inlineStr">
        <is>
          <t>Laser Glace</t>
        </is>
      </c>
      <c r="F1840" s="34" t="n"/>
      <c r="G1840" s="34" t="n"/>
      <c r="H1840" s="30" t="inlineStr">
        <is>
          <t>Oui</t>
        </is>
      </c>
    </row>
    <row r="1841">
      <c r="A1841" s="31" t="n"/>
      <c r="B1841" s="34" t="inlineStr">
        <is>
          <t>Explosion</t>
        </is>
      </c>
      <c r="C1841" s="34" t="inlineStr">
        <is>
          <t>Grincement</t>
        </is>
      </c>
      <c r="D1841" s="34" t="inlineStr">
        <is>
          <t>Lance-Flammes</t>
        </is>
      </c>
      <c r="E1841" s="34" t="inlineStr">
        <is>
          <t>Claquoir</t>
        </is>
      </c>
      <c r="F1841" s="34" t="n"/>
      <c r="G1841" s="34" t="n"/>
      <c r="H1841" s="30" t="inlineStr">
        <is>
          <t>Oui</t>
        </is>
      </c>
    </row>
    <row r="1842">
      <c r="A1842" s="31" t="n"/>
      <c r="B1842" s="34" t="inlineStr">
        <is>
          <t>Picots</t>
        </is>
      </c>
      <c r="C1842" s="34" t="inlineStr">
        <is>
          <t>Morsure</t>
        </is>
      </c>
      <c r="D1842" s="34" t="inlineStr">
        <is>
          <t>Pouvoir Antique</t>
        </is>
      </c>
      <c r="E1842" s="34" t="inlineStr">
        <is>
          <t>Picanon</t>
        </is>
      </c>
      <c r="F1842" s="34" t="n"/>
      <c r="G1842" s="34" t="n"/>
      <c r="H1842" s="30" t="inlineStr">
        <is>
          <t>Oui</t>
        </is>
      </c>
    </row>
    <row r="1843">
      <c r="A1843" s="31" t="n"/>
      <c r="B1843" s="34" t="inlineStr">
        <is>
          <t>Picanon</t>
        </is>
      </c>
      <c r="C1843" s="34" t="inlineStr">
        <is>
          <t>Mania</t>
        </is>
      </c>
      <c r="D1843" s="34" t="inlineStr">
        <is>
          <t>Malédiction</t>
        </is>
      </c>
      <c r="E1843" s="34" t="inlineStr">
        <is>
          <t>Surf</t>
        </is>
      </c>
      <c r="F1843" s="34" t="n"/>
      <c r="G1843" s="34" t="n"/>
      <c r="H1843" s="30" t="inlineStr">
        <is>
          <t>Oui</t>
        </is>
      </c>
    </row>
    <row r="1844">
      <c r="A1844" s="31" t="inlineStr">
        <is>
          <t>Nom</t>
        </is>
      </c>
      <c r="B1844" s="32" t="inlineStr">
        <is>
          <t>Commandant Ariane</t>
        </is>
      </c>
      <c r="C1844" s="32" t="n"/>
      <c r="D1844" s="32" t="n"/>
      <c r="E1844" s="32" t="n"/>
      <c r="F1844" s="32" t="n"/>
      <c r="G1844" s="32" t="n"/>
      <c r="H1844" s="30" t="inlineStr">
        <is>
          <t>Oui</t>
        </is>
      </c>
    </row>
    <row r="1845">
      <c r="A1845" s="31" t="inlineStr">
        <is>
          <t>Pokémon</t>
        </is>
      </c>
      <c r="B1845" s="33" t="inlineStr">
        <is>
          <t>ARBOK</t>
        </is>
      </c>
      <c r="C1845" s="33" t="inlineStr">
        <is>
          <t>PERSIAN</t>
        </is>
      </c>
      <c r="D1845" s="33" t="inlineStr">
        <is>
          <t>RAFFLESIA</t>
        </is>
      </c>
      <c r="E1845" s="33" t="inlineStr">
        <is>
          <t>LEVIATOR</t>
        </is>
      </c>
      <c r="F1845" s="33" t="inlineStr">
        <is>
          <t>CORNEBRE</t>
        </is>
      </c>
      <c r="G1845" s="33" t="n"/>
      <c r="H1845" s="30" t="inlineStr">
        <is>
          <t>Oui</t>
        </is>
      </c>
    </row>
    <row r="1846">
      <c r="A1846" s="31" t="inlineStr">
        <is>
          <t>Niveau</t>
        </is>
      </c>
      <c r="B1846" s="33" t="n">
        <v>39</v>
      </c>
      <c r="C1846" s="33" t="n">
        <v>40</v>
      </c>
      <c r="D1846" s="33" t="n">
        <v>39</v>
      </c>
      <c r="E1846" s="33" t="n">
        <v>40</v>
      </c>
      <c r="F1846" s="33" t="n">
        <v>40</v>
      </c>
      <c r="G1846" s="33" t="n"/>
      <c r="H1846" s="30" t="inlineStr">
        <is>
          <t>Oui</t>
        </is>
      </c>
    </row>
    <row r="1847">
      <c r="A1847" s="31" t="inlineStr">
        <is>
          <t>Objet</t>
        </is>
      </c>
      <c r="B1847" s="33" t="inlineStr">
        <is>
          <t>Aucun</t>
        </is>
      </c>
      <c r="C1847" s="33" t="inlineStr">
        <is>
          <t>Aucun</t>
        </is>
      </c>
      <c r="D1847" s="33" t="inlineStr">
        <is>
          <t>Aucun</t>
        </is>
      </c>
      <c r="E1847" s="33" t="inlineStr">
        <is>
          <t>Aucun</t>
        </is>
      </c>
      <c r="F1847" s="33" t="inlineStr">
        <is>
          <t>Aucun</t>
        </is>
      </c>
      <c r="G1847" s="33" t="n"/>
      <c r="H1847" s="30" t="inlineStr">
        <is>
          <t>Oui</t>
        </is>
      </c>
    </row>
    <row r="1848">
      <c r="A1848" s="31" t="inlineStr">
        <is>
          <t>Talent</t>
        </is>
      </c>
      <c r="B1848" s="33" t="inlineStr">
        <is>
          <t>Intimidation</t>
        </is>
      </c>
      <c r="C1848" s="33" t="inlineStr">
        <is>
          <t>Échauffement</t>
        </is>
      </c>
      <c r="D1848" s="33" t="inlineStr">
        <is>
          <t>Chlorophylle</t>
        </is>
      </c>
      <c r="E1848" s="33" t="inlineStr">
        <is>
          <t>Intimidation</t>
        </is>
      </c>
      <c r="F1848" s="33" t="inlineStr">
        <is>
          <t>Insomnia</t>
        </is>
      </c>
      <c r="G1848" s="33" t="n"/>
      <c r="H1848" s="30" t="inlineStr">
        <is>
          <t>Oui</t>
        </is>
      </c>
    </row>
    <row r="1849">
      <c r="A1849" s="31" t="inlineStr">
        <is>
          <t>Capacités</t>
        </is>
      </c>
      <c r="B1849" s="34" t="inlineStr">
        <is>
          <t>Grincement</t>
        </is>
      </c>
      <c r="C1849" s="34" t="inlineStr">
        <is>
          <t>Morsure</t>
        </is>
      </c>
      <c r="D1849" s="34" t="inlineStr">
        <is>
          <t>Poudre Dodo</t>
        </is>
      </c>
      <c r="E1849" s="34" t="inlineStr">
        <is>
          <t>Force</t>
        </is>
      </c>
      <c r="F1849" s="34" t="inlineStr">
        <is>
          <t>Poursuite</t>
        </is>
      </c>
      <c r="G1849" s="34" t="n"/>
      <c r="H1849" s="30" t="inlineStr">
        <is>
          <t>Oui</t>
        </is>
      </c>
    </row>
    <row r="1850">
      <c r="A1850" s="31" t="n"/>
      <c r="B1850" s="34" t="inlineStr">
        <is>
          <t>Mâchouille</t>
        </is>
      </c>
      <c r="C1850" s="34" t="inlineStr">
        <is>
          <t>Grincement</t>
        </is>
      </c>
      <c r="D1850" s="34" t="inlineStr">
        <is>
          <t>Bombe Beurk</t>
        </is>
      </c>
      <c r="E1850" s="34" t="inlineStr">
        <is>
          <t>Ouragan</t>
        </is>
      </c>
      <c r="F1850" s="34" t="inlineStr">
        <is>
          <t>Toxik</t>
        </is>
      </c>
      <c r="G1850" s="34" t="n"/>
      <c r="H1850" s="30" t="inlineStr">
        <is>
          <t>Oui</t>
        </is>
      </c>
    </row>
    <row r="1851">
      <c r="A1851" s="31" t="n"/>
      <c r="B1851" s="34" t="inlineStr">
        <is>
          <t>Regard Médusant</t>
        </is>
      </c>
      <c r="C1851" s="34" t="inlineStr">
        <is>
          <t>Charme</t>
        </is>
      </c>
      <c r="D1851" s="34" t="inlineStr">
        <is>
          <t>Para-Spore</t>
        </is>
      </c>
      <c r="E1851" s="34" t="inlineStr">
        <is>
          <t>Rebond</t>
        </is>
      </c>
      <c r="F1851" s="34" t="inlineStr">
        <is>
          <t>Feinte</t>
        </is>
      </c>
      <c r="G1851" s="34" t="n"/>
      <c r="H1851" s="30" t="inlineStr">
        <is>
          <t>Oui</t>
        </is>
      </c>
    </row>
    <row r="1852">
      <c r="A1852" s="31" t="n"/>
      <c r="B1852" s="34" t="inlineStr">
        <is>
          <t>Crochet Venin</t>
        </is>
      </c>
      <c r="C1852" s="34" t="inlineStr">
        <is>
          <t>Tranche</t>
        </is>
      </c>
      <c r="D1852" s="34" t="inlineStr">
        <is>
          <t>Giga-Sangsue</t>
        </is>
      </c>
      <c r="E1852" s="34" t="inlineStr">
        <is>
          <t>Surf</t>
        </is>
      </c>
      <c r="F1852" s="34" t="inlineStr">
        <is>
          <t>Lame d'Air</t>
        </is>
      </c>
      <c r="G1852" s="34" t="n"/>
      <c r="H1852" s="30" t="inlineStr">
        <is>
          <t>Oui</t>
        </is>
      </c>
    </row>
    <row r="1853">
      <c r="A1853" s="31" t="inlineStr">
        <is>
          <t>Nom</t>
        </is>
      </c>
      <c r="B1853" s="32" t="inlineStr">
        <is>
          <t>Commandant Amos</t>
        </is>
      </c>
      <c r="C1853" s="32" t="n"/>
      <c r="D1853" s="32" t="n"/>
      <c r="E1853" s="32" t="n"/>
      <c r="F1853" s="32" t="n"/>
      <c r="G1853" s="32" t="n"/>
      <c r="H1853" s="30" t="inlineStr">
        <is>
          <t>Oui</t>
        </is>
      </c>
    </row>
    <row r="1854">
      <c r="A1854" s="31" t="inlineStr">
        <is>
          <t>Pokémon</t>
        </is>
      </c>
      <c r="B1854" s="33" t="inlineStr">
        <is>
          <t>PORYGON-Z</t>
        </is>
      </c>
      <c r="C1854" s="33" t="inlineStr">
        <is>
          <t>TAUROS</t>
        </is>
      </c>
      <c r="D1854" s="33" t="inlineStr">
        <is>
          <t>LEVIATOR</t>
        </is>
      </c>
      <c r="E1854" s="33" t="inlineStr">
        <is>
          <t>DEMOLOSSE</t>
        </is>
      </c>
      <c r="F1854" s="33" t="inlineStr">
        <is>
          <t>FLAGADOSS</t>
        </is>
      </c>
      <c r="G1854" s="33" t="n"/>
      <c r="H1854" s="30" t="inlineStr">
        <is>
          <t>Oui</t>
        </is>
      </c>
    </row>
    <row r="1855">
      <c r="A1855" s="31" t="inlineStr">
        <is>
          <t>Niveau</t>
        </is>
      </c>
      <c r="B1855" s="33" t="n">
        <v>39</v>
      </c>
      <c r="C1855" s="33" t="n">
        <v>38</v>
      </c>
      <c r="D1855" s="33" t="n">
        <v>39</v>
      </c>
      <c r="E1855" s="33" t="n">
        <v>38</v>
      </c>
      <c r="F1855" s="33" t="n">
        <v>40</v>
      </c>
      <c r="G1855" s="33" t="n"/>
      <c r="H1855" s="30" t="inlineStr">
        <is>
          <t>Oui</t>
        </is>
      </c>
    </row>
    <row r="1856">
      <c r="A1856" s="31" t="inlineStr">
        <is>
          <t>Objet</t>
        </is>
      </c>
      <c r="B1856" s="33" t="inlineStr">
        <is>
          <t>Aucun</t>
        </is>
      </c>
      <c r="C1856" s="33" t="inlineStr">
        <is>
          <t>Aucun</t>
        </is>
      </c>
      <c r="D1856" s="33" t="inlineStr">
        <is>
          <t>Aucun</t>
        </is>
      </c>
      <c r="E1856" s="33" t="inlineStr">
        <is>
          <t>Aucun</t>
        </is>
      </c>
      <c r="F1856" s="33" t="inlineStr">
        <is>
          <t>Aucun</t>
        </is>
      </c>
      <c r="G1856" s="33" t="n"/>
      <c r="H1856" s="30" t="inlineStr">
        <is>
          <t>Oui</t>
        </is>
      </c>
    </row>
    <row r="1857">
      <c r="A1857" s="31" t="inlineStr">
        <is>
          <t>Talent</t>
        </is>
      </c>
      <c r="B1857" s="33" t="inlineStr">
        <is>
          <t>Adaptabilité</t>
        </is>
      </c>
      <c r="C1857" s="33" t="inlineStr">
        <is>
          <t>Intimidation</t>
        </is>
      </c>
      <c r="D1857" s="33" t="inlineStr">
        <is>
          <t>Intimidation</t>
        </is>
      </c>
      <c r="E1857" s="33" t="inlineStr">
        <is>
          <t>Matinal</t>
        </is>
      </c>
      <c r="F1857" s="33" t="inlineStr">
        <is>
          <t>Benêt</t>
        </is>
      </c>
      <c r="G1857" s="33" t="n"/>
      <c r="H1857" s="30" t="inlineStr">
        <is>
          <t>Oui</t>
        </is>
      </c>
    </row>
    <row r="1858">
      <c r="A1858" s="31" t="inlineStr">
        <is>
          <t>Capacités</t>
        </is>
      </c>
      <c r="B1858" s="34" t="inlineStr">
        <is>
          <t>Triplattaque</t>
        </is>
      </c>
      <c r="C1858" s="34" t="inlineStr">
        <is>
          <t>Coup d'Boule</t>
        </is>
      </c>
      <c r="D1858" s="34" t="inlineStr">
        <is>
          <t>Mâchouille</t>
        </is>
      </c>
      <c r="E1858" s="34" t="inlineStr">
        <is>
          <t>Mâchouille</t>
        </is>
      </c>
      <c r="F1858" s="34" t="inlineStr">
        <is>
          <t>Psykoud'Boul</t>
        </is>
      </c>
      <c r="G1858" s="34" t="n"/>
      <c r="H1858" s="30" t="inlineStr">
        <is>
          <t>Oui</t>
        </is>
      </c>
    </row>
    <row r="1859">
      <c r="A1859" s="31" t="n"/>
      <c r="B1859" s="34" t="inlineStr">
        <is>
          <t>Élecanon</t>
        </is>
      </c>
      <c r="C1859" s="34" t="inlineStr">
        <is>
          <t>Séisme</t>
        </is>
      </c>
      <c r="D1859" s="34" t="inlineStr">
        <is>
          <t>Rebond</t>
        </is>
      </c>
      <c r="E1859" s="34" t="inlineStr">
        <is>
          <t>Purédpois</t>
        </is>
      </c>
      <c r="F1859" s="34" t="inlineStr">
        <is>
          <t>Malédiction</t>
        </is>
      </c>
      <c r="G1859" s="34" t="n"/>
      <c r="H1859" s="30" t="inlineStr">
        <is>
          <t>Oui</t>
        </is>
      </c>
    </row>
    <row r="1860">
      <c r="A1860" s="31" t="n"/>
      <c r="B1860" s="34" t="inlineStr">
        <is>
          <t>Lance-Flammes</t>
        </is>
      </c>
      <c r="C1860" s="34" t="inlineStr">
        <is>
          <t>Poursuite</t>
        </is>
      </c>
      <c r="D1860" s="34" t="inlineStr">
        <is>
          <t>Ouragan</t>
        </is>
      </c>
      <c r="E1860" s="34" t="inlineStr">
        <is>
          <t>Hurlement</t>
        </is>
      </c>
      <c r="F1860" s="34" t="inlineStr">
        <is>
          <t>Amnésie</t>
        </is>
      </c>
      <c r="G1860" s="34" t="n"/>
      <c r="H1860" s="30" t="inlineStr">
        <is>
          <t>Oui</t>
        </is>
      </c>
    </row>
    <row r="1861">
      <c r="A1861" s="31" t="n"/>
      <c r="B1861" s="34" t="inlineStr">
        <is>
          <t>Laser Glace</t>
        </is>
      </c>
      <c r="C1861" s="34" t="inlineStr">
        <is>
          <t>Frustration</t>
        </is>
      </c>
      <c r="D1861" s="34" t="inlineStr">
        <is>
          <t>Hydro-Queue</t>
        </is>
      </c>
      <c r="E1861" s="34" t="inlineStr">
        <is>
          <t>Lance-Flammes</t>
        </is>
      </c>
      <c r="F1861" s="34" t="inlineStr">
        <is>
          <t>Cascade</t>
        </is>
      </c>
      <c r="G1861" s="34" t="n"/>
      <c r="H1861" s="30" t="inlineStr">
        <is>
          <t>Oui</t>
        </is>
      </c>
    </row>
    <row r="1862" ht="18" customHeight="1">
      <c r="A1862" s="26" t="inlineStr">
        <is>
          <t>Doublonville — Souterrain, entrepôt</t>
        </is>
      </c>
      <c r="B1862" s="26" t="n"/>
      <c r="C1862" s="26" t="n"/>
      <c r="D1862" s="26" t="n"/>
      <c r="E1862" s="26" t="n"/>
      <c r="F1862" s="26" t="n"/>
      <c r="G1862" s="26" t="n"/>
      <c r="H1862" s="30" t="inlineStr">
        <is>
          <t>Oui</t>
        </is>
      </c>
    </row>
    <row r="1863">
      <c r="A1863" s="31" t="inlineStr">
        <is>
          <t>Nom</t>
        </is>
      </c>
      <c r="B1863" s="32" t="inlineStr">
        <is>
          <t>Rocket Sbire</t>
        </is>
      </c>
      <c r="C1863" s="32" t="n"/>
      <c r="D1863" s="32" t="n"/>
      <c r="E1863" s="32" t="n"/>
      <c r="F1863" s="32" t="n"/>
      <c r="G1863" s="32" t="n"/>
      <c r="H1863" s="30" t="inlineStr">
        <is>
          <t>Oui</t>
        </is>
      </c>
    </row>
    <row r="1864">
      <c r="A1864" s="31" t="inlineStr">
        <is>
          <t>Pokémon</t>
        </is>
      </c>
      <c r="B1864" s="33" t="inlineStr">
        <is>
          <t>SMOGOGO</t>
        </is>
      </c>
      <c r="C1864" s="33" t="n"/>
      <c r="D1864" s="33" t="n"/>
      <c r="E1864" s="33" t="n"/>
      <c r="F1864" s="33" t="n"/>
      <c r="G1864" s="33" t="n"/>
      <c r="H1864" s="30" t="inlineStr">
        <is>
          <t>Oui</t>
        </is>
      </c>
    </row>
    <row r="1865">
      <c r="A1865" s="31" t="inlineStr">
        <is>
          <t>Niveau</t>
        </is>
      </c>
      <c r="B1865" s="33" t="n">
        <v>37</v>
      </c>
      <c r="C1865" s="33" t="n"/>
      <c r="D1865" s="33" t="n"/>
      <c r="E1865" s="33" t="n"/>
      <c r="F1865" s="33" t="n"/>
      <c r="G1865" s="33" t="n"/>
      <c r="H1865" s="30" t="inlineStr">
        <is>
          <t>Oui</t>
        </is>
      </c>
    </row>
    <row r="1866">
      <c r="A1866" s="31" t="inlineStr">
        <is>
          <t>Objet</t>
        </is>
      </c>
      <c r="B1866" s="33" t="inlineStr">
        <is>
          <t>Aucun</t>
        </is>
      </c>
      <c r="C1866" s="33" t="n"/>
      <c r="D1866" s="33" t="n"/>
      <c r="E1866" s="33" t="n"/>
      <c r="F1866" s="33" t="n"/>
      <c r="G1866" s="33" t="n"/>
      <c r="H1866" s="30" t="inlineStr">
        <is>
          <t>Oui</t>
        </is>
      </c>
    </row>
    <row r="1867">
      <c r="A1867" s="31" t="inlineStr">
        <is>
          <t>Talent</t>
        </is>
      </c>
      <c r="B1867" s="33" t="inlineStr">
        <is>
          <t>Lévitation</t>
        </is>
      </c>
      <c r="C1867" s="33" t="n"/>
      <c r="D1867" s="33" t="n"/>
      <c r="E1867" s="33" t="n"/>
      <c r="F1867" s="33" t="n"/>
      <c r="G1867" s="33" t="n"/>
      <c r="H1867" s="30" t="inlineStr">
        <is>
          <t>Oui</t>
        </is>
      </c>
    </row>
    <row r="1868">
      <c r="A1868" s="31" t="inlineStr">
        <is>
          <t>Capacités</t>
        </is>
      </c>
      <c r="B1868" s="34" t="inlineStr">
        <is>
          <t>Destruction</t>
        </is>
      </c>
      <c r="C1868" s="34" t="n"/>
      <c r="D1868" s="34" t="n"/>
      <c r="E1868" s="34" t="n"/>
      <c r="F1868" s="34" t="n"/>
      <c r="G1868" s="34" t="n"/>
      <c r="H1868" s="30" t="inlineStr">
        <is>
          <t>Oui</t>
        </is>
      </c>
    </row>
    <row r="1869">
      <c r="A1869" s="31" t="n"/>
      <c r="B1869" s="34" t="inlineStr">
        <is>
          <t>Buée Noire</t>
        </is>
      </c>
      <c r="C1869" s="34" t="n"/>
      <c r="D1869" s="34" t="n"/>
      <c r="E1869" s="34" t="n"/>
      <c r="F1869" s="34" t="n"/>
      <c r="G1869" s="34" t="n"/>
      <c r="H1869" s="30" t="inlineStr">
        <is>
          <t>Oui</t>
        </is>
      </c>
    </row>
    <row r="1870">
      <c r="A1870" s="31" t="n"/>
      <c r="B1870" s="34" t="inlineStr">
        <is>
          <t>Gyroballe</t>
        </is>
      </c>
      <c r="C1870" s="34" t="n"/>
      <c r="D1870" s="34" t="n"/>
      <c r="E1870" s="34" t="n"/>
      <c r="F1870" s="34" t="n"/>
      <c r="G1870" s="34" t="n"/>
      <c r="H1870" s="30" t="inlineStr">
        <is>
          <t>Oui</t>
        </is>
      </c>
    </row>
    <row r="1871">
      <c r="A1871" s="31" t="n"/>
      <c r="B1871" s="34" t="inlineStr">
        <is>
          <t>Bombe Beurk</t>
        </is>
      </c>
      <c r="C1871" s="34" t="n"/>
      <c r="D1871" s="34" t="n"/>
      <c r="E1871" s="34" t="n"/>
      <c r="F1871" s="34" t="n"/>
      <c r="G1871" s="34" t="n"/>
      <c r="H1871" s="30" t="inlineStr">
        <is>
          <t>Oui</t>
        </is>
      </c>
    </row>
    <row r="1872">
      <c r="A1872" s="31" t="inlineStr">
        <is>
          <t>Nom</t>
        </is>
      </c>
      <c r="B1872" s="32" t="inlineStr">
        <is>
          <t>Rocket Sbire</t>
        </is>
      </c>
      <c r="C1872" s="32" t="n"/>
      <c r="D1872" s="32" t="n"/>
      <c r="E1872" s="32" t="n"/>
      <c r="F1872" s="32" t="n"/>
      <c r="G1872" s="32" t="n"/>
      <c r="H1872" s="30" t="inlineStr">
        <is>
          <t>Oui</t>
        </is>
      </c>
    </row>
    <row r="1873">
      <c r="A1873" s="31" t="inlineStr">
        <is>
          <t>Pokémon</t>
        </is>
      </c>
      <c r="B1873" s="33" t="inlineStr">
        <is>
          <t>SMOGOGO</t>
        </is>
      </c>
      <c r="C1873" s="33" t="inlineStr">
        <is>
          <t>SCORPLANE</t>
        </is>
      </c>
      <c r="D1873" s="33" t="inlineStr">
        <is>
          <t>HYPNOMADE</t>
        </is>
      </c>
      <c r="E1873" s="33" t="n"/>
      <c r="F1873" s="33" t="n"/>
      <c r="G1873" s="33" t="n"/>
      <c r="H1873" s="30" t="inlineStr">
        <is>
          <t>Oui</t>
        </is>
      </c>
    </row>
    <row r="1874">
      <c r="A1874" s="31" t="inlineStr">
        <is>
          <t>Niveau</t>
        </is>
      </c>
      <c r="B1874" s="33" t="n">
        <v>35</v>
      </c>
      <c r="C1874" s="33" t="n">
        <v>37</v>
      </c>
      <c r="D1874" s="33" t="n">
        <v>35</v>
      </c>
      <c r="E1874" s="33" t="n"/>
      <c r="F1874" s="33" t="n"/>
      <c r="G1874" s="33" t="n"/>
      <c r="H1874" s="30" t="inlineStr">
        <is>
          <t>Oui</t>
        </is>
      </c>
    </row>
    <row r="1875">
      <c r="A1875" s="31" t="inlineStr">
        <is>
          <t>Objet</t>
        </is>
      </c>
      <c r="B1875" s="33" t="inlineStr">
        <is>
          <t>Aucun</t>
        </is>
      </c>
      <c r="C1875" s="33" t="inlineStr">
        <is>
          <t>Aucun</t>
        </is>
      </c>
      <c r="D1875" s="33" t="inlineStr">
        <is>
          <t>Aucun</t>
        </is>
      </c>
      <c r="E1875" s="33" t="n"/>
      <c r="F1875" s="33" t="n"/>
      <c r="G1875" s="33" t="n"/>
      <c r="H1875" s="30" t="inlineStr">
        <is>
          <t>Oui</t>
        </is>
      </c>
    </row>
    <row r="1876">
      <c r="A1876" s="31" t="inlineStr">
        <is>
          <t>Talent</t>
        </is>
      </c>
      <c r="B1876" s="33" t="inlineStr">
        <is>
          <t>Lévitation</t>
        </is>
      </c>
      <c r="C1876" s="33" t="inlineStr">
        <is>
          <t>Hyper Cutter</t>
        </is>
      </c>
      <c r="D1876" s="33" t="inlineStr">
        <is>
          <t>Insomnia</t>
        </is>
      </c>
      <c r="E1876" s="33" t="n"/>
      <c r="F1876" s="33" t="n"/>
      <c r="G1876" s="33" t="n"/>
      <c r="H1876" s="30" t="inlineStr">
        <is>
          <t>Oui</t>
        </is>
      </c>
    </row>
    <row r="1877">
      <c r="A1877" s="31" t="inlineStr">
        <is>
          <t>Capacités</t>
        </is>
      </c>
      <c r="B1877" s="34" t="inlineStr">
        <is>
          <t>Destruction</t>
        </is>
      </c>
      <c r="C1877" s="34" t="inlineStr">
        <is>
          <t>Acrobatie</t>
        </is>
      </c>
      <c r="D1877" s="34" t="inlineStr">
        <is>
          <t>Yoga</t>
        </is>
      </c>
      <c r="E1877" s="34" t="n"/>
      <c r="F1877" s="34" t="n"/>
      <c r="G1877" s="34" t="n"/>
      <c r="H1877" s="30" t="inlineStr">
        <is>
          <t>Oui</t>
        </is>
      </c>
    </row>
    <row r="1878">
      <c r="A1878" s="31" t="n"/>
      <c r="B1878" s="34" t="inlineStr">
        <is>
          <t>Buée Noire</t>
        </is>
      </c>
      <c r="C1878" s="34" t="inlineStr">
        <is>
          <t>Tranche</t>
        </is>
      </c>
      <c r="D1878" s="34" t="inlineStr">
        <is>
          <t>Rafale Psy</t>
        </is>
      </c>
      <c r="E1878" s="34" t="n"/>
      <c r="F1878" s="34" t="n"/>
      <c r="G1878" s="34" t="n"/>
      <c r="H1878" s="30" t="inlineStr">
        <is>
          <t>Oui</t>
        </is>
      </c>
    </row>
    <row r="1879">
      <c r="A1879" s="31" t="n"/>
      <c r="B1879" s="34" t="inlineStr">
        <is>
          <t>Gyroballe</t>
        </is>
      </c>
      <c r="C1879" s="34" t="inlineStr">
        <is>
          <t>Demi-Tour</t>
        </is>
      </c>
      <c r="D1879" s="34" t="inlineStr">
        <is>
          <t>Réveil Forcé</t>
        </is>
      </c>
      <c r="E1879" s="34" t="n"/>
      <c r="F1879" s="34" t="n"/>
      <c r="G1879" s="34" t="n"/>
      <c r="H1879" s="30" t="inlineStr">
        <is>
          <t>Oui</t>
        </is>
      </c>
    </row>
    <row r="1880">
      <c r="A1880" s="31" t="n"/>
      <c r="B1880" s="34" t="inlineStr">
        <is>
          <t>Bombe Beurk</t>
        </is>
      </c>
      <c r="C1880" s="34" t="inlineStr">
        <is>
          <t>Grincement</t>
        </is>
      </c>
      <c r="D1880" s="34" t="inlineStr">
        <is>
          <t>Boost</t>
        </is>
      </c>
      <c r="E1880" s="34" t="n"/>
      <c r="F1880" s="34" t="n"/>
      <c r="G1880" s="34" t="n"/>
      <c r="H1880" s="30" t="inlineStr">
        <is>
          <t>Oui</t>
        </is>
      </c>
    </row>
    <row r="1881">
      <c r="A1881" s="31" t="inlineStr">
        <is>
          <t>Nom</t>
        </is>
      </c>
      <c r="B1881" s="32" t="inlineStr">
        <is>
          <t>Rocket Eto</t>
        </is>
      </c>
      <c r="C1881" s="32" t="n"/>
      <c r="D1881" s="32" t="n"/>
      <c r="E1881" s="32" t="n"/>
      <c r="F1881" s="32" t="n"/>
      <c r="G1881" s="32" t="n"/>
      <c r="H1881" s="30" t="inlineStr">
        <is>
          <t>Oui</t>
        </is>
      </c>
    </row>
    <row r="1882">
      <c r="A1882" s="31" t="inlineStr">
        <is>
          <t>Pokémon</t>
        </is>
      </c>
      <c r="B1882" s="33" t="inlineStr">
        <is>
          <t>TARTARD</t>
        </is>
      </c>
      <c r="C1882" s="33" t="inlineStr">
        <is>
          <t>MAGMAR</t>
        </is>
      </c>
      <c r="D1882" s="33" t="inlineStr">
        <is>
          <t>LIPPOUTOU</t>
        </is>
      </c>
      <c r="E1882" s="33" t="inlineStr">
        <is>
          <t>ELEKTEK</t>
        </is>
      </c>
      <c r="F1882" s="33" t="inlineStr">
        <is>
          <t>RHINOFEROS</t>
        </is>
      </c>
      <c r="G1882" s="33" t="n"/>
      <c r="H1882" s="30" t="inlineStr">
        <is>
          <t>Oui</t>
        </is>
      </c>
    </row>
    <row r="1883">
      <c r="A1883" s="31" t="inlineStr">
        <is>
          <t>Niveau</t>
        </is>
      </c>
      <c r="B1883" s="33" t="n">
        <v>36</v>
      </c>
      <c r="C1883" s="33" t="n">
        <v>36</v>
      </c>
      <c r="D1883" s="33" t="n">
        <v>36</v>
      </c>
      <c r="E1883" s="33" t="n">
        <v>36</v>
      </c>
      <c r="F1883" s="33" t="n">
        <v>36</v>
      </c>
      <c r="G1883" s="33" t="n"/>
      <c r="H1883" s="30" t="inlineStr">
        <is>
          <t>Oui</t>
        </is>
      </c>
    </row>
    <row r="1884">
      <c r="A1884" s="31" t="inlineStr">
        <is>
          <t>Objet</t>
        </is>
      </c>
      <c r="B1884" s="33" t="inlineStr">
        <is>
          <t>Aucun</t>
        </is>
      </c>
      <c r="C1884" s="33" t="inlineStr">
        <is>
          <t>Aucun</t>
        </is>
      </c>
      <c r="D1884" s="33" t="inlineStr">
        <is>
          <t>Aucun</t>
        </is>
      </c>
      <c r="E1884" s="33" t="inlineStr">
        <is>
          <t>Aucun</t>
        </is>
      </c>
      <c r="F1884" s="33" t="inlineStr">
        <is>
          <t>Aucun</t>
        </is>
      </c>
      <c r="G1884" s="33" t="n"/>
      <c r="H1884" s="30" t="inlineStr">
        <is>
          <t>Oui</t>
        </is>
      </c>
    </row>
    <row r="1885">
      <c r="A1885" s="31" t="inlineStr">
        <is>
          <t>Talent</t>
        </is>
      </c>
      <c r="B1885" s="33" t="inlineStr">
        <is>
          <t>Absorbe-Eau</t>
        </is>
      </c>
      <c r="C1885" s="33" t="inlineStr">
        <is>
          <t>Corps Ardent</t>
        </is>
      </c>
      <c r="D1885" s="33" t="inlineStr">
        <is>
          <t>Benêt</t>
        </is>
      </c>
      <c r="E1885" s="33" t="inlineStr">
        <is>
          <t>Statik</t>
        </is>
      </c>
      <c r="F1885" s="33" t="inlineStr">
        <is>
          <t>Paratonnerre</t>
        </is>
      </c>
      <c r="G1885" s="33" t="n"/>
      <c r="H1885" s="30" t="inlineStr">
        <is>
          <t>Oui</t>
        </is>
      </c>
    </row>
    <row r="1886">
      <c r="A1886" s="31" t="inlineStr">
        <is>
          <t>Capacités</t>
        </is>
      </c>
      <c r="B1886" s="34" t="inlineStr">
        <is>
          <t>Torgnoles</t>
        </is>
      </c>
      <c r="C1886" s="34" t="inlineStr">
        <is>
          <t>Rebondifeu</t>
        </is>
      </c>
      <c r="D1886" s="34" t="inlineStr">
        <is>
          <t>Crève-Cœur</t>
        </is>
      </c>
      <c r="E1886" s="34" t="inlineStr">
        <is>
          <t>Boule Élek</t>
        </is>
      </c>
      <c r="F1886" s="34" t="inlineStr">
        <is>
          <t>Piétisol</t>
        </is>
      </c>
      <c r="G1886" s="34" t="n"/>
      <c r="H1886" s="30" t="inlineStr">
        <is>
          <t>Oui</t>
        </is>
      </c>
    </row>
    <row r="1887">
      <c r="A1887" s="31" t="n"/>
      <c r="B1887" s="34" t="inlineStr">
        <is>
          <t>Danse Pluie</t>
        </is>
      </c>
      <c r="C1887" s="34" t="inlineStr">
        <is>
          <t>Onde Folie</t>
        </is>
      </c>
      <c r="D1887" s="34" t="inlineStr">
        <is>
          <t>Regard Noir</t>
        </is>
      </c>
      <c r="E1887" s="34" t="inlineStr">
        <is>
          <t>Mur Lumière</t>
        </is>
      </c>
      <c r="F1887" s="34" t="inlineStr">
        <is>
          <t>Attrition</t>
        </is>
      </c>
      <c r="G1887" s="34" t="n"/>
      <c r="H1887" s="30" t="inlineStr">
        <is>
          <t>Oui</t>
        </is>
      </c>
    </row>
    <row r="1888">
      <c r="A1888" s="31" t="n"/>
      <c r="B1888" s="34" t="inlineStr">
        <is>
          <t>Dynamo-Poing</t>
        </is>
      </c>
      <c r="C1888" s="34" t="inlineStr">
        <is>
          <t>Poing Feu</t>
        </is>
      </c>
      <c r="D1888" s="34" t="inlineStr">
        <is>
          <t>Croco Larme</t>
        </is>
      </c>
      <c r="E1888" s="34" t="inlineStr">
        <is>
          <t>Poing Éclair</t>
        </is>
      </c>
      <c r="F1888" s="34" t="inlineStr">
        <is>
          <t>Boule Roc</t>
        </is>
      </c>
      <c r="G1888" s="34" t="n"/>
      <c r="H1888" s="30" t="inlineStr">
        <is>
          <t>Oui</t>
        </is>
      </c>
    </row>
    <row r="1889">
      <c r="A1889" s="31" t="n"/>
      <c r="B1889" s="34" t="inlineStr">
        <is>
          <t>Plaquage</t>
        </is>
      </c>
      <c r="C1889" s="34" t="inlineStr">
        <is>
          <t>Ébullilave</t>
        </is>
      </c>
      <c r="D1889" s="34" t="inlineStr">
        <is>
          <t>Réveil Forcé</t>
        </is>
      </c>
      <c r="E1889" s="34" t="inlineStr">
        <is>
          <t>Coup d'Jus</t>
        </is>
      </c>
      <c r="F1889" s="34" t="inlineStr">
        <is>
          <t>Tunnelier</t>
        </is>
      </c>
      <c r="G1889" s="34" t="n"/>
      <c r="H1889" s="30" t="inlineStr">
        <is>
          <t>Oui</t>
        </is>
      </c>
    </row>
    <row r="1890" ht="18" customHeight="1">
      <c r="A1890" s="26" t="inlineStr">
        <is>
          <t>Doublonville — Souterrain, salle des interrupteurs</t>
        </is>
      </c>
      <c r="B1890" s="26" t="n"/>
      <c r="C1890" s="26" t="n"/>
      <c r="D1890" s="26" t="n"/>
      <c r="E1890" s="26" t="n"/>
      <c r="F1890" s="26" t="n"/>
      <c r="G1890" s="26" t="n"/>
      <c r="H1890" s="30" t="inlineStr">
        <is>
          <t>Oui</t>
        </is>
      </c>
    </row>
    <row r="1891">
      <c r="A1891" s="31" t="inlineStr">
        <is>
          <t>Nom</t>
        </is>
      </c>
      <c r="B1891" s="32" t="inlineStr">
        <is>
          <t>Rival (si vous avez choisi GERMIGNON)</t>
        </is>
      </c>
      <c r="C1891" s="32" t="n"/>
      <c r="D1891" s="32" t="n"/>
      <c r="E1891" s="32" t="n"/>
      <c r="F1891" s="32" t="n"/>
      <c r="G1891" s="32" t="n"/>
      <c r="H1891" s="30">
        <f>IF(OR($B$1="Tous",$B$1="GERMIGNON"),"Oui","Non")</f>
        <v/>
      </c>
    </row>
    <row r="1892">
      <c r="A1892" s="31" t="inlineStr">
        <is>
          <t>Pokémon</t>
        </is>
      </c>
      <c r="B1892" s="33" t="inlineStr">
        <is>
          <t>YMPHECT</t>
        </is>
      </c>
      <c r="C1892" s="33" t="inlineStr">
        <is>
          <t>EMPIFLOR</t>
        </is>
      </c>
      <c r="D1892" s="33" t="inlineStr">
        <is>
          <t>OCTILLERY</t>
        </is>
      </c>
      <c r="E1892" s="33" t="inlineStr">
        <is>
          <t>NOSFERALTO</t>
        </is>
      </c>
      <c r="F1892" s="33" t="inlineStr">
        <is>
          <t>TYPHLOSION</t>
        </is>
      </c>
      <c r="G1892" s="33" t="n"/>
      <c r="H1892" s="30">
        <f>IF(OR($B$1="Tous",$B$1="GERMIGNON"),"Oui","Non")</f>
        <v/>
      </c>
    </row>
    <row r="1893">
      <c r="A1893" s="31" t="inlineStr">
        <is>
          <t>Niveau</t>
        </is>
      </c>
      <c r="B1893" s="33" t="n">
        <v>39</v>
      </c>
      <c r="C1893" s="33" t="n">
        <v>39</v>
      </c>
      <c r="D1893" s="33" t="n">
        <v>38</v>
      </c>
      <c r="E1893" s="33" t="n">
        <v>39</v>
      </c>
      <c r="F1893" s="33" t="n">
        <v>40</v>
      </c>
      <c r="G1893" s="33" t="n"/>
      <c r="H1893" s="30">
        <f>IF(OR($B$1="Tous",$B$1="GERMIGNON"),"Oui","Non")</f>
        <v/>
      </c>
    </row>
    <row r="1894">
      <c r="A1894" s="31" t="inlineStr">
        <is>
          <t>Objet</t>
        </is>
      </c>
      <c r="B1894" s="33" t="inlineStr">
        <is>
          <t>Aucun</t>
        </is>
      </c>
      <c r="C1894" s="33" t="inlineStr">
        <is>
          <t>Aucun</t>
        </is>
      </c>
      <c r="D1894" s="33" t="inlineStr">
        <is>
          <t>Aucun</t>
        </is>
      </c>
      <c r="E1894" s="33" t="inlineStr">
        <is>
          <t>Aucun</t>
        </is>
      </c>
      <c r="F1894" s="33" t="inlineStr">
        <is>
          <t>Aucun</t>
        </is>
      </c>
      <c r="G1894" s="33" t="n"/>
      <c r="H1894" s="30">
        <f>IF(OR($B$1="Tous",$B$1="GERMIGNON"),"Oui","Non")</f>
        <v/>
      </c>
    </row>
    <row r="1895">
      <c r="A1895" s="31" t="inlineStr">
        <is>
          <t>Talent</t>
        </is>
      </c>
      <c r="B1895" s="33" t="inlineStr">
        <is>
          <t>Mue</t>
        </is>
      </c>
      <c r="C1895" s="33" t="inlineStr">
        <is>
          <t>Chlorophylle</t>
        </is>
      </c>
      <c r="D1895" s="33" t="inlineStr">
        <is>
          <t>Ventouse</t>
        </is>
      </c>
      <c r="E1895" s="33" t="inlineStr">
        <is>
          <t>Attention</t>
        </is>
      </c>
      <c r="F1895" s="33" t="inlineStr">
        <is>
          <t>Brasier</t>
        </is>
      </c>
      <c r="G1895" s="33" t="n"/>
      <c r="H1895" s="30">
        <f>IF(OR($B$1="Tous",$B$1="GERMIGNON"),"Oui","Non")</f>
        <v/>
      </c>
    </row>
    <row r="1896">
      <c r="A1896" s="31" t="inlineStr">
        <is>
          <t>Capacités</t>
        </is>
      </c>
      <c r="B1896" s="34" t="inlineStr">
        <is>
          <t>Mania</t>
        </is>
      </c>
      <c r="C1896" s="34" t="inlineStr">
        <is>
          <t>Détritus</t>
        </is>
      </c>
      <c r="D1896" s="34" t="inlineStr">
        <is>
          <t>Octazooka</t>
        </is>
      </c>
      <c r="E1896" s="34" t="inlineStr">
        <is>
          <t>Crochet Venin</t>
        </is>
      </c>
      <c r="F1896" s="34" t="inlineStr">
        <is>
          <t>Poing Éclair</t>
        </is>
      </c>
      <c r="G1896" s="34" t="n"/>
      <c r="H1896" s="30">
        <f>IF(OR($B$1="Tous",$B$1="GERMIGNON"),"Oui","Non")</f>
        <v/>
      </c>
    </row>
    <row r="1897">
      <c r="A1897" s="31" t="n"/>
      <c r="B1897" s="34" t="inlineStr">
        <is>
          <t>Éboulement</t>
        </is>
      </c>
      <c r="C1897" s="34" t="inlineStr">
        <is>
          <t>Tranch'Herbe</t>
        </is>
      </c>
      <c r="D1897" s="34" t="inlineStr">
        <is>
          <t>Rafale Psy</t>
        </is>
      </c>
      <c r="E1897" s="34" t="inlineStr">
        <is>
          <t>Reflet</t>
        </is>
      </c>
      <c r="F1897" s="34" t="inlineStr">
        <is>
          <t>Lance-Flammes</t>
        </is>
      </c>
      <c r="G1897" s="34" t="n"/>
      <c r="H1897" s="30">
        <f>IF(OR($B$1="Tous",$B$1="GERMIGNON"),"Oui","Non")</f>
        <v/>
      </c>
    </row>
    <row r="1898">
      <c r="A1898" s="31" t="n"/>
      <c r="B1898" s="34" t="inlineStr">
        <is>
          <t>Grincement</t>
        </is>
      </c>
      <c r="C1898" s="34" t="inlineStr">
        <is>
          <t>Poudre Dodo</t>
        </is>
      </c>
      <c r="D1898" s="34" t="inlineStr">
        <is>
          <t>Onde Boréale</t>
        </is>
      </c>
      <c r="E1898" s="34" t="inlineStr">
        <is>
          <t>Onde Folie</t>
        </is>
      </c>
      <c r="F1898" s="34" t="inlineStr">
        <is>
          <t>Vive-Attaque</t>
        </is>
      </c>
      <c r="G1898" s="34" t="n"/>
      <c r="H1898" s="30">
        <f>IF(OR($B$1="Tous",$B$1="GERMIGNON"),"Oui","Non")</f>
        <v/>
      </c>
    </row>
    <row r="1899">
      <c r="A1899" s="31" t="n"/>
      <c r="B1899" s="34" t="inlineStr">
        <is>
          <t>Morsure</t>
        </is>
      </c>
      <c r="C1899" s="34" t="inlineStr">
        <is>
          <t>Croissance</t>
        </is>
      </c>
      <c r="D1899" s="34" t="inlineStr">
        <is>
          <t>Rayon Signal</t>
        </is>
      </c>
      <c r="E1899" s="34" t="inlineStr">
        <is>
          <t>Tranch'Air</t>
        </is>
      </c>
      <c r="F1899" s="34" t="inlineStr">
        <is>
          <t>Queue de Fer</t>
        </is>
      </c>
      <c r="G1899" s="34" t="n"/>
      <c r="H1899" s="30">
        <f>IF(OR($B$1="Tous",$B$1="GERMIGNON"),"Oui","Non")</f>
        <v/>
      </c>
    </row>
    <row r="1900">
      <c r="A1900" s="31" t="inlineStr">
        <is>
          <t>Nom</t>
        </is>
      </c>
      <c r="B1900" s="32" t="inlineStr">
        <is>
          <t>Rival (si vous avez choisi HERICENDRE)</t>
        </is>
      </c>
      <c r="C1900" s="32" t="n"/>
      <c r="D1900" s="32" t="n"/>
      <c r="E1900" s="32" t="n"/>
      <c r="F1900" s="32" t="n"/>
      <c r="G1900" s="32" t="n"/>
      <c r="H1900" s="30">
        <f>IF(OR($B$1="Tous",$B$1="HERICENDRE"),"Oui","Non")</f>
        <v/>
      </c>
    </row>
    <row r="1901">
      <c r="A1901" s="31" t="inlineStr">
        <is>
          <t>Pokémon</t>
        </is>
      </c>
      <c r="B1901" s="33" t="inlineStr">
        <is>
          <t>YMPHECT</t>
        </is>
      </c>
      <c r="C1901" s="33" t="inlineStr">
        <is>
          <t>EMPIFLOR</t>
        </is>
      </c>
      <c r="D1901" s="33" t="inlineStr">
        <is>
          <t>DEMOLOSSE</t>
        </is>
      </c>
      <c r="E1901" s="33" t="inlineStr">
        <is>
          <t>NOSFERALTO</t>
        </is>
      </c>
      <c r="F1901" s="33" t="inlineStr">
        <is>
          <t>ALIGATUEUR</t>
        </is>
      </c>
      <c r="G1901" s="33" t="n"/>
      <c r="H1901" s="30">
        <f>IF(OR($B$1="Tous",$B$1="HERICENDRE"),"Oui","Non")</f>
        <v/>
      </c>
    </row>
    <row r="1902">
      <c r="A1902" s="31" t="inlineStr">
        <is>
          <t>Niveau</t>
        </is>
      </c>
      <c r="B1902" s="33" t="n">
        <v>39</v>
      </c>
      <c r="C1902" s="33" t="n">
        <v>39</v>
      </c>
      <c r="D1902" s="33" t="n">
        <v>38</v>
      </c>
      <c r="E1902" s="33" t="n">
        <v>39</v>
      </c>
      <c r="F1902" s="33" t="n">
        <v>40</v>
      </c>
      <c r="G1902" s="33" t="n"/>
      <c r="H1902" s="30">
        <f>IF(OR($B$1="Tous",$B$1="HERICENDRE"),"Oui","Non")</f>
        <v/>
      </c>
    </row>
    <row r="1903">
      <c r="A1903" s="31" t="inlineStr">
        <is>
          <t>Objet</t>
        </is>
      </c>
      <c r="B1903" s="33" t="inlineStr">
        <is>
          <t>Aucun</t>
        </is>
      </c>
      <c r="C1903" s="33" t="inlineStr">
        <is>
          <t>Aucun</t>
        </is>
      </c>
      <c r="D1903" s="33" t="inlineStr">
        <is>
          <t>Aucun</t>
        </is>
      </c>
      <c r="E1903" s="33" t="inlineStr">
        <is>
          <t>Aucun</t>
        </is>
      </c>
      <c r="F1903" s="33" t="inlineStr">
        <is>
          <t>Aucun</t>
        </is>
      </c>
      <c r="G1903" s="33" t="n"/>
      <c r="H1903" s="30">
        <f>IF(OR($B$1="Tous",$B$1="HERICENDRE"),"Oui","Non")</f>
        <v/>
      </c>
    </row>
    <row r="1904">
      <c r="A1904" s="31" t="inlineStr">
        <is>
          <t>Talent</t>
        </is>
      </c>
      <c r="B1904" s="33" t="inlineStr">
        <is>
          <t>Mue</t>
        </is>
      </c>
      <c r="C1904" s="33" t="inlineStr">
        <is>
          <t>Chlorophylle</t>
        </is>
      </c>
      <c r="D1904" s="33" t="inlineStr">
        <is>
          <t>Matinal</t>
        </is>
      </c>
      <c r="E1904" s="33" t="inlineStr">
        <is>
          <t>Attention</t>
        </is>
      </c>
      <c r="F1904" s="33" t="inlineStr">
        <is>
          <t>Torrent</t>
        </is>
      </c>
      <c r="G1904" s="33" t="n"/>
      <c r="H1904" s="30">
        <f>IF(OR($B$1="Tous",$B$1="HERICENDRE"),"Oui","Non")</f>
        <v/>
      </c>
    </row>
    <row r="1905">
      <c r="A1905" s="31" t="inlineStr">
        <is>
          <t>Capacités</t>
        </is>
      </c>
      <c r="B1905" s="34" t="inlineStr">
        <is>
          <t>Mania</t>
        </is>
      </c>
      <c r="C1905" s="34" t="inlineStr">
        <is>
          <t>Détritus</t>
        </is>
      </c>
      <c r="D1905" s="34" t="inlineStr">
        <is>
          <t>Lance-Flammes</t>
        </is>
      </c>
      <c r="E1905" s="34" t="inlineStr">
        <is>
          <t>Crochet Venin</t>
        </is>
      </c>
      <c r="F1905" s="34" t="inlineStr">
        <is>
          <t>Poing Glace</t>
        </is>
      </c>
      <c r="G1905" s="34" t="n"/>
      <c r="H1905" s="30">
        <f>IF(OR($B$1="Tous",$B$1="HERICENDRE"),"Oui","Non")</f>
        <v/>
      </c>
    </row>
    <row r="1906">
      <c r="A1906" s="31" t="n"/>
      <c r="B1906" s="34" t="inlineStr">
        <is>
          <t>Éboulement</t>
        </is>
      </c>
      <c r="C1906" s="34" t="inlineStr">
        <is>
          <t>Tranch'Herbe</t>
        </is>
      </c>
      <c r="D1906" s="34" t="inlineStr">
        <is>
          <t>Queue de Fer</t>
        </is>
      </c>
      <c r="E1906" s="34" t="inlineStr">
        <is>
          <t>Reflet</t>
        </is>
      </c>
      <c r="F1906" s="34" t="inlineStr">
        <is>
          <t>Surf</t>
        </is>
      </c>
      <c r="G1906" s="34" t="n"/>
      <c r="H1906" s="30">
        <f>IF(OR($B$1="Tous",$B$1="HERICENDRE"),"Oui","Non")</f>
        <v/>
      </c>
    </row>
    <row r="1907">
      <c r="A1907" s="31" t="n"/>
      <c r="B1907" s="34" t="inlineStr">
        <is>
          <t>Grincement</t>
        </is>
      </c>
      <c r="C1907" s="34" t="inlineStr">
        <is>
          <t>Poudre Dodo</t>
        </is>
      </c>
      <c r="D1907" s="34" t="inlineStr">
        <is>
          <t>Morsure</t>
        </is>
      </c>
      <c r="E1907" s="34" t="inlineStr">
        <is>
          <t>Onde Folie</t>
        </is>
      </c>
      <c r="F1907" s="34" t="inlineStr">
        <is>
          <t>Tranche</t>
        </is>
      </c>
      <c r="G1907" s="34" t="n"/>
      <c r="H1907" s="30">
        <f>IF(OR($B$1="Tous",$B$1="HERICENDRE"),"Oui","Non")</f>
        <v/>
      </c>
    </row>
    <row r="1908">
      <c r="A1908" s="31" t="n"/>
      <c r="B1908" s="34" t="inlineStr">
        <is>
          <t>Morsure</t>
        </is>
      </c>
      <c r="C1908" s="34" t="inlineStr">
        <is>
          <t>Croissance</t>
        </is>
      </c>
      <c r="D1908" s="34" t="inlineStr">
        <is>
          <t>Machination</t>
        </is>
      </c>
      <c r="E1908" s="34" t="inlineStr">
        <is>
          <t>Tranch'Air</t>
        </is>
      </c>
      <c r="F1908" s="34" t="inlineStr">
        <is>
          <t>Morsure</t>
        </is>
      </c>
      <c r="G1908" s="34" t="n"/>
      <c r="H1908" s="30">
        <f>IF(OR($B$1="Tous",$B$1="HERICENDRE"),"Oui","Non")</f>
        <v/>
      </c>
    </row>
    <row r="1909">
      <c r="A1909" s="31" t="inlineStr">
        <is>
          <t>Nom</t>
        </is>
      </c>
      <c r="B1909" s="32" t="inlineStr">
        <is>
          <t>Rival (si vous avez choisi KAIMINUS)</t>
        </is>
      </c>
      <c r="C1909" s="32" t="n"/>
      <c r="D1909" s="32" t="n"/>
      <c r="E1909" s="32" t="n"/>
      <c r="F1909" s="32" t="n"/>
      <c r="G1909" s="32" t="n"/>
      <c r="H1909" s="30">
        <f>IF(OR($B$1="Tous",$B$1="KAIMINUS"),"Oui","Non")</f>
        <v/>
      </c>
    </row>
    <row r="1910">
      <c r="A1910" s="31" t="inlineStr">
        <is>
          <t>Pokémon</t>
        </is>
      </c>
      <c r="B1910" s="33" t="inlineStr">
        <is>
          <t>YMPHECT</t>
        </is>
      </c>
      <c r="C1910" s="33" t="inlineStr">
        <is>
          <t>DEMOLOSSE</t>
        </is>
      </c>
      <c r="D1910" s="33" t="inlineStr">
        <is>
          <t>OCTILLERY</t>
        </is>
      </c>
      <c r="E1910" s="33" t="inlineStr">
        <is>
          <t>NOSFERALTO</t>
        </is>
      </c>
      <c r="F1910" s="33" t="inlineStr">
        <is>
          <t>MEGANIUM</t>
        </is>
      </c>
      <c r="G1910" s="33" t="n"/>
      <c r="H1910" s="30">
        <f>IF(OR($B$1="Tous",$B$1="KAIMINUS"),"Oui","Non")</f>
        <v/>
      </c>
    </row>
    <row r="1911">
      <c r="A1911" s="31" t="inlineStr">
        <is>
          <t>Niveau</t>
        </is>
      </c>
      <c r="B1911" s="33" t="n">
        <v>39</v>
      </c>
      <c r="C1911" s="33" t="n">
        <v>39</v>
      </c>
      <c r="D1911" s="33" t="n">
        <v>38</v>
      </c>
      <c r="E1911" s="33" t="n">
        <v>39</v>
      </c>
      <c r="F1911" s="33" t="n">
        <v>40</v>
      </c>
      <c r="G1911" s="33" t="n"/>
      <c r="H1911" s="30">
        <f>IF(OR($B$1="Tous",$B$1="KAIMINUS"),"Oui","Non")</f>
        <v/>
      </c>
    </row>
    <row r="1912">
      <c r="A1912" s="31" t="inlineStr">
        <is>
          <t>Objet</t>
        </is>
      </c>
      <c r="B1912" s="33" t="inlineStr">
        <is>
          <t>Aucun</t>
        </is>
      </c>
      <c r="C1912" s="33" t="inlineStr">
        <is>
          <t>Aucun</t>
        </is>
      </c>
      <c r="D1912" s="33" t="inlineStr">
        <is>
          <t>Aucun</t>
        </is>
      </c>
      <c r="E1912" s="33" t="inlineStr">
        <is>
          <t>Aucun</t>
        </is>
      </c>
      <c r="F1912" s="33" t="inlineStr">
        <is>
          <t>Aucun</t>
        </is>
      </c>
      <c r="G1912" s="33" t="n"/>
      <c r="H1912" s="30">
        <f>IF(OR($B$1="Tous",$B$1="KAIMINUS"),"Oui","Non")</f>
        <v/>
      </c>
    </row>
    <row r="1913">
      <c r="A1913" s="31" t="inlineStr">
        <is>
          <t>Talent</t>
        </is>
      </c>
      <c r="B1913" s="33" t="inlineStr">
        <is>
          <t>Mue</t>
        </is>
      </c>
      <c r="C1913" s="33" t="inlineStr">
        <is>
          <t>Matinal</t>
        </is>
      </c>
      <c r="D1913" s="33" t="inlineStr">
        <is>
          <t>Ventouse</t>
        </is>
      </c>
      <c r="E1913" s="33" t="inlineStr">
        <is>
          <t>Attention</t>
        </is>
      </c>
      <c r="F1913" s="33" t="inlineStr">
        <is>
          <t>Engrais</t>
        </is>
      </c>
      <c r="G1913" s="33" t="n"/>
      <c r="H1913" s="30">
        <f>IF(OR($B$1="Tous",$B$1="KAIMINUS"),"Oui","Non")</f>
        <v/>
      </c>
    </row>
    <row r="1914">
      <c r="A1914" s="31" t="inlineStr">
        <is>
          <t>Capacités</t>
        </is>
      </c>
      <c r="B1914" s="34" t="inlineStr">
        <is>
          <t>Mania</t>
        </is>
      </c>
      <c r="C1914" s="34" t="inlineStr">
        <is>
          <t>Lance-Flammes</t>
        </is>
      </c>
      <c r="D1914" s="34" t="inlineStr">
        <is>
          <t>Octazooka</t>
        </is>
      </c>
      <c r="E1914" s="34" t="inlineStr">
        <is>
          <t>Crochet Venin</t>
        </is>
      </c>
      <c r="F1914" s="34" t="inlineStr">
        <is>
          <t>Synthèse</t>
        </is>
      </c>
      <c r="G1914" s="34" t="n"/>
      <c r="H1914" s="30">
        <f>IF(OR($B$1="Tous",$B$1="KAIMINUS"),"Oui","Non")</f>
        <v/>
      </c>
    </row>
    <row r="1915">
      <c r="A1915" s="31" t="n"/>
      <c r="B1915" s="34" t="inlineStr">
        <is>
          <t>Éboulement</t>
        </is>
      </c>
      <c r="C1915" s="34" t="inlineStr">
        <is>
          <t>Queue de Fer</t>
        </is>
      </c>
      <c r="D1915" s="34" t="inlineStr">
        <is>
          <t>Rafale Psy</t>
        </is>
      </c>
      <c r="E1915" s="34" t="inlineStr">
        <is>
          <t>Reflet</t>
        </is>
      </c>
      <c r="F1915" s="34" t="inlineStr">
        <is>
          <t>Feuille Magik</t>
        </is>
      </c>
      <c r="G1915" s="34" t="n"/>
      <c r="H1915" s="30">
        <f>IF(OR($B$1="Tous",$B$1="KAIMINUS"),"Oui","Non")</f>
        <v/>
      </c>
    </row>
    <row r="1916">
      <c r="A1916" s="31" t="n"/>
      <c r="B1916" s="34" t="inlineStr">
        <is>
          <t>Grincement</t>
        </is>
      </c>
      <c r="C1916" s="34" t="inlineStr">
        <is>
          <t>Morsure</t>
        </is>
      </c>
      <c r="D1916" s="34" t="inlineStr">
        <is>
          <t>Onde Boréale</t>
        </is>
      </c>
      <c r="E1916" s="34" t="inlineStr">
        <is>
          <t>Onde Folie</t>
        </is>
      </c>
      <c r="F1916" s="34" t="inlineStr">
        <is>
          <t>Zénith</t>
        </is>
      </c>
      <c r="G1916" s="34" t="n"/>
      <c r="H1916" s="30">
        <f>IF(OR($B$1="Tous",$B$1="KAIMINUS"),"Oui","Non")</f>
        <v/>
      </c>
    </row>
    <row r="1917">
      <c r="A1917" s="31" t="n"/>
      <c r="B1917" s="34" t="inlineStr">
        <is>
          <t>Morsure</t>
        </is>
      </c>
      <c r="C1917" s="34" t="inlineStr">
        <is>
          <t>Machination</t>
        </is>
      </c>
      <c r="D1917" s="34" t="inlineStr">
        <is>
          <t>Rayon Signal</t>
        </is>
      </c>
      <c r="E1917" s="34" t="inlineStr">
        <is>
          <t>Tranch'Air</t>
        </is>
      </c>
      <c r="F1917" s="34" t="inlineStr">
        <is>
          <t>Plaquage</t>
        </is>
      </c>
      <c r="G1917" s="34" t="n"/>
      <c r="H1917" s="30">
        <f>IF(OR($B$1="Tous",$B$1="KAIMINUS"),"Oui","Non")</f>
        <v/>
      </c>
    </row>
    <row r="1918">
      <c r="A1918" s="31" t="inlineStr">
        <is>
          <t>Nom</t>
        </is>
      </c>
      <c r="B1918" s="32" t="inlineStr">
        <is>
          <t>Rocket Sbire</t>
        </is>
      </c>
      <c r="C1918" s="32" t="n"/>
      <c r="D1918" s="32" t="n"/>
      <c r="E1918" s="32" t="n"/>
      <c r="F1918" s="32" t="n"/>
      <c r="G1918" s="32" t="n"/>
      <c r="H1918" s="30" t="inlineStr">
        <is>
          <t>Oui</t>
        </is>
      </c>
    </row>
    <row r="1919">
      <c r="A1919" s="31" t="inlineStr">
        <is>
          <t>Pokémon</t>
        </is>
      </c>
      <c r="B1919" s="33" t="inlineStr">
        <is>
          <t>NOSFERALTO</t>
        </is>
      </c>
      <c r="C1919" s="33" t="inlineStr">
        <is>
          <t>GROTADMORV</t>
        </is>
      </c>
      <c r="D1919" s="33" t="n"/>
      <c r="E1919" s="33" t="n"/>
      <c r="F1919" s="33" t="n"/>
      <c r="G1919" s="33" t="n"/>
      <c r="H1919" s="30" t="inlineStr">
        <is>
          <t>Oui</t>
        </is>
      </c>
    </row>
    <row r="1920">
      <c r="A1920" s="31" t="inlineStr">
        <is>
          <t>Niveau</t>
        </is>
      </c>
      <c r="B1920" s="33" t="n">
        <v>36</v>
      </c>
      <c r="C1920" s="33" t="n">
        <v>37</v>
      </c>
      <c r="D1920" s="33" t="n"/>
      <c r="E1920" s="33" t="n"/>
      <c r="F1920" s="33" t="n"/>
      <c r="G1920" s="33" t="n"/>
      <c r="H1920" s="30" t="inlineStr">
        <is>
          <t>Oui</t>
        </is>
      </c>
    </row>
    <row r="1921">
      <c r="A1921" s="31" t="inlineStr">
        <is>
          <t>Objet</t>
        </is>
      </c>
      <c r="B1921" s="33" t="inlineStr">
        <is>
          <t>Aucun</t>
        </is>
      </c>
      <c r="C1921" s="33" t="inlineStr">
        <is>
          <t>Aucun</t>
        </is>
      </c>
      <c r="D1921" s="33" t="n"/>
      <c r="E1921" s="33" t="n"/>
      <c r="F1921" s="33" t="n"/>
      <c r="G1921" s="33" t="n"/>
      <c r="H1921" s="30" t="inlineStr">
        <is>
          <t>Oui</t>
        </is>
      </c>
    </row>
    <row r="1922">
      <c r="A1922" s="31" t="inlineStr">
        <is>
          <t>Talent</t>
        </is>
      </c>
      <c r="B1922" s="33" t="inlineStr">
        <is>
          <t>Attention</t>
        </is>
      </c>
      <c r="C1922" s="33" t="inlineStr">
        <is>
          <t>Puanteur</t>
        </is>
      </c>
      <c r="D1922" s="33" t="n"/>
      <c r="E1922" s="33" t="n"/>
      <c r="F1922" s="33" t="n"/>
      <c r="G1922" s="33" t="n"/>
      <c r="H1922" s="30" t="inlineStr">
        <is>
          <t>Oui</t>
        </is>
      </c>
    </row>
    <row r="1923">
      <c r="A1923" s="31" t="inlineStr">
        <is>
          <t>Capacités</t>
        </is>
      </c>
      <c r="B1923" s="34" t="inlineStr">
        <is>
          <t>Météores</t>
        </is>
      </c>
      <c r="C1923" s="34" t="inlineStr">
        <is>
          <t>Dégommage</t>
        </is>
      </c>
      <c r="D1923" s="34" t="n"/>
      <c r="E1923" s="34" t="n"/>
      <c r="F1923" s="34" t="n"/>
      <c r="G1923" s="34" t="n"/>
      <c r="H1923" s="30" t="inlineStr">
        <is>
          <t>Oui</t>
        </is>
      </c>
    </row>
    <row r="1924">
      <c r="A1924" s="31" t="n"/>
      <c r="B1924" s="34" t="inlineStr">
        <is>
          <t>Crochet Venin</t>
        </is>
      </c>
      <c r="C1924" s="34" t="inlineStr">
        <is>
          <t>Bombe Beurk</t>
        </is>
      </c>
      <c r="D1924" s="34" t="n"/>
      <c r="E1924" s="34" t="n"/>
      <c r="F1924" s="34" t="n"/>
      <c r="G1924" s="34" t="n"/>
      <c r="H1924" s="30" t="inlineStr">
        <is>
          <t>Oui</t>
        </is>
      </c>
    </row>
    <row r="1925">
      <c r="A1925" s="31" t="n"/>
      <c r="B1925" s="34" t="inlineStr">
        <is>
          <t>Regard Noir</t>
        </is>
      </c>
      <c r="C1925" s="34" t="inlineStr">
        <is>
          <t>Cradovague</t>
        </is>
      </c>
      <c r="D1925" s="34" t="n"/>
      <c r="E1925" s="34" t="n"/>
      <c r="F1925" s="34" t="n"/>
      <c r="G1925" s="34" t="n"/>
      <c r="H1925" s="30" t="inlineStr">
        <is>
          <t>Oui</t>
        </is>
      </c>
    </row>
    <row r="1926">
      <c r="A1926" s="31" t="n"/>
      <c r="B1926" s="34" t="inlineStr">
        <is>
          <t>Vampirisme</t>
        </is>
      </c>
      <c r="C1926" s="34" t="inlineStr">
        <is>
          <t>Grincement</t>
        </is>
      </c>
      <c r="D1926" s="34" t="n"/>
      <c r="E1926" s="34" t="n"/>
      <c r="F1926" s="34" t="n"/>
      <c r="G1926" s="34" t="n"/>
      <c r="H1926" s="30" t="inlineStr">
        <is>
          <t>Oui</t>
        </is>
      </c>
    </row>
    <row r="1927">
      <c r="A1927" s="31" t="inlineStr">
        <is>
          <t>Nom</t>
        </is>
      </c>
      <c r="B1927" s="32" t="inlineStr">
        <is>
          <t>Rocket Sbire</t>
        </is>
      </c>
      <c r="C1927" s="32" t="n"/>
      <c r="D1927" s="32" t="n"/>
      <c r="E1927" s="32" t="n"/>
      <c r="F1927" s="32" t="n"/>
      <c r="G1927" s="32" t="n"/>
      <c r="H1927" s="30" t="inlineStr">
        <is>
          <t>Oui</t>
        </is>
      </c>
    </row>
    <row r="1928">
      <c r="A1928" s="31" t="inlineStr">
        <is>
          <t>Pokémon</t>
        </is>
      </c>
      <c r="B1928" s="33" t="inlineStr">
        <is>
          <t>NOSFERALTO</t>
        </is>
      </c>
      <c r="C1928" s="33" t="inlineStr">
        <is>
          <t>ARBOK</t>
        </is>
      </c>
      <c r="D1928" s="33" t="n"/>
      <c r="E1928" s="33" t="n"/>
      <c r="F1928" s="33" t="n"/>
      <c r="G1928" s="33" t="n"/>
      <c r="H1928" s="30" t="inlineStr">
        <is>
          <t>Oui</t>
        </is>
      </c>
    </row>
    <row r="1929">
      <c r="A1929" s="31" t="inlineStr">
        <is>
          <t>Niveau</t>
        </is>
      </c>
      <c r="B1929" s="33" t="n">
        <v>36</v>
      </c>
      <c r="C1929" s="33" t="n">
        <v>37</v>
      </c>
      <c r="D1929" s="33" t="n"/>
      <c r="E1929" s="33" t="n"/>
      <c r="F1929" s="33" t="n"/>
      <c r="G1929" s="33" t="n"/>
      <c r="H1929" s="30" t="inlineStr">
        <is>
          <t>Oui</t>
        </is>
      </c>
    </row>
    <row r="1930">
      <c r="A1930" s="31" t="inlineStr">
        <is>
          <t>Objet</t>
        </is>
      </c>
      <c r="B1930" s="33" t="inlineStr">
        <is>
          <t>Aucun</t>
        </is>
      </c>
      <c r="C1930" s="33" t="inlineStr">
        <is>
          <t>Aucun</t>
        </is>
      </c>
      <c r="D1930" s="33" t="n"/>
      <c r="E1930" s="33" t="n"/>
      <c r="F1930" s="33" t="n"/>
      <c r="G1930" s="33" t="n"/>
      <c r="H1930" s="30" t="inlineStr">
        <is>
          <t>Oui</t>
        </is>
      </c>
    </row>
    <row r="1931">
      <c r="A1931" s="31" t="inlineStr">
        <is>
          <t>Talent</t>
        </is>
      </c>
      <c r="B1931" s="33" t="inlineStr">
        <is>
          <t>Attention</t>
        </is>
      </c>
      <c r="C1931" s="33" t="inlineStr">
        <is>
          <t>Intimidation</t>
        </is>
      </c>
      <c r="D1931" s="33" t="n"/>
      <c r="E1931" s="33" t="n"/>
      <c r="F1931" s="33" t="n"/>
      <c r="G1931" s="33" t="n"/>
      <c r="H1931" s="30" t="inlineStr">
        <is>
          <t>Oui</t>
        </is>
      </c>
    </row>
    <row r="1932">
      <c r="A1932" s="31" t="inlineStr">
        <is>
          <t>Capacités</t>
        </is>
      </c>
      <c r="B1932" s="34" t="inlineStr">
        <is>
          <t>Météores</t>
        </is>
      </c>
      <c r="C1932" s="34" t="inlineStr">
        <is>
          <t>Avale</t>
        </is>
      </c>
      <c r="D1932" s="34" t="n"/>
      <c r="E1932" s="34" t="n"/>
      <c r="F1932" s="34" t="n"/>
      <c r="G1932" s="34" t="n"/>
      <c r="H1932" s="30" t="inlineStr">
        <is>
          <t>Oui</t>
        </is>
      </c>
    </row>
    <row r="1933">
      <c r="A1933" s="31" t="n"/>
      <c r="B1933" s="34" t="inlineStr">
        <is>
          <t>Crochet Venin</t>
        </is>
      </c>
      <c r="C1933" s="34" t="inlineStr">
        <is>
          <t>Relâche</t>
        </is>
      </c>
      <c r="D1933" s="34" t="n"/>
      <c r="E1933" s="34" t="n"/>
      <c r="F1933" s="34" t="n"/>
      <c r="G1933" s="34" t="n"/>
      <c r="H1933" s="30" t="inlineStr">
        <is>
          <t>Oui</t>
        </is>
      </c>
    </row>
    <row r="1934">
      <c r="A1934" s="31" t="n"/>
      <c r="B1934" s="34" t="inlineStr">
        <is>
          <t>Regard Noir</t>
        </is>
      </c>
      <c r="C1934" s="34" t="inlineStr">
        <is>
          <t>Crochet Venin</t>
        </is>
      </c>
      <c r="D1934" s="34" t="n"/>
      <c r="E1934" s="34" t="n"/>
      <c r="F1934" s="34" t="n"/>
      <c r="G1934" s="34" t="n"/>
      <c r="H1934" s="30" t="inlineStr">
        <is>
          <t>Oui</t>
        </is>
      </c>
    </row>
    <row r="1935">
      <c r="A1935" s="31" t="n"/>
      <c r="B1935" s="34" t="inlineStr">
        <is>
          <t>Vampirisme</t>
        </is>
      </c>
      <c r="C1935" s="34" t="inlineStr">
        <is>
          <t>Bombe Acide</t>
        </is>
      </c>
      <c r="D1935" s="34" t="n"/>
      <c r="E1935" s="34" t="n"/>
      <c r="F1935" s="34" t="n"/>
      <c r="G1935" s="34" t="n"/>
      <c r="H1935" s="30" t="inlineStr">
        <is>
          <t>Oui</t>
        </is>
      </c>
    </row>
    <row r="1936">
      <c r="A1936" s="31" t="inlineStr">
        <is>
          <t>Nom</t>
        </is>
      </c>
      <c r="B1936" s="32" t="inlineStr">
        <is>
          <t>Pillard Elmer</t>
        </is>
      </c>
      <c r="C1936" s="32" t="n"/>
      <c r="D1936" s="32" t="n"/>
      <c r="E1936" s="32" t="n"/>
      <c r="F1936" s="32" t="n"/>
      <c r="G1936" s="32" t="n"/>
      <c r="H1936" s="30" t="inlineStr">
        <is>
          <t>Oui</t>
        </is>
      </c>
    </row>
    <row r="1937">
      <c r="A1937" s="31" t="inlineStr">
        <is>
          <t>Pokémon</t>
        </is>
      </c>
      <c r="B1937" s="33" t="inlineStr">
        <is>
          <t>CADOIZO</t>
        </is>
      </c>
      <c r="C1937" s="33" t="inlineStr">
        <is>
          <t>MAGMAR</t>
        </is>
      </c>
      <c r="D1937" s="33" t="n"/>
      <c r="E1937" s="33" t="n"/>
      <c r="F1937" s="33" t="n"/>
      <c r="G1937" s="33" t="n"/>
      <c r="H1937" s="30" t="inlineStr">
        <is>
          <t>Oui</t>
        </is>
      </c>
    </row>
    <row r="1938">
      <c r="A1938" s="31" t="inlineStr">
        <is>
          <t>Niveau</t>
        </is>
      </c>
      <c r="B1938" s="33" t="n">
        <v>35</v>
      </c>
      <c r="C1938" s="33" t="n">
        <v>35</v>
      </c>
      <c r="D1938" s="33" t="n"/>
      <c r="E1938" s="33" t="n"/>
      <c r="F1938" s="33" t="n"/>
      <c r="G1938" s="33" t="n"/>
      <c r="H1938" s="30" t="inlineStr">
        <is>
          <t>Oui</t>
        </is>
      </c>
    </row>
    <row r="1939">
      <c r="A1939" s="31" t="inlineStr">
        <is>
          <t>Objet</t>
        </is>
      </c>
      <c r="B1939" s="33" t="inlineStr">
        <is>
          <t>Aucun</t>
        </is>
      </c>
      <c r="C1939" s="33" t="inlineStr">
        <is>
          <t>Aucun</t>
        </is>
      </c>
      <c r="D1939" s="33" t="n"/>
      <c r="E1939" s="33" t="n"/>
      <c r="F1939" s="33" t="n"/>
      <c r="G1939" s="33" t="n"/>
      <c r="H1939" s="30" t="inlineStr">
        <is>
          <t>Oui</t>
        </is>
      </c>
    </row>
    <row r="1940">
      <c r="A1940" s="31" t="inlineStr">
        <is>
          <t>Talent</t>
        </is>
      </c>
      <c r="B1940" s="33" t="inlineStr">
        <is>
          <t>Esprit Vital</t>
        </is>
      </c>
      <c r="C1940" s="33" t="inlineStr">
        <is>
          <t>Corps Ardent</t>
        </is>
      </c>
      <c r="D1940" s="33" t="n"/>
      <c r="E1940" s="33" t="n"/>
      <c r="F1940" s="33" t="n"/>
      <c r="G1940" s="33" t="n"/>
      <c r="H1940" s="30" t="inlineStr">
        <is>
          <t>Oui</t>
        </is>
      </c>
    </row>
    <row r="1941">
      <c r="A1941" s="31" t="inlineStr">
        <is>
          <t>Capacités</t>
        </is>
      </c>
      <c r="B1941" s="34" t="inlineStr">
        <is>
          <t>Cadeau</t>
        </is>
      </c>
      <c r="C1941" s="34" t="inlineStr">
        <is>
          <t>Bain de Smog</t>
        </is>
      </c>
      <c r="D1941" s="34" t="n"/>
      <c r="E1941" s="34" t="n"/>
      <c r="F1941" s="34" t="n"/>
      <c r="G1941" s="34" t="n"/>
      <c r="H1941" s="30" t="inlineStr">
        <is>
          <t>Oui</t>
        </is>
      </c>
    </row>
    <row r="1942">
      <c r="A1942" s="31" t="n"/>
      <c r="B1942" s="34" t="inlineStr">
        <is>
          <t>Bec Vrille</t>
        </is>
      </c>
      <c r="C1942" s="34" t="inlineStr">
        <is>
          <t>Rebondifeu</t>
        </is>
      </c>
      <c r="D1942" s="34" t="n"/>
      <c r="E1942" s="34" t="n"/>
      <c r="F1942" s="34" t="n"/>
      <c r="G1942" s="34" t="n"/>
      <c r="H1942" s="30" t="inlineStr">
        <is>
          <t>Oui</t>
        </is>
      </c>
    </row>
    <row r="1943">
      <c r="A1943" s="31" t="n"/>
      <c r="B1943" s="34" t="n"/>
      <c r="C1943" s="34" t="inlineStr">
        <is>
          <t>Onde Folie</t>
        </is>
      </c>
      <c r="D1943" s="34" t="n"/>
      <c r="E1943" s="34" t="n"/>
      <c r="F1943" s="34" t="n"/>
      <c r="G1943" s="34" t="n"/>
      <c r="H1943" s="30" t="inlineStr">
        <is>
          <t>Oui</t>
        </is>
      </c>
    </row>
    <row r="1944">
      <c r="A1944" s="31" t="n"/>
      <c r="B1944" s="34" t="n"/>
      <c r="C1944" s="34" t="inlineStr">
        <is>
          <t>Poing Feu</t>
        </is>
      </c>
      <c r="D1944" s="34" t="n"/>
      <c r="E1944" s="34" t="n"/>
      <c r="F1944" s="34" t="n"/>
      <c r="G1944" s="34" t="n"/>
      <c r="H1944" s="30" t="inlineStr">
        <is>
          <t>Oui</t>
        </is>
      </c>
    </row>
    <row r="1945">
      <c r="A1945" s="31" t="inlineStr">
        <is>
          <t>Nom</t>
        </is>
      </c>
      <c r="B1945" s="32" t="inlineStr">
        <is>
          <t>Pillard Jasper</t>
        </is>
      </c>
      <c r="C1945" s="32" t="n"/>
      <c r="D1945" s="32" t="n"/>
      <c r="E1945" s="32" t="n"/>
      <c r="F1945" s="32" t="n"/>
      <c r="G1945" s="32" t="n"/>
      <c r="H1945" s="30" t="inlineStr">
        <is>
          <t>Oui</t>
        </is>
      </c>
    </row>
    <row r="1946">
      <c r="A1946" s="31" t="inlineStr">
        <is>
          <t>Pokémon</t>
        </is>
      </c>
      <c r="B1946" s="33" t="inlineStr">
        <is>
          <t>ARCANIN</t>
        </is>
      </c>
      <c r="C1946" s="33" t="inlineStr">
        <is>
          <t>SMOGOGO</t>
        </is>
      </c>
      <c r="D1946" s="33" t="n"/>
      <c r="E1946" s="33" t="n"/>
      <c r="F1946" s="33" t="n"/>
      <c r="G1946" s="33" t="n"/>
      <c r="H1946" s="30" t="inlineStr">
        <is>
          <t>Oui</t>
        </is>
      </c>
    </row>
    <row r="1947">
      <c r="A1947" s="31" t="inlineStr">
        <is>
          <t>Niveau</t>
        </is>
      </c>
      <c r="B1947" s="33" t="n">
        <v>35</v>
      </c>
      <c r="C1947" s="33" t="n">
        <v>35</v>
      </c>
      <c r="D1947" s="33" t="n"/>
      <c r="E1947" s="33" t="n"/>
      <c r="F1947" s="33" t="n"/>
      <c r="G1947" s="33" t="n"/>
      <c r="H1947" s="30" t="inlineStr">
        <is>
          <t>Oui</t>
        </is>
      </c>
    </row>
    <row r="1948">
      <c r="A1948" s="31" t="inlineStr">
        <is>
          <t>Objet</t>
        </is>
      </c>
      <c r="B1948" s="33" t="inlineStr">
        <is>
          <t>Aucun</t>
        </is>
      </c>
      <c r="C1948" s="33" t="inlineStr">
        <is>
          <t>Aucun</t>
        </is>
      </c>
      <c r="D1948" s="33" t="n"/>
      <c r="E1948" s="33" t="n"/>
      <c r="F1948" s="33" t="n"/>
      <c r="G1948" s="33" t="n"/>
      <c r="H1948" s="30" t="inlineStr">
        <is>
          <t>Oui</t>
        </is>
      </c>
    </row>
    <row r="1949">
      <c r="A1949" s="31" t="inlineStr">
        <is>
          <t>Talent</t>
        </is>
      </c>
      <c r="B1949" s="33" t="inlineStr">
        <is>
          <t>Intimidation</t>
        </is>
      </c>
      <c r="C1949" s="33" t="inlineStr">
        <is>
          <t>Lévitation</t>
        </is>
      </c>
      <c r="D1949" s="33" t="n"/>
      <c r="E1949" s="33" t="n"/>
      <c r="F1949" s="33" t="n"/>
      <c r="G1949" s="33" t="n"/>
      <c r="H1949" s="30" t="inlineStr">
        <is>
          <t>Oui</t>
        </is>
      </c>
    </row>
    <row r="1950">
      <c r="A1950" s="31" t="inlineStr">
        <is>
          <t>Capacités</t>
        </is>
      </c>
      <c r="B1950" s="34" t="inlineStr">
        <is>
          <t>Hurlement</t>
        </is>
      </c>
      <c r="C1950" s="34" t="inlineStr">
        <is>
          <t>Destruction</t>
        </is>
      </c>
      <c r="D1950" s="34" t="n"/>
      <c r="E1950" s="34" t="n"/>
      <c r="F1950" s="34" t="n"/>
      <c r="G1950" s="34" t="n"/>
      <c r="H1950" s="30" t="inlineStr">
        <is>
          <t>Oui</t>
        </is>
      </c>
    </row>
    <row r="1951">
      <c r="A1951" s="31" t="n"/>
      <c r="B1951" s="34" t="inlineStr">
        <is>
          <t>Flair</t>
        </is>
      </c>
      <c r="C1951" s="34" t="inlineStr">
        <is>
          <t>Buée Noire</t>
        </is>
      </c>
      <c r="D1951" s="34" t="n"/>
      <c r="E1951" s="34" t="n"/>
      <c r="F1951" s="34" t="n"/>
      <c r="G1951" s="34" t="n"/>
      <c r="H1951" s="30" t="inlineStr">
        <is>
          <t>Oui</t>
        </is>
      </c>
    </row>
    <row r="1952">
      <c r="A1952" s="31" t="n"/>
      <c r="B1952" s="34" t="inlineStr">
        <is>
          <t>Crocs Feu</t>
        </is>
      </c>
      <c r="C1952" s="34" t="inlineStr">
        <is>
          <t>Gyroballe</t>
        </is>
      </c>
      <c r="D1952" s="34" t="n"/>
      <c r="E1952" s="34" t="n"/>
      <c r="F1952" s="34" t="n"/>
      <c r="G1952" s="34" t="n"/>
      <c r="H1952" s="30" t="inlineStr">
        <is>
          <t>Oui</t>
        </is>
      </c>
    </row>
    <row r="1953">
      <c r="A1953" s="31" t="n"/>
      <c r="B1953" s="34" t="inlineStr">
        <is>
          <t>Vitesse Extrême</t>
        </is>
      </c>
      <c r="C1953" s="34" t="inlineStr">
        <is>
          <t>Bombe Beurk</t>
        </is>
      </c>
      <c r="D1953" s="34" t="n"/>
      <c r="E1953" s="34" t="n"/>
      <c r="F1953" s="34" t="n"/>
      <c r="G1953" s="34" t="n"/>
      <c r="H1953" s="30" t="inlineStr">
        <is>
          <t>Oui</t>
        </is>
      </c>
    </row>
    <row r="1954">
      <c r="A1954" s="31" t="inlineStr">
        <is>
          <t>Nom</t>
        </is>
      </c>
      <c r="B1954" s="32" t="inlineStr">
        <is>
          <t>Rocket Sbire</t>
        </is>
      </c>
      <c r="C1954" s="32" t="n"/>
      <c r="D1954" s="32" t="n"/>
      <c r="E1954" s="32" t="n"/>
      <c r="F1954" s="32" t="n"/>
      <c r="G1954" s="32" t="n"/>
      <c r="H1954" s="30" t="inlineStr">
        <is>
          <t>Oui</t>
        </is>
      </c>
    </row>
    <row r="1955">
      <c r="A1955" s="31" t="inlineStr">
        <is>
          <t>Pokémon</t>
        </is>
      </c>
      <c r="B1955" s="33" t="inlineStr">
        <is>
          <t>NOSFERALTO</t>
        </is>
      </c>
      <c r="C1955" s="33" t="inlineStr">
        <is>
          <t>SMOGOGO</t>
        </is>
      </c>
      <c r="D1955" s="33" t="n"/>
      <c r="E1955" s="33" t="n"/>
      <c r="F1955" s="33" t="n"/>
      <c r="G1955" s="33" t="n"/>
      <c r="H1955" s="30" t="inlineStr">
        <is>
          <t>Oui</t>
        </is>
      </c>
    </row>
    <row r="1956">
      <c r="A1956" s="31" t="inlineStr">
        <is>
          <t>Niveau</t>
        </is>
      </c>
      <c r="B1956" s="33" t="n">
        <v>36</v>
      </c>
      <c r="C1956" s="33" t="n">
        <v>37</v>
      </c>
      <c r="D1956" s="33" t="n"/>
      <c r="E1956" s="33" t="n"/>
      <c r="F1956" s="33" t="n"/>
      <c r="G1956" s="33" t="n"/>
      <c r="H1956" s="30" t="inlineStr">
        <is>
          <t>Oui</t>
        </is>
      </c>
    </row>
    <row r="1957">
      <c r="A1957" s="31" t="inlineStr">
        <is>
          <t>Objet</t>
        </is>
      </c>
      <c r="B1957" s="33" t="inlineStr">
        <is>
          <t>Aucun</t>
        </is>
      </c>
      <c r="C1957" s="33" t="inlineStr">
        <is>
          <t>Aucun</t>
        </is>
      </c>
      <c r="D1957" s="33" t="n"/>
      <c r="E1957" s="33" t="n"/>
      <c r="F1957" s="33" t="n"/>
      <c r="G1957" s="33" t="n"/>
      <c r="H1957" s="30" t="inlineStr">
        <is>
          <t>Oui</t>
        </is>
      </c>
    </row>
    <row r="1958">
      <c r="A1958" s="31" t="inlineStr">
        <is>
          <t>Talent</t>
        </is>
      </c>
      <c r="B1958" s="33" t="inlineStr">
        <is>
          <t>Attention</t>
        </is>
      </c>
      <c r="C1958" s="33" t="inlineStr">
        <is>
          <t>Lévitation</t>
        </is>
      </c>
      <c r="D1958" s="33" t="n"/>
      <c r="E1958" s="33" t="n"/>
      <c r="F1958" s="33" t="n"/>
      <c r="G1958" s="33" t="n"/>
      <c r="H1958" s="30" t="inlineStr">
        <is>
          <t>Oui</t>
        </is>
      </c>
    </row>
    <row r="1959">
      <c r="A1959" s="31" t="inlineStr">
        <is>
          <t>Capacités</t>
        </is>
      </c>
      <c r="B1959" s="34" t="inlineStr">
        <is>
          <t>Météores</t>
        </is>
      </c>
      <c r="C1959" s="34" t="inlineStr">
        <is>
          <t>Destruction</t>
        </is>
      </c>
      <c r="D1959" s="34" t="n"/>
      <c r="E1959" s="34" t="n"/>
      <c r="F1959" s="34" t="n"/>
      <c r="G1959" s="34" t="n"/>
      <c r="H1959" s="30" t="inlineStr">
        <is>
          <t>Oui</t>
        </is>
      </c>
    </row>
    <row r="1960">
      <c r="A1960" s="31" t="n"/>
      <c r="B1960" s="34" t="inlineStr">
        <is>
          <t>Crochet Venin</t>
        </is>
      </c>
      <c r="C1960" s="34" t="inlineStr">
        <is>
          <t>Buée Noire</t>
        </is>
      </c>
      <c r="D1960" s="34" t="n"/>
      <c r="E1960" s="34" t="n"/>
      <c r="F1960" s="34" t="n"/>
      <c r="G1960" s="34" t="n"/>
      <c r="H1960" s="30" t="inlineStr">
        <is>
          <t>Oui</t>
        </is>
      </c>
    </row>
    <row r="1961">
      <c r="A1961" s="31" t="n"/>
      <c r="B1961" s="34" t="inlineStr">
        <is>
          <t>Regard Noir</t>
        </is>
      </c>
      <c r="C1961" s="34" t="inlineStr">
        <is>
          <t>Gyroballe</t>
        </is>
      </c>
      <c r="D1961" s="34" t="n"/>
      <c r="E1961" s="34" t="n"/>
      <c r="F1961" s="34" t="n"/>
      <c r="G1961" s="34" t="n"/>
      <c r="H1961" s="30" t="inlineStr">
        <is>
          <t>Oui</t>
        </is>
      </c>
    </row>
    <row r="1962">
      <c r="A1962" s="31" t="n"/>
      <c r="B1962" s="34" t="inlineStr">
        <is>
          <t>Vampirisme</t>
        </is>
      </c>
      <c r="C1962" s="34" t="inlineStr">
        <is>
          <t>Bombe Beurk</t>
        </is>
      </c>
      <c r="D1962" s="34" t="n"/>
      <c r="E1962" s="34" t="n"/>
      <c r="F1962" s="34" t="n"/>
      <c r="G1962" s="34" t="n"/>
      <c r="H1962" s="30" t="inlineStr">
        <is>
          <t>Oui</t>
        </is>
      </c>
    </row>
    <row r="1963">
      <c r="A1963" s="31" t="inlineStr">
        <is>
          <t>Nom</t>
        </is>
      </c>
      <c r="B1963" s="32" t="inlineStr">
        <is>
          <t>Rocket Sbire</t>
        </is>
      </c>
      <c r="C1963" s="32" t="n"/>
      <c r="D1963" s="32" t="n"/>
      <c r="E1963" s="32" t="n"/>
      <c r="F1963" s="32" t="n"/>
      <c r="G1963" s="32" t="n"/>
      <c r="H1963" s="30" t="inlineStr">
        <is>
          <t>Oui</t>
        </is>
      </c>
    </row>
    <row r="1964">
      <c r="A1964" s="31" t="inlineStr">
        <is>
          <t>Pokémon</t>
        </is>
      </c>
      <c r="B1964" s="33" t="inlineStr">
        <is>
          <t>RAFFLESIA</t>
        </is>
      </c>
      <c r="C1964" s="33" t="inlineStr">
        <is>
          <t>SCARABRUTE</t>
        </is>
      </c>
      <c r="D1964" s="33" t="inlineStr">
        <is>
          <t>ARBOK</t>
        </is>
      </c>
      <c r="E1964" s="33" t="inlineStr">
        <is>
          <t>CORNEBRE</t>
        </is>
      </c>
      <c r="F1964" s="33" t="n"/>
      <c r="G1964" s="33" t="n"/>
      <c r="H1964" s="30" t="inlineStr">
        <is>
          <t>Oui</t>
        </is>
      </c>
    </row>
    <row r="1965">
      <c r="A1965" s="31" t="inlineStr">
        <is>
          <t>Niveau</t>
        </is>
      </c>
      <c r="B1965" s="33" t="n">
        <v>35</v>
      </c>
      <c r="C1965" s="33" t="n">
        <v>35</v>
      </c>
      <c r="D1965" s="33" t="n">
        <v>35</v>
      </c>
      <c r="E1965" s="33" t="n">
        <v>36</v>
      </c>
      <c r="F1965" s="33" t="n"/>
      <c r="G1965" s="33" t="n"/>
      <c r="H1965" s="30" t="inlineStr">
        <is>
          <t>Oui</t>
        </is>
      </c>
    </row>
    <row r="1966">
      <c r="A1966" s="31" t="inlineStr">
        <is>
          <t>Objet</t>
        </is>
      </c>
      <c r="B1966" s="33" t="inlineStr">
        <is>
          <t>Aucun</t>
        </is>
      </c>
      <c r="C1966" s="33" t="inlineStr">
        <is>
          <t>Aucun</t>
        </is>
      </c>
      <c r="D1966" s="33" t="inlineStr">
        <is>
          <t>Aucun</t>
        </is>
      </c>
      <c r="E1966" s="33" t="inlineStr">
        <is>
          <t>Aucun</t>
        </is>
      </c>
      <c r="F1966" s="33" t="n"/>
      <c r="G1966" s="33" t="n"/>
      <c r="H1966" s="30" t="inlineStr">
        <is>
          <t>Oui</t>
        </is>
      </c>
    </row>
    <row r="1967">
      <c r="A1967" s="31" t="inlineStr">
        <is>
          <t>Talent</t>
        </is>
      </c>
      <c r="B1967" s="33" t="inlineStr">
        <is>
          <t>Chlorophylle</t>
        </is>
      </c>
      <c r="C1967" s="33" t="inlineStr">
        <is>
          <t>Hyper Cutter</t>
        </is>
      </c>
      <c r="D1967" s="33" t="inlineStr">
        <is>
          <t>Intimidation</t>
        </is>
      </c>
      <c r="E1967" s="33" t="inlineStr">
        <is>
          <t>Insomnia</t>
        </is>
      </c>
      <c r="F1967" s="33" t="n"/>
      <c r="G1967" s="33" t="n"/>
      <c r="H1967" s="30" t="inlineStr">
        <is>
          <t>Oui</t>
        </is>
      </c>
    </row>
    <row r="1968">
      <c r="A1968" s="31" t="inlineStr">
        <is>
          <t>Capacités</t>
        </is>
      </c>
      <c r="B1968" s="34" t="inlineStr">
        <is>
          <t>Para-Spore</t>
        </is>
      </c>
      <c r="C1968" s="34" t="inlineStr">
        <is>
          <t>Coup Double</t>
        </is>
      </c>
      <c r="D1968" s="34" t="inlineStr">
        <is>
          <t>Avale</t>
        </is>
      </c>
      <c r="E1968" s="34" t="inlineStr">
        <is>
          <t>Ombre Nocturne</t>
        </is>
      </c>
      <c r="F1968" s="34" t="n"/>
      <c r="G1968" s="34" t="n"/>
      <c r="H1968" s="30" t="inlineStr">
        <is>
          <t>Oui</t>
        </is>
      </c>
    </row>
    <row r="1969">
      <c r="A1969" s="31" t="n"/>
      <c r="B1969" s="34" t="inlineStr">
        <is>
          <t>Poudre Dodo</t>
        </is>
      </c>
      <c r="C1969" s="34" t="inlineStr">
        <is>
          <t>Casse-Brique</t>
        </is>
      </c>
      <c r="D1969" s="34" t="inlineStr">
        <is>
          <t>Relâche</t>
        </is>
      </c>
      <c r="E1969" s="34" t="inlineStr">
        <is>
          <t>Assurance</t>
        </is>
      </c>
      <c r="F1969" s="34" t="n"/>
      <c r="G1969" s="34" t="n"/>
      <c r="H1969" s="30" t="inlineStr">
        <is>
          <t>Oui</t>
        </is>
      </c>
    </row>
    <row r="1970">
      <c r="A1970" s="31" t="n"/>
      <c r="B1970" s="34" t="inlineStr">
        <is>
          <t>Méga-Sangsue</t>
        </is>
      </c>
      <c r="C1970" s="34" t="inlineStr">
        <is>
          <t>Plaie Croix</t>
        </is>
      </c>
      <c r="D1970" s="34" t="inlineStr">
        <is>
          <t>Crochet Venin</t>
        </is>
      </c>
      <c r="E1970" s="34" t="inlineStr">
        <is>
          <t>Provoc</t>
        </is>
      </c>
      <c r="F1970" s="34" t="n"/>
      <c r="G1970" s="34" t="n"/>
      <c r="H1970" s="30" t="inlineStr">
        <is>
          <t>Oui</t>
        </is>
      </c>
    </row>
    <row r="1971">
      <c r="A1971" s="31" t="n"/>
      <c r="B1971" s="34" t="inlineStr">
        <is>
          <t>Air Veinard</t>
        </is>
      </c>
      <c r="C1971" s="34" t="inlineStr">
        <is>
          <t>Sacrifice</t>
        </is>
      </c>
      <c r="D1971" s="34" t="inlineStr">
        <is>
          <t>Bombe Acide</t>
        </is>
      </c>
      <c r="E1971" s="34" t="inlineStr">
        <is>
          <t>Feinte</t>
        </is>
      </c>
      <c r="F1971" s="34" t="n"/>
      <c r="G1971" s="34" t="n"/>
      <c r="H1971" s="30" t="inlineStr">
        <is>
          <t>Oui</t>
        </is>
      </c>
    </row>
    <row r="1972" ht="18" customHeight="1">
      <c r="A1972" s="26" t="inlineStr">
        <is>
          <t>Route 44</t>
        </is>
      </c>
      <c r="B1972" s="26" t="n"/>
      <c r="C1972" s="26" t="n"/>
      <c r="D1972" s="26" t="n"/>
      <c r="E1972" s="26" t="n"/>
      <c r="F1972" s="26" t="n"/>
      <c r="G1972" s="26" t="n"/>
      <c r="H1972" s="30" t="inlineStr">
        <is>
          <t>Oui</t>
        </is>
      </c>
    </row>
    <row r="1973">
      <c r="A1973" s="31" t="inlineStr">
        <is>
          <t>Nom</t>
        </is>
      </c>
      <c r="B1973" s="32" t="inlineStr">
        <is>
          <t>Pêcheur Renan</t>
        </is>
      </c>
      <c r="C1973" s="32" t="n"/>
      <c r="D1973" s="32" t="n"/>
      <c r="E1973" s="32" t="n"/>
      <c r="F1973" s="32" t="n"/>
      <c r="G1973" s="32" t="n"/>
      <c r="H1973" s="30" t="inlineStr">
        <is>
          <t>Oui</t>
        </is>
      </c>
    </row>
    <row r="1974">
      <c r="A1974" s="31" t="inlineStr">
        <is>
          <t>Pokémon</t>
        </is>
      </c>
      <c r="B1974" s="33" t="inlineStr">
        <is>
          <t>QWILFISH</t>
        </is>
      </c>
      <c r="C1974" s="33" t="inlineStr">
        <is>
          <t>OCTILLERY</t>
        </is>
      </c>
      <c r="D1974" s="33" t="inlineStr">
        <is>
          <t>POISSOROY</t>
        </is>
      </c>
      <c r="E1974" s="33" t="n"/>
      <c r="F1974" s="33" t="n"/>
      <c r="G1974" s="33" t="n"/>
      <c r="H1974" s="30" t="inlineStr">
        <is>
          <t>Oui</t>
        </is>
      </c>
    </row>
    <row r="1975">
      <c r="A1975" s="31" t="inlineStr">
        <is>
          <t>Niveau</t>
        </is>
      </c>
      <c r="B1975" s="33" t="n">
        <v>38</v>
      </c>
      <c r="C1975" s="33" t="n">
        <v>36</v>
      </c>
      <c r="D1975" s="33" t="n">
        <v>36</v>
      </c>
      <c r="E1975" s="33" t="n"/>
      <c r="F1975" s="33" t="n"/>
      <c r="G1975" s="33" t="n"/>
      <c r="H1975" s="30" t="inlineStr">
        <is>
          <t>Oui</t>
        </is>
      </c>
    </row>
    <row r="1976">
      <c r="A1976" s="31" t="inlineStr">
        <is>
          <t>Objet</t>
        </is>
      </c>
      <c r="B1976" s="33" t="inlineStr">
        <is>
          <t>Aucun</t>
        </is>
      </c>
      <c r="C1976" s="33" t="inlineStr">
        <is>
          <t>Aucun</t>
        </is>
      </c>
      <c r="D1976" s="33" t="inlineStr">
        <is>
          <t>Aucun</t>
        </is>
      </c>
      <c r="E1976" s="33" t="n"/>
      <c r="F1976" s="33" t="n"/>
      <c r="G1976" s="33" t="n"/>
      <c r="H1976" s="30" t="inlineStr">
        <is>
          <t>Oui</t>
        </is>
      </c>
    </row>
    <row r="1977">
      <c r="A1977" s="31" t="inlineStr">
        <is>
          <t>Talent</t>
        </is>
      </c>
      <c r="B1977" s="33" t="inlineStr">
        <is>
          <t>Point Poison</t>
        </is>
      </c>
      <c r="C1977" s="33" t="inlineStr">
        <is>
          <t>Ventouse</t>
        </is>
      </c>
      <c r="D1977" s="33" t="inlineStr">
        <is>
          <t>Glissade</t>
        </is>
      </c>
      <c r="E1977" s="33" t="n"/>
      <c r="F1977" s="33" t="n"/>
      <c r="G1977" s="33" t="n"/>
      <c r="H1977" s="30" t="inlineStr">
        <is>
          <t>Oui</t>
        </is>
      </c>
    </row>
    <row r="1978">
      <c r="A1978" s="31" t="inlineStr">
        <is>
          <t>Capacités</t>
        </is>
      </c>
      <c r="B1978" s="34" t="inlineStr">
        <is>
          <t>Multitoxik</t>
        </is>
      </c>
      <c r="C1978" s="34" t="inlineStr">
        <is>
          <t>Bulles d'O</t>
        </is>
      </c>
      <c r="D1978" s="34" t="inlineStr">
        <is>
          <t>Anneau Hydro</t>
        </is>
      </c>
      <c r="E1978" s="34" t="n"/>
      <c r="F1978" s="34" t="n"/>
      <c r="G1978" s="34" t="n"/>
      <c r="H1978" s="30" t="inlineStr">
        <is>
          <t>Oui</t>
        </is>
      </c>
    </row>
    <row r="1979">
      <c r="A1979" s="31" t="n"/>
      <c r="B1979" s="34" t="inlineStr">
        <is>
          <t>Vendetta</t>
        </is>
      </c>
      <c r="C1979" s="34" t="inlineStr">
        <is>
          <t>Puissance</t>
        </is>
      </c>
      <c r="D1979" s="34" t="inlineStr">
        <is>
          <t>Furie</t>
        </is>
      </c>
      <c r="E1979" s="34" t="n"/>
      <c r="F1979" s="34" t="n"/>
      <c r="G1979" s="34" t="n"/>
      <c r="H1979" s="30" t="inlineStr">
        <is>
          <t>Oui</t>
        </is>
      </c>
    </row>
    <row r="1980">
      <c r="A1980" s="31" t="n"/>
      <c r="B1980" s="34" t="inlineStr">
        <is>
          <t>Saumure</t>
        </is>
      </c>
      <c r="C1980" s="34" t="inlineStr">
        <is>
          <t>Essorage</t>
        </is>
      </c>
      <c r="D1980" s="34" t="inlineStr">
        <is>
          <t>Hâte</t>
        </is>
      </c>
      <c r="E1980" s="34" t="n"/>
      <c r="F1980" s="34" t="n"/>
      <c r="G1980" s="34" t="n"/>
      <c r="H1980" s="30" t="inlineStr">
        <is>
          <t>Oui</t>
        </is>
      </c>
    </row>
    <row r="1981">
      <c r="A1981" s="31" t="n"/>
      <c r="B1981" s="34" t="inlineStr">
        <is>
          <t>Dard-Nuée</t>
        </is>
      </c>
      <c r="C1981" s="34" t="inlineStr">
        <is>
          <t>Rayon Signal</t>
        </is>
      </c>
      <c r="D1981" s="34" t="inlineStr">
        <is>
          <t>Cascade</t>
        </is>
      </c>
      <c r="E1981" s="34" t="n"/>
      <c r="F1981" s="34" t="n"/>
      <c r="G1981" s="34" t="n"/>
      <c r="H1981" s="30" t="inlineStr">
        <is>
          <t>Oui</t>
        </is>
      </c>
    </row>
    <row r="1982">
      <c r="A1982" s="31" t="inlineStr">
        <is>
          <t>Nom</t>
        </is>
      </c>
      <c r="B1982" s="32" t="inlineStr">
        <is>
          <t>Pêcheur Marius</t>
        </is>
      </c>
      <c r="C1982" s="32" t="n"/>
      <c r="D1982" s="32" t="n"/>
      <c r="E1982" s="32" t="n"/>
      <c r="F1982" s="32" t="n"/>
      <c r="G1982" s="32" t="n"/>
      <c r="H1982" s="30" t="inlineStr">
        <is>
          <t>Oui</t>
        </is>
      </c>
    </row>
    <row r="1983">
      <c r="A1983" s="31" t="inlineStr">
        <is>
          <t>Pokémon</t>
        </is>
      </c>
      <c r="B1983" s="33" t="inlineStr">
        <is>
          <t>OCTILLERY</t>
        </is>
      </c>
      <c r="C1983" s="33" t="inlineStr">
        <is>
          <t>LEVIATOR</t>
        </is>
      </c>
      <c r="D1983" s="33" t="inlineStr">
        <is>
          <t>POISSOROY</t>
        </is>
      </c>
      <c r="E1983" s="33" t="n"/>
      <c r="F1983" s="33" t="n"/>
      <c r="G1983" s="33" t="n"/>
      <c r="H1983" s="30" t="inlineStr">
        <is>
          <t>Oui</t>
        </is>
      </c>
    </row>
    <row r="1984">
      <c r="A1984" s="31" t="inlineStr">
        <is>
          <t>Niveau</t>
        </is>
      </c>
      <c r="B1984" s="33" t="n">
        <v>38</v>
      </c>
      <c r="C1984" s="33" t="n">
        <v>36</v>
      </c>
      <c r="D1984" s="33" t="n">
        <v>36</v>
      </c>
      <c r="E1984" s="33" t="n"/>
      <c r="F1984" s="33" t="n"/>
      <c r="G1984" s="33" t="n"/>
      <c r="H1984" s="30" t="inlineStr">
        <is>
          <t>Oui</t>
        </is>
      </c>
    </row>
    <row r="1985">
      <c r="A1985" s="31" t="inlineStr">
        <is>
          <t>Objet</t>
        </is>
      </c>
      <c r="B1985" s="33" t="inlineStr">
        <is>
          <t>Aucun</t>
        </is>
      </c>
      <c r="C1985" s="33" t="inlineStr">
        <is>
          <t>Aucun</t>
        </is>
      </c>
      <c r="D1985" s="33" t="inlineStr">
        <is>
          <t>Aucun</t>
        </is>
      </c>
      <c r="E1985" s="33" t="n"/>
      <c r="F1985" s="33" t="n"/>
      <c r="G1985" s="33" t="n"/>
      <c r="H1985" s="30" t="inlineStr">
        <is>
          <t>Oui</t>
        </is>
      </c>
    </row>
    <row r="1986">
      <c r="A1986" s="31" t="inlineStr">
        <is>
          <t>Talent</t>
        </is>
      </c>
      <c r="B1986" s="33" t="inlineStr">
        <is>
          <t>Ventouse</t>
        </is>
      </c>
      <c r="C1986" s="33" t="inlineStr">
        <is>
          <t>Intimidation</t>
        </is>
      </c>
      <c r="D1986" s="33" t="inlineStr">
        <is>
          <t>Glissade</t>
        </is>
      </c>
      <c r="E1986" s="33" t="n"/>
      <c r="F1986" s="33" t="n"/>
      <c r="G1986" s="33" t="n"/>
      <c r="H1986" s="30" t="inlineStr">
        <is>
          <t>Oui</t>
        </is>
      </c>
    </row>
    <row r="1987">
      <c r="A1987" s="31" t="inlineStr">
        <is>
          <t>Capacités</t>
        </is>
      </c>
      <c r="B1987" s="34" t="inlineStr">
        <is>
          <t>Bulles d'O</t>
        </is>
      </c>
      <c r="C1987" s="34" t="inlineStr">
        <is>
          <t>Crocs Givre</t>
        </is>
      </c>
      <c r="D1987" s="34" t="inlineStr">
        <is>
          <t>Anneau Hydro</t>
        </is>
      </c>
      <c r="E1987" s="34" t="n"/>
      <c r="F1987" s="34" t="n"/>
      <c r="G1987" s="34" t="n"/>
      <c r="H1987" s="30" t="inlineStr">
        <is>
          <t>Oui</t>
        </is>
      </c>
    </row>
    <row r="1988">
      <c r="A1988" s="31" t="n"/>
      <c r="B1988" s="34" t="inlineStr">
        <is>
          <t>Puissance</t>
        </is>
      </c>
      <c r="C1988" s="34" t="inlineStr">
        <is>
          <t>Hydro-Queue</t>
        </is>
      </c>
      <c r="D1988" s="34" t="inlineStr">
        <is>
          <t>Furie</t>
        </is>
      </c>
      <c r="E1988" s="34" t="n"/>
      <c r="F1988" s="34" t="n"/>
      <c r="G1988" s="34" t="n"/>
      <c r="H1988" s="30" t="inlineStr">
        <is>
          <t>Oui</t>
        </is>
      </c>
    </row>
    <row r="1989">
      <c r="A1989" s="31" t="n"/>
      <c r="B1989" s="34" t="inlineStr">
        <is>
          <t>Essorage</t>
        </is>
      </c>
      <c r="C1989" s="34" t="inlineStr">
        <is>
          <t>Grimace</t>
        </is>
      </c>
      <c r="D1989" s="34" t="inlineStr">
        <is>
          <t>Hâte</t>
        </is>
      </c>
      <c r="E1989" s="34" t="n"/>
      <c r="F1989" s="34" t="n"/>
      <c r="G1989" s="34" t="n"/>
      <c r="H1989" s="30" t="inlineStr">
        <is>
          <t>Oui</t>
        </is>
      </c>
    </row>
    <row r="1990">
      <c r="A1990" s="31" t="n"/>
      <c r="B1990" s="34" t="inlineStr">
        <is>
          <t>Rayon Signal</t>
        </is>
      </c>
      <c r="C1990" s="34" t="inlineStr">
        <is>
          <t>Draco-Rage</t>
        </is>
      </c>
      <c r="D1990" s="34" t="inlineStr">
        <is>
          <t>Cascade</t>
        </is>
      </c>
      <c r="E1990" s="34" t="n"/>
      <c r="F1990" s="34" t="n"/>
      <c r="G1990" s="34" t="n"/>
      <c r="H1990" s="30" t="inlineStr">
        <is>
          <t>Oui</t>
        </is>
      </c>
    </row>
    <row r="1991">
      <c r="A1991" s="31" t="inlineStr">
        <is>
          <t>Nom</t>
        </is>
      </c>
      <c r="B1991" s="32" t="inlineStr">
        <is>
          <t>Ornithologue Alban</t>
        </is>
      </c>
      <c r="C1991" s="32" t="n"/>
      <c r="D1991" s="32" t="n"/>
      <c r="E1991" s="32" t="n"/>
      <c r="F1991" s="32" t="n"/>
      <c r="G1991" s="32" t="n"/>
      <c r="H1991" s="30" t="inlineStr">
        <is>
          <t>Oui</t>
        </is>
      </c>
    </row>
    <row r="1992">
      <c r="A1992" s="31" t="inlineStr">
        <is>
          <t>Pokémon</t>
        </is>
      </c>
      <c r="B1992" s="33" t="inlineStr">
        <is>
          <t>ROUCARNAGE</t>
        </is>
      </c>
      <c r="C1992" s="33" t="inlineStr">
        <is>
          <t>CORNEBRE</t>
        </is>
      </c>
      <c r="D1992" s="33" t="inlineStr">
        <is>
          <t>XATU</t>
        </is>
      </c>
      <c r="E1992" s="33" t="inlineStr">
        <is>
          <t>AIRMURE</t>
        </is>
      </c>
      <c r="F1992" s="33" t="n"/>
      <c r="G1992" s="33" t="n"/>
      <c r="H1992" s="30" t="inlineStr">
        <is>
          <t>Oui</t>
        </is>
      </c>
    </row>
    <row r="1993">
      <c r="A1993" s="31" t="inlineStr">
        <is>
          <t>Niveau</t>
        </is>
      </c>
      <c r="B1993" s="33" t="n">
        <v>36</v>
      </c>
      <c r="C1993" s="33" t="n">
        <v>36</v>
      </c>
      <c r="D1993" s="33" t="n">
        <v>36</v>
      </c>
      <c r="E1993" s="33" t="n">
        <v>37</v>
      </c>
      <c r="F1993" s="33" t="n"/>
      <c r="G1993" s="33" t="n"/>
      <c r="H1993" s="30" t="inlineStr">
        <is>
          <t>Oui</t>
        </is>
      </c>
    </row>
    <row r="1994">
      <c r="A1994" s="31" t="inlineStr">
        <is>
          <t>Objet</t>
        </is>
      </c>
      <c r="B1994" s="33" t="inlineStr">
        <is>
          <t>Aucun</t>
        </is>
      </c>
      <c r="C1994" s="33" t="inlineStr">
        <is>
          <t>Aucun</t>
        </is>
      </c>
      <c r="D1994" s="33" t="inlineStr">
        <is>
          <t>Aucun</t>
        </is>
      </c>
      <c r="E1994" s="33" t="inlineStr">
        <is>
          <t>Aucun</t>
        </is>
      </c>
      <c r="F1994" s="33" t="n"/>
      <c r="G1994" s="33" t="n"/>
      <c r="H1994" s="30" t="inlineStr">
        <is>
          <t>Oui</t>
        </is>
      </c>
    </row>
    <row r="1995">
      <c r="A1995" s="31" t="inlineStr">
        <is>
          <t>Talent</t>
        </is>
      </c>
      <c r="B1995" s="33" t="inlineStr">
        <is>
          <t>Regard Vif</t>
        </is>
      </c>
      <c r="C1995" s="33" t="inlineStr">
        <is>
          <t>Insomnia</t>
        </is>
      </c>
      <c r="D1995" s="33" t="inlineStr">
        <is>
          <t>Synchro</t>
        </is>
      </c>
      <c r="E1995" s="33" t="inlineStr">
        <is>
          <t>Regard Vif</t>
        </is>
      </c>
      <c r="F1995" s="33" t="n"/>
      <c r="G1995" s="33" t="n"/>
      <c r="H1995" s="30" t="inlineStr">
        <is>
          <t>Oui</t>
        </is>
      </c>
    </row>
    <row r="1996">
      <c r="A1996" s="31" t="inlineStr">
        <is>
          <t>Capacités</t>
        </is>
      </c>
      <c r="B1996" s="34" t="inlineStr">
        <is>
          <t>Ouragan</t>
        </is>
      </c>
      <c r="C1996" s="34" t="inlineStr">
        <is>
          <t>Ombre Nocturne</t>
        </is>
      </c>
      <c r="D1996" s="34" t="inlineStr">
        <is>
          <t>Onde Folie</t>
        </is>
      </c>
      <c r="E1996" s="34" t="inlineStr">
        <is>
          <t>Météores</t>
        </is>
      </c>
      <c r="F1996" s="34" t="n"/>
      <c r="G1996" s="34" t="n"/>
      <c r="H1996" s="30" t="inlineStr">
        <is>
          <t>Oui</t>
        </is>
      </c>
    </row>
    <row r="1997">
      <c r="A1997" s="31" t="n"/>
      <c r="B1997" s="34" t="inlineStr">
        <is>
          <t>Cru-Ailes</t>
        </is>
      </c>
      <c r="C1997" s="34" t="inlineStr">
        <is>
          <t>Assurance</t>
        </is>
      </c>
      <c r="D1997" s="34" t="inlineStr">
        <is>
          <t>Vœu</t>
        </is>
      </c>
      <c r="E1997" s="34" t="inlineStr">
        <is>
          <t>Picots</t>
        </is>
      </c>
      <c r="F1997" s="34" t="n"/>
      <c r="G1997" s="34" t="n"/>
      <c r="H1997" s="30" t="inlineStr">
        <is>
          <t>Oui</t>
        </is>
      </c>
    </row>
    <row r="1998">
      <c r="A1998" s="31" t="n"/>
      <c r="B1998" s="34" t="inlineStr">
        <is>
          <t>Danse Plumes</t>
        </is>
      </c>
      <c r="C1998" s="34" t="inlineStr">
        <is>
          <t>Provoc</t>
        </is>
      </c>
      <c r="D1998" s="34" t="inlineStr">
        <is>
          <t>Psyko</t>
        </is>
      </c>
      <c r="E1998" s="34" t="inlineStr">
        <is>
          <t>Hâte</t>
        </is>
      </c>
      <c r="F1998" s="34" t="n"/>
      <c r="G1998" s="34" t="n"/>
      <c r="H1998" s="30" t="inlineStr">
        <is>
          <t>Oui</t>
        </is>
      </c>
    </row>
    <row r="1999">
      <c r="A1999" s="31" t="n"/>
      <c r="B1999" s="34" t="inlineStr">
        <is>
          <t>Hâte</t>
        </is>
      </c>
      <c r="C1999" s="34" t="inlineStr">
        <is>
          <t>Feinte</t>
        </is>
      </c>
      <c r="D1999" s="34" t="inlineStr">
        <is>
          <t>Hypnose</t>
        </is>
      </c>
      <c r="E1999" s="34" t="inlineStr">
        <is>
          <t>Ailes d'Acier</t>
        </is>
      </c>
      <c r="F1999" s="34" t="n"/>
      <c r="G1999" s="34" t="n"/>
      <c r="H1999" s="30" t="inlineStr">
        <is>
          <t>Oui</t>
        </is>
      </c>
    </row>
    <row r="2000">
      <c r="A2000" s="31" t="inlineStr">
        <is>
          <t>Nom</t>
        </is>
      </c>
      <c r="B2000" s="32" t="inlineStr">
        <is>
          <t>Kinésiste Gabriel</t>
        </is>
      </c>
      <c r="C2000" s="32" t="n"/>
      <c r="D2000" s="32" t="n"/>
      <c r="E2000" s="32" t="n"/>
      <c r="F2000" s="32" t="n"/>
      <c r="G2000" s="32" t="n"/>
      <c r="H2000" s="30" t="inlineStr">
        <is>
          <t>Oui</t>
        </is>
      </c>
    </row>
    <row r="2001">
      <c r="A2001" s="31" t="inlineStr">
        <is>
          <t>Pokémon</t>
        </is>
      </c>
      <c r="B2001" s="33" t="inlineStr">
        <is>
          <t>XATU</t>
        </is>
      </c>
      <c r="C2001" s="33" t="inlineStr">
        <is>
          <t>KADABRA</t>
        </is>
      </c>
      <c r="D2001" s="33" t="inlineStr">
        <is>
          <t>GIRAFARIG</t>
        </is>
      </c>
      <c r="E2001" s="33" t="n"/>
      <c r="F2001" s="33" t="n"/>
      <c r="G2001" s="33" t="n"/>
      <c r="H2001" s="30" t="inlineStr">
        <is>
          <t>Oui</t>
        </is>
      </c>
    </row>
    <row r="2002">
      <c r="A2002" s="31" t="inlineStr">
        <is>
          <t>Niveau</t>
        </is>
      </c>
      <c r="B2002" s="33" t="n">
        <v>36</v>
      </c>
      <c r="C2002" s="33" t="n">
        <v>36</v>
      </c>
      <c r="D2002" s="33" t="n">
        <v>36</v>
      </c>
      <c r="E2002" s="33" t="n"/>
      <c r="F2002" s="33" t="n"/>
      <c r="G2002" s="33" t="n"/>
      <c r="H2002" s="30" t="inlineStr">
        <is>
          <t>Oui</t>
        </is>
      </c>
    </row>
    <row r="2003">
      <c r="A2003" s="31" t="inlineStr">
        <is>
          <t>Objet</t>
        </is>
      </c>
      <c r="B2003" s="33" t="inlineStr">
        <is>
          <t>Aucun</t>
        </is>
      </c>
      <c r="C2003" s="33" t="inlineStr">
        <is>
          <t>Aucun</t>
        </is>
      </c>
      <c r="D2003" s="33" t="inlineStr">
        <is>
          <t>Aucun</t>
        </is>
      </c>
      <c r="E2003" s="33" t="n"/>
      <c r="F2003" s="33" t="n"/>
      <c r="G2003" s="33" t="n"/>
      <c r="H2003" s="30" t="inlineStr">
        <is>
          <t>Oui</t>
        </is>
      </c>
    </row>
    <row r="2004">
      <c r="A2004" s="31" t="inlineStr">
        <is>
          <t>Talent</t>
        </is>
      </c>
      <c r="B2004" s="33" t="inlineStr">
        <is>
          <t>Synchro</t>
        </is>
      </c>
      <c r="C2004" s="33" t="inlineStr">
        <is>
          <t>Synchro</t>
        </is>
      </c>
      <c r="D2004" s="33" t="inlineStr">
        <is>
          <t>Attention</t>
        </is>
      </c>
      <c r="E2004" s="33" t="n"/>
      <c r="F2004" s="33" t="n"/>
      <c r="G2004" s="33" t="n"/>
      <c r="H2004" s="30" t="inlineStr">
        <is>
          <t>Oui</t>
        </is>
      </c>
    </row>
    <row r="2005">
      <c r="A2005" s="31" t="inlineStr">
        <is>
          <t>Capacités</t>
        </is>
      </c>
      <c r="B2005" s="34" t="inlineStr">
        <is>
          <t>Onde Folie</t>
        </is>
      </c>
      <c r="C2005" s="34" t="inlineStr">
        <is>
          <t>Coupe Psycho</t>
        </is>
      </c>
      <c r="D2005" s="34" t="inlineStr">
        <is>
          <t>Hâte</t>
        </is>
      </c>
      <c r="E2005" s="34" t="n"/>
      <c r="F2005" s="34" t="n"/>
      <c r="G2005" s="34" t="n"/>
      <c r="H2005" s="30" t="inlineStr">
        <is>
          <t>Oui</t>
        </is>
      </c>
    </row>
    <row r="2006">
      <c r="A2006" s="31" t="n"/>
      <c r="B2006" s="34" t="inlineStr">
        <is>
          <t>Vœu</t>
        </is>
      </c>
      <c r="C2006" s="34" t="inlineStr">
        <is>
          <t>Soin</t>
        </is>
      </c>
      <c r="D2006" s="34" t="inlineStr">
        <is>
          <t>Coup Double</t>
        </is>
      </c>
      <c r="E2006" s="34" t="n"/>
      <c r="F2006" s="34" t="n"/>
      <c r="G2006" s="34" t="n"/>
      <c r="H2006" s="30" t="inlineStr">
        <is>
          <t>Oui</t>
        </is>
      </c>
    </row>
    <row r="2007">
      <c r="A2007" s="31" t="n"/>
      <c r="B2007" s="34" t="inlineStr">
        <is>
          <t>Psyko</t>
        </is>
      </c>
      <c r="C2007" s="34" t="inlineStr">
        <is>
          <t>Lévikinésie</t>
        </is>
      </c>
      <c r="D2007" s="34" t="inlineStr">
        <is>
          <t>Psykoud'Boul</t>
        </is>
      </c>
      <c r="E2007" s="34" t="n"/>
      <c r="F2007" s="34" t="n"/>
      <c r="G2007" s="34" t="n"/>
      <c r="H2007" s="30" t="inlineStr">
        <is>
          <t>Oui</t>
        </is>
      </c>
    </row>
    <row r="2008">
      <c r="A2008" s="31" t="n"/>
      <c r="B2008" s="34" t="inlineStr">
        <is>
          <t>Hypnose</t>
        </is>
      </c>
      <c r="C2008" s="34" t="inlineStr">
        <is>
          <t>Interversion</t>
        </is>
      </c>
      <c r="D2008" s="34" t="inlineStr">
        <is>
          <t>Double Laser</t>
        </is>
      </c>
      <c r="E2008" s="34" t="n"/>
      <c r="F2008" s="34" t="n"/>
      <c r="G2008" s="34" t="n"/>
      <c r="H2008" s="30" t="inlineStr">
        <is>
          <t>Oui</t>
        </is>
      </c>
    </row>
    <row r="2009">
      <c r="A2009" s="31" t="inlineStr">
        <is>
          <t>Nom</t>
        </is>
      </c>
      <c r="B2009" s="32" t="inlineStr">
        <is>
          <t>Pokémaniac Franck</t>
        </is>
      </c>
      <c r="C2009" s="32" t="n"/>
      <c r="D2009" s="32" t="n"/>
      <c r="E2009" s="32" t="n"/>
      <c r="F2009" s="32" t="n"/>
      <c r="G2009" s="32" t="n"/>
      <c r="H2009" s="30" t="inlineStr">
        <is>
          <t>Oui</t>
        </is>
      </c>
    </row>
    <row r="2010">
      <c r="A2010" s="31" t="inlineStr">
        <is>
          <t>Pokémon</t>
        </is>
      </c>
      <c r="B2010" s="33" t="inlineStr">
        <is>
          <t>RHINOFEROS</t>
        </is>
      </c>
      <c r="C2010" s="33" t="inlineStr">
        <is>
          <t>YMPHECT</t>
        </is>
      </c>
      <c r="D2010" s="33" t="inlineStr">
        <is>
          <t>SCARHINO</t>
        </is>
      </c>
      <c r="E2010" s="33" t="n"/>
      <c r="F2010" s="33" t="n"/>
      <c r="G2010" s="33" t="n"/>
      <c r="H2010" s="30" t="inlineStr">
        <is>
          <t>Oui</t>
        </is>
      </c>
    </row>
    <row r="2011">
      <c r="A2011" s="31" t="inlineStr">
        <is>
          <t>Niveau</t>
        </is>
      </c>
      <c r="B2011" s="33" t="n">
        <v>40</v>
      </c>
      <c r="C2011" s="33" t="n">
        <v>37</v>
      </c>
      <c r="D2011" s="33" t="n">
        <v>38</v>
      </c>
      <c r="E2011" s="33" t="n"/>
      <c r="F2011" s="33" t="n"/>
      <c r="G2011" s="33" t="n"/>
      <c r="H2011" s="30" t="inlineStr">
        <is>
          <t>Oui</t>
        </is>
      </c>
    </row>
    <row r="2012">
      <c r="A2012" s="31" t="inlineStr">
        <is>
          <t>Objet</t>
        </is>
      </c>
      <c r="B2012" s="33" t="inlineStr">
        <is>
          <t>Aucun</t>
        </is>
      </c>
      <c r="C2012" s="33" t="inlineStr">
        <is>
          <t>Aucun</t>
        </is>
      </c>
      <c r="D2012" s="33" t="inlineStr">
        <is>
          <t>Aucun</t>
        </is>
      </c>
      <c r="E2012" s="33" t="n"/>
      <c r="F2012" s="33" t="n"/>
      <c r="G2012" s="33" t="n"/>
      <c r="H2012" s="30" t="inlineStr">
        <is>
          <t>Oui</t>
        </is>
      </c>
    </row>
    <row r="2013">
      <c r="A2013" s="31" t="inlineStr">
        <is>
          <t>Talent</t>
        </is>
      </c>
      <c r="B2013" s="33" t="inlineStr">
        <is>
          <t>Paratonnerre</t>
        </is>
      </c>
      <c r="C2013" s="33" t="inlineStr">
        <is>
          <t>Mue</t>
        </is>
      </c>
      <c r="D2013" s="33" t="inlineStr">
        <is>
          <t>Essaim</t>
        </is>
      </c>
      <c r="E2013" s="33" t="n"/>
      <c r="F2013" s="33" t="n"/>
      <c r="G2013" s="33" t="n"/>
      <c r="H2013" s="30" t="inlineStr">
        <is>
          <t>Oui</t>
        </is>
      </c>
    </row>
    <row r="2014">
      <c r="A2014" s="31" t="inlineStr">
        <is>
          <t>Capacités</t>
        </is>
      </c>
      <c r="B2014" s="34" t="inlineStr">
        <is>
          <t>Attrition</t>
        </is>
      </c>
      <c r="C2014" s="34" t="inlineStr">
        <is>
          <t>Éboulement</t>
        </is>
      </c>
      <c r="D2014" s="34" t="inlineStr">
        <is>
          <t>Casse-Brique</t>
        </is>
      </c>
      <c r="E2014" s="34" t="n"/>
      <c r="F2014" s="34" t="n"/>
      <c r="G2014" s="34" t="n"/>
      <c r="H2014" s="30" t="inlineStr">
        <is>
          <t>Oui</t>
        </is>
      </c>
    </row>
    <row r="2015">
      <c r="A2015" s="31" t="n"/>
      <c r="B2015" s="34" t="inlineStr">
        <is>
          <t>Boule Roc</t>
        </is>
      </c>
      <c r="C2015" s="34" t="inlineStr">
        <is>
          <t>Grimace</t>
        </is>
      </c>
      <c r="D2015" s="34" t="inlineStr">
        <is>
          <t>Dard-Nuée</t>
        </is>
      </c>
      <c r="E2015" s="34" t="n"/>
      <c r="F2015" s="34" t="n"/>
      <c r="G2015" s="34" t="n"/>
      <c r="H2015" s="30" t="inlineStr">
        <is>
          <t>Oui</t>
        </is>
      </c>
    </row>
    <row r="2016">
      <c r="A2016" s="31" t="n"/>
      <c r="B2016" s="34" t="inlineStr">
        <is>
          <t>Tunnelier</t>
        </is>
      </c>
      <c r="C2016" s="34" t="inlineStr">
        <is>
          <t>Mania</t>
        </is>
      </c>
      <c r="D2016" s="34" t="inlineStr">
        <is>
          <t>Bélier</t>
        </is>
      </c>
      <c r="E2016" s="34" t="n"/>
      <c r="F2016" s="34" t="n"/>
      <c r="G2016" s="34" t="n"/>
      <c r="H2016" s="30" t="inlineStr">
        <is>
          <t>Oui</t>
        </is>
      </c>
    </row>
    <row r="2017">
      <c r="A2017" s="31" t="n"/>
      <c r="B2017" s="34" t="inlineStr">
        <is>
          <t>Bélier</t>
        </is>
      </c>
      <c r="C2017" s="34" t="inlineStr">
        <is>
          <t>Vibrobscur</t>
        </is>
      </c>
      <c r="D2017" s="34" t="inlineStr">
        <is>
          <t>Mégacorne</t>
        </is>
      </c>
      <c r="E2017" s="34" t="n"/>
      <c r="F2017" s="34" t="n"/>
      <c r="G2017" s="34" t="n"/>
      <c r="H2017" s="30" t="inlineStr">
        <is>
          <t>Oui</t>
        </is>
      </c>
    </row>
    <row r="2018">
      <c r="A2018" s="31" t="inlineStr">
        <is>
          <t>Nom</t>
        </is>
      </c>
      <c r="B2018" s="32" t="inlineStr">
        <is>
          <t>Topdresseur Abib</t>
        </is>
      </c>
      <c r="C2018" s="32" t="n"/>
      <c r="D2018" s="32" t="n"/>
      <c r="E2018" s="32" t="n"/>
      <c r="F2018" s="32" t="n"/>
      <c r="G2018" s="32" t="n"/>
      <c r="H2018" s="30" t="inlineStr">
        <is>
          <t>Oui</t>
        </is>
      </c>
    </row>
    <row r="2019">
      <c r="A2019" s="31" t="inlineStr">
        <is>
          <t>Pokémon</t>
        </is>
      </c>
      <c r="B2019" s="33" t="inlineStr">
        <is>
          <t>REPTINCEL</t>
        </is>
      </c>
      <c r="C2019" s="33" t="inlineStr">
        <is>
          <t>ELEKTEK</t>
        </is>
      </c>
      <c r="D2019" s="33" t="n"/>
      <c r="E2019" s="33" t="n"/>
      <c r="F2019" s="33" t="n"/>
      <c r="G2019" s="33" t="n"/>
      <c r="H2019" s="30" t="inlineStr">
        <is>
          <t>Oui</t>
        </is>
      </c>
    </row>
    <row r="2020">
      <c r="A2020" s="31" t="inlineStr">
        <is>
          <t>Niveau</t>
        </is>
      </c>
      <c r="B2020" s="33" t="n">
        <v>35</v>
      </c>
      <c r="C2020" s="33" t="n">
        <v>37</v>
      </c>
      <c r="D2020" s="33" t="n"/>
      <c r="E2020" s="33" t="n"/>
      <c r="F2020" s="33" t="n"/>
      <c r="G2020" s="33" t="n"/>
      <c r="H2020" s="30" t="inlineStr">
        <is>
          <t>Oui</t>
        </is>
      </c>
    </row>
    <row r="2021">
      <c r="A2021" s="31" t="inlineStr">
        <is>
          <t>Objet</t>
        </is>
      </c>
      <c r="B2021" s="33" t="inlineStr">
        <is>
          <t>Aucun</t>
        </is>
      </c>
      <c r="C2021" s="33" t="inlineStr">
        <is>
          <t>Aucun</t>
        </is>
      </c>
      <c r="D2021" s="33" t="n"/>
      <c r="E2021" s="33" t="n"/>
      <c r="F2021" s="33" t="n"/>
      <c r="G2021" s="33" t="n"/>
      <c r="H2021" s="30" t="inlineStr">
        <is>
          <t>Oui</t>
        </is>
      </c>
    </row>
    <row r="2022">
      <c r="A2022" s="31" t="inlineStr">
        <is>
          <t>Talent</t>
        </is>
      </c>
      <c r="B2022" s="33" t="inlineStr">
        <is>
          <t>Brasier</t>
        </is>
      </c>
      <c r="C2022" s="33" t="inlineStr">
        <is>
          <t>Statik</t>
        </is>
      </c>
      <c r="D2022" s="33" t="n"/>
      <c r="E2022" s="33" t="n"/>
      <c r="F2022" s="33" t="n"/>
      <c r="G2022" s="33" t="n"/>
      <c r="H2022" s="30" t="inlineStr">
        <is>
          <t>Oui</t>
        </is>
      </c>
    </row>
    <row r="2023">
      <c r="A2023" s="31" t="inlineStr">
        <is>
          <t>Capacités</t>
        </is>
      </c>
      <c r="B2023" s="34" t="inlineStr">
        <is>
          <t>Draco-Rage</t>
        </is>
      </c>
      <c r="C2023" s="34" t="inlineStr">
        <is>
          <t>Boule Élek</t>
        </is>
      </c>
      <c r="D2023" s="34" t="n"/>
      <c r="E2023" s="34" t="n"/>
      <c r="F2023" s="34" t="n"/>
      <c r="G2023" s="34" t="n"/>
      <c r="H2023" s="30" t="inlineStr">
        <is>
          <t>Oui</t>
        </is>
      </c>
    </row>
    <row r="2024">
      <c r="A2024" s="31" t="n"/>
      <c r="B2024" s="34" t="inlineStr">
        <is>
          <t>Grimace</t>
        </is>
      </c>
      <c r="C2024" s="34" t="inlineStr">
        <is>
          <t>Mur Lumière</t>
        </is>
      </c>
      <c r="D2024" s="34" t="n"/>
      <c r="E2024" s="34" t="n"/>
      <c r="F2024" s="34" t="n"/>
      <c r="G2024" s="34" t="n"/>
      <c r="H2024" s="30" t="inlineStr">
        <is>
          <t>Oui</t>
        </is>
      </c>
    </row>
    <row r="2025">
      <c r="A2025" s="31" t="n"/>
      <c r="B2025" s="34" t="inlineStr">
        <is>
          <t>Crocs Feu</t>
        </is>
      </c>
      <c r="C2025" s="34" t="inlineStr">
        <is>
          <t>Poing Éclair</t>
        </is>
      </c>
      <c r="D2025" s="34" t="n"/>
      <c r="E2025" s="34" t="n"/>
      <c r="F2025" s="34" t="n"/>
      <c r="G2025" s="34" t="n"/>
      <c r="H2025" s="30" t="inlineStr">
        <is>
          <t>Oui</t>
        </is>
      </c>
    </row>
    <row r="2026">
      <c r="A2026" s="31" t="n"/>
      <c r="B2026" s="34" t="inlineStr">
        <is>
          <t>Rebondifeu</t>
        </is>
      </c>
      <c r="C2026" s="34" t="inlineStr">
        <is>
          <t>Coup d'Jus</t>
        </is>
      </c>
      <c r="D2026" s="34" t="n"/>
      <c r="E2026" s="34" t="n"/>
      <c r="F2026" s="34" t="n"/>
      <c r="G2026" s="34" t="n"/>
      <c r="H2026" s="30" t="inlineStr">
        <is>
          <t>Oui</t>
        </is>
      </c>
    </row>
    <row r="2027">
      <c r="A2027" s="31" t="inlineStr">
        <is>
          <t>Nom</t>
        </is>
      </c>
      <c r="B2027" s="32" t="inlineStr">
        <is>
          <t>Topdresseur Alizée</t>
        </is>
      </c>
      <c r="C2027" s="32" t="n"/>
      <c r="D2027" s="32" t="n"/>
      <c r="E2027" s="32" t="n"/>
      <c r="F2027" s="32" t="n"/>
      <c r="G2027" s="32" t="n"/>
      <c r="H2027" s="30" t="inlineStr">
        <is>
          <t>Oui</t>
        </is>
      </c>
    </row>
    <row r="2028">
      <c r="A2028" s="31" t="inlineStr">
        <is>
          <t>Pokémon</t>
        </is>
      </c>
      <c r="B2028" s="33" t="inlineStr">
        <is>
          <t>PAPILUSION</t>
        </is>
      </c>
      <c r="C2028" s="33" t="inlineStr">
        <is>
          <t>JOLIFLOR</t>
        </is>
      </c>
      <c r="D2028" s="33" t="inlineStr">
        <is>
          <t>MARAISTE</t>
        </is>
      </c>
      <c r="E2028" s="33" t="n"/>
      <c r="F2028" s="33" t="n"/>
      <c r="G2028" s="33" t="n"/>
      <c r="H2028" s="30" t="inlineStr">
        <is>
          <t>Oui</t>
        </is>
      </c>
    </row>
    <row r="2029">
      <c r="A2029" s="31" t="inlineStr">
        <is>
          <t>Niveau</t>
        </is>
      </c>
      <c r="B2029" s="33" t="n">
        <v>40</v>
      </c>
      <c r="C2029" s="33" t="n">
        <v>37</v>
      </c>
      <c r="D2029" s="33" t="n">
        <v>38</v>
      </c>
      <c r="E2029" s="33" t="n"/>
      <c r="F2029" s="33" t="n"/>
      <c r="G2029" s="33" t="n"/>
      <c r="H2029" s="30" t="inlineStr">
        <is>
          <t>Oui</t>
        </is>
      </c>
    </row>
    <row r="2030">
      <c r="A2030" s="31" t="inlineStr">
        <is>
          <t>Objet</t>
        </is>
      </c>
      <c r="B2030" s="33" t="inlineStr">
        <is>
          <t>Aucun</t>
        </is>
      </c>
      <c r="C2030" s="33" t="inlineStr">
        <is>
          <t>Aucun</t>
        </is>
      </c>
      <c r="D2030" s="33" t="inlineStr">
        <is>
          <t>Aucun</t>
        </is>
      </c>
      <c r="E2030" s="33" t="n"/>
      <c r="F2030" s="33" t="n"/>
      <c r="G2030" s="33" t="n"/>
      <c r="H2030" s="30" t="inlineStr">
        <is>
          <t>Oui</t>
        </is>
      </c>
    </row>
    <row r="2031">
      <c r="A2031" s="31" t="inlineStr">
        <is>
          <t>Talent</t>
        </is>
      </c>
      <c r="B2031" s="33" t="inlineStr">
        <is>
          <t>Œil Composé</t>
        </is>
      </c>
      <c r="C2031" s="33" t="inlineStr">
        <is>
          <t>Chlorophylle</t>
        </is>
      </c>
      <c r="D2031" s="33" t="inlineStr">
        <is>
          <t>Moiteur</t>
        </is>
      </c>
      <c r="E2031" s="33" t="n"/>
      <c r="F2031" s="33" t="n"/>
      <c r="G2031" s="33" t="n"/>
      <c r="H2031" s="30" t="inlineStr">
        <is>
          <t>Oui</t>
        </is>
      </c>
    </row>
    <row r="2032">
      <c r="A2032" s="31" t="inlineStr">
        <is>
          <t>Capacités</t>
        </is>
      </c>
      <c r="B2032" s="34" t="inlineStr">
        <is>
          <t>Cyclone</t>
        </is>
      </c>
      <c r="C2032" s="34" t="inlineStr">
        <is>
          <t>Doux Parfum</t>
        </is>
      </c>
      <c r="D2032" s="34" t="inlineStr">
        <is>
          <t>Boue-Bombe</t>
        </is>
      </c>
      <c r="E2032" s="34" t="n"/>
      <c r="F2032" s="34" t="n"/>
      <c r="G2032" s="34" t="n"/>
      <c r="H2032" s="30" t="inlineStr">
        <is>
          <t>Oui</t>
        </is>
      </c>
    </row>
    <row r="2033">
      <c r="A2033" s="31" t="n"/>
      <c r="B2033" s="34" t="inlineStr">
        <is>
          <t>Bourdon</t>
        </is>
      </c>
      <c r="C2033" s="34" t="inlineStr">
        <is>
          <t>Para-Spore</t>
        </is>
      </c>
      <c r="D2033" s="34" t="inlineStr">
        <is>
          <t>Amnésie</t>
        </is>
      </c>
      <c r="E2033" s="34" t="n"/>
      <c r="F2033" s="34" t="n"/>
      <c r="G2033" s="34" t="n"/>
      <c r="H2033" s="30" t="inlineStr">
        <is>
          <t>Oui</t>
        </is>
      </c>
    </row>
    <row r="2034">
      <c r="A2034" s="31" t="n"/>
      <c r="B2034" s="34" t="inlineStr">
        <is>
          <t>Poudre Fureur</t>
        </is>
      </c>
      <c r="C2034" s="34" t="inlineStr">
        <is>
          <t>Zénith</t>
        </is>
      </c>
      <c r="D2034" s="34" t="inlineStr">
        <is>
          <t>Bâillement</t>
        </is>
      </c>
      <c r="E2034" s="34" t="n"/>
      <c r="F2034" s="34" t="n"/>
      <c r="G2034" s="34" t="n"/>
      <c r="H2034" s="30" t="inlineStr">
        <is>
          <t>Oui</t>
        </is>
      </c>
    </row>
    <row r="2035">
      <c r="A2035" s="31" t="n"/>
      <c r="B2035" s="34" t="inlineStr">
        <is>
          <t>Séduction</t>
        </is>
      </c>
      <c r="C2035" s="34" t="inlineStr">
        <is>
          <t>Poudre Dodo</t>
        </is>
      </c>
      <c r="D2035" s="34" t="inlineStr">
        <is>
          <t>Séisme</t>
        </is>
      </c>
      <c r="E2035" s="34" t="n"/>
      <c r="F2035" s="34" t="n"/>
      <c r="G2035" s="34" t="n"/>
      <c r="H2035" s="30" t="inlineStr">
        <is>
          <t>Oui</t>
        </is>
      </c>
    </row>
    <row r="2036" ht="18" customHeight="1">
      <c r="A2036" s="26" t="inlineStr">
        <is>
          <t>Mont Creuset — 2F</t>
        </is>
      </c>
      <c r="B2036" s="26" t="n"/>
      <c r="C2036" s="26" t="n"/>
      <c r="D2036" s="26" t="n"/>
      <c r="E2036" s="26" t="n"/>
      <c r="F2036" s="26" t="n"/>
      <c r="G2036" s="26" t="n"/>
      <c r="H2036" s="30" t="inlineStr">
        <is>
          <t>Oui</t>
        </is>
      </c>
    </row>
    <row r="2037">
      <c r="A2037" s="31" t="inlineStr">
        <is>
          <t>Nom</t>
        </is>
      </c>
      <c r="B2037" s="32" t="inlineStr">
        <is>
          <t>Intello Guillaume</t>
        </is>
      </c>
      <c r="C2037" s="32" t="n"/>
      <c r="D2037" s="32" t="n"/>
      <c r="E2037" s="32" t="n"/>
      <c r="F2037" s="32" t="n"/>
      <c r="G2037" s="32" t="n"/>
      <c r="H2037" s="30" t="inlineStr">
        <is>
          <t>Oui</t>
        </is>
      </c>
    </row>
    <row r="2038">
      <c r="A2038" s="31" t="inlineStr">
        <is>
          <t>Pokémon</t>
        </is>
      </c>
      <c r="B2038" s="33" t="inlineStr">
        <is>
          <t>HYPOCEAN</t>
        </is>
      </c>
      <c r="C2038" s="33" t="n"/>
      <c r="D2038" s="33" t="n"/>
      <c r="E2038" s="33" t="n"/>
      <c r="F2038" s="33" t="n"/>
      <c r="G2038" s="33" t="n"/>
      <c r="H2038" s="30" t="inlineStr">
        <is>
          <t>Oui</t>
        </is>
      </c>
    </row>
    <row r="2039">
      <c r="A2039" s="31" t="inlineStr">
        <is>
          <t>Niveau</t>
        </is>
      </c>
      <c r="B2039" s="33" t="n">
        <v>39</v>
      </c>
      <c r="C2039" s="33" t="n"/>
      <c r="D2039" s="33" t="n"/>
      <c r="E2039" s="33" t="n"/>
      <c r="F2039" s="33" t="n"/>
      <c r="G2039" s="33" t="n"/>
      <c r="H2039" s="30" t="inlineStr">
        <is>
          <t>Oui</t>
        </is>
      </c>
    </row>
    <row r="2040">
      <c r="A2040" s="31" t="inlineStr">
        <is>
          <t>Objet</t>
        </is>
      </c>
      <c r="B2040" s="33" t="inlineStr">
        <is>
          <t>Aucun</t>
        </is>
      </c>
      <c r="C2040" s="33" t="n"/>
      <c r="D2040" s="33" t="n"/>
      <c r="E2040" s="33" t="n"/>
      <c r="F2040" s="33" t="n"/>
      <c r="G2040" s="33" t="n"/>
      <c r="H2040" s="30" t="inlineStr">
        <is>
          <t>Oui</t>
        </is>
      </c>
    </row>
    <row r="2041">
      <c r="A2041" s="31" t="inlineStr">
        <is>
          <t>Talent</t>
        </is>
      </c>
      <c r="B2041" s="33" t="inlineStr">
        <is>
          <t>Point Poison</t>
        </is>
      </c>
      <c r="C2041" s="33" t="n"/>
      <c r="D2041" s="33" t="n"/>
      <c r="E2041" s="33" t="n"/>
      <c r="F2041" s="33" t="n"/>
      <c r="G2041" s="33" t="n"/>
      <c r="H2041" s="30" t="inlineStr">
        <is>
          <t>Oui</t>
        </is>
      </c>
    </row>
    <row r="2042">
      <c r="A2042" s="31" t="inlineStr">
        <is>
          <t>Capacités</t>
        </is>
      </c>
      <c r="B2042" s="34" t="inlineStr">
        <is>
          <t>Bulles d'O</t>
        </is>
      </c>
      <c r="C2042" s="34" t="n"/>
      <c r="D2042" s="34" t="n"/>
      <c r="E2042" s="34" t="n"/>
      <c r="F2042" s="34" t="n"/>
      <c r="G2042" s="34" t="n"/>
      <c r="H2042" s="30" t="inlineStr">
        <is>
          <t>Oui</t>
        </is>
      </c>
    </row>
    <row r="2043">
      <c r="A2043" s="31" t="n"/>
      <c r="B2043" s="34" t="inlineStr">
        <is>
          <t>Puissance</t>
        </is>
      </c>
      <c r="C2043" s="34" t="n"/>
      <c r="D2043" s="34" t="n"/>
      <c r="E2043" s="34" t="n"/>
      <c r="F2043" s="34" t="n"/>
      <c r="G2043" s="34" t="n"/>
      <c r="H2043" s="30" t="inlineStr">
        <is>
          <t>Oui</t>
        </is>
      </c>
    </row>
    <row r="2044">
      <c r="A2044" s="31" t="n"/>
      <c r="B2044" s="34" t="inlineStr">
        <is>
          <t>Saumure</t>
        </is>
      </c>
      <c r="C2044" s="34" t="n"/>
      <c r="D2044" s="34" t="n"/>
      <c r="E2044" s="34" t="n"/>
      <c r="F2044" s="34" t="n"/>
      <c r="G2044" s="34" t="n"/>
      <c r="H2044" s="30" t="inlineStr">
        <is>
          <t>Oui</t>
        </is>
      </c>
    </row>
    <row r="2045">
      <c r="A2045" s="31" t="n"/>
      <c r="B2045" s="34" t="inlineStr">
        <is>
          <t>Hâte</t>
        </is>
      </c>
      <c r="C2045" s="34" t="n"/>
      <c r="D2045" s="34" t="n"/>
      <c r="E2045" s="34" t="n"/>
      <c r="F2045" s="34" t="n"/>
      <c r="G2045" s="34" t="n"/>
      <c r="H2045" s="30" t="inlineStr">
        <is>
          <t>Oui</t>
        </is>
      </c>
    </row>
    <row r="2046" ht="18" customHeight="1">
      <c r="A2046" s="26" t="inlineStr">
        <is>
          <t>Mont Creuset — B1F</t>
        </is>
      </c>
      <c r="B2046" s="26" t="n"/>
      <c r="C2046" s="26" t="n"/>
      <c r="D2046" s="26" t="n"/>
      <c r="E2046" s="26" t="n"/>
      <c r="F2046" s="26" t="n"/>
      <c r="G2046" s="26" t="n"/>
      <c r="H2046" s="30" t="inlineStr">
        <is>
          <t>Oui</t>
        </is>
      </c>
    </row>
    <row r="2047">
      <c r="A2047" s="31" t="inlineStr">
        <is>
          <t>Nom</t>
        </is>
      </c>
      <c r="B2047" s="32" t="inlineStr">
        <is>
          <t>Karatéka Fei</t>
        </is>
      </c>
      <c r="C2047" s="32" t="n"/>
      <c r="D2047" s="32" t="n"/>
      <c r="E2047" s="32" t="n"/>
      <c r="F2047" s="32" t="n"/>
      <c r="G2047" s="32" t="n"/>
      <c r="H2047" s="30" t="inlineStr">
        <is>
          <t>Oui</t>
        </is>
      </c>
    </row>
    <row r="2048">
      <c r="A2048" s="31" t="inlineStr">
        <is>
          <t>Pokémon</t>
        </is>
      </c>
      <c r="B2048" s="33" t="inlineStr">
        <is>
          <t>KICKLEE</t>
        </is>
      </c>
      <c r="C2048" s="33" t="inlineStr">
        <is>
          <t>TYGNON</t>
        </is>
      </c>
      <c r="D2048" s="33" t="n"/>
      <c r="E2048" s="33" t="n"/>
      <c r="F2048" s="33" t="n"/>
      <c r="G2048" s="33" t="n"/>
      <c r="H2048" s="30" t="inlineStr">
        <is>
          <t>Oui</t>
        </is>
      </c>
    </row>
    <row r="2049">
      <c r="A2049" s="31" t="inlineStr">
        <is>
          <t>Niveau</t>
        </is>
      </c>
      <c r="B2049" s="33" t="n">
        <v>34</v>
      </c>
      <c r="C2049" s="33" t="n">
        <v>34</v>
      </c>
      <c r="D2049" s="33" t="n"/>
      <c r="E2049" s="33" t="n"/>
      <c r="F2049" s="33" t="n"/>
      <c r="G2049" s="33" t="n"/>
      <c r="H2049" s="30" t="inlineStr">
        <is>
          <t>Oui</t>
        </is>
      </c>
    </row>
    <row r="2050">
      <c r="A2050" s="31" t="inlineStr">
        <is>
          <t>Objet</t>
        </is>
      </c>
      <c r="B2050" s="33" t="inlineStr">
        <is>
          <t>Aucun</t>
        </is>
      </c>
      <c r="C2050" s="33" t="inlineStr">
        <is>
          <t>Aucun</t>
        </is>
      </c>
      <c r="D2050" s="33" t="n"/>
      <c r="E2050" s="33" t="n"/>
      <c r="F2050" s="33" t="n"/>
      <c r="G2050" s="33" t="n"/>
      <c r="H2050" s="30" t="inlineStr">
        <is>
          <t>Oui</t>
        </is>
      </c>
    </row>
    <row r="2051">
      <c r="A2051" s="31" t="inlineStr">
        <is>
          <t>Talent</t>
        </is>
      </c>
      <c r="B2051" s="33" t="inlineStr">
        <is>
          <t>Échauffement</t>
        </is>
      </c>
      <c r="C2051" s="33" t="inlineStr">
        <is>
          <t>Regard Vif</t>
        </is>
      </c>
      <c r="D2051" s="33" t="n"/>
      <c r="E2051" s="33" t="n"/>
      <c r="F2051" s="33" t="n"/>
      <c r="G2051" s="33" t="n"/>
      <c r="H2051" s="30" t="inlineStr">
        <is>
          <t>Oui</t>
        </is>
      </c>
    </row>
    <row r="2052">
      <c r="A2052" s="31" t="inlineStr">
        <is>
          <t>Capacités</t>
        </is>
      </c>
      <c r="B2052" s="34" t="inlineStr">
        <is>
          <t>Puissance</t>
        </is>
      </c>
      <c r="C2052" s="34" t="inlineStr">
        <is>
          <t>Pisto-Poing</t>
        </is>
      </c>
      <c r="D2052" s="34" t="n"/>
      <c r="E2052" s="34" t="n"/>
      <c r="F2052" s="34" t="n"/>
      <c r="G2052" s="34" t="n"/>
      <c r="H2052" s="30" t="inlineStr">
        <is>
          <t>Oui</t>
        </is>
      </c>
    </row>
    <row r="2053">
      <c r="A2053" s="31" t="n"/>
      <c r="B2053" s="34" t="inlineStr">
        <is>
          <t>Ruse</t>
        </is>
      </c>
      <c r="C2053" s="34" t="inlineStr">
        <is>
          <t>Ruse</t>
        </is>
      </c>
      <c r="D2053" s="34" t="n"/>
      <c r="E2053" s="34" t="n"/>
      <c r="F2053" s="34" t="n"/>
      <c r="G2053" s="34" t="n"/>
      <c r="H2053" s="30" t="inlineStr">
        <is>
          <t>Oui</t>
        </is>
      </c>
    </row>
    <row r="2054">
      <c r="A2054" s="31" t="n"/>
      <c r="B2054" s="34" t="inlineStr">
        <is>
          <t>Pied Voltige</t>
        </is>
      </c>
      <c r="C2054" s="34" t="inlineStr">
        <is>
          <t>Onde Vide</t>
        </is>
      </c>
      <c r="D2054" s="34" t="n"/>
      <c r="E2054" s="34" t="n"/>
      <c r="F2054" s="34" t="n"/>
      <c r="G2054" s="34" t="n"/>
      <c r="H2054" s="30" t="inlineStr">
        <is>
          <t>Oui</t>
        </is>
      </c>
    </row>
    <row r="2055">
      <c r="A2055" s="31" t="n"/>
      <c r="B2055" s="34" t="inlineStr">
        <is>
          <t>Lire-Esprit</t>
        </is>
      </c>
      <c r="C2055" s="34" t="inlineStr">
        <is>
          <t>Prévention</t>
        </is>
      </c>
      <c r="D2055" s="34" t="n"/>
      <c r="E2055" s="34" t="n"/>
      <c r="F2055" s="34" t="n"/>
      <c r="G2055" s="34" t="n"/>
      <c r="H2055" s="30" t="inlineStr">
        <is>
          <t>Oui</t>
        </is>
      </c>
    </row>
    <row r="2056" ht="18" customHeight="1">
      <c r="A2056" s="26" t="inlineStr">
        <is>
          <t>Ebènelle — Arène</t>
        </is>
      </c>
      <c r="B2056" s="26" t="n"/>
      <c r="C2056" s="26" t="n"/>
      <c r="D2056" s="26" t="n"/>
      <c r="E2056" s="26" t="n"/>
      <c r="F2056" s="26" t="n"/>
      <c r="G2056" s="26" t="n"/>
      <c r="H2056" s="30" t="inlineStr">
        <is>
          <t>Oui</t>
        </is>
      </c>
    </row>
    <row r="2057">
      <c r="A2057" s="31" t="inlineStr">
        <is>
          <t>Nom</t>
        </is>
      </c>
      <c r="B2057" s="32" t="inlineStr">
        <is>
          <t>Dracologue Yves</t>
        </is>
      </c>
      <c r="C2057" s="32" t="n"/>
      <c r="D2057" s="32" t="n"/>
      <c r="E2057" s="32" t="n"/>
      <c r="F2057" s="32" t="n"/>
      <c r="G2057" s="32" t="n"/>
      <c r="H2057" s="30" t="inlineStr">
        <is>
          <t>Oui</t>
        </is>
      </c>
    </row>
    <row r="2058">
      <c r="A2058" s="31" t="inlineStr">
        <is>
          <t>Pokémon</t>
        </is>
      </c>
      <c r="B2058" s="33" t="inlineStr">
        <is>
          <t>HYPOCEAN</t>
        </is>
      </c>
      <c r="C2058" s="33" t="inlineStr">
        <is>
          <t>DRACO</t>
        </is>
      </c>
      <c r="D2058" s="33" t="inlineStr">
        <is>
          <t>AKWAKWAK</t>
        </is>
      </c>
      <c r="E2058" s="33" t="inlineStr">
        <is>
          <t>DRACO</t>
        </is>
      </c>
      <c r="F2058" s="33" t="n"/>
      <c r="G2058" s="33" t="n"/>
      <c r="H2058" s="30" t="inlineStr">
        <is>
          <t>Oui</t>
        </is>
      </c>
    </row>
    <row r="2059">
      <c r="A2059" s="31" t="inlineStr">
        <is>
          <t>Niveau</t>
        </is>
      </c>
      <c r="B2059" s="33" t="n">
        <v>42</v>
      </c>
      <c r="C2059" s="33" t="n">
        <v>41</v>
      </c>
      <c r="D2059" s="33" t="n">
        <v>43</v>
      </c>
      <c r="E2059" s="33" t="n">
        <v>42</v>
      </c>
      <c r="F2059" s="33" t="n"/>
      <c r="G2059" s="33" t="n"/>
      <c r="H2059" s="30" t="inlineStr">
        <is>
          <t>Oui</t>
        </is>
      </c>
    </row>
    <row r="2060">
      <c r="A2060" s="31" t="inlineStr">
        <is>
          <t>Objet</t>
        </is>
      </c>
      <c r="B2060" s="33" t="inlineStr">
        <is>
          <t>Aucun</t>
        </is>
      </c>
      <c r="C2060" s="33" t="inlineStr">
        <is>
          <t>Aucun</t>
        </is>
      </c>
      <c r="D2060" s="33" t="inlineStr">
        <is>
          <t>Aucun</t>
        </is>
      </c>
      <c r="E2060" s="33" t="inlineStr">
        <is>
          <t>Aucun</t>
        </is>
      </c>
      <c r="F2060" s="33" t="n"/>
      <c r="G2060" s="33" t="n"/>
      <c r="H2060" s="30" t="inlineStr">
        <is>
          <t>Oui</t>
        </is>
      </c>
    </row>
    <row r="2061">
      <c r="A2061" s="31" t="inlineStr">
        <is>
          <t>Talent</t>
        </is>
      </c>
      <c r="B2061" s="33" t="inlineStr">
        <is>
          <t>Point Poison</t>
        </is>
      </c>
      <c r="C2061" s="33" t="inlineStr">
        <is>
          <t>Mue</t>
        </is>
      </c>
      <c r="D2061" s="33" t="inlineStr">
        <is>
          <t>Moiteur</t>
        </is>
      </c>
      <c r="E2061" s="33" t="inlineStr">
        <is>
          <t>Mue</t>
        </is>
      </c>
      <c r="F2061" s="33" t="n"/>
      <c r="G2061" s="33" t="n"/>
      <c r="H2061" s="30" t="inlineStr">
        <is>
          <t>Oui</t>
        </is>
      </c>
    </row>
    <row r="2062">
      <c r="A2062" s="31" t="inlineStr">
        <is>
          <t>Capacités</t>
        </is>
      </c>
      <c r="B2062" s="34" t="inlineStr">
        <is>
          <t>Bulles d'O</t>
        </is>
      </c>
      <c r="C2062" s="34" t="inlineStr">
        <is>
          <t>Souplesse</t>
        </is>
      </c>
      <c r="D2062" s="34" t="inlineStr">
        <is>
          <t>Hydro-Queue</t>
        </is>
      </c>
      <c r="E2062" s="34" t="inlineStr">
        <is>
          <t>Souplesse</t>
        </is>
      </c>
      <c r="F2062" s="34" t="n"/>
      <c r="G2062" s="34" t="n"/>
      <c r="H2062" s="30" t="inlineStr">
        <is>
          <t>Oui</t>
        </is>
      </c>
    </row>
    <row r="2063">
      <c r="A2063" s="31" t="n"/>
      <c r="B2063" s="34" t="inlineStr">
        <is>
          <t>Puissance</t>
        </is>
      </c>
      <c r="C2063" s="34" t="inlineStr">
        <is>
          <t>Hâte</t>
        </is>
      </c>
      <c r="D2063" s="34" t="inlineStr">
        <is>
          <t>Détrempage</t>
        </is>
      </c>
      <c r="E2063" s="34" t="inlineStr">
        <is>
          <t>Hâte</t>
        </is>
      </c>
      <c r="F2063" s="34" t="n"/>
      <c r="G2063" s="34" t="n"/>
      <c r="H2063" s="30" t="inlineStr">
        <is>
          <t>Oui</t>
        </is>
      </c>
    </row>
    <row r="2064">
      <c r="A2064" s="31" t="n"/>
      <c r="B2064" s="34" t="inlineStr">
        <is>
          <t>Saumure</t>
        </is>
      </c>
      <c r="C2064" s="34" t="inlineStr">
        <is>
          <t>Draco-Queue</t>
        </is>
      </c>
      <c r="D2064" s="34" t="inlineStr">
        <is>
          <t>Boost</t>
        </is>
      </c>
      <c r="E2064" s="34" t="inlineStr">
        <is>
          <t>Draco-Queue</t>
        </is>
      </c>
      <c r="F2064" s="34" t="n"/>
      <c r="G2064" s="34" t="n"/>
      <c r="H2064" s="30" t="inlineStr">
        <is>
          <t>Oui</t>
        </is>
      </c>
    </row>
    <row r="2065">
      <c r="A2065" s="31" t="n"/>
      <c r="B2065" s="34" t="inlineStr">
        <is>
          <t>Hâte</t>
        </is>
      </c>
      <c r="C2065" s="34" t="inlineStr">
        <is>
          <t>Hydro-Queue</t>
        </is>
      </c>
      <c r="D2065" s="34" t="inlineStr">
        <is>
          <t>Amnésie</t>
        </is>
      </c>
      <c r="E2065" s="34" t="inlineStr">
        <is>
          <t>Hydro-Queue</t>
        </is>
      </c>
      <c r="F2065" s="34" t="n"/>
      <c r="G2065" s="34" t="n"/>
      <c r="H2065" s="30" t="inlineStr">
        <is>
          <t>Oui</t>
        </is>
      </c>
    </row>
    <row r="2066">
      <c r="A2066" s="31" t="inlineStr">
        <is>
          <t>Nom</t>
        </is>
      </c>
      <c r="B2066" s="32" t="inlineStr">
        <is>
          <t>Topdresseur Alix</t>
        </is>
      </c>
      <c r="C2066" s="32" t="n"/>
      <c r="D2066" s="32" t="n"/>
      <c r="E2066" s="32" t="n"/>
      <c r="F2066" s="32" t="n"/>
      <c r="G2066" s="32" t="n"/>
      <c r="H2066" s="30" t="inlineStr">
        <is>
          <t>Oui</t>
        </is>
      </c>
    </row>
    <row r="2067">
      <c r="A2067" s="31" t="inlineStr">
        <is>
          <t>Pokémon</t>
        </is>
      </c>
      <c r="B2067" s="33" t="inlineStr">
        <is>
          <t>HYPOCEAN</t>
        </is>
      </c>
      <c r="C2067" s="33" t="inlineStr">
        <is>
          <t>LEVIATOR</t>
        </is>
      </c>
      <c r="D2067" s="33" t="inlineStr">
        <is>
          <t>DRACO</t>
        </is>
      </c>
      <c r="E2067" s="33" t="n"/>
      <c r="F2067" s="33" t="n"/>
      <c r="G2067" s="33" t="n"/>
      <c r="H2067" s="30" t="inlineStr">
        <is>
          <t>Oui</t>
        </is>
      </c>
    </row>
    <row r="2068">
      <c r="A2068" s="31" t="inlineStr">
        <is>
          <t>Niveau</t>
        </is>
      </c>
      <c r="B2068" s="33" t="n">
        <v>41</v>
      </c>
      <c r="C2068" s="33" t="n">
        <v>41</v>
      </c>
      <c r="D2068" s="33" t="n">
        <v>41</v>
      </c>
      <c r="E2068" s="33" t="n"/>
      <c r="F2068" s="33" t="n"/>
      <c r="G2068" s="33" t="n"/>
      <c r="H2068" s="30" t="inlineStr">
        <is>
          <t>Oui</t>
        </is>
      </c>
    </row>
    <row r="2069">
      <c r="A2069" s="31" t="inlineStr">
        <is>
          <t>Objet</t>
        </is>
      </c>
      <c r="B2069" s="33" t="inlineStr">
        <is>
          <t>Aucun</t>
        </is>
      </c>
      <c r="C2069" s="33" t="inlineStr">
        <is>
          <t>Aucun</t>
        </is>
      </c>
      <c r="D2069" s="33" t="inlineStr">
        <is>
          <t>Aucun</t>
        </is>
      </c>
      <c r="E2069" s="33" t="n"/>
      <c r="F2069" s="33" t="n"/>
      <c r="G2069" s="33" t="n"/>
      <c r="H2069" s="30" t="inlineStr">
        <is>
          <t>Oui</t>
        </is>
      </c>
    </row>
    <row r="2070">
      <c r="A2070" s="31" t="inlineStr">
        <is>
          <t>Talent</t>
        </is>
      </c>
      <c r="B2070" s="33" t="inlineStr">
        <is>
          <t>Point Poison</t>
        </is>
      </c>
      <c r="C2070" s="33" t="inlineStr">
        <is>
          <t>Intimidation</t>
        </is>
      </c>
      <c r="D2070" s="33" t="inlineStr">
        <is>
          <t>Mue</t>
        </is>
      </c>
      <c r="E2070" s="33" t="n"/>
      <c r="F2070" s="33" t="n"/>
      <c r="G2070" s="33" t="n"/>
      <c r="H2070" s="30" t="inlineStr">
        <is>
          <t>Oui</t>
        </is>
      </c>
    </row>
    <row r="2071">
      <c r="A2071" s="31" t="inlineStr">
        <is>
          <t>Capacités</t>
        </is>
      </c>
      <c r="B2071" s="34" t="inlineStr">
        <is>
          <t>Bulles d'O</t>
        </is>
      </c>
      <c r="C2071" s="34" t="inlineStr">
        <is>
          <t>Hydro-Queue</t>
        </is>
      </c>
      <c r="D2071" s="34" t="inlineStr">
        <is>
          <t>Souplesse</t>
        </is>
      </c>
      <c r="E2071" s="34" t="n"/>
      <c r="F2071" s="34" t="n"/>
      <c r="G2071" s="34" t="n"/>
      <c r="H2071" s="30" t="inlineStr">
        <is>
          <t>Oui</t>
        </is>
      </c>
    </row>
    <row r="2072">
      <c r="A2072" s="31" t="n"/>
      <c r="B2072" s="34" t="inlineStr">
        <is>
          <t>Puissance</t>
        </is>
      </c>
      <c r="C2072" s="34" t="inlineStr">
        <is>
          <t>Grimace</t>
        </is>
      </c>
      <c r="D2072" s="34" t="inlineStr">
        <is>
          <t>Hâte</t>
        </is>
      </c>
      <c r="E2072" s="34" t="n"/>
      <c r="F2072" s="34" t="n"/>
      <c r="G2072" s="34" t="n"/>
      <c r="H2072" s="30" t="inlineStr">
        <is>
          <t>Oui</t>
        </is>
      </c>
    </row>
    <row r="2073">
      <c r="A2073" s="31" t="n"/>
      <c r="B2073" s="34" t="inlineStr">
        <is>
          <t>Saumure</t>
        </is>
      </c>
      <c r="C2073" s="34" t="inlineStr">
        <is>
          <t>Draco-Rage</t>
        </is>
      </c>
      <c r="D2073" s="34" t="inlineStr">
        <is>
          <t>Draco-Queue</t>
        </is>
      </c>
      <c r="E2073" s="34" t="n"/>
      <c r="F2073" s="34" t="n"/>
      <c r="G2073" s="34" t="n"/>
      <c r="H2073" s="30" t="inlineStr">
        <is>
          <t>Oui</t>
        </is>
      </c>
    </row>
    <row r="2074">
      <c r="A2074" s="31" t="n"/>
      <c r="B2074" s="34" t="inlineStr">
        <is>
          <t>Hâte</t>
        </is>
      </c>
      <c r="C2074" s="34" t="inlineStr">
        <is>
          <t>Mâchouille</t>
        </is>
      </c>
      <c r="D2074" s="34" t="inlineStr">
        <is>
          <t>Hydro-Queue</t>
        </is>
      </c>
      <c r="E2074" s="34" t="n"/>
      <c r="F2074" s="34" t="n"/>
      <c r="G2074" s="34" t="n"/>
      <c r="H2074" s="30" t="inlineStr">
        <is>
          <t>Oui</t>
        </is>
      </c>
    </row>
    <row r="2075">
      <c r="A2075" s="31" t="inlineStr">
        <is>
          <t>Nom</t>
        </is>
      </c>
      <c r="B2075" s="32" t="inlineStr">
        <is>
          <t>Dracologue Paul</t>
        </is>
      </c>
      <c r="C2075" s="32" t="n"/>
      <c r="D2075" s="32" t="n"/>
      <c r="E2075" s="32" t="n"/>
      <c r="F2075" s="32" t="n"/>
      <c r="G2075" s="32" t="n"/>
      <c r="H2075" s="30" t="inlineStr">
        <is>
          <t>Oui</t>
        </is>
      </c>
    </row>
    <row r="2076">
      <c r="A2076" s="31" t="inlineStr">
        <is>
          <t>Pokémon</t>
        </is>
      </c>
      <c r="B2076" s="33" t="inlineStr">
        <is>
          <t>MINIDRACO</t>
        </is>
      </c>
      <c r="C2076" s="33" t="inlineStr">
        <is>
          <t>DRACO</t>
        </is>
      </c>
      <c r="D2076" s="33" t="inlineStr">
        <is>
          <t>DRACO</t>
        </is>
      </c>
      <c r="E2076" s="33" t="inlineStr">
        <is>
          <t>DRACO</t>
        </is>
      </c>
      <c r="F2076" s="33" t="n"/>
      <c r="G2076" s="33" t="n"/>
      <c r="H2076" s="30" t="inlineStr">
        <is>
          <t>Oui</t>
        </is>
      </c>
    </row>
    <row r="2077">
      <c r="A2077" s="31" t="inlineStr">
        <is>
          <t>Niveau</t>
        </is>
      </c>
      <c r="B2077" s="33" t="n">
        <v>34</v>
      </c>
      <c r="C2077" s="33" t="n">
        <v>40</v>
      </c>
      <c r="D2077" s="33" t="n">
        <v>40</v>
      </c>
      <c r="E2077" s="33" t="n">
        <v>40</v>
      </c>
      <c r="F2077" s="33" t="n"/>
      <c r="G2077" s="33" t="n"/>
      <c r="H2077" s="30" t="inlineStr">
        <is>
          <t>Oui</t>
        </is>
      </c>
    </row>
    <row r="2078">
      <c r="A2078" s="31" t="inlineStr">
        <is>
          <t>Objet</t>
        </is>
      </c>
      <c r="B2078" s="33" t="inlineStr">
        <is>
          <t>Aucun</t>
        </is>
      </c>
      <c r="C2078" s="33" t="inlineStr">
        <is>
          <t>Aucun</t>
        </is>
      </c>
      <c r="D2078" s="33" t="inlineStr">
        <is>
          <t>Aucun</t>
        </is>
      </c>
      <c r="E2078" s="33" t="inlineStr">
        <is>
          <t>Aucun</t>
        </is>
      </c>
      <c r="F2078" s="33" t="n"/>
      <c r="G2078" s="33" t="n"/>
      <c r="H2078" s="30" t="inlineStr">
        <is>
          <t>Oui</t>
        </is>
      </c>
    </row>
    <row r="2079">
      <c r="A2079" s="31" t="inlineStr">
        <is>
          <t>Talent</t>
        </is>
      </c>
      <c r="B2079" s="33" t="inlineStr">
        <is>
          <t>Mue</t>
        </is>
      </c>
      <c r="C2079" s="33" t="inlineStr">
        <is>
          <t>Mue</t>
        </is>
      </c>
      <c r="D2079" s="33" t="inlineStr">
        <is>
          <t>Mue</t>
        </is>
      </c>
      <c r="E2079" s="33" t="inlineStr">
        <is>
          <t>Mue</t>
        </is>
      </c>
      <c r="F2079" s="33" t="n"/>
      <c r="G2079" s="33" t="n"/>
      <c r="H2079" s="30" t="inlineStr">
        <is>
          <t>Oui</t>
        </is>
      </c>
    </row>
    <row r="2080">
      <c r="A2080" s="31" t="inlineStr">
        <is>
          <t>Capacités</t>
        </is>
      </c>
      <c r="B2080" s="34" t="inlineStr">
        <is>
          <t>Draco-Rage</t>
        </is>
      </c>
      <c r="C2080" s="34" t="inlineStr">
        <is>
          <t>Souplesse</t>
        </is>
      </c>
      <c r="D2080" s="34" t="inlineStr">
        <is>
          <t>Souplesse</t>
        </is>
      </c>
      <c r="E2080" s="34" t="inlineStr">
        <is>
          <t>Souplesse</t>
        </is>
      </c>
      <c r="F2080" s="34" t="n"/>
      <c r="G2080" s="34" t="n"/>
      <c r="H2080" s="30" t="inlineStr">
        <is>
          <t>Oui</t>
        </is>
      </c>
    </row>
    <row r="2081">
      <c r="A2081" s="31" t="n"/>
      <c r="B2081" s="34" t="inlineStr">
        <is>
          <t>Souplesse</t>
        </is>
      </c>
      <c r="C2081" s="34" t="inlineStr">
        <is>
          <t>Hâte</t>
        </is>
      </c>
      <c r="D2081" s="34" t="inlineStr">
        <is>
          <t>Hâte</t>
        </is>
      </c>
      <c r="E2081" s="34" t="inlineStr">
        <is>
          <t>Hâte</t>
        </is>
      </c>
      <c r="F2081" s="34" t="n"/>
      <c r="G2081" s="34" t="n"/>
      <c r="H2081" s="30" t="inlineStr">
        <is>
          <t>Oui</t>
        </is>
      </c>
    </row>
    <row r="2082">
      <c r="A2082" s="31" t="n"/>
      <c r="B2082" s="34" t="inlineStr">
        <is>
          <t>Hâte</t>
        </is>
      </c>
      <c r="C2082" s="34" t="inlineStr">
        <is>
          <t>Draco-Queue</t>
        </is>
      </c>
      <c r="D2082" s="34" t="inlineStr">
        <is>
          <t>Draco-Queue</t>
        </is>
      </c>
      <c r="E2082" s="34" t="inlineStr">
        <is>
          <t>Draco-Queue</t>
        </is>
      </c>
      <c r="F2082" s="34" t="n"/>
      <c r="G2082" s="34" t="n"/>
      <c r="H2082" s="30" t="inlineStr">
        <is>
          <t>Oui</t>
        </is>
      </c>
    </row>
    <row r="2083">
      <c r="A2083" s="31" t="n"/>
      <c r="B2083" s="34" t="inlineStr">
        <is>
          <t>Draco-Queue</t>
        </is>
      </c>
      <c r="C2083" s="34" t="inlineStr">
        <is>
          <t>Hydro-Queue</t>
        </is>
      </c>
      <c r="D2083" s="34" t="inlineStr">
        <is>
          <t>Hydro-Queue</t>
        </is>
      </c>
      <c r="E2083" s="34" t="inlineStr">
        <is>
          <t>Hydro-Queue</t>
        </is>
      </c>
      <c r="F2083" s="34" t="n"/>
      <c r="G2083" s="34" t="n"/>
      <c r="H2083" s="30" t="inlineStr">
        <is>
          <t>Oui</t>
        </is>
      </c>
    </row>
    <row r="2084">
      <c r="A2084" s="31" t="inlineStr">
        <is>
          <t>Nom</t>
        </is>
      </c>
      <c r="B2084" s="32" t="inlineStr">
        <is>
          <t>Dracologue Manolo</t>
        </is>
      </c>
      <c r="C2084" s="32" t="n"/>
      <c r="D2084" s="32" t="n"/>
      <c r="E2084" s="32" t="n"/>
      <c r="F2084" s="32" t="n"/>
      <c r="G2084" s="32" t="n"/>
      <c r="H2084" s="30" t="inlineStr">
        <is>
          <t>Oui</t>
        </is>
      </c>
    </row>
    <row r="2085">
      <c r="A2085" s="31" t="inlineStr">
        <is>
          <t>Pokémon</t>
        </is>
      </c>
      <c r="B2085" s="33" t="inlineStr">
        <is>
          <t>LEVIATOR</t>
        </is>
      </c>
      <c r="C2085" s="33" t="inlineStr">
        <is>
          <t>DRACO</t>
        </is>
      </c>
      <c r="D2085" s="33" t="inlineStr">
        <is>
          <t>AQUALI</t>
        </is>
      </c>
      <c r="E2085" s="33" t="n"/>
      <c r="F2085" s="33" t="n"/>
      <c r="G2085" s="33" t="n"/>
      <c r="H2085" s="30" t="inlineStr">
        <is>
          <t>Oui</t>
        </is>
      </c>
    </row>
    <row r="2086">
      <c r="A2086" s="31" t="inlineStr">
        <is>
          <t>Niveau</t>
        </is>
      </c>
      <c r="B2086" s="33" t="n">
        <v>42</v>
      </c>
      <c r="C2086" s="33" t="n">
        <v>43</v>
      </c>
      <c r="D2086" s="33" t="n">
        <v>42</v>
      </c>
      <c r="E2086" s="33" t="n"/>
      <c r="F2086" s="33" t="n"/>
      <c r="G2086" s="33" t="n"/>
      <c r="H2086" s="30" t="inlineStr">
        <is>
          <t>Oui</t>
        </is>
      </c>
    </row>
    <row r="2087">
      <c r="A2087" s="31" t="inlineStr">
        <is>
          <t>Objet</t>
        </is>
      </c>
      <c r="B2087" s="33" t="inlineStr">
        <is>
          <t>Aucun</t>
        </is>
      </c>
      <c r="C2087" s="33" t="inlineStr">
        <is>
          <t>Aucun</t>
        </is>
      </c>
      <c r="D2087" s="33" t="inlineStr">
        <is>
          <t>Aucun</t>
        </is>
      </c>
      <c r="E2087" s="33" t="n"/>
      <c r="F2087" s="33" t="n"/>
      <c r="G2087" s="33" t="n"/>
      <c r="H2087" s="30" t="inlineStr">
        <is>
          <t>Oui</t>
        </is>
      </c>
    </row>
    <row r="2088">
      <c r="A2088" s="31" t="inlineStr">
        <is>
          <t>Talent</t>
        </is>
      </c>
      <c r="B2088" s="33" t="inlineStr">
        <is>
          <t>Intimidation</t>
        </is>
      </c>
      <c r="C2088" s="33" t="inlineStr">
        <is>
          <t>Mue</t>
        </is>
      </c>
      <c r="D2088" s="33" t="inlineStr">
        <is>
          <t>Absorbe-Eau</t>
        </is>
      </c>
      <c r="E2088" s="33" t="n"/>
      <c r="F2088" s="33" t="n"/>
      <c r="G2088" s="33" t="n"/>
      <c r="H2088" s="30" t="inlineStr">
        <is>
          <t>Oui</t>
        </is>
      </c>
    </row>
    <row r="2089">
      <c r="A2089" s="31" t="inlineStr">
        <is>
          <t>Capacités</t>
        </is>
      </c>
      <c r="B2089" s="34" t="inlineStr">
        <is>
          <t>Grimace</t>
        </is>
      </c>
      <c r="C2089" s="34" t="inlineStr">
        <is>
          <t>Souplesse</t>
        </is>
      </c>
      <c r="D2089" s="34" t="inlineStr">
        <is>
          <t>Acidarmure</t>
        </is>
      </c>
      <c r="E2089" s="34" t="n"/>
      <c r="F2089" s="34" t="n"/>
      <c r="G2089" s="34" t="n"/>
      <c r="H2089" s="30" t="inlineStr">
        <is>
          <t>Oui</t>
        </is>
      </c>
    </row>
    <row r="2090">
      <c r="A2090" s="31" t="n"/>
      <c r="B2090" s="34" t="inlineStr">
        <is>
          <t>Draco-Rage</t>
        </is>
      </c>
      <c r="C2090" s="34" t="inlineStr">
        <is>
          <t>Hâte</t>
        </is>
      </c>
      <c r="D2090" s="34" t="inlineStr">
        <is>
          <t>Buée Noire</t>
        </is>
      </c>
      <c r="E2090" s="34" t="n"/>
      <c r="F2090" s="34" t="n"/>
      <c r="G2090" s="34" t="n"/>
      <c r="H2090" s="30" t="inlineStr">
        <is>
          <t>Oui</t>
        </is>
      </c>
    </row>
    <row r="2091">
      <c r="A2091" s="31" t="n"/>
      <c r="B2091" s="34" t="inlineStr">
        <is>
          <t>Mâchouille</t>
        </is>
      </c>
      <c r="C2091" s="34" t="inlineStr">
        <is>
          <t>Draco-Queue</t>
        </is>
      </c>
      <c r="D2091" s="34" t="inlineStr">
        <is>
          <t>Ocroupi</t>
        </is>
      </c>
      <c r="E2091" s="34" t="n"/>
      <c r="F2091" s="34" t="n"/>
      <c r="G2091" s="34" t="n"/>
      <c r="H2091" s="30" t="inlineStr">
        <is>
          <t>Oui</t>
        </is>
      </c>
    </row>
    <row r="2092">
      <c r="A2092" s="31" t="n"/>
      <c r="B2092" s="34" t="inlineStr">
        <is>
          <t>Hydrocanon</t>
        </is>
      </c>
      <c r="C2092" s="34" t="inlineStr">
        <is>
          <t>Hydro-Queue</t>
        </is>
      </c>
      <c r="D2092" s="34" t="inlineStr">
        <is>
          <t>Dernier Recours</t>
        </is>
      </c>
      <c r="E2092" s="34" t="n"/>
      <c r="F2092" s="34" t="n"/>
      <c r="G2092" s="34" t="n"/>
      <c r="H2092" s="30" t="inlineStr">
        <is>
          <t>Oui</t>
        </is>
      </c>
    </row>
    <row r="2093">
      <c r="A2093" s="31" t="inlineStr">
        <is>
          <t>Nom</t>
        </is>
      </c>
      <c r="B2093" s="32" t="inlineStr">
        <is>
          <t>Topdresseur Linda</t>
        </is>
      </c>
      <c r="C2093" s="32" t="n"/>
      <c r="D2093" s="32" t="n"/>
      <c r="E2093" s="32" t="n"/>
      <c r="F2093" s="32" t="n"/>
      <c r="G2093" s="32" t="n"/>
      <c r="H2093" s="30" t="inlineStr">
        <is>
          <t>Oui</t>
        </is>
      </c>
    </row>
    <row r="2094">
      <c r="A2094" s="31" t="inlineStr">
        <is>
          <t>Pokémon</t>
        </is>
      </c>
      <c r="B2094" s="33" t="inlineStr">
        <is>
          <t>DRACO</t>
        </is>
      </c>
      <c r="C2094" s="33" t="inlineStr">
        <is>
          <t>DEMANTA</t>
        </is>
      </c>
      <c r="D2094" s="33" t="inlineStr">
        <is>
          <t>LANTURN</t>
        </is>
      </c>
      <c r="E2094" s="33" t="inlineStr">
        <is>
          <t>DRACO</t>
        </is>
      </c>
      <c r="F2094" s="33" t="n"/>
      <c r="G2094" s="33" t="n"/>
      <c r="H2094" s="30" t="inlineStr">
        <is>
          <t>Oui</t>
        </is>
      </c>
    </row>
    <row r="2095">
      <c r="A2095" s="31" t="inlineStr">
        <is>
          <t>Niveau</t>
        </is>
      </c>
      <c r="B2095" s="33" t="n">
        <v>41</v>
      </c>
      <c r="C2095" s="33" t="n">
        <v>42</v>
      </c>
      <c r="D2095" s="33" t="n">
        <v>41</v>
      </c>
      <c r="E2095" s="33" t="n">
        <v>42</v>
      </c>
      <c r="F2095" s="33" t="n"/>
      <c r="G2095" s="33" t="n"/>
      <c r="H2095" s="30" t="inlineStr">
        <is>
          <t>Oui</t>
        </is>
      </c>
    </row>
    <row r="2096">
      <c r="A2096" s="31" t="inlineStr">
        <is>
          <t>Objet</t>
        </is>
      </c>
      <c r="B2096" s="33" t="inlineStr">
        <is>
          <t>Aucun</t>
        </is>
      </c>
      <c r="C2096" s="33" t="inlineStr">
        <is>
          <t>Aucun</t>
        </is>
      </c>
      <c r="D2096" s="33" t="inlineStr">
        <is>
          <t>Aucun</t>
        </is>
      </c>
      <c r="E2096" s="33" t="inlineStr">
        <is>
          <t>Aucun</t>
        </is>
      </c>
      <c r="F2096" s="33" t="n"/>
      <c r="G2096" s="33" t="n"/>
      <c r="H2096" s="30" t="inlineStr">
        <is>
          <t>Oui</t>
        </is>
      </c>
    </row>
    <row r="2097">
      <c r="A2097" s="31" t="inlineStr">
        <is>
          <t>Talent</t>
        </is>
      </c>
      <c r="B2097" s="33" t="inlineStr">
        <is>
          <t>Mue</t>
        </is>
      </c>
      <c r="C2097" s="33" t="inlineStr">
        <is>
          <t>Glissade</t>
        </is>
      </c>
      <c r="D2097" s="33" t="inlineStr">
        <is>
          <t>Absorbe-Volt</t>
        </is>
      </c>
      <c r="E2097" s="33" t="inlineStr">
        <is>
          <t>Mue</t>
        </is>
      </c>
      <c r="F2097" s="33" t="n"/>
      <c r="G2097" s="33" t="n"/>
      <c r="H2097" s="30" t="inlineStr">
        <is>
          <t>Oui</t>
        </is>
      </c>
    </row>
    <row r="2098">
      <c r="A2098" s="31" t="inlineStr">
        <is>
          <t>Capacités</t>
        </is>
      </c>
      <c r="B2098" s="34" t="inlineStr">
        <is>
          <t>Souplesse</t>
        </is>
      </c>
      <c r="C2098" s="34" t="inlineStr">
        <is>
          <t>Bélier</t>
        </is>
      </c>
      <c r="D2098" s="34" t="inlineStr">
        <is>
          <t>Étincelle</t>
        </is>
      </c>
      <c r="E2098" s="34" t="inlineStr">
        <is>
          <t>Souplesse</t>
        </is>
      </c>
      <c r="F2098" s="34" t="n"/>
      <c r="G2098" s="34" t="n"/>
      <c r="H2098" s="30" t="inlineStr">
        <is>
          <t>Oui</t>
        </is>
      </c>
    </row>
    <row r="2099">
      <c r="A2099" s="31" t="n"/>
      <c r="B2099" s="34" t="inlineStr">
        <is>
          <t>Hâte</t>
        </is>
      </c>
      <c r="C2099" s="34" t="inlineStr">
        <is>
          <t>Hâte</t>
        </is>
      </c>
      <c r="D2099" s="34" t="inlineStr">
        <is>
          <t>Rayon Signal</t>
        </is>
      </c>
      <c r="E2099" s="34" t="inlineStr">
        <is>
          <t>Hâte</t>
        </is>
      </c>
      <c r="F2099" s="34" t="n"/>
      <c r="G2099" s="34" t="n"/>
      <c r="H2099" s="30" t="inlineStr">
        <is>
          <t>Oui</t>
        </is>
      </c>
    </row>
    <row r="2100">
      <c r="A2100" s="31" t="n"/>
      <c r="B2100" s="34" t="inlineStr">
        <is>
          <t>Draco-Queue</t>
        </is>
      </c>
      <c r="C2100" s="34" t="inlineStr">
        <is>
          <t>Lame d'Air</t>
        </is>
      </c>
      <c r="D2100" s="34" t="inlineStr">
        <is>
          <t>Gigotage</t>
        </is>
      </c>
      <c r="E2100" s="34" t="inlineStr">
        <is>
          <t>Draco-Queue</t>
        </is>
      </c>
      <c r="F2100" s="34" t="n"/>
      <c r="G2100" s="34" t="n"/>
      <c r="H2100" s="30" t="inlineStr">
        <is>
          <t>Oui</t>
        </is>
      </c>
    </row>
    <row r="2101">
      <c r="A2101" s="31" t="n"/>
      <c r="B2101" s="34" t="inlineStr">
        <is>
          <t>Hydro-Queue</t>
        </is>
      </c>
      <c r="C2101" s="34" t="inlineStr">
        <is>
          <t>Anneau Hydro</t>
        </is>
      </c>
      <c r="D2101" s="34" t="inlineStr">
        <is>
          <t>Coup d'Jus</t>
        </is>
      </c>
      <c r="E2101" s="34" t="inlineStr">
        <is>
          <t>Hydro-Queue</t>
        </is>
      </c>
      <c r="F2101" s="34" t="n"/>
      <c r="G2101" s="34" t="n"/>
      <c r="H2101" s="30" t="inlineStr">
        <is>
          <t>Oui</t>
        </is>
      </c>
    </row>
    <row r="2102">
      <c r="A2102" s="31" t="inlineStr">
        <is>
          <t>Nom</t>
        </is>
      </c>
      <c r="B2102" s="32" t="inlineStr">
        <is>
          <t>Champion Sandra</t>
        </is>
      </c>
      <c r="C2102" s="32" t="n"/>
      <c r="D2102" s="32" t="n"/>
      <c r="E2102" s="32" t="n"/>
      <c r="F2102" s="32" t="n"/>
      <c r="G2102" s="32" t="n"/>
      <c r="H2102" s="30" t="inlineStr">
        <is>
          <t>Oui</t>
        </is>
      </c>
    </row>
    <row r="2103">
      <c r="A2103" s="31" t="inlineStr">
        <is>
          <t>Pokémon</t>
        </is>
      </c>
      <c r="B2103" s="33" t="inlineStr">
        <is>
          <t>DRACO</t>
        </is>
      </c>
      <c r="C2103" s="33" t="inlineStr">
        <is>
          <t>LEVIATOR</t>
        </is>
      </c>
      <c r="D2103" s="33" t="inlineStr">
        <is>
          <t>LOKHLASS</t>
        </is>
      </c>
      <c r="E2103" s="33" t="inlineStr">
        <is>
          <t>DEUSOLOURDO</t>
        </is>
      </c>
      <c r="F2103" s="33" t="inlineStr">
        <is>
          <t>HYPOROI</t>
        </is>
      </c>
      <c r="G2103" s="33" t="n"/>
      <c r="H2103" s="30" t="inlineStr">
        <is>
          <t>Oui</t>
        </is>
      </c>
    </row>
    <row r="2104">
      <c r="A2104" s="31" t="inlineStr">
        <is>
          <t>Niveau</t>
        </is>
      </c>
      <c r="B2104" s="33" t="n">
        <v>42</v>
      </c>
      <c r="C2104" s="33" t="n">
        <v>43</v>
      </c>
      <c r="D2104" s="33" t="n">
        <v>43</v>
      </c>
      <c r="E2104" s="33" t="n">
        <v>44</v>
      </c>
      <c r="F2104" s="33" t="n">
        <v>45</v>
      </c>
      <c r="G2104" s="33" t="n"/>
      <c r="H2104" s="30" t="inlineStr">
        <is>
          <t>Oui</t>
        </is>
      </c>
    </row>
    <row r="2105">
      <c r="A2105" s="31" t="inlineStr">
        <is>
          <t>Objet</t>
        </is>
      </c>
      <c r="B2105" s="33" t="inlineStr">
        <is>
          <t>Aucun</t>
        </is>
      </c>
      <c r="C2105" s="33" t="inlineStr">
        <is>
          <t>Bandeau</t>
        </is>
      </c>
      <c r="D2105" s="33" t="inlineStr">
        <is>
          <t>Baie Maron</t>
        </is>
      </c>
      <c r="E2105" s="33" t="inlineStr">
        <is>
          <t>Baie Sitrus</t>
        </is>
      </c>
      <c r="F2105" s="33" t="inlineStr">
        <is>
          <t>Restes</t>
        </is>
      </c>
      <c r="G2105" s="33" t="n"/>
      <c r="H2105" s="30" t="inlineStr">
        <is>
          <t>Oui</t>
        </is>
      </c>
    </row>
    <row r="2106">
      <c r="A2106" s="31" t="inlineStr">
        <is>
          <t>Talent</t>
        </is>
      </c>
      <c r="B2106" s="33" t="inlineStr">
        <is>
          <t>Mue</t>
        </is>
      </c>
      <c r="C2106" s="33" t="inlineStr">
        <is>
          <t>Intimidation</t>
        </is>
      </c>
      <c r="D2106" s="33" t="inlineStr">
        <is>
          <t>Absorbe-Eau</t>
        </is>
      </c>
      <c r="E2106" s="33" t="inlineStr">
        <is>
          <t>Sérénité</t>
        </is>
      </c>
      <c r="F2106" s="33" t="inlineStr">
        <is>
          <t>Glissade</t>
        </is>
      </c>
      <c r="G2106" s="33" t="n"/>
      <c r="H2106" s="30" t="inlineStr">
        <is>
          <t>Oui</t>
        </is>
      </c>
    </row>
    <row r="2107">
      <c r="A2107" s="31" t="inlineStr">
        <is>
          <t>Capacités</t>
        </is>
      </c>
      <c r="B2107" s="34" t="inlineStr">
        <is>
          <t>Cage Éclair</t>
        </is>
      </c>
      <c r="C2107" s="34" t="inlineStr">
        <is>
          <t>Morsure</t>
        </is>
      </c>
      <c r="D2107" s="34" t="inlineStr">
        <is>
          <t>Saumure</t>
        </is>
      </c>
      <c r="E2107" s="34" t="inlineStr">
        <is>
          <t>Regard Médusant</t>
        </is>
      </c>
      <c r="F2107" s="34" t="inlineStr">
        <is>
          <t>Hâte</t>
        </is>
      </c>
      <c r="G2107" s="34" t="n"/>
      <c r="H2107" s="30" t="inlineStr">
        <is>
          <t>Oui</t>
        </is>
      </c>
    </row>
    <row r="2108">
      <c r="A2108" s="31" t="n"/>
      <c r="B2108" s="34" t="inlineStr">
        <is>
          <t>Tonnerre</t>
        </is>
      </c>
      <c r="C2108" s="34" t="inlineStr">
        <is>
          <t>Cascade</t>
        </is>
      </c>
      <c r="D2108" s="34" t="inlineStr">
        <is>
          <t>Laser Glace</t>
        </is>
      </c>
      <c r="E2108" s="34" t="inlineStr">
        <is>
          <t>Pouvoir Antique</t>
        </is>
      </c>
      <c r="F2108" s="34" t="inlineStr">
        <is>
          <t>Surf</t>
        </is>
      </c>
      <c r="G2108" s="34" t="n"/>
      <c r="H2108" s="30" t="inlineStr">
        <is>
          <t>Oui</t>
        </is>
      </c>
    </row>
    <row r="2109">
      <c r="A2109" s="31" t="n"/>
      <c r="B2109" s="34" t="inlineStr">
        <is>
          <t>Lance-Flammes</t>
        </is>
      </c>
      <c r="C2109" s="34" t="inlineStr">
        <is>
          <t>Vol</t>
        </is>
      </c>
      <c r="D2109" s="34" t="inlineStr">
        <is>
          <t>Plaquage</t>
        </is>
      </c>
      <c r="E2109" s="34" t="inlineStr">
        <is>
          <t>Repos</t>
        </is>
      </c>
      <c r="F2109" s="34" t="inlineStr">
        <is>
          <t>Ultralaser</t>
        </is>
      </c>
      <c r="G2109" s="34" t="n"/>
      <c r="H2109" s="30" t="inlineStr">
        <is>
          <t>Oui</t>
        </is>
      </c>
    </row>
    <row r="2110">
      <c r="A2110" s="31" t="n"/>
      <c r="B2110" s="34" t="inlineStr">
        <is>
          <t>Draco-Queue</t>
        </is>
      </c>
      <c r="C2110" s="34" t="inlineStr">
        <is>
          <t>Crocs Givre</t>
        </is>
      </c>
      <c r="D2110" s="34" t="inlineStr">
        <is>
          <t>Repos</t>
        </is>
      </c>
      <c r="E2110" s="34" t="inlineStr">
        <is>
          <t>Direct Toxik</t>
        </is>
      </c>
      <c r="F2110" s="34" t="inlineStr">
        <is>
          <t>Draco-Choc</t>
        </is>
      </c>
      <c r="G2110" s="34" t="n"/>
      <c r="H2110" s="30" t="inlineStr">
        <is>
          <t>Oui</t>
        </is>
      </c>
    </row>
    <row r="2111" ht="18" customHeight="1">
      <c r="A2111" s="26" t="inlineStr">
        <is>
          <t>Antre du Dragon</t>
        </is>
      </c>
      <c r="B2111" s="26" t="n"/>
      <c r="C2111" s="26" t="n"/>
      <c r="D2111" s="26" t="n"/>
      <c r="E2111" s="26" t="n"/>
      <c r="F2111" s="26" t="n"/>
      <c r="G2111" s="26" t="n"/>
      <c r="H2111" s="30" t="inlineStr">
        <is>
          <t>Oui</t>
        </is>
      </c>
    </row>
    <row r="2112">
      <c r="A2112" s="31" t="inlineStr">
        <is>
          <t>Nom</t>
        </is>
      </c>
      <c r="B2112" s="32" t="inlineStr">
        <is>
          <t>Dracologue Darin</t>
        </is>
      </c>
      <c r="C2112" s="32" t="n"/>
      <c r="D2112" s="32" t="n"/>
      <c r="E2112" s="32" t="n"/>
      <c r="F2112" s="32" t="n"/>
      <c r="G2112" s="32" t="n"/>
      <c r="H2112" s="30" t="inlineStr">
        <is>
          <t>Oui</t>
        </is>
      </c>
    </row>
    <row r="2113">
      <c r="A2113" s="31" t="inlineStr">
        <is>
          <t>Pokémon</t>
        </is>
      </c>
      <c r="B2113" s="33" t="inlineStr">
        <is>
          <t>DRACO</t>
        </is>
      </c>
      <c r="C2113" s="33" t="inlineStr">
        <is>
          <t>DRACO</t>
        </is>
      </c>
      <c r="D2113" s="33" t="inlineStr">
        <is>
          <t>DRACO</t>
        </is>
      </c>
      <c r="E2113" s="33" t="inlineStr">
        <is>
          <t>DRACO</t>
        </is>
      </c>
      <c r="F2113" s="33" t="n"/>
      <c r="G2113" s="33" t="n"/>
      <c r="H2113" s="30" t="inlineStr">
        <is>
          <t>Oui</t>
        </is>
      </c>
    </row>
    <row r="2114">
      <c r="A2114" s="31" t="inlineStr">
        <is>
          <t>Niveau</t>
        </is>
      </c>
      <c r="B2114" s="33" t="n">
        <v>42</v>
      </c>
      <c r="C2114" s="33" t="n">
        <v>42</v>
      </c>
      <c r="D2114" s="33" t="n">
        <v>42</v>
      </c>
      <c r="E2114" s="33" t="n">
        <v>42</v>
      </c>
      <c r="F2114" s="33" t="n"/>
      <c r="G2114" s="33" t="n"/>
      <c r="H2114" s="30" t="inlineStr">
        <is>
          <t>Oui</t>
        </is>
      </c>
    </row>
    <row r="2115">
      <c r="A2115" s="31" t="inlineStr">
        <is>
          <t>Objet</t>
        </is>
      </c>
      <c r="B2115" s="33" t="inlineStr">
        <is>
          <t>Aucun</t>
        </is>
      </c>
      <c r="C2115" s="33" t="inlineStr">
        <is>
          <t>Aucun</t>
        </is>
      </c>
      <c r="D2115" s="33" t="inlineStr">
        <is>
          <t>Aucun</t>
        </is>
      </c>
      <c r="E2115" s="33" t="inlineStr">
        <is>
          <t>Aucun</t>
        </is>
      </c>
      <c r="F2115" s="33" t="n"/>
      <c r="G2115" s="33" t="n"/>
      <c r="H2115" s="30" t="inlineStr">
        <is>
          <t>Oui</t>
        </is>
      </c>
    </row>
    <row r="2116">
      <c r="A2116" s="31" t="inlineStr">
        <is>
          <t>Talent</t>
        </is>
      </c>
      <c r="B2116" s="33" t="inlineStr">
        <is>
          <t>Mue</t>
        </is>
      </c>
      <c r="C2116" s="33" t="inlineStr">
        <is>
          <t>Mue</t>
        </is>
      </c>
      <c r="D2116" s="33" t="inlineStr">
        <is>
          <t>Mue</t>
        </is>
      </c>
      <c r="E2116" s="33" t="inlineStr">
        <is>
          <t>Mue</t>
        </is>
      </c>
      <c r="F2116" s="33" t="n"/>
      <c r="G2116" s="33" t="n"/>
      <c r="H2116" s="30" t="inlineStr">
        <is>
          <t>Oui</t>
        </is>
      </c>
    </row>
    <row r="2117">
      <c r="A2117" s="31" t="inlineStr">
        <is>
          <t>Capacités</t>
        </is>
      </c>
      <c r="B2117" s="34" t="inlineStr">
        <is>
          <t>Souplesse</t>
        </is>
      </c>
      <c r="C2117" s="34" t="inlineStr">
        <is>
          <t>Souplesse</t>
        </is>
      </c>
      <c r="D2117" s="34" t="inlineStr">
        <is>
          <t>Souplesse</t>
        </is>
      </c>
      <c r="E2117" s="34" t="inlineStr">
        <is>
          <t>Souplesse</t>
        </is>
      </c>
      <c r="F2117" s="34" t="n"/>
      <c r="G2117" s="34" t="n"/>
      <c r="H2117" s="30" t="inlineStr">
        <is>
          <t>Oui</t>
        </is>
      </c>
    </row>
    <row r="2118">
      <c r="A2118" s="31" t="n"/>
      <c r="B2118" s="34" t="inlineStr">
        <is>
          <t>Hâte</t>
        </is>
      </c>
      <c r="C2118" s="34" t="inlineStr">
        <is>
          <t>Hâte</t>
        </is>
      </c>
      <c r="D2118" s="34" t="inlineStr">
        <is>
          <t>Hâte</t>
        </is>
      </c>
      <c r="E2118" s="34" t="inlineStr">
        <is>
          <t>Hâte</t>
        </is>
      </c>
      <c r="F2118" s="34" t="n"/>
      <c r="G2118" s="34" t="n"/>
      <c r="H2118" s="30" t="inlineStr">
        <is>
          <t>Oui</t>
        </is>
      </c>
    </row>
    <row r="2119">
      <c r="A2119" s="31" t="n"/>
      <c r="B2119" s="34" t="inlineStr">
        <is>
          <t>Draco-Queue</t>
        </is>
      </c>
      <c r="C2119" s="34" t="inlineStr">
        <is>
          <t>Draco-Queue</t>
        </is>
      </c>
      <c r="D2119" s="34" t="inlineStr">
        <is>
          <t>Draco-Queue</t>
        </is>
      </c>
      <c r="E2119" s="34" t="inlineStr">
        <is>
          <t>Draco-Queue</t>
        </is>
      </c>
      <c r="F2119" s="34" t="n"/>
      <c r="G2119" s="34" t="n"/>
      <c r="H2119" s="30" t="inlineStr">
        <is>
          <t>Oui</t>
        </is>
      </c>
    </row>
    <row r="2120">
      <c r="A2120" s="31" t="n"/>
      <c r="B2120" s="34" t="inlineStr">
        <is>
          <t>Hydro-Queue</t>
        </is>
      </c>
      <c r="C2120" s="34" t="inlineStr">
        <is>
          <t>Hydro-Queue</t>
        </is>
      </c>
      <c r="D2120" s="34" t="inlineStr">
        <is>
          <t>Hydro-Queue</t>
        </is>
      </c>
      <c r="E2120" s="34" t="inlineStr">
        <is>
          <t>Hydro-Queue</t>
        </is>
      </c>
      <c r="F2120" s="34" t="n"/>
      <c r="G2120" s="34" t="n"/>
      <c r="H2120" s="30" t="inlineStr">
        <is>
          <t>Oui</t>
        </is>
      </c>
    </row>
    <row r="2121">
      <c r="A2121" s="31" t="inlineStr">
        <is>
          <t>Nom</t>
        </is>
      </c>
      <c r="B2121" s="32" t="inlineStr">
        <is>
          <t>Topdresseur Cara</t>
        </is>
      </c>
      <c r="C2121" s="32" t="n"/>
      <c r="D2121" s="32" t="n"/>
      <c r="E2121" s="32" t="n"/>
      <c r="F2121" s="32" t="n"/>
      <c r="G2121" s="32" t="n"/>
      <c r="H2121" s="30" t="inlineStr">
        <is>
          <t>Oui</t>
        </is>
      </c>
    </row>
    <row r="2122">
      <c r="A2122" s="31" t="inlineStr">
        <is>
          <t>Pokémon</t>
        </is>
      </c>
      <c r="B2122" s="33" t="inlineStr">
        <is>
          <t>HYPOCEAN</t>
        </is>
      </c>
      <c r="C2122" s="33" t="inlineStr">
        <is>
          <t>HYPOCEAN</t>
        </is>
      </c>
      <c r="D2122" s="33" t="inlineStr">
        <is>
          <t>LEVIATOR</t>
        </is>
      </c>
      <c r="E2122" s="33" t="n"/>
      <c r="F2122" s="33" t="n"/>
      <c r="G2122" s="33" t="n"/>
      <c r="H2122" s="30" t="inlineStr">
        <is>
          <t>Oui</t>
        </is>
      </c>
    </row>
    <row r="2123">
      <c r="A2123" s="31" t="inlineStr">
        <is>
          <t>Niveau</t>
        </is>
      </c>
      <c r="B2123" s="33" t="n">
        <v>40</v>
      </c>
      <c r="C2123" s="33" t="n">
        <v>41</v>
      </c>
      <c r="D2123" s="33" t="n">
        <v>42</v>
      </c>
      <c r="E2123" s="33" t="n"/>
      <c r="F2123" s="33" t="n"/>
      <c r="G2123" s="33" t="n"/>
      <c r="H2123" s="30" t="inlineStr">
        <is>
          <t>Oui</t>
        </is>
      </c>
    </row>
    <row r="2124">
      <c r="A2124" s="31" t="inlineStr">
        <is>
          <t>Objet</t>
        </is>
      </c>
      <c r="B2124" s="33" t="inlineStr">
        <is>
          <t>Aucun</t>
        </is>
      </c>
      <c r="C2124" s="33" t="inlineStr">
        <is>
          <t>Aucun</t>
        </is>
      </c>
      <c r="D2124" s="33" t="inlineStr">
        <is>
          <t>Aucun</t>
        </is>
      </c>
      <c r="E2124" s="33" t="n"/>
      <c r="F2124" s="33" t="n"/>
      <c r="G2124" s="33" t="n"/>
      <c r="H2124" s="30" t="inlineStr">
        <is>
          <t>Oui</t>
        </is>
      </c>
    </row>
    <row r="2125">
      <c r="A2125" s="31" t="inlineStr">
        <is>
          <t>Talent</t>
        </is>
      </c>
      <c r="B2125" s="33" t="inlineStr">
        <is>
          <t>Point Poison</t>
        </is>
      </c>
      <c r="C2125" s="33" t="inlineStr">
        <is>
          <t>Point Poison</t>
        </is>
      </c>
      <c r="D2125" s="33" t="inlineStr">
        <is>
          <t>Intimidation</t>
        </is>
      </c>
      <c r="E2125" s="33" t="n"/>
      <c r="F2125" s="33" t="n"/>
      <c r="G2125" s="33" t="n"/>
      <c r="H2125" s="30" t="inlineStr">
        <is>
          <t>Oui</t>
        </is>
      </c>
    </row>
    <row r="2126">
      <c r="A2126" s="31" t="inlineStr">
        <is>
          <t>Capacités</t>
        </is>
      </c>
      <c r="B2126" s="34" t="inlineStr">
        <is>
          <t>Bulles d'O</t>
        </is>
      </c>
      <c r="C2126" s="34" t="inlineStr">
        <is>
          <t>Bulles d'O</t>
        </is>
      </c>
      <c r="D2126" s="34" t="inlineStr">
        <is>
          <t>Grimace</t>
        </is>
      </c>
      <c r="E2126" s="34" t="n"/>
      <c r="F2126" s="34" t="n"/>
      <c r="G2126" s="34" t="n"/>
      <c r="H2126" s="30" t="inlineStr">
        <is>
          <t>Oui</t>
        </is>
      </c>
    </row>
    <row r="2127">
      <c r="A2127" s="31" t="n"/>
      <c r="B2127" s="34" t="inlineStr">
        <is>
          <t>Puissance</t>
        </is>
      </c>
      <c r="C2127" s="34" t="inlineStr">
        <is>
          <t>Puissance</t>
        </is>
      </c>
      <c r="D2127" s="34" t="inlineStr">
        <is>
          <t>Draco-Rage</t>
        </is>
      </c>
      <c r="E2127" s="34" t="n"/>
      <c r="F2127" s="34" t="n"/>
      <c r="G2127" s="34" t="n"/>
      <c r="H2127" s="30" t="inlineStr">
        <is>
          <t>Oui</t>
        </is>
      </c>
    </row>
    <row r="2128">
      <c r="A2128" s="31" t="n"/>
      <c r="B2128" s="34" t="inlineStr">
        <is>
          <t>Saumure</t>
        </is>
      </c>
      <c r="C2128" s="34" t="inlineStr">
        <is>
          <t>Saumure</t>
        </is>
      </c>
      <c r="D2128" s="34" t="inlineStr">
        <is>
          <t>Mâchouille</t>
        </is>
      </c>
      <c r="E2128" s="34" t="n"/>
      <c r="F2128" s="34" t="n"/>
      <c r="G2128" s="34" t="n"/>
      <c r="H2128" s="30" t="inlineStr">
        <is>
          <t>Oui</t>
        </is>
      </c>
    </row>
    <row r="2129">
      <c r="A2129" s="31" t="n"/>
      <c r="B2129" s="34" t="inlineStr">
        <is>
          <t>Hâte</t>
        </is>
      </c>
      <c r="C2129" s="34" t="inlineStr">
        <is>
          <t>Hâte</t>
        </is>
      </c>
      <c r="D2129" s="34" t="inlineStr">
        <is>
          <t>Hydrocanon</t>
        </is>
      </c>
      <c r="E2129" s="34" t="n"/>
      <c r="F2129" s="34" t="n"/>
      <c r="G2129" s="34" t="n"/>
      <c r="H2129" s="30" t="inlineStr">
        <is>
          <t>Oui</t>
        </is>
      </c>
    </row>
    <row r="2130">
      <c r="A2130" s="31" t="inlineStr">
        <is>
          <t>Nom</t>
        </is>
      </c>
      <c r="B2130" s="32" t="inlineStr">
        <is>
          <t>Jumelles Lea&amp;Pia (combat double)</t>
        </is>
      </c>
      <c r="C2130" s="32" t="n"/>
      <c r="D2130" s="32" t="n"/>
      <c r="E2130" s="32" t="n"/>
      <c r="F2130" s="32" t="n"/>
      <c r="G2130" s="32" t="n"/>
      <c r="H2130" s="30" t="inlineStr">
        <is>
          <t>Oui</t>
        </is>
      </c>
    </row>
    <row r="2131">
      <c r="A2131" s="31" t="inlineStr">
        <is>
          <t>Pokémon</t>
        </is>
      </c>
      <c r="B2131" s="33" t="inlineStr">
        <is>
          <t>DRACO</t>
        </is>
      </c>
      <c r="C2131" s="33" t="inlineStr">
        <is>
          <t>LEVIATOR</t>
        </is>
      </c>
      <c r="D2131" s="33" t="inlineStr">
        <is>
          <t>DRACO</t>
        </is>
      </c>
      <c r="E2131" s="33" t="inlineStr">
        <is>
          <t>LEVIATOR</t>
        </is>
      </c>
      <c r="F2131" s="33" t="n"/>
      <c r="G2131" s="33" t="n"/>
      <c r="H2131" s="30" t="inlineStr">
        <is>
          <t>Oui</t>
        </is>
      </c>
    </row>
    <row r="2132">
      <c r="A2132" s="31" t="inlineStr">
        <is>
          <t>Niveau</t>
        </is>
      </c>
      <c r="B2132" s="33" t="n">
        <v>41</v>
      </c>
      <c r="C2132" s="33" t="n">
        <v>42</v>
      </c>
      <c r="D2132" s="33" t="n">
        <v>41</v>
      </c>
      <c r="E2132" s="33" t="n">
        <v>42</v>
      </c>
      <c r="F2132" s="33" t="n"/>
      <c r="G2132" s="33" t="n"/>
      <c r="H2132" s="30" t="inlineStr">
        <is>
          <t>Oui</t>
        </is>
      </c>
    </row>
    <row r="2133">
      <c r="A2133" s="31" t="inlineStr">
        <is>
          <t>Objet</t>
        </is>
      </c>
      <c r="B2133" s="33" t="inlineStr">
        <is>
          <t>Aucun</t>
        </is>
      </c>
      <c r="C2133" s="33" t="inlineStr">
        <is>
          <t>Aucun</t>
        </is>
      </c>
      <c r="D2133" s="33" t="inlineStr">
        <is>
          <t>Aucun</t>
        </is>
      </c>
      <c r="E2133" s="33" t="inlineStr">
        <is>
          <t>Aucun</t>
        </is>
      </c>
      <c r="F2133" s="33" t="n"/>
      <c r="G2133" s="33" t="n"/>
      <c r="H2133" s="30" t="inlineStr">
        <is>
          <t>Oui</t>
        </is>
      </c>
    </row>
    <row r="2134">
      <c r="A2134" s="31" t="inlineStr">
        <is>
          <t>Talent</t>
        </is>
      </c>
      <c r="B2134" s="33" t="inlineStr">
        <is>
          <t>Mue</t>
        </is>
      </c>
      <c r="C2134" s="33" t="inlineStr">
        <is>
          <t>Intimidation</t>
        </is>
      </c>
      <c r="D2134" s="33" t="inlineStr">
        <is>
          <t>Mue</t>
        </is>
      </c>
      <c r="E2134" s="33" t="inlineStr">
        <is>
          <t>Intimidation</t>
        </is>
      </c>
      <c r="F2134" s="33" t="n"/>
      <c r="G2134" s="33" t="n"/>
      <c r="H2134" s="30" t="inlineStr">
        <is>
          <t>Oui</t>
        </is>
      </c>
    </row>
    <row r="2135">
      <c r="A2135" s="31" t="inlineStr">
        <is>
          <t>Capacités</t>
        </is>
      </c>
      <c r="B2135" s="34" t="inlineStr">
        <is>
          <t>Souplesse</t>
        </is>
      </c>
      <c r="C2135" s="34" t="inlineStr">
        <is>
          <t>Grimace</t>
        </is>
      </c>
      <c r="D2135" s="34" t="inlineStr">
        <is>
          <t>Souplesse</t>
        </is>
      </c>
      <c r="E2135" s="34" t="inlineStr">
        <is>
          <t>Grimace</t>
        </is>
      </c>
      <c r="F2135" s="34" t="n"/>
      <c r="G2135" s="34" t="n"/>
      <c r="H2135" s="30" t="inlineStr">
        <is>
          <t>Oui</t>
        </is>
      </c>
    </row>
    <row r="2136">
      <c r="A2136" s="31" t="n"/>
      <c r="B2136" s="34" t="inlineStr">
        <is>
          <t>Hâte</t>
        </is>
      </c>
      <c r="C2136" s="34" t="inlineStr">
        <is>
          <t>Draco-Rage</t>
        </is>
      </c>
      <c r="D2136" s="34" t="inlineStr">
        <is>
          <t>Hâte</t>
        </is>
      </c>
      <c r="E2136" s="34" t="inlineStr">
        <is>
          <t>Draco-Rage</t>
        </is>
      </c>
      <c r="F2136" s="34" t="n"/>
      <c r="G2136" s="34" t="n"/>
      <c r="H2136" s="30" t="inlineStr">
        <is>
          <t>Oui</t>
        </is>
      </c>
    </row>
    <row r="2137">
      <c r="A2137" s="31" t="n"/>
      <c r="B2137" s="34" t="inlineStr">
        <is>
          <t>Draco-Queue</t>
        </is>
      </c>
      <c r="C2137" s="34" t="inlineStr">
        <is>
          <t>Mâchouille</t>
        </is>
      </c>
      <c r="D2137" s="34" t="inlineStr">
        <is>
          <t>Draco-Queue</t>
        </is>
      </c>
      <c r="E2137" s="34" t="inlineStr">
        <is>
          <t>Mâchouille</t>
        </is>
      </c>
      <c r="F2137" s="34" t="n"/>
      <c r="G2137" s="34" t="n"/>
      <c r="H2137" s="30" t="inlineStr">
        <is>
          <t>Oui</t>
        </is>
      </c>
    </row>
    <row r="2138">
      <c r="A2138" s="31" t="n"/>
      <c r="B2138" s="34" t="inlineStr">
        <is>
          <t>Hydro-Queue</t>
        </is>
      </c>
      <c r="C2138" s="34" t="inlineStr">
        <is>
          <t>Hydrocanon</t>
        </is>
      </c>
      <c r="D2138" s="34" t="inlineStr">
        <is>
          <t>Hydro-Queue</t>
        </is>
      </c>
      <c r="E2138" s="34" t="inlineStr">
        <is>
          <t>Hydrocanon</t>
        </is>
      </c>
      <c r="F2138" s="34" t="n"/>
      <c r="G2138" s="34" t="n"/>
      <c r="H2138" s="30" t="inlineStr">
        <is>
          <t>Oui</t>
        </is>
      </c>
    </row>
    <row r="2139" ht="18" customHeight="1">
      <c r="A2139" s="26" t="inlineStr">
        <is>
          <t>Route 45</t>
        </is>
      </c>
      <c r="B2139" s="26" t="n"/>
      <c r="C2139" s="26" t="n"/>
      <c r="D2139" s="26" t="n"/>
      <c r="E2139" s="26" t="n"/>
      <c r="F2139" s="26" t="n"/>
      <c r="G2139" s="26" t="n"/>
      <c r="H2139" s="30" t="inlineStr">
        <is>
          <t>Oui</t>
        </is>
      </c>
    </row>
    <row r="2140">
      <c r="A2140" s="31" t="inlineStr">
        <is>
          <t>Nom</t>
        </is>
      </c>
      <c r="B2140" s="32" t="inlineStr">
        <is>
          <t>Montagnard Juste</t>
        </is>
      </c>
      <c r="C2140" s="32" t="n"/>
      <c r="D2140" s="32" t="n"/>
      <c r="E2140" s="32" t="n"/>
      <c r="F2140" s="32" t="n"/>
      <c r="G2140" s="32" t="n"/>
      <c r="H2140" s="30" t="inlineStr">
        <is>
          <t>Oui</t>
        </is>
      </c>
    </row>
    <row r="2141">
      <c r="A2141" s="31" t="inlineStr">
        <is>
          <t>Pokémon</t>
        </is>
      </c>
      <c r="B2141" s="33" t="inlineStr">
        <is>
          <t>MACHOPEUR</t>
        </is>
      </c>
      <c r="C2141" s="33" t="inlineStr">
        <is>
          <t>GROLEM</t>
        </is>
      </c>
      <c r="D2141" s="33" t="inlineStr">
        <is>
          <t>KANGOUREX</t>
        </is>
      </c>
      <c r="E2141" s="33" t="n"/>
      <c r="F2141" s="33" t="n"/>
      <c r="G2141" s="33" t="n"/>
      <c r="H2141" s="30" t="inlineStr">
        <is>
          <t>Oui</t>
        </is>
      </c>
    </row>
    <row r="2142">
      <c r="A2142" s="31" t="inlineStr">
        <is>
          <t>Niveau</t>
        </is>
      </c>
      <c r="B2142" s="33" t="n">
        <v>37</v>
      </c>
      <c r="C2142" s="33" t="n">
        <v>38</v>
      </c>
      <c r="D2142" s="33" t="n">
        <v>37</v>
      </c>
      <c r="E2142" s="33" t="n"/>
      <c r="F2142" s="33" t="n"/>
      <c r="G2142" s="33" t="n"/>
      <c r="H2142" s="30" t="inlineStr">
        <is>
          <t>Oui</t>
        </is>
      </c>
    </row>
    <row r="2143">
      <c r="A2143" s="31" t="inlineStr">
        <is>
          <t>Objet</t>
        </is>
      </c>
      <c r="B2143" s="33" t="inlineStr">
        <is>
          <t>Aucun</t>
        </is>
      </c>
      <c r="C2143" s="33" t="inlineStr">
        <is>
          <t>Aucun</t>
        </is>
      </c>
      <c r="D2143" s="33" t="inlineStr">
        <is>
          <t>Aucun</t>
        </is>
      </c>
      <c r="E2143" s="33" t="n"/>
      <c r="F2143" s="33" t="n"/>
      <c r="G2143" s="33" t="n"/>
      <c r="H2143" s="30" t="inlineStr">
        <is>
          <t>Oui</t>
        </is>
      </c>
    </row>
    <row r="2144">
      <c r="A2144" s="31" t="inlineStr">
        <is>
          <t>Talent</t>
        </is>
      </c>
      <c r="B2144" s="33" t="inlineStr">
        <is>
          <t>Cran</t>
        </is>
      </c>
      <c r="C2144" s="33" t="inlineStr">
        <is>
          <t>Tête de Roc</t>
        </is>
      </c>
      <c r="D2144" s="33" t="inlineStr">
        <is>
          <t>Matinal</t>
        </is>
      </c>
      <c r="E2144" s="33" t="n"/>
      <c r="F2144" s="33" t="n"/>
      <c r="G2144" s="33" t="n"/>
      <c r="H2144" s="30" t="inlineStr">
        <is>
          <t>Oui</t>
        </is>
      </c>
    </row>
    <row r="2145">
      <c r="A2145" s="31" t="inlineStr">
        <is>
          <t>Capacités</t>
        </is>
      </c>
      <c r="B2145" s="34" t="inlineStr">
        <is>
          <t>Corps Perdu</t>
        </is>
      </c>
      <c r="C2145" s="34" t="inlineStr">
        <is>
          <t>Piétisol</t>
        </is>
      </c>
      <c r="D2145" s="34" t="inlineStr">
        <is>
          <t>Ultimapoing</t>
        </is>
      </c>
      <c r="E2145" s="34" t="n"/>
      <c r="F2145" s="34" t="n"/>
      <c r="G2145" s="34" t="n"/>
      <c r="H2145" s="30" t="inlineStr">
        <is>
          <t>Oui</t>
        </is>
      </c>
    </row>
    <row r="2146">
      <c r="A2146" s="31" t="n"/>
      <c r="B2146" s="34" t="inlineStr">
        <is>
          <t>Réveil Forcé</t>
        </is>
      </c>
      <c r="C2146" s="34" t="inlineStr">
        <is>
          <t>Destruction</t>
        </is>
      </c>
      <c r="D2146" s="34" t="inlineStr">
        <is>
          <t>Attrition</t>
        </is>
      </c>
      <c r="E2146" s="34" t="n"/>
      <c r="F2146" s="34" t="n"/>
      <c r="G2146" s="34" t="n"/>
      <c r="H2146" s="30" t="inlineStr">
        <is>
          <t>Oui</t>
        </is>
      </c>
    </row>
    <row r="2147">
      <c r="A2147" s="31" t="n"/>
      <c r="B2147" s="34" t="inlineStr">
        <is>
          <t>Double Baffe</t>
        </is>
      </c>
      <c r="C2147" s="34" t="inlineStr">
        <is>
          <t>Piège de Roc</t>
        </is>
      </c>
      <c r="D2147" s="34" t="inlineStr">
        <is>
          <t>Uppercut</t>
        </is>
      </c>
      <c r="E2147" s="34" t="n"/>
      <c r="F2147" s="34" t="n"/>
      <c r="G2147" s="34" t="n"/>
      <c r="H2147" s="30" t="inlineStr">
        <is>
          <t>Oui</t>
        </is>
      </c>
    </row>
    <row r="2148">
      <c r="A2148" s="31" t="n"/>
      <c r="B2148" s="34" t="inlineStr">
        <is>
          <t>Sacrifice</t>
        </is>
      </c>
      <c r="C2148" s="34" t="inlineStr">
        <is>
          <t>Boule Roc</t>
        </is>
      </c>
      <c r="D2148" s="34" t="inlineStr">
        <is>
          <t>Mâchouille</t>
        </is>
      </c>
      <c r="E2148" s="34" t="n"/>
      <c r="F2148" s="34" t="n"/>
      <c r="G2148" s="34" t="n"/>
      <c r="H2148" s="30" t="inlineStr">
        <is>
          <t>Oui</t>
        </is>
      </c>
    </row>
    <row r="2149">
      <c r="A2149" s="31" t="inlineStr">
        <is>
          <t>Nom</t>
        </is>
      </c>
      <c r="B2149" s="32" t="inlineStr">
        <is>
          <t>Montagnard Lucien</t>
        </is>
      </c>
      <c r="C2149" s="32" t="n"/>
      <c r="D2149" s="32" t="n"/>
      <c r="E2149" s="32" t="n"/>
      <c r="F2149" s="32" t="n"/>
      <c r="G2149" s="32" t="n"/>
      <c r="H2149" s="30" t="inlineStr">
        <is>
          <t>Oui</t>
        </is>
      </c>
    </row>
    <row r="2150">
      <c r="A2150" s="31" t="inlineStr">
        <is>
          <t>Pokémon</t>
        </is>
      </c>
      <c r="B2150" s="33" t="inlineStr">
        <is>
          <t>RHINOCORNE</t>
        </is>
      </c>
      <c r="C2150" s="33" t="inlineStr">
        <is>
          <t>DONPHAN</t>
        </is>
      </c>
      <c r="D2150" s="33" t="inlineStr">
        <is>
          <t>GROLEM</t>
        </is>
      </c>
      <c r="E2150" s="33" t="n"/>
      <c r="F2150" s="33" t="n"/>
      <c r="G2150" s="33" t="n"/>
      <c r="H2150" s="30" t="inlineStr">
        <is>
          <t>Oui</t>
        </is>
      </c>
    </row>
    <row r="2151">
      <c r="A2151" s="31" t="inlineStr">
        <is>
          <t>Niveau</t>
        </is>
      </c>
      <c r="B2151" s="33" t="n">
        <v>38</v>
      </c>
      <c r="C2151" s="33" t="n">
        <v>38</v>
      </c>
      <c r="D2151" s="33" t="n">
        <v>38</v>
      </c>
      <c r="E2151" s="33" t="n"/>
      <c r="F2151" s="33" t="n"/>
      <c r="G2151" s="33" t="n"/>
      <c r="H2151" s="30" t="inlineStr">
        <is>
          <t>Oui</t>
        </is>
      </c>
    </row>
    <row r="2152">
      <c r="A2152" s="31" t="inlineStr">
        <is>
          <t>Objet</t>
        </is>
      </c>
      <c r="B2152" s="33" t="inlineStr">
        <is>
          <t>Aucun</t>
        </is>
      </c>
      <c r="C2152" s="33" t="inlineStr">
        <is>
          <t>Aucun</t>
        </is>
      </c>
      <c r="D2152" s="33" t="inlineStr">
        <is>
          <t>Aucun</t>
        </is>
      </c>
      <c r="E2152" s="33" t="n"/>
      <c r="F2152" s="33" t="n"/>
      <c r="G2152" s="33" t="n"/>
      <c r="H2152" s="30" t="inlineStr">
        <is>
          <t>Oui</t>
        </is>
      </c>
    </row>
    <row r="2153">
      <c r="A2153" s="31" t="inlineStr">
        <is>
          <t>Talent</t>
        </is>
      </c>
      <c r="B2153" s="33" t="inlineStr">
        <is>
          <t>Paratonnerre</t>
        </is>
      </c>
      <c r="C2153" s="33" t="inlineStr">
        <is>
          <t>Fermeté</t>
        </is>
      </c>
      <c r="D2153" s="33" t="inlineStr">
        <is>
          <t>Tête de Roc</t>
        </is>
      </c>
      <c r="E2153" s="33" t="n"/>
      <c r="F2153" s="33" t="n"/>
      <c r="G2153" s="33" t="n"/>
      <c r="H2153" s="30" t="inlineStr">
        <is>
          <t>Oui</t>
        </is>
      </c>
    </row>
    <row r="2154">
      <c r="A2154" s="31" t="inlineStr">
        <is>
          <t>Capacités</t>
        </is>
      </c>
      <c r="B2154" s="34" t="inlineStr">
        <is>
          <t>Attrition</t>
        </is>
      </c>
      <c r="C2154" s="34" t="inlineStr">
        <is>
          <t>Sabotage</t>
        </is>
      </c>
      <c r="D2154" s="34" t="inlineStr">
        <is>
          <t>Piétisol</t>
        </is>
      </c>
      <c r="E2154" s="34" t="n"/>
      <c r="F2154" s="34" t="n"/>
      <c r="G2154" s="34" t="n"/>
      <c r="H2154" s="30" t="inlineStr">
        <is>
          <t>Oui</t>
        </is>
      </c>
    </row>
    <row r="2155">
      <c r="A2155" s="31" t="n"/>
      <c r="B2155" s="34" t="inlineStr">
        <is>
          <t>Boule Roc</t>
        </is>
      </c>
      <c r="C2155" s="34" t="inlineStr">
        <is>
          <t>Souplesse</t>
        </is>
      </c>
      <c r="D2155" s="34" t="inlineStr">
        <is>
          <t>Destruction</t>
        </is>
      </c>
      <c r="E2155" s="34" t="n"/>
      <c r="F2155" s="34" t="n"/>
      <c r="G2155" s="34" t="n"/>
      <c r="H2155" s="30" t="inlineStr">
        <is>
          <t>Oui</t>
        </is>
      </c>
    </row>
    <row r="2156">
      <c r="A2156" s="31" t="n"/>
      <c r="B2156" s="34" t="inlineStr">
        <is>
          <t>Tunnelier</t>
        </is>
      </c>
      <c r="C2156" s="34" t="inlineStr">
        <is>
          <t>Ampleur</t>
        </is>
      </c>
      <c r="D2156" s="34" t="inlineStr">
        <is>
          <t>Piège de Roc</t>
        </is>
      </c>
      <c r="E2156" s="34" t="n"/>
      <c r="F2156" s="34" t="n"/>
      <c r="G2156" s="34" t="n"/>
      <c r="H2156" s="30" t="inlineStr">
        <is>
          <t>Oui</t>
        </is>
      </c>
    </row>
    <row r="2157">
      <c r="A2157" s="31" t="n"/>
      <c r="B2157" s="34" t="inlineStr">
        <is>
          <t>Bélier</t>
        </is>
      </c>
      <c r="C2157" s="34" t="inlineStr">
        <is>
          <t>Grimace</t>
        </is>
      </c>
      <c r="D2157" s="34" t="inlineStr">
        <is>
          <t>Boule Roc</t>
        </is>
      </c>
      <c r="E2157" s="34" t="n"/>
      <c r="F2157" s="34" t="n"/>
      <c r="G2157" s="34" t="n"/>
      <c r="H2157" s="30" t="inlineStr">
        <is>
          <t>Oui</t>
        </is>
      </c>
    </row>
    <row r="2158">
      <c r="A2158" s="31" t="inlineStr">
        <is>
          <t>Nom</t>
        </is>
      </c>
      <c r="B2158" s="32" t="inlineStr">
        <is>
          <t>Montagnard Noa</t>
        </is>
      </c>
      <c r="C2158" s="32" t="n"/>
      <c r="D2158" s="32" t="n"/>
      <c r="E2158" s="32" t="n"/>
      <c r="F2158" s="32" t="n"/>
      <c r="G2158" s="32" t="n"/>
      <c r="H2158" s="30" t="inlineStr">
        <is>
          <t>Oui</t>
        </is>
      </c>
    </row>
    <row r="2159">
      <c r="A2159" s="31" t="inlineStr">
        <is>
          <t>Pokémon</t>
        </is>
      </c>
      <c r="B2159" s="33" t="inlineStr">
        <is>
          <t>COCHIGNON</t>
        </is>
      </c>
      <c r="C2159" s="33" t="inlineStr">
        <is>
          <t>TRIOPIKEUR</t>
        </is>
      </c>
      <c r="D2159" s="33" t="inlineStr">
        <is>
          <t>STEELIX</t>
        </is>
      </c>
      <c r="E2159" s="33" t="n"/>
      <c r="F2159" s="33" t="n"/>
      <c r="G2159" s="33" t="n"/>
      <c r="H2159" s="30" t="inlineStr">
        <is>
          <t>Oui</t>
        </is>
      </c>
    </row>
    <row r="2160">
      <c r="A2160" s="31" t="inlineStr">
        <is>
          <t>Niveau</t>
        </is>
      </c>
      <c r="B2160" s="33" t="n">
        <v>45</v>
      </c>
      <c r="C2160" s="33" t="n">
        <v>45</v>
      </c>
      <c r="D2160" s="33" t="n">
        <v>48</v>
      </c>
      <c r="E2160" s="33" t="n"/>
      <c r="F2160" s="33" t="n"/>
      <c r="G2160" s="33" t="n"/>
      <c r="H2160" s="30" t="inlineStr">
        <is>
          <t>Oui</t>
        </is>
      </c>
    </row>
    <row r="2161">
      <c r="A2161" s="31" t="inlineStr">
        <is>
          <t>Objet</t>
        </is>
      </c>
      <c r="B2161" s="33" t="inlineStr">
        <is>
          <t>Aucun</t>
        </is>
      </c>
      <c r="C2161" s="33" t="inlineStr">
        <is>
          <t>Aucun</t>
        </is>
      </c>
      <c r="D2161" s="33" t="inlineStr">
        <is>
          <t>Aucun</t>
        </is>
      </c>
      <c r="E2161" s="33" t="n"/>
      <c r="F2161" s="33" t="n"/>
      <c r="G2161" s="33" t="n"/>
      <c r="H2161" s="30" t="inlineStr">
        <is>
          <t>Oui</t>
        </is>
      </c>
    </row>
    <row r="2162">
      <c r="A2162" s="31" t="inlineStr">
        <is>
          <t>Talent</t>
        </is>
      </c>
      <c r="B2162" s="33" t="inlineStr">
        <is>
          <t>Benêt</t>
        </is>
      </c>
      <c r="C2162" s="33" t="inlineStr">
        <is>
          <t>Voile Sable</t>
        </is>
      </c>
      <c r="D2162" s="33" t="inlineStr">
        <is>
          <t>Tête de Roc</t>
        </is>
      </c>
      <c r="E2162" s="33" t="n"/>
      <c r="F2162" s="33" t="n"/>
      <c r="G2162" s="33" t="n"/>
      <c r="H2162" s="30" t="inlineStr">
        <is>
          <t>Oui</t>
        </is>
      </c>
    </row>
    <row r="2163">
      <c r="A2163" s="31" t="inlineStr">
        <is>
          <t>Capacités</t>
        </is>
      </c>
      <c r="B2163" s="34" t="inlineStr">
        <is>
          <t>Crocs Givre</t>
        </is>
      </c>
      <c r="C2163" s="34" t="inlineStr">
        <is>
          <t>Boue-Bombe</t>
        </is>
      </c>
      <c r="D2163" s="34" t="inlineStr">
        <is>
          <t>Mâchouille</t>
        </is>
      </c>
      <c r="E2163" s="34" t="n"/>
      <c r="F2163" s="34" t="n"/>
      <c r="G2163" s="34" t="n"/>
      <c r="H2163" s="30" t="inlineStr">
        <is>
          <t>Oui</t>
        </is>
      </c>
    </row>
    <row r="2164">
      <c r="A2164" s="31" t="n"/>
      <c r="B2164" s="34" t="inlineStr">
        <is>
          <t>Bélier</t>
        </is>
      </c>
      <c r="C2164" s="34" t="inlineStr">
        <is>
          <t>Telluriforce</t>
        </is>
      </c>
      <c r="D2164" s="34" t="inlineStr">
        <is>
          <t>Queue de Fer</t>
        </is>
      </c>
      <c r="E2164" s="34" t="n"/>
      <c r="F2164" s="34" t="n"/>
      <c r="G2164" s="34" t="n"/>
      <c r="H2164" s="30" t="inlineStr">
        <is>
          <t>Oui</t>
        </is>
      </c>
    </row>
    <row r="2165">
      <c r="A2165" s="31" t="n"/>
      <c r="B2165" s="34" t="inlineStr">
        <is>
          <t>Brume</t>
        </is>
      </c>
      <c r="C2165" s="34" t="inlineStr">
        <is>
          <t>Tunnel</t>
        </is>
      </c>
      <c r="D2165" s="34" t="inlineStr">
        <is>
          <t>Tunnel</t>
        </is>
      </c>
      <c r="E2165" s="34" t="n"/>
      <c r="F2165" s="34" t="n"/>
      <c r="G2165" s="34" t="n"/>
      <c r="H2165" s="30" t="inlineStr">
        <is>
          <t>Oui</t>
        </is>
      </c>
    </row>
    <row r="2166">
      <c r="A2166" s="31" t="n"/>
      <c r="B2166" s="34" t="inlineStr">
        <is>
          <t>Mania</t>
        </is>
      </c>
      <c r="C2166" s="34" t="inlineStr">
        <is>
          <t>Tranche</t>
        </is>
      </c>
      <c r="D2166" s="34" t="inlineStr">
        <is>
          <t>Lame de Roc</t>
        </is>
      </c>
      <c r="E2166" s="34" t="n"/>
      <c r="F2166" s="34" t="n"/>
      <c r="G2166" s="34" t="n"/>
      <c r="H2166" s="30" t="inlineStr">
        <is>
          <t>Oui</t>
        </is>
      </c>
    </row>
    <row r="2167">
      <c r="A2167" s="31" t="inlineStr">
        <is>
          <t>Nom</t>
        </is>
      </c>
      <c r="B2167" s="32" t="inlineStr">
        <is>
          <t>Montagnard Firmin</t>
        </is>
      </c>
      <c r="C2167" s="32" t="n"/>
      <c r="D2167" s="32" t="n"/>
      <c r="E2167" s="32" t="n"/>
      <c r="F2167" s="32" t="n"/>
      <c r="G2167" s="32" t="n"/>
      <c r="H2167" s="30" t="inlineStr">
        <is>
          <t>Oui</t>
        </is>
      </c>
    </row>
    <row r="2168">
      <c r="A2168" s="31" t="inlineStr">
        <is>
          <t>Pokémon</t>
        </is>
      </c>
      <c r="B2168" s="33" t="inlineStr">
        <is>
          <t>TRIOPIKEUR</t>
        </is>
      </c>
      <c r="C2168" s="33" t="inlineStr">
        <is>
          <t>SCORPLANE</t>
        </is>
      </c>
      <c r="D2168" s="33" t="inlineStr">
        <is>
          <t>GRAVALANCH</t>
        </is>
      </c>
      <c r="E2168" s="33" t="inlineStr">
        <is>
          <t>TRIOPIKEUR</t>
        </is>
      </c>
      <c r="F2168" s="33" t="n"/>
      <c r="G2168" s="33" t="n"/>
      <c r="H2168" s="30" t="inlineStr">
        <is>
          <t>Oui</t>
        </is>
      </c>
    </row>
    <row r="2169">
      <c r="A2169" s="31" t="inlineStr">
        <is>
          <t>Niveau</t>
        </is>
      </c>
      <c r="B2169" s="33" t="n">
        <v>38</v>
      </c>
      <c r="C2169" s="33" t="n">
        <v>39</v>
      </c>
      <c r="D2169" s="33" t="n">
        <v>38</v>
      </c>
      <c r="E2169" s="33" t="n">
        <v>38</v>
      </c>
      <c r="F2169" s="33" t="n"/>
      <c r="G2169" s="33" t="n"/>
      <c r="H2169" s="30" t="inlineStr">
        <is>
          <t>Oui</t>
        </is>
      </c>
    </row>
    <row r="2170">
      <c r="A2170" s="31" t="inlineStr">
        <is>
          <t>Objet</t>
        </is>
      </c>
      <c r="B2170" s="33" t="inlineStr">
        <is>
          <t>Aucun</t>
        </is>
      </c>
      <c r="C2170" s="33" t="inlineStr">
        <is>
          <t>Aucun</t>
        </is>
      </c>
      <c r="D2170" s="33" t="inlineStr">
        <is>
          <t>Aucun</t>
        </is>
      </c>
      <c r="E2170" s="33" t="inlineStr">
        <is>
          <t>Aucun</t>
        </is>
      </c>
      <c r="F2170" s="33" t="n"/>
      <c r="G2170" s="33" t="n"/>
      <c r="H2170" s="30" t="inlineStr">
        <is>
          <t>Oui</t>
        </is>
      </c>
    </row>
    <row r="2171">
      <c r="A2171" s="31" t="inlineStr">
        <is>
          <t>Talent</t>
        </is>
      </c>
      <c r="B2171" s="33" t="inlineStr">
        <is>
          <t>Voile Sable</t>
        </is>
      </c>
      <c r="C2171" s="33" t="inlineStr">
        <is>
          <t>Hyper Cutter</t>
        </is>
      </c>
      <c r="D2171" s="33" t="inlineStr">
        <is>
          <t>Tête de Roc</t>
        </is>
      </c>
      <c r="E2171" s="33" t="inlineStr">
        <is>
          <t>Voile Sable</t>
        </is>
      </c>
      <c r="F2171" s="33" t="n"/>
      <c r="G2171" s="33" t="n"/>
      <c r="H2171" s="30" t="inlineStr">
        <is>
          <t>Oui</t>
        </is>
      </c>
    </row>
    <row r="2172">
      <c r="A2172" s="31" t="inlineStr">
        <is>
          <t>Capacités</t>
        </is>
      </c>
      <c r="B2172" s="34" t="inlineStr">
        <is>
          <t>Coup Bas</t>
        </is>
      </c>
      <c r="C2172" s="34" t="inlineStr">
        <is>
          <t>Acrobatie</t>
        </is>
      </c>
      <c r="D2172" s="34" t="inlineStr">
        <is>
          <t>Piétisol</t>
        </is>
      </c>
      <c r="E2172" s="34" t="inlineStr">
        <is>
          <t>Coup Bas</t>
        </is>
      </c>
      <c r="F2172" s="34" t="n"/>
      <c r="G2172" s="34" t="n"/>
      <c r="H2172" s="30" t="inlineStr">
        <is>
          <t>Oui</t>
        </is>
      </c>
    </row>
    <row r="2173">
      <c r="A2173" s="31" t="n"/>
      <c r="B2173" s="34" t="inlineStr">
        <is>
          <t>Boue-Bombe</t>
        </is>
      </c>
      <c r="C2173" s="34" t="inlineStr">
        <is>
          <t>Tranche</t>
        </is>
      </c>
      <c r="D2173" s="34" t="inlineStr">
        <is>
          <t>Destruction</t>
        </is>
      </c>
      <c r="E2173" s="34" t="inlineStr">
        <is>
          <t>Boue-Bombe</t>
        </is>
      </c>
      <c r="F2173" s="34" t="n"/>
      <c r="G2173" s="34" t="n"/>
      <c r="H2173" s="30" t="inlineStr">
        <is>
          <t>Oui</t>
        </is>
      </c>
    </row>
    <row r="2174">
      <c r="A2174" s="31" t="n"/>
      <c r="B2174" s="34" t="inlineStr">
        <is>
          <t>Telluriforce</t>
        </is>
      </c>
      <c r="C2174" s="34" t="inlineStr">
        <is>
          <t>Demi-Tour</t>
        </is>
      </c>
      <c r="D2174" s="34" t="inlineStr">
        <is>
          <t>Piège de Roc</t>
        </is>
      </c>
      <c r="E2174" s="34" t="inlineStr">
        <is>
          <t>Telluriforce</t>
        </is>
      </c>
      <c r="F2174" s="34" t="n"/>
      <c r="G2174" s="34" t="n"/>
      <c r="H2174" s="30" t="inlineStr">
        <is>
          <t>Oui</t>
        </is>
      </c>
    </row>
    <row r="2175">
      <c r="A2175" s="31" t="n"/>
      <c r="B2175" s="34" t="inlineStr">
        <is>
          <t>Tunnel</t>
        </is>
      </c>
      <c r="C2175" s="34" t="inlineStr">
        <is>
          <t>Grincement</t>
        </is>
      </c>
      <c r="D2175" s="34" t="inlineStr">
        <is>
          <t>Boule Roc</t>
        </is>
      </c>
      <c r="E2175" s="34" t="inlineStr">
        <is>
          <t>Tunnel</t>
        </is>
      </c>
      <c r="F2175" s="34" t="n"/>
      <c r="G2175" s="34" t="n"/>
      <c r="H2175" s="30" t="inlineStr">
        <is>
          <t>Oui</t>
        </is>
      </c>
    </row>
    <row r="2176">
      <c r="A2176" s="31" t="inlineStr">
        <is>
          <t>Nom</t>
        </is>
      </c>
      <c r="B2176" s="32" t="inlineStr">
        <is>
          <t>Karatéka Jacky</t>
        </is>
      </c>
      <c r="C2176" s="32" t="n"/>
      <c r="D2176" s="32" t="n"/>
      <c r="E2176" s="32" t="n"/>
      <c r="F2176" s="32" t="n"/>
      <c r="G2176" s="32" t="n"/>
      <c r="H2176" s="30" t="inlineStr">
        <is>
          <t>Oui</t>
        </is>
      </c>
    </row>
    <row r="2177">
      <c r="A2177" s="31" t="inlineStr">
        <is>
          <t>Pokémon</t>
        </is>
      </c>
      <c r="B2177" s="33" t="inlineStr">
        <is>
          <t>ONIX</t>
        </is>
      </c>
      <c r="C2177" s="33" t="inlineStr">
        <is>
          <t>MACKOGNEUR</t>
        </is>
      </c>
      <c r="D2177" s="33" t="inlineStr">
        <is>
          <t>STEELIX</t>
        </is>
      </c>
      <c r="E2177" s="33" t="inlineStr">
        <is>
          <t>KICKLEE</t>
        </is>
      </c>
      <c r="F2177" s="33" t="n"/>
      <c r="G2177" s="33" t="n"/>
      <c r="H2177" s="30" t="inlineStr">
        <is>
          <t>Oui</t>
        </is>
      </c>
    </row>
    <row r="2178">
      <c r="A2178" s="31" t="inlineStr">
        <is>
          <t>Niveau</t>
        </is>
      </c>
      <c r="B2178" s="33" t="n">
        <v>33</v>
      </c>
      <c r="C2178" s="33" t="n">
        <v>38</v>
      </c>
      <c r="D2178" s="33" t="n">
        <v>33</v>
      </c>
      <c r="E2178" s="33" t="n">
        <v>36</v>
      </c>
      <c r="F2178" s="33" t="n"/>
      <c r="G2178" s="33" t="n"/>
      <c r="H2178" s="30" t="inlineStr">
        <is>
          <t>Oui</t>
        </is>
      </c>
    </row>
    <row r="2179">
      <c r="A2179" s="31" t="inlineStr">
        <is>
          <t>Objet</t>
        </is>
      </c>
      <c r="B2179" s="33" t="inlineStr">
        <is>
          <t>Aucun</t>
        </is>
      </c>
      <c r="C2179" s="33" t="inlineStr">
        <is>
          <t>Aucun</t>
        </is>
      </c>
      <c r="D2179" s="33" t="inlineStr">
        <is>
          <t>Aucun</t>
        </is>
      </c>
      <c r="E2179" s="33" t="inlineStr">
        <is>
          <t>Aucun</t>
        </is>
      </c>
      <c r="F2179" s="33" t="n"/>
      <c r="G2179" s="33" t="n"/>
      <c r="H2179" s="30" t="inlineStr">
        <is>
          <t>Oui</t>
        </is>
      </c>
    </row>
    <row r="2180">
      <c r="A2180" s="31" t="inlineStr">
        <is>
          <t>Talent</t>
        </is>
      </c>
      <c r="B2180" s="33" t="inlineStr">
        <is>
          <t>Tête de Roc</t>
        </is>
      </c>
      <c r="C2180" s="33" t="inlineStr">
        <is>
          <t>Cran</t>
        </is>
      </c>
      <c r="D2180" s="33" t="inlineStr">
        <is>
          <t>Tête de Roc</t>
        </is>
      </c>
      <c r="E2180" s="33" t="inlineStr">
        <is>
          <t>Échauffement</t>
        </is>
      </c>
      <c r="F2180" s="33" t="n"/>
      <c r="G2180" s="33" t="n"/>
      <c r="H2180" s="30" t="inlineStr">
        <is>
          <t>Oui</t>
        </is>
      </c>
    </row>
    <row r="2181">
      <c r="A2181" s="31" t="inlineStr">
        <is>
          <t>Capacités</t>
        </is>
      </c>
      <c r="B2181" s="34" t="inlineStr">
        <is>
          <t>Anti-Air</t>
        </is>
      </c>
      <c r="C2181" s="34" t="inlineStr">
        <is>
          <t>Corps Perdu</t>
        </is>
      </c>
      <c r="D2181" s="34" t="inlineStr">
        <is>
          <t>Anti-Air</t>
        </is>
      </c>
      <c r="E2181" s="34" t="inlineStr">
        <is>
          <t>Puissance</t>
        </is>
      </c>
      <c r="F2181" s="34" t="n"/>
      <c r="G2181" s="34" t="n"/>
      <c r="H2181" s="30" t="inlineStr">
        <is>
          <t>Oui</t>
        </is>
      </c>
    </row>
    <row r="2182">
      <c r="A2182" s="31" t="n"/>
      <c r="B2182" s="34" t="inlineStr">
        <is>
          <t>Draco-Souffle</t>
        </is>
      </c>
      <c r="C2182" s="34" t="inlineStr">
        <is>
          <t>Réveil Forcé</t>
        </is>
      </c>
      <c r="D2182" s="34" t="inlineStr">
        <is>
          <t>Draco-Souffle</t>
        </is>
      </c>
      <c r="E2182" s="34" t="inlineStr">
        <is>
          <t>Ruse</t>
        </is>
      </c>
      <c r="F2182" s="34" t="n"/>
      <c r="G2182" s="34" t="n"/>
      <c r="H2182" s="30" t="inlineStr">
        <is>
          <t>Oui</t>
        </is>
      </c>
    </row>
    <row r="2183">
      <c r="A2183" s="31" t="n"/>
      <c r="B2183" s="34" t="inlineStr">
        <is>
          <t>Souplesse</t>
        </is>
      </c>
      <c r="C2183" s="34" t="inlineStr">
        <is>
          <t>Double Baffe</t>
        </is>
      </c>
      <c r="D2183" s="34" t="inlineStr">
        <is>
          <t>Souplesse</t>
        </is>
      </c>
      <c r="E2183" s="34" t="inlineStr">
        <is>
          <t>Pied Voltige</t>
        </is>
      </c>
      <c r="F2183" s="34" t="n"/>
      <c r="G2183" s="34" t="n"/>
      <c r="H2183" s="30" t="inlineStr">
        <is>
          <t>Oui</t>
        </is>
      </c>
    </row>
    <row r="2184">
      <c r="A2184" s="31" t="n"/>
      <c r="B2184" s="34" t="inlineStr">
        <is>
          <t>Grincement</t>
        </is>
      </c>
      <c r="C2184" s="34" t="inlineStr">
        <is>
          <t>Sacrifice</t>
        </is>
      </c>
      <c r="D2184" s="34" t="inlineStr">
        <is>
          <t>Grincement</t>
        </is>
      </c>
      <c r="E2184" s="34" t="inlineStr">
        <is>
          <t>Lire-Esprit</t>
        </is>
      </c>
      <c r="F2184" s="34" t="n"/>
      <c r="G2184" s="34" t="n"/>
      <c r="H2184" s="30" t="inlineStr">
        <is>
          <t>Oui</t>
        </is>
      </c>
    </row>
    <row r="2185">
      <c r="A2185" s="31" t="inlineStr">
        <is>
          <t>Nom</t>
        </is>
      </c>
      <c r="B2185" s="32" t="inlineStr">
        <is>
          <t>Topdresseur Jean</t>
        </is>
      </c>
      <c r="C2185" s="32" t="n"/>
      <c r="D2185" s="32" t="n"/>
      <c r="E2185" s="32" t="n"/>
      <c r="F2185" s="32" t="n"/>
      <c r="G2185" s="32" t="n"/>
      <c r="H2185" s="30" t="inlineStr">
        <is>
          <t>Oui</t>
        </is>
      </c>
    </row>
    <row r="2186">
      <c r="A2186" s="31" t="inlineStr">
        <is>
          <t>Pokémon</t>
        </is>
      </c>
      <c r="B2186" s="33" t="inlineStr">
        <is>
          <t>ROUCARNAGE</t>
        </is>
      </c>
      <c r="C2186" s="33" t="inlineStr">
        <is>
          <t>ELEKTEK</t>
        </is>
      </c>
      <c r="D2186" s="33" t="inlineStr">
        <is>
          <t>MAGMAR</t>
        </is>
      </c>
      <c r="E2186" s="33" t="n"/>
      <c r="F2186" s="33" t="n"/>
      <c r="G2186" s="33" t="n"/>
      <c r="H2186" s="30" t="inlineStr">
        <is>
          <t>Oui</t>
        </is>
      </c>
    </row>
    <row r="2187">
      <c r="A2187" s="31" t="inlineStr">
        <is>
          <t>Niveau</t>
        </is>
      </c>
      <c r="B2187" s="33" t="n">
        <v>37</v>
      </c>
      <c r="C2187" s="33" t="n">
        <v>37</v>
      </c>
      <c r="D2187" s="33" t="n">
        <v>37</v>
      </c>
      <c r="E2187" s="33" t="n"/>
      <c r="F2187" s="33" t="n"/>
      <c r="G2187" s="33" t="n"/>
      <c r="H2187" s="30" t="inlineStr">
        <is>
          <t>Oui</t>
        </is>
      </c>
    </row>
    <row r="2188">
      <c r="A2188" s="31" t="inlineStr">
        <is>
          <t>Objet</t>
        </is>
      </c>
      <c r="B2188" s="33" t="inlineStr">
        <is>
          <t>Aucun</t>
        </is>
      </c>
      <c r="C2188" s="33" t="inlineStr">
        <is>
          <t>Aucun</t>
        </is>
      </c>
      <c r="D2188" s="33" t="inlineStr">
        <is>
          <t>Aucun</t>
        </is>
      </c>
      <c r="E2188" s="33" t="n"/>
      <c r="F2188" s="33" t="n"/>
      <c r="G2188" s="33" t="n"/>
      <c r="H2188" s="30" t="inlineStr">
        <is>
          <t>Oui</t>
        </is>
      </c>
    </row>
    <row r="2189">
      <c r="A2189" s="31" t="inlineStr">
        <is>
          <t>Talent</t>
        </is>
      </c>
      <c r="B2189" s="33" t="inlineStr">
        <is>
          <t>Regard Vif</t>
        </is>
      </c>
      <c r="C2189" s="33" t="inlineStr">
        <is>
          <t>Statik</t>
        </is>
      </c>
      <c r="D2189" s="33" t="inlineStr">
        <is>
          <t>Corps Ardent</t>
        </is>
      </c>
      <c r="E2189" s="33" t="n"/>
      <c r="F2189" s="33" t="n"/>
      <c r="G2189" s="33" t="n"/>
      <c r="H2189" s="30" t="inlineStr">
        <is>
          <t>Oui</t>
        </is>
      </c>
    </row>
    <row r="2190">
      <c r="A2190" s="31" t="inlineStr">
        <is>
          <t>Capacités</t>
        </is>
      </c>
      <c r="B2190" s="34" t="inlineStr">
        <is>
          <t>Ouragan</t>
        </is>
      </c>
      <c r="C2190" s="34" t="inlineStr">
        <is>
          <t>Boule Élek</t>
        </is>
      </c>
      <c r="D2190" s="34" t="inlineStr">
        <is>
          <t>Rebondifeu</t>
        </is>
      </c>
      <c r="E2190" s="34" t="n"/>
      <c r="F2190" s="34" t="n"/>
      <c r="G2190" s="34" t="n"/>
      <c r="H2190" s="30" t="inlineStr">
        <is>
          <t>Oui</t>
        </is>
      </c>
    </row>
    <row r="2191">
      <c r="A2191" s="31" t="n"/>
      <c r="B2191" s="34" t="inlineStr">
        <is>
          <t>Cru-Ailes</t>
        </is>
      </c>
      <c r="C2191" s="34" t="inlineStr">
        <is>
          <t>Mur Lumière</t>
        </is>
      </c>
      <c r="D2191" s="34" t="inlineStr">
        <is>
          <t>Onde Folie</t>
        </is>
      </c>
      <c r="E2191" s="34" t="n"/>
      <c r="F2191" s="34" t="n"/>
      <c r="G2191" s="34" t="n"/>
      <c r="H2191" s="30" t="inlineStr">
        <is>
          <t>Oui</t>
        </is>
      </c>
    </row>
    <row r="2192">
      <c r="A2192" s="31" t="n"/>
      <c r="B2192" s="34" t="inlineStr">
        <is>
          <t>Danse Plumes</t>
        </is>
      </c>
      <c r="C2192" s="34" t="inlineStr">
        <is>
          <t>Poing Éclair</t>
        </is>
      </c>
      <c r="D2192" s="34" t="inlineStr">
        <is>
          <t>Poing Feu</t>
        </is>
      </c>
      <c r="E2192" s="34" t="n"/>
      <c r="F2192" s="34" t="n"/>
      <c r="G2192" s="34" t="n"/>
      <c r="H2192" s="30" t="inlineStr">
        <is>
          <t>Oui</t>
        </is>
      </c>
    </row>
    <row r="2193">
      <c r="A2193" s="31" t="n"/>
      <c r="B2193" s="34" t="inlineStr">
        <is>
          <t>Hâte</t>
        </is>
      </c>
      <c r="C2193" s="34" t="inlineStr">
        <is>
          <t>Coup d'Jus</t>
        </is>
      </c>
      <c r="D2193" s="34" t="inlineStr">
        <is>
          <t>Ébullilave</t>
        </is>
      </c>
      <c r="E2193" s="34" t="n"/>
      <c r="F2193" s="34" t="n"/>
      <c r="G2193" s="34" t="n"/>
      <c r="H2193" s="30" t="inlineStr">
        <is>
          <t>Oui</t>
        </is>
      </c>
    </row>
    <row r="2194">
      <c r="A2194" s="31" t="inlineStr">
        <is>
          <t>Nom</t>
        </is>
      </c>
      <c r="B2194" s="32" t="inlineStr">
        <is>
          <t>Topdresseur Karin</t>
        </is>
      </c>
      <c r="C2194" s="32" t="n"/>
      <c r="D2194" s="32" t="n"/>
      <c r="E2194" s="32" t="n"/>
      <c r="F2194" s="32" t="n"/>
      <c r="G2194" s="32" t="n"/>
      <c r="H2194" s="30" t="inlineStr">
        <is>
          <t>Oui</t>
        </is>
      </c>
    </row>
    <row r="2195">
      <c r="A2195" s="31" t="inlineStr">
        <is>
          <t>Pokémon</t>
        </is>
      </c>
      <c r="B2195" s="33" t="inlineStr">
        <is>
          <t>TOGETIC</t>
        </is>
      </c>
      <c r="C2195" s="33" t="inlineStr">
        <is>
          <t>PHARAMP</t>
        </is>
      </c>
      <c r="D2195" s="33" t="inlineStr">
        <is>
          <t>SAQUEDENEU</t>
        </is>
      </c>
      <c r="E2195" s="33" t="inlineStr">
        <is>
          <t>TORTANK</t>
        </is>
      </c>
      <c r="F2195" s="33" t="n"/>
      <c r="G2195" s="33" t="n"/>
      <c r="H2195" s="30" t="inlineStr">
        <is>
          <t>Oui</t>
        </is>
      </c>
    </row>
    <row r="2196">
      <c r="A2196" s="31" t="inlineStr">
        <is>
          <t>Niveau</t>
        </is>
      </c>
      <c r="B2196" s="33" t="n">
        <v>37</v>
      </c>
      <c r="C2196" s="33" t="n">
        <v>37</v>
      </c>
      <c r="D2196" s="33" t="n">
        <v>37</v>
      </c>
      <c r="E2196" s="33" t="n">
        <v>38</v>
      </c>
      <c r="F2196" s="33" t="n"/>
      <c r="G2196" s="33" t="n"/>
      <c r="H2196" s="30" t="inlineStr">
        <is>
          <t>Oui</t>
        </is>
      </c>
    </row>
    <row r="2197">
      <c r="A2197" s="31" t="inlineStr">
        <is>
          <t>Objet</t>
        </is>
      </c>
      <c r="B2197" s="33" t="inlineStr">
        <is>
          <t>Aucun</t>
        </is>
      </c>
      <c r="C2197" s="33" t="inlineStr">
        <is>
          <t>Aucun</t>
        </is>
      </c>
      <c r="D2197" s="33" t="inlineStr">
        <is>
          <t>Aucun</t>
        </is>
      </c>
      <c r="E2197" s="33" t="inlineStr">
        <is>
          <t>Aucun</t>
        </is>
      </c>
      <c r="F2197" s="33" t="n"/>
      <c r="G2197" s="33" t="n"/>
      <c r="H2197" s="30" t="inlineStr">
        <is>
          <t>Oui</t>
        </is>
      </c>
    </row>
    <row r="2198">
      <c r="A2198" s="31" t="inlineStr">
        <is>
          <t>Talent</t>
        </is>
      </c>
      <c r="B2198" s="33" t="inlineStr">
        <is>
          <t>Agitation</t>
        </is>
      </c>
      <c r="C2198" s="33" t="inlineStr">
        <is>
          <t>Statik</t>
        </is>
      </c>
      <c r="D2198" s="33" t="inlineStr">
        <is>
          <t>Chlorophylle</t>
        </is>
      </c>
      <c r="E2198" s="33" t="inlineStr">
        <is>
          <t>Torrent</t>
        </is>
      </c>
      <c r="F2198" s="33" t="n"/>
      <c r="G2198" s="33" t="n"/>
      <c r="H2198" s="30" t="inlineStr">
        <is>
          <t>Oui</t>
        </is>
      </c>
    </row>
    <row r="2199">
      <c r="A2199" s="31" t="inlineStr">
        <is>
          <t>Capacités</t>
        </is>
      </c>
      <c r="B2199" s="34" t="inlineStr">
        <is>
          <t>Passe-Cadeau</t>
        </is>
      </c>
      <c r="C2199" s="34" t="inlineStr">
        <is>
          <t>Bélier</t>
        </is>
      </c>
      <c r="D2199" s="34" t="inlineStr">
        <is>
          <t>Sabotage</t>
        </is>
      </c>
      <c r="E2199" s="34" t="inlineStr">
        <is>
          <t>Tour Rapide</t>
        </is>
      </c>
      <c r="F2199" s="34" t="n"/>
      <c r="G2199" s="34" t="n"/>
      <c r="H2199" s="30" t="inlineStr">
        <is>
          <t>Oui</t>
        </is>
      </c>
    </row>
    <row r="2200">
      <c r="A2200" s="31" t="n"/>
      <c r="B2200" s="34" t="inlineStr">
        <is>
          <t>Vœu</t>
        </is>
      </c>
      <c r="C2200" s="34" t="inlineStr">
        <is>
          <t>Boule Élek</t>
        </is>
      </c>
      <c r="D2200" s="34" t="inlineStr">
        <is>
          <t>Para-Spore</t>
        </is>
      </c>
      <c r="E2200" s="34" t="inlineStr">
        <is>
          <t>Abri</t>
        </is>
      </c>
      <c r="F2200" s="34" t="n"/>
      <c r="G2200" s="34" t="n"/>
      <c r="H2200" s="30" t="inlineStr">
        <is>
          <t>Oui</t>
        </is>
      </c>
    </row>
    <row r="2201">
      <c r="A2201" s="31" t="n"/>
      <c r="B2201" s="34" t="inlineStr">
        <is>
          <t>Pouvoir Antique</t>
        </is>
      </c>
      <c r="C2201" s="34" t="inlineStr">
        <is>
          <t>Onde Folie</t>
        </is>
      </c>
      <c r="D2201" s="34" t="inlineStr">
        <is>
          <t>Don Naturel</t>
        </is>
      </c>
      <c r="E2201" s="34" t="inlineStr">
        <is>
          <t>Vibraqua</t>
        </is>
      </c>
      <c r="F2201" s="34" t="n"/>
      <c r="G2201" s="34" t="n"/>
      <c r="H2201" s="30" t="inlineStr">
        <is>
          <t>Oui</t>
        </is>
      </c>
    </row>
    <row r="2202">
      <c r="A2202" s="31" t="n"/>
      <c r="B2202" s="34" t="inlineStr">
        <is>
          <t>Rune Protect</t>
        </is>
      </c>
      <c r="C2202" s="34" t="inlineStr">
        <is>
          <t>Rayon Gemme</t>
        </is>
      </c>
      <c r="D2202" s="34" t="inlineStr">
        <is>
          <t>Giga-Sangsue</t>
        </is>
      </c>
      <c r="E2202" s="34" t="inlineStr">
        <is>
          <t>Hydro-Queue</t>
        </is>
      </c>
      <c r="F2202" s="34" t="n"/>
      <c r="G2202" s="34" t="n"/>
      <c r="H2202" s="30" t="inlineStr">
        <is>
          <t>Oui</t>
        </is>
      </c>
    </row>
    <row r="2203">
      <c r="A2203" s="31" t="inlineStr">
        <is>
          <t>Nom</t>
        </is>
      </c>
      <c r="B2203" s="32" t="inlineStr">
        <is>
          <t>Campeur Quentin</t>
        </is>
      </c>
      <c r="C2203" s="32" t="n"/>
      <c r="D2203" s="32" t="n"/>
      <c r="E2203" s="32" t="n"/>
      <c r="F2203" s="32" t="n"/>
      <c r="G2203" s="32" t="n"/>
      <c r="H2203" s="30" t="inlineStr">
        <is>
          <t>Oui</t>
        </is>
      </c>
    </row>
    <row r="2204">
      <c r="A2204" s="31" t="inlineStr">
        <is>
          <t>Pokémon</t>
        </is>
      </c>
      <c r="B2204" s="33" t="inlineStr">
        <is>
          <t>RAPASDEPIC</t>
        </is>
      </c>
      <c r="C2204" s="33" t="inlineStr">
        <is>
          <t>COLOSSINGE</t>
        </is>
      </c>
      <c r="D2204" s="33" t="inlineStr">
        <is>
          <t>TAUROS</t>
        </is>
      </c>
      <c r="E2204" s="33" t="inlineStr">
        <is>
          <t>RAICHU</t>
        </is>
      </c>
      <c r="F2204" s="33" t="n"/>
      <c r="G2204" s="33" t="n"/>
      <c r="H2204" s="30" t="inlineStr">
        <is>
          <t>Oui</t>
        </is>
      </c>
    </row>
    <row r="2205">
      <c r="A2205" s="31" t="inlineStr">
        <is>
          <t>Niveau</t>
        </is>
      </c>
      <c r="B2205" s="33" t="n">
        <v>38</v>
      </c>
      <c r="C2205" s="33" t="n">
        <v>38</v>
      </c>
      <c r="D2205" s="33" t="n">
        <v>38</v>
      </c>
      <c r="E2205" s="33" t="n">
        <v>38</v>
      </c>
      <c r="F2205" s="33" t="n"/>
      <c r="G2205" s="33" t="n"/>
      <c r="H2205" s="30" t="inlineStr">
        <is>
          <t>Oui</t>
        </is>
      </c>
    </row>
    <row r="2206">
      <c r="A2206" s="31" t="inlineStr">
        <is>
          <t>Objet</t>
        </is>
      </c>
      <c r="B2206" s="33" t="inlineStr">
        <is>
          <t>Aucun</t>
        </is>
      </c>
      <c r="C2206" s="33" t="inlineStr">
        <is>
          <t>Aucun</t>
        </is>
      </c>
      <c r="D2206" s="33" t="inlineStr">
        <is>
          <t>Aucun</t>
        </is>
      </c>
      <c r="E2206" s="33" t="inlineStr">
        <is>
          <t>Aucun</t>
        </is>
      </c>
      <c r="F2206" s="33" t="n"/>
      <c r="G2206" s="33" t="n"/>
      <c r="H2206" s="30" t="inlineStr">
        <is>
          <t>Oui</t>
        </is>
      </c>
    </row>
    <row r="2207">
      <c r="A2207" s="31" t="inlineStr">
        <is>
          <t>Talent</t>
        </is>
      </c>
      <c r="B2207" s="33" t="inlineStr">
        <is>
          <t>Regard Vif</t>
        </is>
      </c>
      <c r="C2207" s="33" t="inlineStr">
        <is>
          <t>Esprit Vital</t>
        </is>
      </c>
      <c r="D2207" s="33" t="inlineStr">
        <is>
          <t>Intimidation</t>
        </is>
      </c>
      <c r="E2207" s="33" t="inlineStr">
        <is>
          <t>Statik</t>
        </is>
      </c>
      <c r="F2207" s="33" t="n"/>
      <c r="G2207" s="33" t="n"/>
      <c r="H2207" s="30" t="inlineStr">
        <is>
          <t>Oui</t>
        </is>
      </c>
    </row>
    <row r="2208">
      <c r="A2208" s="31" t="inlineStr">
        <is>
          <t>Capacités</t>
        </is>
      </c>
      <c r="B2208" s="34" t="inlineStr">
        <is>
          <t>Assurance</t>
        </is>
      </c>
      <c r="C2208" s="34" t="inlineStr">
        <is>
          <t>Assurance</t>
        </is>
      </c>
      <c r="D2208" s="34" t="inlineStr">
        <is>
          <t>Repos</t>
        </is>
      </c>
      <c r="E2208" s="34" t="inlineStr">
        <is>
          <t>Vive-Attaque</t>
        </is>
      </c>
      <c r="F2208" s="34" t="n"/>
      <c r="G2208" s="34" t="n"/>
      <c r="H2208" s="30" t="inlineStr">
        <is>
          <t>Oui</t>
        </is>
      </c>
    </row>
    <row r="2209">
      <c r="A2209" s="31" t="n"/>
      <c r="B2209" s="34" t="inlineStr">
        <is>
          <t>Hâte</t>
        </is>
      </c>
      <c r="C2209" s="34" t="inlineStr">
        <is>
          <t>Punition</t>
        </is>
      </c>
      <c r="D2209" s="34" t="inlineStr">
        <is>
          <t>Représailles</t>
        </is>
      </c>
      <c r="E2209" s="34" t="inlineStr">
        <is>
          <t>Tonnerre</t>
        </is>
      </c>
      <c r="F2209" s="34" t="n"/>
      <c r="G2209" s="34" t="n"/>
      <c r="H2209" s="30" t="inlineStr">
        <is>
          <t>Oui</t>
        </is>
      </c>
    </row>
    <row r="2210">
      <c r="A2210" s="31" t="n"/>
      <c r="B2210" s="34" t="inlineStr">
        <is>
          <t>Puissance</t>
        </is>
      </c>
      <c r="C2210" s="34" t="inlineStr">
        <is>
          <t>Poing de Colère</t>
        </is>
      </c>
      <c r="D2210" s="34" t="inlineStr">
        <is>
          <t>Rengorgement</t>
        </is>
      </c>
      <c r="E2210" s="34" t="inlineStr">
        <is>
          <t>Reflet</t>
        </is>
      </c>
      <c r="F2210" s="34" t="n"/>
      <c r="G2210" s="34" t="n"/>
      <c r="H2210" s="30" t="inlineStr">
        <is>
          <t>Oui</t>
        </is>
      </c>
    </row>
    <row r="2211">
      <c r="A2211" s="31" t="n"/>
      <c r="B2211" s="34" t="inlineStr">
        <is>
          <t>Atterrissage</t>
        </is>
      </c>
      <c r="C2211" s="34" t="inlineStr">
        <is>
          <t>Mania</t>
        </is>
      </c>
      <c r="D2211" s="34" t="inlineStr">
        <is>
          <t>Bélier</t>
        </is>
      </c>
      <c r="E2211" s="34" t="inlineStr">
        <is>
          <t>Étincelle</t>
        </is>
      </c>
      <c r="F2211" s="34" t="n"/>
      <c r="G2211" s="34" t="n"/>
      <c r="H2211" s="30" t="inlineStr">
        <is>
          <t>Oui</t>
        </is>
      </c>
    </row>
    <row r="2212" ht="18" customHeight="1">
      <c r="A2212" s="26" t="inlineStr">
        <is>
          <t>Route 46</t>
        </is>
      </c>
      <c r="B2212" s="26" t="n"/>
      <c r="C2212" s="26" t="n"/>
      <c r="D2212" s="26" t="n"/>
      <c r="E2212" s="26" t="n"/>
      <c r="F2212" s="26" t="n"/>
      <c r="G2212" s="26" t="n"/>
      <c r="H2212" s="30" t="inlineStr">
        <is>
          <t>Oui</t>
        </is>
      </c>
    </row>
    <row r="2213">
      <c r="A2213" s="31" t="inlineStr">
        <is>
          <t>Nom</t>
        </is>
      </c>
      <c r="B2213" s="32" t="inlineStr">
        <is>
          <t>Montagnard Edgar</t>
        </is>
      </c>
      <c r="C2213" s="32" t="n"/>
      <c r="D2213" s="32" t="n"/>
      <c r="E2213" s="32" t="n"/>
      <c r="F2213" s="32" t="n"/>
      <c r="G2213" s="32" t="n"/>
      <c r="H2213" s="30" t="inlineStr">
        <is>
          <t>Oui</t>
        </is>
      </c>
    </row>
    <row r="2214">
      <c r="A2214" s="31" t="inlineStr">
        <is>
          <t>Pokémon</t>
        </is>
      </c>
      <c r="B2214" s="33" t="inlineStr">
        <is>
          <t>GROLEM</t>
        </is>
      </c>
      <c r="C2214" s="33" t="inlineStr">
        <is>
          <t>GROLEM</t>
        </is>
      </c>
      <c r="D2214" s="33" t="inlineStr">
        <is>
          <t>GROLEM</t>
        </is>
      </c>
      <c r="E2214" s="33" t="inlineStr">
        <is>
          <t>GROLEM</t>
        </is>
      </c>
      <c r="F2214" s="33" t="inlineStr">
        <is>
          <t>GROLEM</t>
        </is>
      </c>
      <c r="G2214" s="33" t="n"/>
      <c r="H2214" s="30" t="inlineStr">
        <is>
          <t>Oui</t>
        </is>
      </c>
    </row>
    <row r="2215">
      <c r="A2215" s="31" t="inlineStr">
        <is>
          <t>Niveau</t>
        </is>
      </c>
      <c r="B2215" s="33" t="n">
        <v>40</v>
      </c>
      <c r="C2215" s="33" t="n">
        <v>40</v>
      </c>
      <c r="D2215" s="33" t="n">
        <v>40</v>
      </c>
      <c r="E2215" s="33" t="n">
        <v>40</v>
      </c>
      <c r="F2215" s="33" t="n">
        <v>40</v>
      </c>
      <c r="G2215" s="33" t="n"/>
      <c r="H2215" s="30" t="inlineStr">
        <is>
          <t>Oui</t>
        </is>
      </c>
    </row>
    <row r="2216">
      <c r="A2216" s="31" t="inlineStr">
        <is>
          <t>Objet</t>
        </is>
      </c>
      <c r="B2216" s="33" t="inlineStr">
        <is>
          <t>Aucun</t>
        </is>
      </c>
      <c r="C2216" s="33" t="inlineStr">
        <is>
          <t>Aucun</t>
        </is>
      </c>
      <c r="D2216" s="33" t="inlineStr">
        <is>
          <t>Aucun</t>
        </is>
      </c>
      <c r="E2216" s="33" t="inlineStr">
        <is>
          <t>Aucun</t>
        </is>
      </c>
      <c r="F2216" s="33" t="inlineStr">
        <is>
          <t>Aucun</t>
        </is>
      </c>
      <c r="G2216" s="33" t="n"/>
      <c r="H2216" s="30" t="inlineStr">
        <is>
          <t>Oui</t>
        </is>
      </c>
    </row>
    <row r="2217">
      <c r="A2217" s="31" t="inlineStr">
        <is>
          <t>Talent</t>
        </is>
      </c>
      <c r="B2217" s="33" t="inlineStr">
        <is>
          <t>Tête de Roc</t>
        </is>
      </c>
      <c r="C2217" s="33" t="inlineStr">
        <is>
          <t>Tête de Roc</t>
        </is>
      </c>
      <c r="D2217" s="33" t="inlineStr">
        <is>
          <t>Tête de Roc</t>
        </is>
      </c>
      <c r="E2217" s="33" t="inlineStr">
        <is>
          <t>Tête de Roc</t>
        </is>
      </c>
      <c r="F2217" s="33" t="inlineStr">
        <is>
          <t>Tête de Roc</t>
        </is>
      </c>
      <c r="G2217" s="33" t="n"/>
      <c r="H2217" s="30" t="inlineStr">
        <is>
          <t>Oui</t>
        </is>
      </c>
    </row>
    <row r="2218">
      <c r="A2218" s="31" t="inlineStr">
        <is>
          <t>Capacités</t>
        </is>
      </c>
      <c r="B2218" s="34" t="inlineStr">
        <is>
          <t>Destruction</t>
        </is>
      </c>
      <c r="C2218" s="34" t="inlineStr">
        <is>
          <t>Destruction</t>
        </is>
      </c>
      <c r="D2218" s="34" t="inlineStr">
        <is>
          <t>Destruction</t>
        </is>
      </c>
      <c r="E2218" s="34" t="inlineStr">
        <is>
          <t>Destruction</t>
        </is>
      </c>
      <c r="F2218" s="34" t="inlineStr">
        <is>
          <t>Destruction</t>
        </is>
      </c>
      <c r="G2218" s="34" t="n"/>
      <c r="H2218" s="30" t="inlineStr">
        <is>
          <t>Oui</t>
        </is>
      </c>
    </row>
    <row r="2219">
      <c r="A2219" s="31" t="n"/>
      <c r="B2219" s="34" t="inlineStr">
        <is>
          <t>Piège de Roc</t>
        </is>
      </c>
      <c r="C2219" s="34" t="inlineStr">
        <is>
          <t>Piège de Roc</t>
        </is>
      </c>
      <c r="D2219" s="34" t="inlineStr">
        <is>
          <t>Piège de Roc</t>
        </is>
      </c>
      <c r="E2219" s="34" t="inlineStr">
        <is>
          <t>Piège de Roc</t>
        </is>
      </c>
      <c r="F2219" s="34" t="inlineStr">
        <is>
          <t>Piège de Roc</t>
        </is>
      </c>
      <c r="G2219" s="34" t="n"/>
      <c r="H2219" s="30" t="inlineStr">
        <is>
          <t>Oui</t>
        </is>
      </c>
    </row>
    <row r="2220">
      <c r="A2220" s="31" t="n"/>
      <c r="B2220" s="34" t="inlineStr">
        <is>
          <t>Boule Roc</t>
        </is>
      </c>
      <c r="C2220" s="34" t="inlineStr">
        <is>
          <t>Boule Roc</t>
        </is>
      </c>
      <c r="D2220" s="34" t="inlineStr">
        <is>
          <t>Boule Roc</t>
        </is>
      </c>
      <c r="E2220" s="34" t="inlineStr">
        <is>
          <t>Boule Roc</t>
        </is>
      </c>
      <c r="F2220" s="34" t="inlineStr">
        <is>
          <t>Boule Roc</t>
        </is>
      </c>
      <c r="G2220" s="34" t="n"/>
      <c r="H2220" s="30" t="inlineStr">
        <is>
          <t>Oui</t>
        </is>
      </c>
    </row>
    <row r="2221">
      <c r="A2221" s="31" t="n"/>
      <c r="B2221" s="34" t="inlineStr">
        <is>
          <t>Séisme</t>
        </is>
      </c>
      <c r="C2221" s="34" t="inlineStr">
        <is>
          <t>Séisme</t>
        </is>
      </c>
      <c r="D2221" s="34" t="inlineStr">
        <is>
          <t>Séisme</t>
        </is>
      </c>
      <c r="E2221" s="34" t="inlineStr">
        <is>
          <t>Séisme</t>
        </is>
      </c>
      <c r="F2221" s="34" t="inlineStr">
        <is>
          <t>Séisme</t>
        </is>
      </c>
      <c r="G2221" s="34" t="n"/>
      <c r="H2221" s="30" t="inlineStr">
        <is>
          <t>Oui</t>
        </is>
      </c>
    </row>
    <row r="2222">
      <c r="A2222" s="31" t="inlineStr">
        <is>
          <t>Nom</t>
        </is>
      </c>
      <c r="B2222" s="32" t="inlineStr">
        <is>
          <t>Campeur Laurent</t>
        </is>
      </c>
      <c r="C2222" s="32" t="n"/>
      <c r="D2222" s="32" t="n"/>
      <c r="E2222" s="32" t="n"/>
      <c r="F2222" s="32" t="n"/>
      <c r="G2222" s="32" t="n"/>
      <c r="H2222" s="30" t="inlineStr">
        <is>
          <t>Oui</t>
        </is>
      </c>
    </row>
    <row r="2223">
      <c r="A2223" s="31" t="inlineStr">
        <is>
          <t>Pokémon</t>
        </is>
      </c>
      <c r="B2223" s="33" t="inlineStr">
        <is>
          <t>URSARING</t>
        </is>
      </c>
      <c r="C2223" s="33" t="inlineStr">
        <is>
          <t>COLOSSINGE</t>
        </is>
      </c>
      <c r="D2223" s="33" t="inlineStr">
        <is>
          <t>NIDOKING</t>
        </is>
      </c>
      <c r="E2223" s="33" t="n"/>
      <c r="F2223" s="33" t="n"/>
      <c r="G2223" s="33" t="n"/>
      <c r="H2223" s="30" t="inlineStr">
        <is>
          <t>Oui</t>
        </is>
      </c>
    </row>
    <row r="2224">
      <c r="A2224" s="31" t="inlineStr">
        <is>
          <t>Niveau</t>
        </is>
      </c>
      <c r="B2224" s="33" t="n">
        <v>40</v>
      </c>
      <c r="C2224" s="33" t="n">
        <v>40</v>
      </c>
      <c r="D2224" s="33" t="n">
        <v>40</v>
      </c>
      <c r="E2224" s="33" t="n"/>
      <c r="F2224" s="33" t="n"/>
      <c r="G2224" s="33" t="n"/>
      <c r="H2224" s="30" t="inlineStr">
        <is>
          <t>Oui</t>
        </is>
      </c>
    </row>
    <row r="2225">
      <c r="A2225" s="31" t="inlineStr">
        <is>
          <t>Objet</t>
        </is>
      </c>
      <c r="B2225" s="33" t="inlineStr">
        <is>
          <t>Aucun</t>
        </is>
      </c>
      <c r="C2225" s="33" t="inlineStr">
        <is>
          <t>Aucun</t>
        </is>
      </c>
      <c r="D2225" s="33" t="inlineStr">
        <is>
          <t>Aucun</t>
        </is>
      </c>
      <c r="E2225" s="33" t="n"/>
      <c r="F2225" s="33" t="n"/>
      <c r="G2225" s="33" t="n"/>
      <c r="H2225" s="30" t="inlineStr">
        <is>
          <t>Oui</t>
        </is>
      </c>
    </row>
    <row r="2226">
      <c r="A2226" s="31" t="inlineStr">
        <is>
          <t>Talent</t>
        </is>
      </c>
      <c r="B2226" s="33" t="inlineStr">
        <is>
          <t>Cran</t>
        </is>
      </c>
      <c r="C2226" s="33" t="inlineStr">
        <is>
          <t>Esprit Vital</t>
        </is>
      </c>
      <c r="D2226" s="33" t="inlineStr">
        <is>
          <t>Point Poison</t>
        </is>
      </c>
      <c r="E2226" s="33" t="n"/>
      <c r="F2226" s="33" t="n"/>
      <c r="G2226" s="33" t="n"/>
      <c r="H2226" s="30" t="inlineStr">
        <is>
          <t>Oui</t>
        </is>
      </c>
    </row>
    <row r="2227">
      <c r="A2227" s="31" t="inlineStr">
        <is>
          <t>Capacités</t>
        </is>
      </c>
      <c r="B2227" s="34" t="inlineStr">
        <is>
          <t>Doux Parfum</t>
        </is>
      </c>
      <c r="C2227" s="34" t="inlineStr">
        <is>
          <t>Punition</t>
        </is>
      </c>
      <c r="D2227" s="34" t="inlineStr">
        <is>
          <t>Attrition</t>
        </is>
      </c>
      <c r="E2227" s="34" t="n"/>
      <c r="F2227" s="34" t="n"/>
      <c r="G2227" s="34" t="n"/>
      <c r="H2227" s="30" t="inlineStr">
        <is>
          <t>Oui</t>
        </is>
      </c>
    </row>
    <row r="2228">
      <c r="A2228" s="31" t="n"/>
      <c r="B2228" s="34" t="inlineStr">
        <is>
          <t>Camaraderie</t>
        </is>
      </c>
      <c r="C2228" s="34" t="inlineStr">
        <is>
          <t>Poing de Colère</t>
        </is>
      </c>
      <c r="D2228" s="34" t="inlineStr">
        <is>
          <t>Mania</t>
        </is>
      </c>
      <c r="E2228" s="34" t="n"/>
      <c r="F2228" s="34" t="n"/>
      <c r="G2228" s="34" t="n"/>
      <c r="H2228" s="30" t="inlineStr">
        <is>
          <t>Oui</t>
        </is>
      </c>
    </row>
    <row r="2229">
      <c r="A2229" s="31" t="n"/>
      <c r="B2229" s="34" t="inlineStr">
        <is>
          <t>Tranche</t>
        </is>
      </c>
      <c r="C2229" s="34" t="inlineStr">
        <is>
          <t>Mania</t>
        </is>
      </c>
      <c r="D2229" s="34" t="inlineStr">
        <is>
          <t>Poison Croix</t>
        </is>
      </c>
      <c r="E2229" s="34" t="n"/>
      <c r="F2229" s="34" t="n"/>
      <c r="G2229" s="34" t="n"/>
      <c r="H2229" s="30" t="inlineStr">
        <is>
          <t>Oui</t>
        </is>
      </c>
    </row>
    <row r="2230">
      <c r="A2230" s="31" t="n"/>
      <c r="B2230" s="34" t="inlineStr">
        <is>
          <t>Grimace</t>
        </is>
      </c>
      <c r="C2230" s="34" t="inlineStr">
        <is>
          <t>Close Combat</t>
        </is>
      </c>
      <c r="D2230" s="34" t="inlineStr">
        <is>
          <t>Piétisol</t>
        </is>
      </c>
      <c r="E2230" s="34" t="n"/>
      <c r="F2230" s="34" t="n"/>
      <c r="G2230" s="34" t="n"/>
      <c r="H2230" s="30" t="inlineStr">
        <is>
          <t>Oui</t>
        </is>
      </c>
    </row>
    <row r="2231">
      <c r="A2231" s="31" t="inlineStr">
        <is>
          <t>Nom</t>
        </is>
      </c>
      <c r="B2231" s="32" t="inlineStr">
        <is>
          <t>Pique-Nique Erin</t>
        </is>
      </c>
      <c r="C2231" s="32" t="n"/>
      <c r="D2231" s="32" t="n"/>
      <c r="E2231" s="32" t="n"/>
      <c r="F2231" s="32" t="n"/>
      <c r="G2231" s="32" t="n"/>
      <c r="H2231" s="30" t="inlineStr">
        <is>
          <t>Oui</t>
        </is>
      </c>
    </row>
    <row r="2232">
      <c r="A2232" s="31" t="inlineStr">
        <is>
          <t>Pokémon</t>
        </is>
      </c>
      <c r="B2232" s="33" t="inlineStr">
        <is>
          <t>GALOPA</t>
        </is>
      </c>
      <c r="C2232" s="33" t="inlineStr">
        <is>
          <t>NIDOQUEEN</t>
        </is>
      </c>
      <c r="D2232" s="33" t="inlineStr">
        <is>
          <t>RAICHU</t>
        </is>
      </c>
      <c r="E2232" s="33" t="inlineStr">
        <is>
          <t>GALOPA</t>
        </is>
      </c>
      <c r="F2232" s="33" t="n"/>
      <c r="G2232" s="33" t="n"/>
      <c r="H2232" s="30" t="inlineStr">
        <is>
          <t>Oui</t>
        </is>
      </c>
    </row>
    <row r="2233">
      <c r="A2233" s="31" t="inlineStr">
        <is>
          <t>Niveau</t>
        </is>
      </c>
      <c r="B2233" s="33" t="n">
        <v>40</v>
      </c>
      <c r="C2233" s="33" t="n">
        <v>38</v>
      </c>
      <c r="D2233" s="33" t="n">
        <v>38</v>
      </c>
      <c r="E2233" s="33" t="n">
        <v>40</v>
      </c>
      <c r="F2233" s="33" t="n"/>
      <c r="G2233" s="33" t="n"/>
      <c r="H2233" s="30" t="inlineStr">
        <is>
          <t>Oui</t>
        </is>
      </c>
    </row>
    <row r="2234">
      <c r="A2234" s="31" t="inlineStr">
        <is>
          <t>Objet</t>
        </is>
      </c>
      <c r="B2234" s="33" t="inlineStr">
        <is>
          <t>Aucun</t>
        </is>
      </c>
      <c r="C2234" s="33" t="inlineStr">
        <is>
          <t>Aucun</t>
        </is>
      </c>
      <c r="D2234" s="33" t="inlineStr">
        <is>
          <t>Aucun</t>
        </is>
      </c>
      <c r="E2234" s="33" t="inlineStr">
        <is>
          <t>Aucun</t>
        </is>
      </c>
      <c r="F2234" s="33" t="n"/>
      <c r="G2234" s="33" t="n"/>
      <c r="H2234" s="30" t="inlineStr">
        <is>
          <t>Oui</t>
        </is>
      </c>
    </row>
    <row r="2235">
      <c r="A2235" s="31" t="inlineStr">
        <is>
          <t>Talent</t>
        </is>
      </c>
      <c r="B2235" s="33" t="inlineStr">
        <is>
          <t>Fuite</t>
        </is>
      </c>
      <c r="C2235" s="33" t="inlineStr">
        <is>
          <t>Point Poison</t>
        </is>
      </c>
      <c r="D2235" s="33" t="inlineStr">
        <is>
          <t>Statik</t>
        </is>
      </c>
      <c r="E2235" s="33" t="inlineStr">
        <is>
          <t>Fuite</t>
        </is>
      </c>
      <c r="F2235" s="33" t="n"/>
      <c r="G2235" s="33" t="n"/>
      <c r="H2235" s="30" t="inlineStr">
        <is>
          <t>Oui</t>
        </is>
      </c>
    </row>
    <row r="2236">
      <c r="A2236" s="31" t="inlineStr">
        <is>
          <t>Capacités</t>
        </is>
      </c>
      <c r="B2236" s="34" t="inlineStr">
        <is>
          <t>Danse Flammes</t>
        </is>
      </c>
      <c r="C2236" s="34" t="inlineStr">
        <is>
          <t>Dard-Venin</t>
        </is>
      </c>
      <c r="D2236" s="34" t="inlineStr">
        <is>
          <t>Vive-Attaque</t>
        </is>
      </c>
      <c r="E2236" s="34" t="inlineStr">
        <is>
          <t>Danse Flammes</t>
        </is>
      </c>
      <c r="F2236" s="34" t="n"/>
      <c r="G2236" s="34" t="n"/>
      <c r="H2236" s="30" t="inlineStr">
        <is>
          <t>Oui</t>
        </is>
      </c>
    </row>
    <row r="2237">
      <c r="A2237" s="31" t="n"/>
      <c r="B2237" s="34" t="inlineStr">
        <is>
          <t>Bélier</t>
        </is>
      </c>
      <c r="C2237" s="34" t="inlineStr">
        <is>
          <t>Attrition</t>
        </is>
      </c>
      <c r="D2237" s="34" t="inlineStr">
        <is>
          <t>Tonnerre</t>
        </is>
      </c>
      <c r="E2237" s="34" t="inlineStr">
        <is>
          <t>Bélier</t>
        </is>
      </c>
      <c r="F2237" s="34" t="n"/>
      <c r="G2237" s="34" t="n"/>
      <c r="H2237" s="30" t="inlineStr">
        <is>
          <t>Oui</t>
        </is>
      </c>
    </row>
    <row r="2238">
      <c r="A2238" s="31" t="n"/>
      <c r="B2238" s="34" t="inlineStr">
        <is>
          <t>Feu d'Enfer</t>
        </is>
      </c>
      <c r="C2238" s="34" t="inlineStr">
        <is>
          <t>Plaquage</t>
        </is>
      </c>
      <c r="D2238" s="34" t="inlineStr">
        <is>
          <t>Reflet</t>
        </is>
      </c>
      <c r="E2238" s="34" t="inlineStr">
        <is>
          <t>Feu d'Enfer</t>
        </is>
      </c>
      <c r="F2238" s="34" t="n"/>
      <c r="G2238" s="34" t="n"/>
      <c r="H2238" s="30" t="inlineStr">
        <is>
          <t>Oui</t>
        </is>
      </c>
    </row>
    <row r="2239">
      <c r="A2239" s="31" t="n"/>
      <c r="B2239" s="34" t="inlineStr">
        <is>
          <t>Hâte</t>
        </is>
      </c>
      <c r="C2239" s="34" t="inlineStr">
        <is>
          <t>Poison Croix</t>
        </is>
      </c>
      <c r="D2239" s="34" t="inlineStr">
        <is>
          <t>Étincelle</t>
        </is>
      </c>
      <c r="E2239" s="34" t="inlineStr">
        <is>
          <t>Hâte</t>
        </is>
      </c>
      <c r="F2239" s="34" t="n"/>
      <c r="G2239" s="34" t="n"/>
      <c r="H2239" s="30" t="inlineStr">
        <is>
          <t>Oui</t>
        </is>
      </c>
    </row>
    <row r="2240" ht="18" customHeight="1">
      <c r="A2240" s="26" t="inlineStr">
        <is>
          <t>Route 27</t>
        </is>
      </c>
      <c r="B2240" s="26" t="n"/>
      <c r="C2240" s="26" t="n"/>
      <c r="D2240" s="26" t="n"/>
      <c r="E2240" s="26" t="n"/>
      <c r="F2240" s="26" t="n"/>
      <c r="G2240" s="26" t="n"/>
      <c r="H2240" s="30" t="inlineStr">
        <is>
          <t>Oui</t>
        </is>
      </c>
    </row>
    <row r="2241">
      <c r="A2241" s="31" t="inlineStr">
        <is>
          <t>Nom</t>
        </is>
      </c>
      <c r="B2241" s="32" t="inlineStr">
        <is>
          <t>Topdresseur Félix</t>
        </is>
      </c>
      <c r="C2241" s="32" t="n"/>
      <c r="D2241" s="32" t="n"/>
      <c r="E2241" s="32" t="n"/>
      <c r="F2241" s="32" t="n"/>
      <c r="G2241" s="32" t="n"/>
      <c r="H2241" s="30" t="inlineStr">
        <is>
          <t>Oui</t>
        </is>
      </c>
    </row>
    <row r="2242">
      <c r="A2242" s="31" t="inlineStr">
        <is>
          <t>Pokémon</t>
        </is>
      </c>
      <c r="B2242" s="33" t="inlineStr">
        <is>
          <t>MAGNETON</t>
        </is>
      </c>
      <c r="C2242" s="33" t="inlineStr">
        <is>
          <t>MARAISTE</t>
        </is>
      </c>
      <c r="D2242" s="33" t="inlineStr">
        <is>
          <t>NOADKOKO</t>
        </is>
      </c>
      <c r="E2242" s="33" t="inlineStr">
        <is>
          <t>COCHIGNON</t>
        </is>
      </c>
      <c r="F2242" s="33" t="n"/>
      <c r="G2242" s="33" t="n"/>
      <c r="H2242" s="30" t="inlineStr">
        <is>
          <t>Oui</t>
        </is>
      </c>
    </row>
    <row r="2243">
      <c r="A2243" s="31" t="inlineStr">
        <is>
          <t>Niveau</t>
        </is>
      </c>
      <c r="B2243" s="33" t="n">
        <v>43</v>
      </c>
      <c r="C2243" s="33" t="n">
        <v>44</v>
      </c>
      <c r="D2243" s="33" t="n">
        <v>43</v>
      </c>
      <c r="E2243" s="33" t="n">
        <v>44</v>
      </c>
      <c r="F2243" s="33" t="n"/>
      <c r="G2243" s="33" t="n"/>
      <c r="H2243" s="30" t="inlineStr">
        <is>
          <t>Oui</t>
        </is>
      </c>
    </row>
    <row r="2244">
      <c r="A2244" s="31" t="inlineStr">
        <is>
          <t>Objet</t>
        </is>
      </c>
      <c r="B2244" s="33" t="inlineStr">
        <is>
          <t>Aucun</t>
        </is>
      </c>
      <c r="C2244" s="33" t="inlineStr">
        <is>
          <t>Aucun</t>
        </is>
      </c>
      <c r="D2244" s="33" t="inlineStr">
        <is>
          <t>Aucun</t>
        </is>
      </c>
      <c r="E2244" s="33" t="inlineStr">
        <is>
          <t>Aucun</t>
        </is>
      </c>
      <c r="F2244" s="33" t="n"/>
      <c r="G2244" s="33" t="n"/>
      <c r="H2244" s="30" t="inlineStr">
        <is>
          <t>Oui</t>
        </is>
      </c>
    </row>
    <row r="2245">
      <c r="A2245" s="31" t="inlineStr">
        <is>
          <t>Talent</t>
        </is>
      </c>
      <c r="B2245" s="33" t="inlineStr">
        <is>
          <t>Magnépiège</t>
        </is>
      </c>
      <c r="C2245" s="33" t="inlineStr">
        <is>
          <t>Moiteur</t>
        </is>
      </c>
      <c r="D2245" s="33" t="inlineStr">
        <is>
          <t>Chlorophylle</t>
        </is>
      </c>
      <c r="E2245" s="33" t="inlineStr">
        <is>
          <t>Benêt</t>
        </is>
      </c>
      <c r="F2245" s="33" t="n"/>
      <c r="G2245" s="33" t="n"/>
      <c r="H2245" s="30" t="inlineStr">
        <is>
          <t>Oui</t>
        </is>
      </c>
    </row>
    <row r="2246">
      <c r="A2246" s="31" t="inlineStr">
        <is>
          <t>Capacités</t>
        </is>
      </c>
      <c r="B2246" s="34" t="inlineStr">
        <is>
          <t>Boule Élek</t>
        </is>
      </c>
      <c r="C2246" s="34" t="inlineStr">
        <is>
          <t>Amnésie</t>
        </is>
      </c>
      <c r="D2246" s="34" t="inlineStr">
        <is>
          <t>Poudre Dodo</t>
        </is>
      </c>
      <c r="E2246" s="34" t="inlineStr">
        <is>
          <t>Crocs Givre</t>
        </is>
      </c>
      <c r="F2246" s="34" t="n"/>
      <c r="G2246" s="34" t="n"/>
      <c r="H2246" s="30" t="inlineStr">
        <is>
          <t>Oui</t>
        </is>
      </c>
    </row>
    <row r="2247">
      <c r="A2247" s="31" t="n"/>
      <c r="B2247" s="34" t="inlineStr">
        <is>
          <t>Luminocanon</t>
        </is>
      </c>
      <c r="C2247" s="34" t="inlineStr">
        <is>
          <t>Bâillement</t>
        </is>
      </c>
      <c r="D2247" s="34" t="inlineStr">
        <is>
          <t>Psykoud'Boul</t>
        </is>
      </c>
      <c r="E2247" s="34" t="inlineStr">
        <is>
          <t>Bélier</t>
        </is>
      </c>
      <c r="F2247" s="34" t="n"/>
      <c r="G2247" s="34" t="n"/>
      <c r="H2247" s="30" t="inlineStr">
        <is>
          <t>Oui</t>
        </is>
      </c>
    </row>
    <row r="2248">
      <c r="A2248" s="31" t="n"/>
      <c r="B2248" s="34" t="inlineStr">
        <is>
          <t>Grincement</t>
        </is>
      </c>
      <c r="C2248" s="34" t="inlineStr">
        <is>
          <t>Séisme</t>
        </is>
      </c>
      <c r="D2248" s="34" t="inlineStr">
        <is>
          <t>Martobois</t>
        </is>
      </c>
      <c r="E2248" s="34" t="inlineStr">
        <is>
          <t>Brume</t>
        </is>
      </c>
      <c r="F2248" s="34" t="n"/>
      <c r="G2248" s="34" t="n"/>
      <c r="H2248" s="30" t="inlineStr">
        <is>
          <t>Oui</t>
        </is>
      </c>
    </row>
    <row r="2249">
      <c r="A2249" s="31" t="n"/>
      <c r="B2249" s="34" t="inlineStr">
        <is>
          <t>Coup d'Jus</t>
        </is>
      </c>
      <c r="C2249" s="34" t="inlineStr">
        <is>
          <t>Danse Pluie</t>
        </is>
      </c>
      <c r="D2249" s="34" t="inlineStr">
        <is>
          <t>Soucigraine</t>
        </is>
      </c>
      <c r="E2249" s="34" t="inlineStr">
        <is>
          <t>Mania</t>
        </is>
      </c>
      <c r="F2249" s="34" t="n"/>
      <c r="G2249" s="34" t="n"/>
      <c r="H2249" s="30" t="inlineStr">
        <is>
          <t>Oui</t>
        </is>
      </c>
    </row>
    <row r="2250">
      <c r="A2250" s="31" t="inlineStr">
        <is>
          <t>Nom</t>
        </is>
      </c>
      <c r="B2250" s="32" t="inlineStr">
        <is>
          <t>Topdresseur Hatem</t>
        </is>
      </c>
      <c r="C2250" s="32" t="n"/>
      <c r="D2250" s="32" t="n"/>
      <c r="E2250" s="32" t="n"/>
      <c r="F2250" s="32" t="n"/>
      <c r="G2250" s="32" t="n"/>
      <c r="H2250" s="30" t="inlineStr">
        <is>
          <t>Oui</t>
        </is>
      </c>
    </row>
    <row r="2251">
      <c r="A2251" s="31" t="inlineStr">
        <is>
          <t>Pokémon</t>
        </is>
      </c>
      <c r="B2251" s="33" t="inlineStr">
        <is>
          <t>SABLAIREAU</t>
        </is>
      </c>
      <c r="C2251" s="33" t="inlineStr">
        <is>
          <t>CIZAYOX</t>
        </is>
      </c>
      <c r="D2251" s="33" t="inlineStr">
        <is>
          <t>FARFURET</t>
        </is>
      </c>
      <c r="E2251" s="33" t="inlineStr">
        <is>
          <t>URSARING</t>
        </is>
      </c>
      <c r="F2251" s="33" t="n"/>
      <c r="G2251" s="33" t="n"/>
      <c r="H2251" s="30" t="inlineStr">
        <is>
          <t>Oui</t>
        </is>
      </c>
    </row>
    <row r="2252">
      <c r="A2252" s="31" t="inlineStr">
        <is>
          <t>Niveau</t>
        </is>
      </c>
      <c r="B2252" s="33" t="n">
        <v>45</v>
      </c>
      <c r="C2252" s="33" t="n">
        <v>44</v>
      </c>
      <c r="D2252" s="33" t="n">
        <v>45</v>
      </c>
      <c r="E2252" s="33" t="n">
        <v>43</v>
      </c>
      <c r="F2252" s="33" t="n"/>
      <c r="G2252" s="33" t="n"/>
      <c r="H2252" s="30" t="inlineStr">
        <is>
          <t>Oui</t>
        </is>
      </c>
    </row>
    <row r="2253">
      <c r="A2253" s="31" t="inlineStr">
        <is>
          <t>Objet</t>
        </is>
      </c>
      <c r="B2253" s="33" t="inlineStr">
        <is>
          <t>Aucun</t>
        </is>
      </c>
      <c r="C2253" s="33" t="inlineStr">
        <is>
          <t>Aucun</t>
        </is>
      </c>
      <c r="D2253" s="33" t="inlineStr">
        <is>
          <t>Aucun</t>
        </is>
      </c>
      <c r="E2253" s="33" t="inlineStr">
        <is>
          <t>Aucun</t>
        </is>
      </c>
      <c r="F2253" s="33" t="n"/>
      <c r="G2253" s="33" t="n"/>
      <c r="H2253" s="30" t="inlineStr">
        <is>
          <t>Oui</t>
        </is>
      </c>
    </row>
    <row r="2254">
      <c r="A2254" s="31" t="inlineStr">
        <is>
          <t>Talent</t>
        </is>
      </c>
      <c r="B2254" s="33" t="inlineStr">
        <is>
          <t>Voile Sable</t>
        </is>
      </c>
      <c r="C2254" s="33" t="inlineStr">
        <is>
          <t>Essaim</t>
        </is>
      </c>
      <c r="D2254" s="33" t="inlineStr">
        <is>
          <t>Attention</t>
        </is>
      </c>
      <c r="E2254" s="33" t="inlineStr">
        <is>
          <t>Cran</t>
        </is>
      </c>
      <c r="F2254" s="33" t="n"/>
      <c r="G2254" s="33" t="n"/>
      <c r="H2254" s="30" t="inlineStr">
        <is>
          <t>Oui</t>
        </is>
      </c>
    </row>
    <row r="2255">
      <c r="A2255" s="31" t="inlineStr">
        <is>
          <t>Capacités</t>
        </is>
      </c>
      <c r="B2255" s="34" t="inlineStr">
        <is>
          <t>Tranche</t>
        </is>
      </c>
      <c r="C2255" s="34" t="inlineStr">
        <is>
          <t>Tranche</t>
        </is>
      </c>
      <c r="D2255" s="34" t="inlineStr">
        <is>
          <t>Grincement</t>
        </is>
      </c>
      <c r="E2255" s="34" t="inlineStr">
        <is>
          <t>Doux Parfum</t>
        </is>
      </c>
      <c r="F2255" s="34" t="n"/>
      <c r="G2255" s="34" t="n"/>
      <c r="H2255" s="30" t="inlineStr">
        <is>
          <t>Oui</t>
        </is>
      </c>
    </row>
    <row r="2256">
      <c r="A2256" s="31" t="n"/>
      <c r="B2256" s="34" t="inlineStr">
        <is>
          <t>Tunnel</t>
        </is>
      </c>
      <c r="C2256" s="34" t="inlineStr">
        <is>
          <t>Coupe-Vent</t>
        </is>
      </c>
      <c r="D2256" s="34" t="inlineStr">
        <is>
          <t>Tranche</t>
        </is>
      </c>
      <c r="E2256" s="34" t="inlineStr">
        <is>
          <t>Camaraderie</t>
        </is>
      </c>
      <c r="F2256" s="34" t="n"/>
      <c r="G2256" s="34" t="n"/>
      <c r="H2256" s="30" t="inlineStr">
        <is>
          <t>Oui</t>
        </is>
      </c>
    </row>
    <row r="2257">
      <c r="A2257" s="31" t="n"/>
      <c r="B2257" s="34" t="inlineStr">
        <is>
          <t>Gyroballe</t>
        </is>
      </c>
      <c r="C2257" s="34" t="inlineStr">
        <is>
          <t>Mur de Fer</t>
        </is>
      </c>
      <c r="D2257" s="34" t="inlineStr">
        <is>
          <t>Saisie</t>
        </is>
      </c>
      <c r="E2257" s="34" t="inlineStr">
        <is>
          <t>Tranche</t>
        </is>
      </c>
      <c r="F2257" s="34" t="n"/>
      <c r="G2257" s="34" t="n"/>
      <c r="H2257" s="30" t="inlineStr">
        <is>
          <t>Oui</t>
        </is>
      </c>
    </row>
    <row r="2258">
      <c r="A2258" s="31" t="n"/>
      <c r="B2258" s="34" t="inlineStr">
        <is>
          <t>Danse Lames</t>
        </is>
      </c>
      <c r="C2258" s="34" t="inlineStr">
        <is>
          <t>Plaie Croix</t>
        </is>
      </c>
      <c r="D2258" s="34" t="inlineStr">
        <is>
          <t>Punition</t>
        </is>
      </c>
      <c r="E2258" s="34" t="inlineStr">
        <is>
          <t>Grimace</t>
        </is>
      </c>
      <c r="F2258" s="34" t="n"/>
      <c r="G2258" s="34" t="n"/>
      <c r="H2258" s="30" t="inlineStr">
        <is>
          <t>Oui</t>
        </is>
      </c>
    </row>
    <row r="2259">
      <c r="A2259" s="31" t="inlineStr">
        <is>
          <t>Nom</t>
        </is>
      </c>
      <c r="B2259" s="32" t="inlineStr">
        <is>
          <t>Topdresseur Audrey</t>
        </is>
      </c>
      <c r="C2259" s="32" t="n"/>
      <c r="D2259" s="32" t="n"/>
      <c r="E2259" s="32" t="n"/>
      <c r="F2259" s="32" t="n"/>
      <c r="G2259" s="32" t="n"/>
      <c r="H2259" s="30" t="inlineStr">
        <is>
          <t>Oui</t>
        </is>
      </c>
    </row>
    <row r="2260">
      <c r="A2260" s="31" t="inlineStr">
        <is>
          <t>Pokémon</t>
        </is>
      </c>
      <c r="B2260" s="33" t="inlineStr">
        <is>
          <t>STAROSS</t>
        </is>
      </c>
      <c r="C2260" s="33" t="inlineStr">
        <is>
          <t>NIDOQUEEN</t>
        </is>
      </c>
      <c r="D2260" s="33" t="inlineStr">
        <is>
          <t>RAFFLESIA</t>
        </is>
      </c>
      <c r="E2260" s="33" t="inlineStr">
        <is>
          <t>ELECTRODE</t>
        </is>
      </c>
      <c r="F2260" s="33" t="inlineStr">
        <is>
          <t>STAROSS</t>
        </is>
      </c>
      <c r="G2260" s="33" t="n"/>
      <c r="H2260" s="30" t="inlineStr">
        <is>
          <t>Oui</t>
        </is>
      </c>
    </row>
    <row r="2261">
      <c r="A2261" s="31" t="inlineStr">
        <is>
          <t>Niveau</t>
        </is>
      </c>
      <c r="B2261" s="33" t="n">
        <v>44</v>
      </c>
      <c r="C2261" s="33" t="n">
        <v>43</v>
      </c>
      <c r="D2261" s="33" t="n">
        <v>44</v>
      </c>
      <c r="E2261" s="33" t="n">
        <v>43</v>
      </c>
      <c r="F2261" s="33" t="n">
        <v>45</v>
      </c>
      <c r="G2261" s="33" t="n"/>
      <c r="H2261" s="30" t="inlineStr">
        <is>
          <t>Oui</t>
        </is>
      </c>
    </row>
    <row r="2262">
      <c r="A2262" s="31" t="inlineStr">
        <is>
          <t>Objet</t>
        </is>
      </c>
      <c r="B2262" s="33" t="inlineStr">
        <is>
          <t>Aucun</t>
        </is>
      </c>
      <c r="C2262" s="33" t="inlineStr">
        <is>
          <t>Aucun</t>
        </is>
      </c>
      <c r="D2262" s="33" t="inlineStr">
        <is>
          <t>Aucun</t>
        </is>
      </c>
      <c r="E2262" s="33" t="inlineStr">
        <is>
          <t>Aucun</t>
        </is>
      </c>
      <c r="F2262" s="33" t="inlineStr">
        <is>
          <t>Aucun</t>
        </is>
      </c>
      <c r="G2262" s="33" t="n"/>
      <c r="H2262" s="30" t="inlineStr">
        <is>
          <t>Oui</t>
        </is>
      </c>
    </row>
    <row r="2263">
      <c r="A2263" s="31" t="inlineStr">
        <is>
          <t>Talent</t>
        </is>
      </c>
      <c r="B2263" s="33" t="inlineStr">
        <is>
          <t>Lumiattirance</t>
        </is>
      </c>
      <c r="C2263" s="33" t="inlineStr">
        <is>
          <t>Point Poison</t>
        </is>
      </c>
      <c r="D2263" s="33" t="inlineStr">
        <is>
          <t>Chlorophylle</t>
        </is>
      </c>
      <c r="E2263" s="33" t="inlineStr">
        <is>
          <t>Anti-Bruit</t>
        </is>
      </c>
      <c r="F2263" s="33" t="inlineStr">
        <is>
          <t>Lumiattirance</t>
        </is>
      </c>
      <c r="G2263" s="33" t="n"/>
      <c r="H2263" s="30" t="inlineStr">
        <is>
          <t>Oui</t>
        </is>
      </c>
    </row>
    <row r="2264">
      <c r="A2264" s="31" t="inlineStr">
        <is>
          <t>Capacités</t>
        </is>
      </c>
      <c r="B2264" s="34" t="inlineStr">
        <is>
          <t>Météores</t>
        </is>
      </c>
      <c r="C2264" s="34" t="inlineStr">
        <is>
          <t>Plaquage</t>
        </is>
      </c>
      <c r="D2264" s="34" t="inlineStr">
        <is>
          <t>Méga-Sangsue</t>
        </is>
      </c>
      <c r="E2264" s="34" t="inlineStr">
        <is>
          <t>Mur Lumière</t>
        </is>
      </c>
      <c r="F2264" s="34" t="inlineStr">
        <is>
          <t>Saumure</t>
        </is>
      </c>
      <c r="G2264" s="34" t="n"/>
      <c r="H2264" s="30" t="inlineStr">
        <is>
          <t>Oui</t>
        </is>
      </c>
    </row>
    <row r="2265">
      <c r="A2265" s="31" t="n"/>
      <c r="B2265" s="34" t="inlineStr">
        <is>
          <t>Saumure</t>
        </is>
      </c>
      <c r="C2265" s="34" t="inlineStr">
        <is>
          <t>Poison Croix</t>
        </is>
      </c>
      <c r="D2265" s="34" t="inlineStr">
        <is>
          <t>Air Veinard</t>
        </is>
      </c>
      <c r="E2265" s="34" t="inlineStr">
        <is>
          <t>Roulade</t>
        </is>
      </c>
      <c r="F2265" s="34" t="inlineStr">
        <is>
          <t>Onde Folie</t>
        </is>
      </c>
      <c r="G2265" s="34" t="n"/>
      <c r="H2265" s="30" t="inlineStr">
        <is>
          <t>Oui</t>
        </is>
      </c>
    </row>
    <row r="2266">
      <c r="A2266" s="31" t="n"/>
      <c r="B2266" s="34" t="inlineStr">
        <is>
          <t>Onde Folie</t>
        </is>
      </c>
      <c r="C2266" s="34" t="inlineStr">
        <is>
          <t>Piétisol</t>
        </is>
      </c>
      <c r="D2266" s="34" t="inlineStr">
        <is>
          <t>Rayon Lune</t>
        </is>
      </c>
      <c r="E2266" s="34" t="inlineStr">
        <is>
          <t>Vol Magnétik</t>
        </is>
      </c>
      <c r="F2266" s="34" t="inlineStr">
        <is>
          <t>Lilliput</t>
        </is>
      </c>
      <c r="G2266" s="34" t="n"/>
      <c r="H2266" s="30" t="inlineStr">
        <is>
          <t>Oui</t>
        </is>
      </c>
    </row>
    <row r="2267">
      <c r="A2267" s="31" t="n"/>
      <c r="B2267" s="34" t="inlineStr">
        <is>
          <t>Lilliput</t>
        </is>
      </c>
      <c r="C2267" s="34" t="inlineStr">
        <is>
          <t>Telluriforce</t>
        </is>
      </c>
      <c r="D2267" s="34" t="inlineStr">
        <is>
          <t>Giga-Sangsue</t>
        </is>
      </c>
      <c r="E2267" s="34" t="inlineStr">
        <is>
          <t>Coup d'Jus</t>
        </is>
      </c>
      <c r="F2267" s="34" t="inlineStr">
        <is>
          <t>Copie-Type</t>
        </is>
      </c>
      <c r="G2267" s="34" t="n"/>
      <c r="H2267" s="30" t="inlineStr">
        <is>
          <t>Oui</t>
        </is>
      </c>
    </row>
    <row r="2268">
      <c r="A2268" s="31" t="inlineStr">
        <is>
          <t>Nom</t>
        </is>
      </c>
      <c r="B2268" s="32" t="inlineStr">
        <is>
          <t>Topdresseur Leia</t>
        </is>
      </c>
      <c r="C2268" s="32" t="n"/>
      <c r="D2268" s="32" t="n"/>
      <c r="E2268" s="32" t="n"/>
      <c r="F2268" s="32" t="n"/>
      <c r="G2268" s="32" t="n"/>
      <c r="H2268" s="30" t="inlineStr">
        <is>
          <t>Oui</t>
        </is>
      </c>
    </row>
    <row r="2269">
      <c r="A2269" s="31" t="inlineStr">
        <is>
          <t>Pokémon</t>
        </is>
      </c>
      <c r="B2269" s="33" t="inlineStr">
        <is>
          <t>SAQUEDENEU</t>
        </is>
      </c>
      <c r="C2269" s="33" t="inlineStr">
        <is>
          <t>FLORIZARRE</t>
        </is>
      </c>
      <c r="D2269" s="33" t="inlineStr">
        <is>
          <t>EMPIFLOR</t>
        </is>
      </c>
      <c r="E2269" s="33" t="inlineStr">
        <is>
          <t>JOLIFLOR</t>
        </is>
      </c>
      <c r="F2269" s="33" t="n"/>
      <c r="G2269" s="33" t="n"/>
      <c r="H2269" s="30" t="inlineStr">
        <is>
          <t>Oui</t>
        </is>
      </c>
    </row>
    <row r="2270">
      <c r="A2270" s="31" t="inlineStr">
        <is>
          <t>Niveau</t>
        </is>
      </c>
      <c r="B2270" s="33" t="n">
        <v>44</v>
      </c>
      <c r="C2270" s="33" t="n">
        <v>44</v>
      </c>
      <c r="D2270" s="33" t="n">
        <v>44</v>
      </c>
      <c r="E2270" s="33" t="n">
        <v>44</v>
      </c>
      <c r="F2270" s="33" t="n"/>
      <c r="G2270" s="33" t="n"/>
      <c r="H2270" s="30" t="inlineStr">
        <is>
          <t>Oui</t>
        </is>
      </c>
    </row>
    <row r="2271">
      <c r="A2271" s="31" t="inlineStr">
        <is>
          <t>Objet</t>
        </is>
      </c>
      <c r="B2271" s="33" t="inlineStr">
        <is>
          <t>Aucun</t>
        </is>
      </c>
      <c r="C2271" s="33" t="inlineStr">
        <is>
          <t>Aucun</t>
        </is>
      </c>
      <c r="D2271" s="33" t="inlineStr">
        <is>
          <t>Aucun</t>
        </is>
      </c>
      <c r="E2271" s="33" t="inlineStr">
        <is>
          <t>Aucun</t>
        </is>
      </c>
      <c r="F2271" s="33" t="n"/>
      <c r="G2271" s="33" t="n"/>
      <c r="H2271" s="30" t="inlineStr">
        <is>
          <t>Oui</t>
        </is>
      </c>
    </row>
    <row r="2272">
      <c r="A2272" s="31" t="inlineStr">
        <is>
          <t>Talent</t>
        </is>
      </c>
      <c r="B2272" s="33" t="inlineStr">
        <is>
          <t>Chlorophylle</t>
        </is>
      </c>
      <c r="C2272" s="33" t="inlineStr">
        <is>
          <t>Engrais</t>
        </is>
      </c>
      <c r="D2272" s="33" t="inlineStr">
        <is>
          <t>Chlorophylle</t>
        </is>
      </c>
      <c r="E2272" s="33" t="inlineStr">
        <is>
          <t>Chlorophylle</t>
        </is>
      </c>
      <c r="F2272" s="33" t="n"/>
      <c r="G2272" s="33" t="n"/>
      <c r="H2272" s="30" t="inlineStr">
        <is>
          <t>Oui</t>
        </is>
      </c>
    </row>
    <row r="2273">
      <c r="A2273" s="31" t="inlineStr">
        <is>
          <t>Capacités</t>
        </is>
      </c>
      <c r="B2273" s="34" t="inlineStr">
        <is>
          <t>Giga-Sangsue</t>
        </is>
      </c>
      <c r="C2273" s="34" t="inlineStr">
        <is>
          <t>Détritus</t>
        </is>
      </c>
      <c r="D2273" s="34" t="inlineStr">
        <is>
          <t>Acide</t>
        </is>
      </c>
      <c r="E2273" s="34" t="inlineStr">
        <is>
          <t>Zénith</t>
        </is>
      </c>
      <c r="F2273" s="34" t="n"/>
      <c r="G2273" s="34" t="n"/>
      <c r="H2273" s="30" t="inlineStr">
        <is>
          <t>Oui</t>
        </is>
      </c>
    </row>
    <row r="2274">
      <c r="A2274" s="31" t="n"/>
      <c r="B2274" s="34" t="inlineStr">
        <is>
          <t>Pouvoir Antique</t>
        </is>
      </c>
      <c r="C2274" s="34" t="inlineStr">
        <is>
          <t>Croissance</t>
        </is>
      </c>
      <c r="D2274" s="34" t="inlineStr">
        <is>
          <t>Sabotage</t>
        </is>
      </c>
      <c r="E2274" s="34" t="inlineStr">
        <is>
          <t>Poudre Dodo</t>
        </is>
      </c>
      <c r="F2274" s="34" t="n"/>
      <c r="G2274" s="34" t="n"/>
      <c r="H2274" s="30" t="inlineStr">
        <is>
          <t>Oui</t>
        </is>
      </c>
    </row>
    <row r="2275">
      <c r="A2275" s="31" t="n"/>
      <c r="B2275" s="34" t="inlineStr">
        <is>
          <t>Souplesse</t>
        </is>
      </c>
      <c r="C2275" s="34" t="inlineStr">
        <is>
          <t>Damoclès</t>
        </is>
      </c>
      <c r="D2275" s="34" t="inlineStr">
        <is>
          <t>Doux Parfum</t>
        </is>
      </c>
      <c r="E2275" s="34" t="inlineStr">
        <is>
          <t>Méga-Sangsue</t>
        </is>
      </c>
      <c r="F2275" s="34" t="n"/>
      <c r="G2275" s="34" t="n"/>
      <c r="H2275" s="30" t="inlineStr">
        <is>
          <t>Oui</t>
        </is>
      </c>
    </row>
    <row r="2276">
      <c r="A2276" s="31" t="n"/>
      <c r="B2276" s="34" t="inlineStr">
        <is>
          <t>Chatouille</t>
        </is>
      </c>
      <c r="C2276" s="34" t="inlineStr">
        <is>
          <t>Soucigraine</t>
        </is>
      </c>
      <c r="D2276" s="34" t="inlineStr">
        <is>
          <t>Lame Feuille</t>
        </is>
      </c>
      <c r="E2276" s="34" t="inlineStr">
        <is>
          <t>Air Veinard</t>
        </is>
      </c>
      <c r="F2276" s="34" t="n"/>
      <c r="G2276" s="34" t="n"/>
      <c r="H2276" s="30" t="inlineStr">
        <is>
          <t>Oui</t>
        </is>
      </c>
    </row>
    <row r="2277">
      <c r="A2277" s="31" t="inlineStr">
        <is>
          <t>Nom</t>
        </is>
      </c>
      <c r="B2277" s="32" t="inlineStr">
        <is>
          <t>Kinésiste Thibaut</t>
        </is>
      </c>
      <c r="C2277" s="32" t="n"/>
      <c r="D2277" s="32" t="n"/>
      <c r="E2277" s="32" t="n"/>
      <c r="F2277" s="32" t="n"/>
      <c r="G2277" s="32" t="n"/>
      <c r="H2277" s="30" t="inlineStr">
        <is>
          <t>Oui</t>
        </is>
      </c>
    </row>
    <row r="2278">
      <c r="A2278" s="31" t="inlineStr">
        <is>
          <t>Pokémon</t>
        </is>
      </c>
      <c r="B2278" s="33" t="inlineStr">
        <is>
          <t>XATU</t>
        </is>
      </c>
      <c r="C2278" s="33" t="inlineStr">
        <is>
          <t>NOADKOKO</t>
        </is>
      </c>
      <c r="D2278" s="33" t="inlineStr">
        <is>
          <t>GIRAFARIG</t>
        </is>
      </c>
      <c r="E2278" s="33" t="n"/>
      <c r="F2278" s="33" t="n"/>
      <c r="G2278" s="33" t="n"/>
      <c r="H2278" s="30" t="inlineStr">
        <is>
          <t>Oui</t>
        </is>
      </c>
    </row>
    <row r="2279">
      <c r="A2279" s="31" t="inlineStr">
        <is>
          <t>Niveau</t>
        </is>
      </c>
      <c r="B2279" s="33" t="n">
        <v>42</v>
      </c>
      <c r="C2279" s="33" t="n">
        <v>44</v>
      </c>
      <c r="D2279" s="33" t="n">
        <v>44</v>
      </c>
      <c r="E2279" s="33" t="n"/>
      <c r="F2279" s="33" t="n"/>
      <c r="G2279" s="33" t="n"/>
      <c r="H2279" s="30" t="inlineStr">
        <is>
          <t>Oui</t>
        </is>
      </c>
    </row>
    <row r="2280">
      <c r="A2280" s="31" t="inlineStr">
        <is>
          <t>Objet</t>
        </is>
      </c>
      <c r="B2280" s="33" t="inlineStr">
        <is>
          <t>Aucun</t>
        </is>
      </c>
      <c r="C2280" s="33" t="inlineStr">
        <is>
          <t>Aucun</t>
        </is>
      </c>
      <c r="D2280" s="33" t="inlineStr">
        <is>
          <t>Aucun</t>
        </is>
      </c>
      <c r="E2280" s="33" t="n"/>
      <c r="F2280" s="33" t="n"/>
      <c r="G2280" s="33" t="n"/>
      <c r="H2280" s="30" t="inlineStr">
        <is>
          <t>Oui</t>
        </is>
      </c>
    </row>
    <row r="2281">
      <c r="A2281" s="31" t="inlineStr">
        <is>
          <t>Talent</t>
        </is>
      </c>
      <c r="B2281" s="33" t="inlineStr">
        <is>
          <t>Synchro</t>
        </is>
      </c>
      <c r="C2281" s="33" t="inlineStr">
        <is>
          <t>Chlorophylle</t>
        </is>
      </c>
      <c r="D2281" s="33" t="inlineStr">
        <is>
          <t>Attention</t>
        </is>
      </c>
      <c r="E2281" s="33" t="n"/>
      <c r="F2281" s="33" t="n"/>
      <c r="G2281" s="33" t="n"/>
      <c r="H2281" s="30" t="inlineStr">
        <is>
          <t>Oui</t>
        </is>
      </c>
    </row>
    <row r="2282">
      <c r="A2282" s="31" t="inlineStr">
        <is>
          <t>Capacités</t>
        </is>
      </c>
      <c r="B2282" s="34" t="inlineStr">
        <is>
          <t>Psyko</t>
        </is>
      </c>
      <c r="C2282" s="34" t="inlineStr">
        <is>
          <t>Poudre Dodo</t>
        </is>
      </c>
      <c r="D2282" s="34" t="inlineStr">
        <is>
          <t>Psykoud'Boul</t>
        </is>
      </c>
      <c r="E2282" s="34" t="n"/>
      <c r="F2282" s="34" t="n"/>
      <c r="G2282" s="34" t="n"/>
      <c r="H2282" s="30" t="inlineStr">
        <is>
          <t>Oui</t>
        </is>
      </c>
    </row>
    <row r="2283">
      <c r="A2283" s="31" t="n"/>
      <c r="B2283" s="34" t="inlineStr">
        <is>
          <t>Hypnose</t>
        </is>
      </c>
      <c r="C2283" s="34" t="inlineStr">
        <is>
          <t>Psykoud'Boul</t>
        </is>
      </c>
      <c r="D2283" s="34" t="inlineStr">
        <is>
          <t>Double Laser</t>
        </is>
      </c>
      <c r="E2283" s="34" t="n"/>
      <c r="F2283" s="34" t="n"/>
      <c r="G2283" s="34" t="n"/>
      <c r="H2283" s="30" t="inlineStr">
        <is>
          <t>Oui</t>
        </is>
      </c>
    </row>
    <row r="2284">
      <c r="A2284" s="31" t="n"/>
      <c r="B2284" s="34" t="inlineStr">
        <is>
          <t>Œil Miracle</t>
        </is>
      </c>
      <c r="C2284" s="34" t="inlineStr">
        <is>
          <t>Martobois</t>
        </is>
      </c>
      <c r="D2284" s="34" t="inlineStr">
        <is>
          <t>Mâchouille</t>
        </is>
      </c>
      <c r="E2284" s="34" t="n"/>
      <c r="F2284" s="34" t="n"/>
      <c r="G2284" s="34" t="n"/>
      <c r="H2284" s="30" t="inlineStr">
        <is>
          <t>Oui</t>
        </is>
      </c>
    </row>
    <row r="2285">
      <c r="A2285" s="31" t="n"/>
      <c r="B2285" s="34" t="inlineStr">
        <is>
          <t>Lame d'Air</t>
        </is>
      </c>
      <c r="C2285" s="34" t="inlineStr">
        <is>
          <t>Soucigraine</t>
        </is>
      </c>
      <c r="D2285" s="34" t="inlineStr">
        <is>
          <t>Relais</t>
        </is>
      </c>
      <c r="E2285" s="34" t="n"/>
      <c r="F2285" s="34" t="n"/>
      <c r="G2285" s="34" t="n"/>
      <c r="H2285" s="30" t="inlineStr">
        <is>
          <t>Oui</t>
        </is>
      </c>
    </row>
    <row r="2286">
      <c r="A2286" s="31" t="inlineStr">
        <is>
          <t>Nom</t>
        </is>
      </c>
      <c r="B2286" s="32" t="inlineStr">
        <is>
          <t>Ornithologue Brett</t>
        </is>
      </c>
      <c r="C2286" s="32" t="n"/>
      <c r="D2286" s="32" t="n"/>
      <c r="E2286" s="32" t="n"/>
      <c r="F2286" s="32" t="n"/>
      <c r="G2286" s="32" t="n"/>
      <c r="H2286" s="30" t="inlineStr">
        <is>
          <t>Oui</t>
        </is>
      </c>
    </row>
    <row r="2287">
      <c r="A2287" s="31" t="inlineStr">
        <is>
          <t>Pokémon</t>
        </is>
      </c>
      <c r="B2287" s="33" t="inlineStr">
        <is>
          <t>RAPASDEPIC</t>
        </is>
      </c>
      <c r="C2287" s="33" t="inlineStr">
        <is>
          <t>CANARTICHO</t>
        </is>
      </c>
      <c r="D2287" s="33" t="inlineStr">
        <is>
          <t>ROUCARNAGE</t>
        </is>
      </c>
      <c r="E2287" s="33" t="inlineStr">
        <is>
          <t>DODRIO</t>
        </is>
      </c>
      <c r="F2287" s="33" t="n"/>
      <c r="G2287" s="33" t="n"/>
      <c r="H2287" s="30" t="inlineStr">
        <is>
          <t>Oui</t>
        </is>
      </c>
    </row>
    <row r="2288">
      <c r="A2288" s="31" t="inlineStr">
        <is>
          <t>Niveau</t>
        </is>
      </c>
      <c r="B2288" s="33" t="n">
        <v>45</v>
      </c>
      <c r="C2288" s="33" t="n">
        <v>45</v>
      </c>
      <c r="D2288" s="33" t="n">
        <v>45</v>
      </c>
      <c r="E2288" s="33" t="n">
        <v>45</v>
      </c>
      <c r="F2288" s="33" t="n"/>
      <c r="G2288" s="33" t="n"/>
      <c r="H2288" s="30" t="inlineStr">
        <is>
          <t>Oui</t>
        </is>
      </c>
    </row>
    <row r="2289">
      <c r="A2289" s="31" t="inlineStr">
        <is>
          <t>Objet</t>
        </is>
      </c>
      <c r="B2289" s="33" t="inlineStr">
        <is>
          <t>Aucun</t>
        </is>
      </c>
      <c r="C2289" s="33" t="inlineStr">
        <is>
          <t>Aucun</t>
        </is>
      </c>
      <c r="D2289" s="33" t="inlineStr">
        <is>
          <t>Aucun</t>
        </is>
      </c>
      <c r="E2289" s="33" t="inlineStr">
        <is>
          <t>Aucun</t>
        </is>
      </c>
      <c r="F2289" s="33" t="n"/>
      <c r="G2289" s="33" t="n"/>
      <c r="H2289" s="30" t="inlineStr">
        <is>
          <t>Oui</t>
        </is>
      </c>
    </row>
    <row r="2290">
      <c r="A2290" s="31" t="inlineStr">
        <is>
          <t>Talent</t>
        </is>
      </c>
      <c r="B2290" s="33" t="inlineStr">
        <is>
          <t>Regard Vif</t>
        </is>
      </c>
      <c r="C2290" s="33" t="inlineStr">
        <is>
          <t>Regard Vif</t>
        </is>
      </c>
      <c r="D2290" s="33" t="inlineStr">
        <is>
          <t>Regard Vif</t>
        </is>
      </c>
      <c r="E2290" s="33" t="inlineStr">
        <is>
          <t>Fuite</t>
        </is>
      </c>
      <c r="F2290" s="33" t="n"/>
      <c r="G2290" s="33" t="n"/>
      <c r="H2290" s="30" t="inlineStr">
        <is>
          <t>Oui</t>
        </is>
      </c>
    </row>
    <row r="2291">
      <c r="A2291" s="31" t="inlineStr">
        <is>
          <t>Capacités</t>
        </is>
      </c>
      <c r="B2291" s="34" t="inlineStr">
        <is>
          <t>Puissance</t>
        </is>
      </c>
      <c r="C2291" s="34" t="inlineStr">
        <is>
          <t>Tranche-Nuit</t>
        </is>
      </c>
      <c r="D2291" s="34" t="inlineStr">
        <is>
          <t>Hâte</t>
        </is>
      </c>
      <c r="E2291" s="34" t="inlineStr">
        <is>
          <t>Brouhaha</t>
        </is>
      </c>
      <c r="F2291" s="34" t="n"/>
      <c r="G2291" s="34" t="n"/>
      <c r="H2291" s="30" t="inlineStr">
        <is>
          <t>Oui</t>
        </is>
      </c>
    </row>
    <row r="2292">
      <c r="A2292" s="31" t="n"/>
      <c r="B2292" s="34" t="inlineStr">
        <is>
          <t>Atterrissage</t>
        </is>
      </c>
      <c r="C2292" s="34" t="inlineStr">
        <is>
          <t>Acrobatie</t>
        </is>
      </c>
      <c r="D2292" s="34" t="inlineStr">
        <is>
          <t>Aéropique</t>
        </is>
      </c>
      <c r="E2292" s="34" t="inlineStr">
        <is>
          <t>Acupression</t>
        </is>
      </c>
      <c r="F2292" s="34" t="n"/>
      <c r="G2292" s="34" t="n"/>
      <c r="H2292" s="30" t="inlineStr">
        <is>
          <t>Oui</t>
        </is>
      </c>
    </row>
    <row r="2293">
      <c r="A2293" s="31" t="n"/>
      <c r="B2293" s="34" t="inlineStr">
        <is>
          <t>Bec Vrille</t>
        </is>
      </c>
      <c r="C2293" s="34" t="inlineStr">
        <is>
          <t>Ruse</t>
        </is>
      </c>
      <c r="D2293" s="34" t="inlineStr">
        <is>
          <t>Chute Libre</t>
        </is>
      </c>
      <c r="E2293" s="34" t="inlineStr">
        <is>
          <t>Danse Lames</t>
        </is>
      </c>
      <c r="F2293" s="34" t="n"/>
      <c r="G2293" s="34" t="n"/>
      <c r="H2293" s="30" t="inlineStr">
        <is>
          <t>Oui</t>
        </is>
      </c>
    </row>
    <row r="2294">
      <c r="A2294" s="31" t="n"/>
      <c r="B2294" s="34" t="inlineStr">
        <is>
          <t>Tunnelier</t>
        </is>
      </c>
      <c r="C2294" s="34" t="inlineStr">
        <is>
          <t>Faux-Chage</t>
        </is>
      </c>
      <c r="D2294" s="34" t="inlineStr">
        <is>
          <t>Atterrissage</t>
        </is>
      </c>
      <c r="E2294" s="34" t="inlineStr">
        <is>
          <t>Pied Sauté</t>
        </is>
      </c>
      <c r="F2294" s="34" t="n"/>
      <c r="G2294" s="34" t="n"/>
      <c r="H2294" s="30" t="inlineStr">
        <is>
          <t>Oui</t>
        </is>
      </c>
    </row>
    <row r="2295">
      <c r="A2295" s="31" t="inlineStr">
        <is>
          <t>Nom</t>
        </is>
      </c>
      <c r="B2295" s="32" t="inlineStr">
        <is>
          <t>Pêcheur Matéo</t>
        </is>
      </c>
      <c r="C2295" s="32" t="n"/>
      <c r="D2295" s="32" t="n"/>
      <c r="E2295" s="32" t="n"/>
      <c r="F2295" s="32" t="n"/>
      <c r="G2295" s="32" t="n"/>
      <c r="H2295" s="30" t="inlineStr">
        <is>
          <t>Oui</t>
        </is>
      </c>
    </row>
    <row r="2296">
      <c r="A2296" s="31" t="inlineStr">
        <is>
          <t>Pokémon</t>
        </is>
      </c>
      <c r="B2296" s="33" t="inlineStr">
        <is>
          <t>QWILFISH</t>
        </is>
      </c>
      <c r="C2296" s="33" t="inlineStr">
        <is>
          <t>POISSOROY</t>
        </is>
      </c>
      <c r="D2296" s="33" t="inlineStr">
        <is>
          <t>LEVIATOR</t>
        </is>
      </c>
      <c r="E2296" s="33" t="inlineStr">
        <is>
          <t>MARAISTE</t>
        </is>
      </c>
      <c r="F2296" s="33" t="n"/>
      <c r="G2296" s="33" t="n"/>
      <c r="H2296" s="30" t="inlineStr">
        <is>
          <t>Oui</t>
        </is>
      </c>
    </row>
    <row r="2297">
      <c r="A2297" s="31" t="inlineStr">
        <is>
          <t>Niveau</t>
        </is>
      </c>
      <c r="B2297" s="33" t="n">
        <v>45</v>
      </c>
      <c r="C2297" s="33" t="n">
        <v>44</v>
      </c>
      <c r="D2297" s="33" t="n">
        <v>43</v>
      </c>
      <c r="E2297" s="33" t="n">
        <v>43</v>
      </c>
      <c r="F2297" s="33" t="n"/>
      <c r="G2297" s="33" t="n"/>
      <c r="H2297" s="30" t="inlineStr">
        <is>
          <t>Oui</t>
        </is>
      </c>
    </row>
    <row r="2298">
      <c r="A2298" s="31" t="inlineStr">
        <is>
          <t>Objet</t>
        </is>
      </c>
      <c r="B2298" s="33" t="inlineStr">
        <is>
          <t>Aucun</t>
        </is>
      </c>
      <c r="C2298" s="33" t="inlineStr">
        <is>
          <t>Aucun</t>
        </is>
      </c>
      <c r="D2298" s="33" t="inlineStr">
        <is>
          <t>Aucun</t>
        </is>
      </c>
      <c r="E2298" s="33" t="inlineStr">
        <is>
          <t>Aucun</t>
        </is>
      </c>
      <c r="F2298" s="33" t="n"/>
      <c r="G2298" s="33" t="n"/>
      <c r="H2298" s="30" t="inlineStr">
        <is>
          <t>Oui</t>
        </is>
      </c>
    </row>
    <row r="2299">
      <c r="A2299" s="31" t="inlineStr">
        <is>
          <t>Talent</t>
        </is>
      </c>
      <c r="B2299" s="33" t="inlineStr">
        <is>
          <t>Point Poison</t>
        </is>
      </c>
      <c r="C2299" s="33" t="inlineStr">
        <is>
          <t>Glissade</t>
        </is>
      </c>
      <c r="D2299" s="33" t="inlineStr">
        <is>
          <t>Intimidation</t>
        </is>
      </c>
      <c r="E2299" s="33" t="inlineStr">
        <is>
          <t>Moiteur</t>
        </is>
      </c>
      <c r="F2299" s="33" t="n"/>
      <c r="G2299" s="33" t="n"/>
      <c r="H2299" s="30" t="inlineStr">
        <is>
          <t>Oui</t>
        </is>
      </c>
    </row>
    <row r="2300">
      <c r="A2300" s="31" t="inlineStr">
        <is>
          <t>Capacités</t>
        </is>
      </c>
      <c r="B2300" s="34" t="inlineStr">
        <is>
          <t>Saumure</t>
        </is>
      </c>
      <c r="C2300" s="34" t="inlineStr">
        <is>
          <t>Furie</t>
        </is>
      </c>
      <c r="D2300" s="34" t="inlineStr">
        <is>
          <t>Grimace</t>
        </is>
      </c>
      <c r="E2300" s="34" t="inlineStr">
        <is>
          <t>Amnésie</t>
        </is>
      </c>
      <c r="F2300" s="34" t="n"/>
      <c r="G2300" s="34" t="n"/>
      <c r="H2300" s="30" t="inlineStr">
        <is>
          <t>Oui</t>
        </is>
      </c>
    </row>
    <row r="2301">
      <c r="A2301" s="31" t="n"/>
      <c r="B2301" s="34" t="inlineStr">
        <is>
          <t>Dard-Nuée</t>
        </is>
      </c>
      <c r="C2301" s="34" t="inlineStr">
        <is>
          <t>Hâte</t>
        </is>
      </c>
      <c r="D2301" s="34" t="inlineStr">
        <is>
          <t>Draco-Rage</t>
        </is>
      </c>
      <c r="E2301" s="34" t="inlineStr">
        <is>
          <t>Bâillement</t>
        </is>
      </c>
      <c r="F2301" s="34" t="n"/>
      <c r="G2301" s="34" t="n"/>
      <c r="H2301" s="30" t="inlineStr">
        <is>
          <t>Oui</t>
        </is>
      </c>
    </row>
    <row r="2302">
      <c r="A2302" s="31" t="n"/>
      <c r="B2302" s="34" t="inlineStr">
        <is>
          <t>Bélier</t>
        </is>
      </c>
      <c r="C2302" s="34" t="inlineStr">
        <is>
          <t>Cascade</t>
        </is>
      </c>
      <c r="D2302" s="34" t="inlineStr">
        <is>
          <t>Mâchouille</t>
        </is>
      </c>
      <c r="E2302" s="34" t="inlineStr">
        <is>
          <t>Séisme</t>
        </is>
      </c>
      <c r="F2302" s="34" t="n"/>
      <c r="G2302" s="34" t="n"/>
      <c r="H2302" s="30" t="inlineStr">
        <is>
          <t>Oui</t>
        </is>
      </c>
    </row>
    <row r="2303">
      <c r="A2303" s="31" t="n"/>
      <c r="B2303" s="34" t="inlineStr">
        <is>
          <t>Hydro-Queue</t>
        </is>
      </c>
      <c r="C2303" s="34" t="inlineStr">
        <is>
          <t>Empal'Korne</t>
        </is>
      </c>
      <c r="D2303" s="34" t="inlineStr">
        <is>
          <t>Hydrocanon</t>
        </is>
      </c>
      <c r="E2303" s="34" t="inlineStr">
        <is>
          <t>Danse Pluie</t>
        </is>
      </c>
      <c r="F2303" s="34" t="n"/>
      <c r="G2303" s="34" t="n"/>
      <c r="H2303" s="30" t="inlineStr">
        <is>
          <t>Oui</t>
        </is>
      </c>
    </row>
    <row r="2304" ht="18" customHeight="1">
      <c r="A2304" s="26" t="inlineStr">
        <is>
          <t>Chutes Tohjo — Salle de Giovanni</t>
        </is>
      </c>
      <c r="B2304" s="26" t="n"/>
      <c r="C2304" s="26" t="n"/>
      <c r="D2304" s="26" t="n"/>
      <c r="E2304" s="26" t="n"/>
      <c r="F2304" s="26" t="n"/>
      <c r="G2304" s="26" t="n"/>
      <c r="H2304" s="30" t="inlineStr">
        <is>
          <t>Oui</t>
        </is>
      </c>
    </row>
    <row r="2305">
      <c r="A2305" s="31" t="inlineStr">
        <is>
          <t>Nom</t>
        </is>
      </c>
      <c r="B2305" s="32" t="inlineStr">
        <is>
          <t>Commandant Giovanni</t>
        </is>
      </c>
      <c r="C2305" s="32" t="n"/>
      <c r="D2305" s="32" t="n"/>
      <c r="E2305" s="32" t="n"/>
      <c r="F2305" s="32" t="n"/>
      <c r="G2305" s="32" t="n"/>
      <c r="H2305" s="30" t="inlineStr">
        <is>
          <t>Oui</t>
        </is>
      </c>
    </row>
    <row r="2306">
      <c r="A2306" s="31" t="inlineStr">
        <is>
          <t>Pokémon</t>
        </is>
      </c>
      <c r="B2306" s="33" t="inlineStr">
        <is>
          <t>KANGOUREX</t>
        </is>
      </c>
      <c r="C2306" s="33" t="inlineStr">
        <is>
          <t>CORBOSS</t>
        </is>
      </c>
      <c r="D2306" s="33" t="inlineStr">
        <is>
          <t>NIDOQUEEN</t>
        </is>
      </c>
      <c r="E2306" s="33" t="inlineStr">
        <is>
          <t>PERSIAN</t>
        </is>
      </c>
      <c r="F2306" s="33" t="inlineStr">
        <is>
          <t>URSAKING</t>
        </is>
      </c>
      <c r="G2306" s="33" t="inlineStr">
        <is>
          <t>NIDOKING</t>
        </is>
      </c>
      <c r="H2306" s="30" t="inlineStr">
        <is>
          <t>Oui</t>
        </is>
      </c>
    </row>
    <row r="2307">
      <c r="A2307" s="31" t="inlineStr">
        <is>
          <t>Niveau</t>
        </is>
      </c>
      <c r="B2307" s="33" t="n">
        <v>60</v>
      </c>
      <c r="C2307" s="33" t="n">
        <v>61</v>
      </c>
      <c r="D2307" s="33" t="n">
        <v>61</v>
      </c>
      <c r="E2307" s="33" t="n">
        <v>61</v>
      </c>
      <c r="F2307" s="33" t="n">
        <v>60</v>
      </c>
      <c r="G2307" s="33" t="n">
        <v>62</v>
      </c>
      <c r="H2307" s="30" t="inlineStr">
        <is>
          <t>Oui</t>
        </is>
      </c>
    </row>
    <row r="2308">
      <c r="A2308" s="31" t="inlineStr">
        <is>
          <t>Objet</t>
        </is>
      </c>
      <c r="B2308" s="33" t="inlineStr">
        <is>
          <t>Aucun</t>
        </is>
      </c>
      <c r="C2308" s="33" t="inlineStr">
        <is>
          <t>Aucun</t>
        </is>
      </c>
      <c r="D2308" s="33" t="inlineStr">
        <is>
          <t>Aucun</t>
        </is>
      </c>
      <c r="E2308" s="33" t="inlineStr">
        <is>
          <t>Aucun</t>
        </is>
      </c>
      <c r="F2308" s="33" t="inlineStr">
        <is>
          <t>Aucun</t>
        </is>
      </c>
      <c r="G2308" s="33" t="inlineStr">
        <is>
          <t>Aucun</t>
        </is>
      </c>
      <c r="H2308" s="30" t="inlineStr">
        <is>
          <t>Oui</t>
        </is>
      </c>
    </row>
    <row r="2309">
      <c r="A2309" s="31" t="inlineStr">
        <is>
          <t>Talent</t>
        </is>
      </c>
      <c r="B2309" s="33" t="inlineStr">
        <is>
          <t>Matinal</t>
        </is>
      </c>
      <c r="C2309" s="33" t="inlineStr">
        <is>
          <t>Insomnia</t>
        </is>
      </c>
      <c r="D2309" s="33" t="inlineStr">
        <is>
          <t>Point Poison</t>
        </is>
      </c>
      <c r="E2309" s="33" t="inlineStr">
        <is>
          <t>Échauffement</t>
        </is>
      </c>
      <c r="F2309" s="33" t="inlineStr">
        <is>
          <t>Cran</t>
        </is>
      </c>
      <c r="G2309" s="33" t="inlineStr">
        <is>
          <t>Point Poison</t>
        </is>
      </c>
      <c r="H2309" s="30" t="inlineStr">
        <is>
          <t>Oui</t>
        </is>
      </c>
    </row>
    <row r="2310">
      <c r="A2310" s="31" t="inlineStr">
        <is>
          <t>Capacités</t>
        </is>
      </c>
      <c r="B2310" s="34" t="inlineStr">
        <is>
          <t>Uppercut</t>
        </is>
      </c>
      <c r="C2310" s="34" t="inlineStr">
        <is>
          <t>Vibrobscur</t>
        </is>
      </c>
      <c r="D2310" s="34" t="inlineStr">
        <is>
          <t>Poing Glace</t>
        </is>
      </c>
      <c r="E2310" s="34" t="inlineStr">
        <is>
          <t>Feinte</t>
        </is>
      </c>
      <c r="F2310" s="34" t="inlineStr">
        <is>
          <t>Assaut Frontal</t>
        </is>
      </c>
      <c r="G2310" s="34" t="inlineStr">
        <is>
          <t>Poing Éclair</t>
        </is>
      </c>
      <c r="H2310" s="30" t="inlineStr">
        <is>
          <t>Oui</t>
        </is>
      </c>
    </row>
    <row r="2311">
      <c r="A2311" s="31" t="n"/>
      <c r="B2311" s="34" t="inlineStr">
        <is>
          <t>Poing Feu</t>
        </is>
      </c>
      <c r="C2311" s="34" t="inlineStr">
        <is>
          <t>Lame d'Air</t>
        </is>
      </c>
      <c r="D2311" s="34" t="inlineStr">
        <is>
          <t>Poison Croix</t>
        </is>
      </c>
      <c r="E2311" s="34" t="inlineStr">
        <is>
          <t>Vantardise</t>
        </is>
      </c>
      <c r="F2311" s="34" t="inlineStr">
        <is>
          <t>Tempête de Sable</t>
        </is>
      </c>
      <c r="G2311" s="34" t="inlineStr">
        <is>
          <t>Séisme</t>
        </is>
      </c>
      <c r="H2311" s="30" t="inlineStr">
        <is>
          <t>Oui</t>
        </is>
      </c>
    </row>
    <row r="2312">
      <c r="A2312" s="31" t="n"/>
      <c r="B2312" s="34" t="inlineStr">
        <is>
          <t>Rune Protect</t>
        </is>
      </c>
      <c r="C2312" s="34" t="inlineStr">
        <is>
          <t>Larcin</t>
        </is>
      </c>
      <c r="D2312" s="34" t="inlineStr">
        <is>
          <t>Piétisol</t>
        </is>
      </c>
      <c r="E2312" s="34" t="inlineStr">
        <is>
          <t>Grincement</t>
        </is>
      </c>
      <c r="F2312" s="34" t="inlineStr">
        <is>
          <t>Câlinerie</t>
        </is>
      </c>
      <c r="G2312" s="34" t="inlineStr">
        <is>
          <t>Éboulement</t>
        </is>
      </c>
      <c r="H2312" s="30" t="inlineStr">
        <is>
          <t>Oui</t>
        </is>
      </c>
    </row>
    <row r="2313">
      <c r="A2313" s="31" t="n"/>
      <c r="B2313" s="34" t="inlineStr">
        <is>
          <t>Ultimapoing</t>
        </is>
      </c>
      <c r="C2313" s="34" t="inlineStr">
        <is>
          <t>Reflet</t>
        </is>
      </c>
      <c r="D2313" s="34" t="inlineStr">
        <is>
          <t>Plaquage</t>
        </is>
      </c>
      <c r="E2313" s="34" t="inlineStr">
        <is>
          <t>Tranche</t>
        </is>
      </c>
      <c r="F2313" s="34" t="inlineStr">
        <is>
          <t>Damoclès</t>
        </is>
      </c>
      <c r="G2313" s="34" t="inlineStr">
        <is>
          <t>Mania</t>
        </is>
      </c>
      <c r="H2313" s="30" t="inlineStr">
        <is>
          <t>Oui</t>
        </is>
      </c>
    </row>
    <row r="2314" ht="18" customHeight="1">
      <c r="A2314" s="26" t="inlineStr">
        <is>
          <t>Route 26</t>
        </is>
      </c>
      <c r="B2314" s="26" t="n"/>
      <c r="C2314" s="26" t="n"/>
      <c r="D2314" s="26" t="n"/>
      <c r="E2314" s="26" t="n"/>
      <c r="F2314" s="26" t="n"/>
      <c r="G2314" s="26" t="n"/>
      <c r="H2314" s="30" t="inlineStr">
        <is>
          <t>Oui</t>
        </is>
      </c>
    </row>
    <row r="2315">
      <c r="A2315" s="31" t="inlineStr">
        <is>
          <t>Nom</t>
        </is>
      </c>
      <c r="B2315" s="32" t="inlineStr">
        <is>
          <t>Topdresseur Jack</t>
        </is>
      </c>
      <c r="C2315" s="32" t="n"/>
      <c r="D2315" s="32" t="n"/>
      <c r="E2315" s="32" t="n"/>
      <c r="F2315" s="32" t="n"/>
      <c r="G2315" s="32" t="n"/>
      <c r="H2315" s="30" t="inlineStr">
        <is>
          <t>Oui</t>
        </is>
      </c>
    </row>
    <row r="2316">
      <c r="A2316" s="31" t="inlineStr">
        <is>
          <t>Pokémon</t>
        </is>
      </c>
      <c r="B2316" s="33" t="inlineStr">
        <is>
          <t>CRUSTABRI</t>
        </is>
      </c>
      <c r="C2316" s="33" t="inlineStr">
        <is>
          <t>ROUCARNAGE</t>
        </is>
      </c>
      <c r="D2316" s="33" t="inlineStr">
        <is>
          <t>ALAKAZAM</t>
        </is>
      </c>
      <c r="E2316" s="33" t="inlineStr">
        <is>
          <t>ARCANIN</t>
        </is>
      </c>
      <c r="F2316" s="33" t="inlineStr">
        <is>
          <t>VOLTALI</t>
        </is>
      </c>
      <c r="G2316" s="33" t="n"/>
      <c r="H2316" s="30" t="inlineStr">
        <is>
          <t>Oui</t>
        </is>
      </c>
    </row>
    <row r="2317">
      <c r="A2317" s="31" t="inlineStr">
        <is>
          <t>Niveau</t>
        </is>
      </c>
      <c r="B2317" s="33" t="n">
        <v>45</v>
      </c>
      <c r="C2317" s="33" t="n">
        <v>47</v>
      </c>
      <c r="D2317" s="33" t="n">
        <v>45</v>
      </c>
      <c r="E2317" s="33" t="n">
        <v>45</v>
      </c>
      <c r="F2317" s="33" t="n">
        <v>45</v>
      </c>
      <c r="G2317" s="33" t="n"/>
      <c r="H2317" s="30" t="inlineStr">
        <is>
          <t>Oui</t>
        </is>
      </c>
    </row>
    <row r="2318">
      <c r="A2318" s="31" t="inlineStr">
        <is>
          <t>Objet</t>
        </is>
      </c>
      <c r="B2318" s="33" t="inlineStr">
        <is>
          <t>Aucun</t>
        </is>
      </c>
      <c r="C2318" s="33" t="inlineStr">
        <is>
          <t>Aucun</t>
        </is>
      </c>
      <c r="D2318" s="33" t="inlineStr">
        <is>
          <t>Aucun</t>
        </is>
      </c>
      <c r="E2318" s="33" t="inlineStr">
        <is>
          <t>Aucun</t>
        </is>
      </c>
      <c r="F2318" s="33" t="inlineStr">
        <is>
          <t>Aucun</t>
        </is>
      </c>
      <c r="G2318" s="33" t="n"/>
      <c r="H2318" s="30" t="inlineStr">
        <is>
          <t>Oui</t>
        </is>
      </c>
    </row>
    <row r="2319">
      <c r="A2319" s="31" t="inlineStr">
        <is>
          <t>Talent</t>
        </is>
      </c>
      <c r="B2319" s="33" t="inlineStr">
        <is>
          <t>Coque Armure</t>
        </is>
      </c>
      <c r="C2319" s="33" t="inlineStr">
        <is>
          <t>Regard Vif</t>
        </is>
      </c>
      <c r="D2319" s="33" t="inlineStr">
        <is>
          <t>Synchro</t>
        </is>
      </c>
      <c r="E2319" s="33" t="inlineStr">
        <is>
          <t>Intimidation</t>
        </is>
      </c>
      <c r="F2319" s="33" t="inlineStr">
        <is>
          <t>Absorbe-Volt</t>
        </is>
      </c>
      <c r="G2319" s="33" t="n"/>
      <c r="H2319" s="30" t="inlineStr">
        <is>
          <t>Oui</t>
        </is>
      </c>
    </row>
    <row r="2320">
      <c r="A2320" s="31" t="inlineStr">
        <is>
          <t>Capacités</t>
        </is>
      </c>
      <c r="B2320" s="34" t="inlineStr">
        <is>
          <t>Onde Boréale</t>
        </is>
      </c>
      <c r="C2320" s="34" t="inlineStr">
        <is>
          <t>Hâte</t>
        </is>
      </c>
      <c r="D2320" s="34" t="inlineStr">
        <is>
          <t>Interversion</t>
        </is>
      </c>
      <c r="E2320" s="34" t="inlineStr">
        <is>
          <t>Rebondifeu</t>
        </is>
      </c>
      <c r="F2320" s="34" t="inlineStr">
        <is>
          <t>Cage Éclair</t>
        </is>
      </c>
      <c r="G2320" s="34" t="n"/>
      <c r="H2320" s="30" t="inlineStr">
        <is>
          <t>Oui</t>
        </is>
      </c>
    </row>
    <row r="2321">
      <c r="A2321" s="31" t="n"/>
      <c r="B2321" s="34" t="inlineStr">
        <is>
          <t>Picanon</t>
        </is>
      </c>
      <c r="C2321" s="34" t="inlineStr">
        <is>
          <t>Aéropique</t>
        </is>
      </c>
      <c r="D2321" s="34" t="inlineStr">
        <is>
          <t>Psyko</t>
        </is>
      </c>
      <c r="E2321" s="34" t="inlineStr">
        <is>
          <t>Hâte</t>
        </is>
      </c>
      <c r="F2321" s="34" t="inlineStr">
        <is>
          <t>Coup d'Jus</t>
        </is>
      </c>
      <c r="G2321" s="34" t="n"/>
      <c r="H2321" s="30" t="inlineStr">
        <is>
          <t>Oui</t>
        </is>
      </c>
    </row>
    <row r="2322">
      <c r="A2322" s="31" t="n"/>
      <c r="B2322" s="34" t="inlineStr">
        <is>
          <t>Picots</t>
        </is>
      </c>
      <c r="C2322" s="34" t="inlineStr">
        <is>
          <t>Chute Libre</t>
        </is>
      </c>
      <c r="D2322" s="34" t="inlineStr">
        <is>
          <t>Plénitude</t>
        </is>
      </c>
      <c r="E2322" s="34" t="inlineStr">
        <is>
          <t>Vengeance</t>
        </is>
      </c>
      <c r="F2322" s="34" t="inlineStr">
        <is>
          <t>Dernier Recours</t>
        </is>
      </c>
      <c r="G2322" s="34" t="n"/>
      <c r="H2322" s="30" t="inlineStr">
        <is>
          <t>Oui</t>
        </is>
      </c>
    </row>
    <row r="2323">
      <c r="A2323" s="31" t="n"/>
      <c r="B2323" s="34" t="inlineStr">
        <is>
          <t>Coqui-Lame</t>
        </is>
      </c>
      <c r="C2323" s="34" t="inlineStr">
        <is>
          <t>Atterrissage</t>
        </is>
      </c>
      <c r="D2323" s="34" t="inlineStr">
        <is>
          <t>Prescience</t>
        </is>
      </c>
      <c r="E2323" s="34" t="inlineStr">
        <is>
          <t>Lance-Flammes</t>
        </is>
      </c>
      <c r="F2323" s="34" t="inlineStr">
        <is>
          <t>Fatal-Foudre</t>
        </is>
      </c>
      <c r="G2323" s="34" t="n"/>
      <c r="H2323" s="30" t="inlineStr">
        <is>
          <t>Oui</t>
        </is>
      </c>
    </row>
    <row r="2324">
      <c r="A2324" s="31" t="inlineStr">
        <is>
          <t>Nom</t>
        </is>
      </c>
      <c r="B2324" s="32" t="inlineStr">
        <is>
          <t>Topdresseur Sean</t>
        </is>
      </c>
      <c r="C2324" s="32" t="n"/>
      <c r="D2324" s="32" t="n"/>
      <c r="E2324" s="32" t="n"/>
      <c r="F2324" s="32" t="n"/>
      <c r="G2324" s="32" t="n"/>
      <c r="H2324" s="30" t="inlineStr">
        <is>
          <t>Oui</t>
        </is>
      </c>
    </row>
    <row r="2325">
      <c r="A2325" s="31" t="inlineStr">
        <is>
          <t>Pokémon</t>
        </is>
      </c>
      <c r="B2325" s="33" t="inlineStr">
        <is>
          <t>EMPIFLOR</t>
        </is>
      </c>
      <c r="C2325" s="33" t="inlineStr">
        <is>
          <t>KRABBOSS</t>
        </is>
      </c>
      <c r="D2325" s="33" t="inlineStr">
        <is>
          <t>PYROLI</t>
        </is>
      </c>
      <c r="E2325" s="33" t="inlineStr">
        <is>
          <t>DONPHAN</t>
        </is>
      </c>
      <c r="F2325" s="33" t="inlineStr">
        <is>
          <t>DRACO</t>
        </is>
      </c>
      <c r="G2325" s="33" t="n"/>
      <c r="H2325" s="30" t="inlineStr">
        <is>
          <t>Oui</t>
        </is>
      </c>
    </row>
    <row r="2326">
      <c r="A2326" s="31" t="inlineStr">
        <is>
          <t>Niveau</t>
        </is>
      </c>
      <c r="B2326" s="33" t="n">
        <v>50</v>
      </c>
      <c r="C2326" s="33" t="n">
        <v>50</v>
      </c>
      <c r="D2326" s="33" t="n">
        <v>50</v>
      </c>
      <c r="E2326" s="33" t="n">
        <v>50</v>
      </c>
      <c r="F2326" s="33" t="n">
        <v>50</v>
      </c>
      <c r="G2326" s="33" t="n"/>
      <c r="H2326" s="30" t="inlineStr">
        <is>
          <t>Oui</t>
        </is>
      </c>
    </row>
    <row r="2327">
      <c r="A2327" s="31" t="inlineStr">
        <is>
          <t>Objet</t>
        </is>
      </c>
      <c r="B2327" s="33" t="inlineStr">
        <is>
          <t>Aucun</t>
        </is>
      </c>
      <c r="C2327" s="33" t="inlineStr">
        <is>
          <t>Aucun</t>
        </is>
      </c>
      <c r="D2327" s="33" t="inlineStr">
        <is>
          <t>Aucun</t>
        </is>
      </c>
      <c r="E2327" s="33" t="inlineStr">
        <is>
          <t>Aucun</t>
        </is>
      </c>
      <c r="F2327" s="33" t="inlineStr">
        <is>
          <t>Aucun</t>
        </is>
      </c>
      <c r="G2327" s="33" t="n"/>
      <c r="H2327" s="30" t="inlineStr">
        <is>
          <t>Oui</t>
        </is>
      </c>
    </row>
    <row r="2328">
      <c r="A2328" s="31" t="inlineStr">
        <is>
          <t>Talent</t>
        </is>
      </c>
      <c r="B2328" s="33" t="inlineStr">
        <is>
          <t>Chlorophylle</t>
        </is>
      </c>
      <c r="C2328" s="33" t="inlineStr">
        <is>
          <t>Hyper Cutter</t>
        </is>
      </c>
      <c r="D2328" s="33" t="inlineStr">
        <is>
          <t>Torche</t>
        </is>
      </c>
      <c r="E2328" s="33" t="inlineStr">
        <is>
          <t>Fermeté</t>
        </is>
      </c>
      <c r="F2328" s="33" t="inlineStr">
        <is>
          <t>Mue</t>
        </is>
      </c>
      <c r="G2328" s="33" t="n"/>
      <c r="H2328" s="30" t="inlineStr">
        <is>
          <t>Oui</t>
        </is>
      </c>
    </row>
    <row r="2329">
      <c r="A2329" s="31" t="inlineStr">
        <is>
          <t>Capacités</t>
        </is>
      </c>
      <c r="B2329" s="34" t="inlineStr">
        <is>
          <t>Sabotage</t>
        </is>
      </c>
      <c r="C2329" s="34" t="inlineStr">
        <is>
          <t>Écrasement</t>
        </is>
      </c>
      <c r="D2329" s="34" t="inlineStr">
        <is>
          <t>Purédpois</t>
        </is>
      </c>
      <c r="E2329" s="34" t="inlineStr">
        <is>
          <t>Grimace</t>
        </is>
      </c>
      <c r="F2329" s="34" t="inlineStr">
        <is>
          <t>Hâte</t>
        </is>
      </c>
      <c r="G2329" s="34" t="n"/>
      <c r="H2329" s="30" t="inlineStr">
        <is>
          <t>Oui</t>
        </is>
      </c>
    </row>
    <row r="2330">
      <c r="A2330" s="31" t="n"/>
      <c r="B2330" s="34" t="inlineStr">
        <is>
          <t>Doux Parfum</t>
        </is>
      </c>
      <c r="C2330" s="34" t="inlineStr">
        <is>
          <t>Abri</t>
        </is>
      </c>
      <c r="D2330" s="34" t="inlineStr">
        <is>
          <t>Ébullilave</t>
        </is>
      </c>
      <c r="E2330" s="34" t="inlineStr">
        <is>
          <t>Tour Rapide</t>
        </is>
      </c>
      <c r="F2330" s="34" t="inlineStr">
        <is>
          <t>Draco-Queue</t>
        </is>
      </c>
      <c r="G2330" s="34" t="n"/>
      <c r="H2330" s="30" t="inlineStr">
        <is>
          <t>Oui</t>
        </is>
      </c>
    </row>
    <row r="2331">
      <c r="A2331" s="31" t="n"/>
      <c r="B2331" s="34" t="inlineStr">
        <is>
          <t>Lame Feuille</t>
        </is>
      </c>
      <c r="C2331" s="34" t="inlineStr">
        <is>
          <t>Guillotine</t>
        </is>
      </c>
      <c r="D2331" s="34" t="inlineStr">
        <is>
          <t>Dernier Recours</t>
        </is>
      </c>
      <c r="E2331" s="34" t="inlineStr">
        <is>
          <t>Séisme</t>
        </is>
      </c>
      <c r="F2331" s="34" t="inlineStr">
        <is>
          <t>Hydro-Queue</t>
        </is>
      </c>
      <c r="G2331" s="34" t="n"/>
      <c r="H2331" s="30" t="inlineStr">
        <is>
          <t>Oui</t>
        </is>
      </c>
    </row>
    <row r="2332">
      <c r="A2332" s="31" t="n"/>
      <c r="B2332" s="34" t="inlineStr">
        <is>
          <t>Suc Digestif</t>
        </is>
      </c>
      <c r="C2332" s="34" t="inlineStr">
        <is>
          <t>Souplesse</t>
        </is>
      </c>
      <c r="D2332" s="34" t="inlineStr">
        <is>
          <t>Boutefeu</t>
        </is>
      </c>
      <c r="E2332" s="34" t="inlineStr">
        <is>
          <t>Giga Impact</t>
        </is>
      </c>
      <c r="F2332" s="34" t="inlineStr">
        <is>
          <t>Draco-Charge</t>
        </is>
      </c>
      <c r="G2332" s="34" t="n"/>
      <c r="H2332" s="30" t="inlineStr">
        <is>
          <t>Oui</t>
        </is>
      </c>
    </row>
    <row r="2333">
      <c r="A2333" s="31" t="inlineStr">
        <is>
          <t>Nom</t>
        </is>
      </c>
      <c r="B2333" s="32" t="inlineStr">
        <is>
          <t>Topdresseur Cathy</t>
        </is>
      </c>
      <c r="C2333" s="32" t="n"/>
      <c r="D2333" s="32" t="n"/>
      <c r="E2333" s="32" t="n"/>
      <c r="F2333" s="32" t="n"/>
      <c r="G2333" s="32" t="n"/>
      <c r="H2333" s="30" t="inlineStr">
        <is>
          <t>Oui</t>
        </is>
      </c>
    </row>
    <row r="2334">
      <c r="A2334" s="31" t="inlineStr">
        <is>
          <t>Pokémon</t>
        </is>
      </c>
      <c r="B2334" s="33" t="inlineStr">
        <is>
          <t>TORTANK</t>
        </is>
      </c>
      <c r="C2334" s="33" t="inlineStr">
        <is>
          <t>RAICHU</t>
        </is>
      </c>
      <c r="D2334" s="33" t="inlineStr">
        <is>
          <t>TAUROS</t>
        </is>
      </c>
      <c r="E2334" s="33" t="inlineStr">
        <is>
          <t>RHINOFEROS</t>
        </is>
      </c>
      <c r="F2334" s="33" t="inlineStr">
        <is>
          <t>COTOVOL</t>
        </is>
      </c>
      <c r="G2334" s="33" t="n"/>
      <c r="H2334" s="30" t="inlineStr">
        <is>
          <t>Oui</t>
        </is>
      </c>
    </row>
    <row r="2335">
      <c r="A2335" s="31" t="inlineStr">
        <is>
          <t>Niveau</t>
        </is>
      </c>
      <c r="B2335" s="33" t="n">
        <v>44</v>
      </c>
      <c r="C2335" s="33" t="n">
        <v>46</v>
      </c>
      <c r="D2335" s="33" t="n">
        <v>45</v>
      </c>
      <c r="E2335" s="33" t="n">
        <v>45</v>
      </c>
      <c r="F2335" s="33" t="n">
        <v>45</v>
      </c>
      <c r="G2335" s="33" t="n"/>
      <c r="H2335" s="30" t="inlineStr">
        <is>
          <t>Oui</t>
        </is>
      </c>
    </row>
    <row r="2336">
      <c r="A2336" s="31" t="inlineStr">
        <is>
          <t>Objet</t>
        </is>
      </c>
      <c r="B2336" s="33" t="inlineStr">
        <is>
          <t>Aucun</t>
        </is>
      </c>
      <c r="C2336" s="33" t="inlineStr">
        <is>
          <t>Aucun</t>
        </is>
      </c>
      <c r="D2336" s="33" t="inlineStr">
        <is>
          <t>Aucun</t>
        </is>
      </c>
      <c r="E2336" s="33" t="inlineStr">
        <is>
          <t>Aucun</t>
        </is>
      </c>
      <c r="F2336" s="33" t="inlineStr">
        <is>
          <t>Aucun</t>
        </is>
      </c>
      <c r="G2336" s="33" t="n"/>
      <c r="H2336" s="30" t="inlineStr">
        <is>
          <t>Oui</t>
        </is>
      </c>
    </row>
    <row r="2337">
      <c r="A2337" s="31" t="inlineStr">
        <is>
          <t>Talent</t>
        </is>
      </c>
      <c r="B2337" s="33" t="inlineStr">
        <is>
          <t>Torrent</t>
        </is>
      </c>
      <c r="C2337" s="33" t="inlineStr">
        <is>
          <t>Statik</t>
        </is>
      </c>
      <c r="D2337" s="33" t="inlineStr">
        <is>
          <t>Intimidation</t>
        </is>
      </c>
      <c r="E2337" s="33" t="inlineStr">
        <is>
          <t>Paratonnerre</t>
        </is>
      </c>
      <c r="F2337" s="33" t="inlineStr">
        <is>
          <t>Chlorophylle</t>
        </is>
      </c>
      <c r="G2337" s="33" t="n"/>
      <c r="H2337" s="30" t="inlineStr">
        <is>
          <t>Oui</t>
        </is>
      </c>
    </row>
    <row r="2338">
      <c r="A2338" s="31" t="inlineStr">
        <is>
          <t>Capacités</t>
        </is>
      </c>
      <c r="B2338" s="34" t="inlineStr">
        <is>
          <t>Abri</t>
        </is>
      </c>
      <c r="C2338" s="34" t="inlineStr">
        <is>
          <t>Reflet</t>
        </is>
      </c>
      <c r="D2338" s="34" t="inlineStr">
        <is>
          <t>Représailles</t>
        </is>
      </c>
      <c r="E2338" s="34" t="inlineStr">
        <is>
          <t>Boule Roc</t>
        </is>
      </c>
      <c r="F2338" s="34" t="inlineStr">
        <is>
          <t>Méga-Sangsue</t>
        </is>
      </c>
      <c r="G2338" s="34" t="n"/>
      <c r="H2338" s="30" t="inlineStr">
        <is>
          <t>Oui</t>
        </is>
      </c>
    </row>
    <row r="2339">
      <c r="A2339" s="31" t="n"/>
      <c r="B2339" s="34" t="inlineStr">
        <is>
          <t>Vibraqua</t>
        </is>
      </c>
      <c r="C2339" s="34" t="inlineStr">
        <is>
          <t>Étincelle</t>
        </is>
      </c>
      <c r="D2339" s="34" t="inlineStr">
        <is>
          <t>Rengorgement</t>
        </is>
      </c>
      <c r="E2339" s="34" t="inlineStr">
        <is>
          <t>Tunnelier</t>
        </is>
      </c>
      <c r="F2339" s="34" t="inlineStr">
        <is>
          <t>Acrobatie</t>
        </is>
      </c>
      <c r="G2339" s="34" t="n"/>
      <c r="H2339" s="30" t="inlineStr">
        <is>
          <t>Oui</t>
        </is>
      </c>
    </row>
    <row r="2340">
      <c r="A2340" s="31" t="n"/>
      <c r="B2340" s="34" t="inlineStr">
        <is>
          <t>Hydro-Queue</t>
        </is>
      </c>
      <c r="C2340" s="34" t="inlineStr">
        <is>
          <t>Frotte-Frimousse</t>
        </is>
      </c>
      <c r="D2340" s="34" t="inlineStr">
        <is>
          <t>Bélier</t>
        </is>
      </c>
      <c r="E2340" s="34" t="inlineStr">
        <is>
          <t>Bélier</t>
        </is>
      </c>
      <c r="F2340" s="34" t="inlineStr">
        <is>
          <t>Poudre Fureur</t>
        </is>
      </c>
      <c r="G2340" s="34" t="n"/>
      <c r="H2340" s="30" t="inlineStr">
        <is>
          <t>Oui</t>
        </is>
      </c>
    </row>
    <row r="2341">
      <c r="A2341" s="31" t="n"/>
      <c r="B2341" s="34" t="inlineStr">
        <is>
          <t>Coud'Krâne</t>
        </is>
      </c>
      <c r="C2341" s="34" t="inlineStr">
        <is>
          <t>Coup d'Jus</t>
        </is>
      </c>
      <c r="D2341" s="34" t="inlineStr">
        <is>
          <t>Psykoud'Boul</t>
        </is>
      </c>
      <c r="E2341" s="34" t="inlineStr">
        <is>
          <t>Lame de Roc</t>
        </is>
      </c>
      <c r="F2341" s="34" t="inlineStr">
        <is>
          <t>Spore Coton</t>
        </is>
      </c>
      <c r="G2341" s="34" t="n"/>
      <c r="H2341" s="30" t="inlineStr">
        <is>
          <t>Oui</t>
        </is>
      </c>
    </row>
    <row r="2342">
      <c r="A2342" s="31" t="inlineStr">
        <is>
          <t>Nom</t>
        </is>
      </c>
      <c r="B2342" s="32" t="inlineStr">
        <is>
          <t>Topdresseur Beth</t>
        </is>
      </c>
      <c r="C2342" s="32" t="n"/>
      <c r="D2342" s="32" t="n"/>
      <c r="E2342" s="32" t="n"/>
      <c r="F2342" s="32" t="n"/>
      <c r="G2342" s="32" t="n"/>
      <c r="H2342" s="30" t="inlineStr">
        <is>
          <t>Oui</t>
        </is>
      </c>
    </row>
    <row r="2343">
      <c r="A2343" s="31" t="inlineStr">
        <is>
          <t>Pokémon</t>
        </is>
      </c>
      <c r="B2343" s="33" t="inlineStr">
        <is>
          <t>GALOPA</t>
        </is>
      </c>
      <c r="C2343" s="33" t="inlineStr">
        <is>
          <t>PHARAMP</t>
        </is>
      </c>
      <c r="D2343" s="33" t="inlineStr">
        <is>
          <t>ECREMEUH</t>
        </is>
      </c>
      <c r="E2343" s="33" t="inlineStr">
        <is>
          <t>LANTURN</t>
        </is>
      </c>
      <c r="F2343" s="33" t="inlineStr">
        <is>
          <t>ECTOPLASMA</t>
        </is>
      </c>
      <c r="G2343" s="33" t="n"/>
      <c r="H2343" s="30" t="inlineStr">
        <is>
          <t>Oui</t>
        </is>
      </c>
    </row>
    <row r="2344">
      <c r="A2344" s="31" t="inlineStr">
        <is>
          <t>Niveau</t>
        </is>
      </c>
      <c r="B2344" s="33" t="n">
        <v>45</v>
      </c>
      <c r="C2344" s="33" t="n">
        <v>45</v>
      </c>
      <c r="D2344" s="33" t="n">
        <v>45</v>
      </c>
      <c r="E2344" s="33" t="n">
        <v>45</v>
      </c>
      <c r="F2344" s="33" t="n">
        <v>45</v>
      </c>
      <c r="G2344" s="33" t="n"/>
      <c r="H2344" s="30" t="inlineStr">
        <is>
          <t>Oui</t>
        </is>
      </c>
    </row>
    <row r="2345">
      <c r="A2345" s="31" t="inlineStr">
        <is>
          <t>Objet</t>
        </is>
      </c>
      <c r="B2345" s="33" t="inlineStr">
        <is>
          <t>Aucun</t>
        </is>
      </c>
      <c r="C2345" s="33" t="inlineStr">
        <is>
          <t>Aucun</t>
        </is>
      </c>
      <c r="D2345" s="33" t="inlineStr">
        <is>
          <t>Aucun</t>
        </is>
      </c>
      <c r="E2345" s="33" t="inlineStr">
        <is>
          <t>Aucun</t>
        </is>
      </c>
      <c r="F2345" s="33" t="inlineStr">
        <is>
          <t>Aucun</t>
        </is>
      </c>
      <c r="G2345" s="33" t="n"/>
      <c r="H2345" s="30" t="inlineStr">
        <is>
          <t>Oui</t>
        </is>
      </c>
    </row>
    <row r="2346">
      <c r="A2346" s="31" t="inlineStr">
        <is>
          <t>Talent</t>
        </is>
      </c>
      <c r="B2346" s="33" t="inlineStr">
        <is>
          <t>Fuite</t>
        </is>
      </c>
      <c r="C2346" s="33" t="inlineStr">
        <is>
          <t>Statik</t>
        </is>
      </c>
      <c r="D2346" s="33" t="inlineStr">
        <is>
          <t>Isograisse</t>
        </is>
      </c>
      <c r="E2346" s="33" t="inlineStr">
        <is>
          <t>Absorbe-Volt</t>
        </is>
      </c>
      <c r="F2346" s="33" t="inlineStr">
        <is>
          <t>Lévitation</t>
        </is>
      </c>
      <c r="G2346" s="33" t="n"/>
      <c r="H2346" s="30" t="inlineStr">
        <is>
          <t>Oui</t>
        </is>
      </c>
    </row>
    <row r="2347">
      <c r="A2347" s="31" t="inlineStr">
        <is>
          <t>Capacités</t>
        </is>
      </c>
      <c r="B2347" s="34" t="inlineStr">
        <is>
          <t>Feu d'Enfer</t>
        </is>
      </c>
      <c r="C2347" s="34" t="inlineStr">
        <is>
          <t>Boule Élek</t>
        </is>
      </c>
      <c r="D2347" s="34" t="inlineStr">
        <is>
          <t>Psykoud'Boul</t>
        </is>
      </c>
      <c r="E2347" s="34" t="inlineStr">
        <is>
          <t>Rayon Signal</t>
        </is>
      </c>
      <c r="F2347" s="34" t="inlineStr">
        <is>
          <t>Ball'Ombre</t>
        </is>
      </c>
      <c r="G2347" s="34" t="n"/>
      <c r="H2347" s="30" t="inlineStr">
        <is>
          <t>Oui</t>
        </is>
      </c>
    </row>
    <row r="2348">
      <c r="A2348" s="31" t="n"/>
      <c r="B2348" s="34" t="inlineStr">
        <is>
          <t>Hâte</t>
        </is>
      </c>
      <c r="C2348" s="34" t="inlineStr">
        <is>
          <t>Onde Folie</t>
        </is>
      </c>
      <c r="D2348" s="34" t="inlineStr">
        <is>
          <t>Séduction</t>
        </is>
      </c>
      <c r="E2348" s="34" t="inlineStr">
        <is>
          <t>Gigotage</t>
        </is>
      </c>
      <c r="F2348" s="34" t="inlineStr">
        <is>
          <t>Détritus</t>
        </is>
      </c>
      <c r="G2348" s="34" t="n"/>
      <c r="H2348" s="30" t="inlineStr">
        <is>
          <t>Oui</t>
        </is>
      </c>
    </row>
    <row r="2349">
      <c r="A2349" s="31" t="n"/>
      <c r="B2349" s="34" t="inlineStr">
        <is>
          <t>Déflagration</t>
        </is>
      </c>
      <c r="C2349" s="34" t="inlineStr">
        <is>
          <t>Rayon Gemme</t>
        </is>
      </c>
      <c r="D2349" s="34" t="inlineStr">
        <is>
          <t>Gyroballe</t>
        </is>
      </c>
      <c r="E2349" s="34" t="inlineStr">
        <is>
          <t>Coup d'Jus</t>
        </is>
      </c>
      <c r="F2349" s="34" t="inlineStr">
        <is>
          <t>Dévorêve</t>
        </is>
      </c>
      <c r="G2349" s="34" t="n"/>
      <c r="H2349" s="30" t="inlineStr">
        <is>
          <t>Oui</t>
        </is>
      </c>
    </row>
    <row r="2350">
      <c r="A2350" s="31" t="n"/>
      <c r="B2350" s="34" t="inlineStr">
        <is>
          <t>Rebond</t>
        </is>
      </c>
      <c r="C2350" s="34" t="inlineStr">
        <is>
          <t>Coup d'Jus</t>
        </is>
      </c>
      <c r="D2350" s="34" t="inlineStr">
        <is>
          <t>Câlinerie</t>
        </is>
      </c>
      <c r="E2350" s="34" t="inlineStr">
        <is>
          <t>Bélier</t>
        </is>
      </c>
      <c r="F2350" s="34" t="inlineStr">
        <is>
          <t>Vibrobscur</t>
        </is>
      </c>
      <c r="G2350" s="34" t="n"/>
      <c r="H2350" s="30" t="inlineStr">
        <is>
          <t>Oui</t>
        </is>
      </c>
    </row>
    <row r="2351">
      <c r="A2351" s="31" t="inlineStr">
        <is>
          <t>Nom</t>
        </is>
      </c>
      <c r="B2351" s="32" t="inlineStr">
        <is>
          <t>Kinésiste Bilou</t>
        </is>
      </c>
      <c r="C2351" s="32" t="n"/>
      <c r="D2351" s="32" t="n"/>
      <c r="E2351" s="32" t="n"/>
      <c r="F2351" s="32" t="n"/>
      <c r="G2351" s="32" t="n"/>
      <c r="H2351" s="30" t="inlineStr">
        <is>
          <t>Oui</t>
        </is>
      </c>
    </row>
    <row r="2352">
      <c r="A2352" s="31" t="inlineStr">
        <is>
          <t>Pokémon</t>
        </is>
      </c>
      <c r="B2352" s="33" t="inlineStr">
        <is>
          <t>MENTALI</t>
        </is>
      </c>
      <c r="C2352" s="33" t="inlineStr">
        <is>
          <t>M. MIME</t>
        </is>
      </c>
      <c r="D2352" s="33" t="inlineStr">
        <is>
          <t>ROIGADA</t>
        </is>
      </c>
      <c r="E2352" s="33" t="n"/>
      <c r="F2352" s="33" t="n"/>
      <c r="G2352" s="33" t="n"/>
      <c r="H2352" s="30" t="inlineStr">
        <is>
          <t>Oui</t>
        </is>
      </c>
    </row>
    <row r="2353">
      <c r="A2353" s="31" t="inlineStr">
        <is>
          <t>Niveau</t>
        </is>
      </c>
      <c r="B2353" s="33" t="n">
        <v>45</v>
      </c>
      <c r="C2353" s="33" t="n">
        <v>45</v>
      </c>
      <c r="D2353" s="33" t="n">
        <v>45</v>
      </c>
      <c r="E2353" s="33" t="n"/>
      <c r="F2353" s="33" t="n"/>
      <c r="G2353" s="33" t="n"/>
      <c r="H2353" s="30" t="inlineStr">
        <is>
          <t>Oui</t>
        </is>
      </c>
    </row>
    <row r="2354">
      <c r="A2354" s="31" t="inlineStr">
        <is>
          <t>Objet</t>
        </is>
      </c>
      <c r="B2354" s="33" t="inlineStr">
        <is>
          <t>Aucun</t>
        </is>
      </c>
      <c r="C2354" s="33" t="inlineStr">
        <is>
          <t>Aucun</t>
        </is>
      </c>
      <c r="D2354" s="33" t="inlineStr">
        <is>
          <t>Aucun</t>
        </is>
      </c>
      <c r="E2354" s="33" t="n"/>
      <c r="F2354" s="33" t="n"/>
      <c r="G2354" s="33" t="n"/>
      <c r="H2354" s="30" t="inlineStr">
        <is>
          <t>Oui</t>
        </is>
      </c>
    </row>
    <row r="2355">
      <c r="A2355" s="31" t="inlineStr">
        <is>
          <t>Talent</t>
        </is>
      </c>
      <c r="B2355" s="33" t="inlineStr">
        <is>
          <t>Synchro</t>
        </is>
      </c>
      <c r="C2355" s="33" t="inlineStr">
        <is>
          <t>Anti-Bruit</t>
        </is>
      </c>
      <c r="D2355" s="33" t="inlineStr">
        <is>
          <t>Benêt</t>
        </is>
      </c>
      <c r="E2355" s="33" t="n"/>
      <c r="F2355" s="33" t="n"/>
      <c r="G2355" s="33" t="n"/>
      <c r="H2355" s="30" t="inlineStr">
        <is>
          <t>Oui</t>
        </is>
      </c>
    </row>
    <row r="2356">
      <c r="A2356" s="31" t="inlineStr">
        <is>
          <t>Capacités</t>
        </is>
      </c>
      <c r="B2356" s="34" t="inlineStr">
        <is>
          <t>Aurore</t>
        </is>
      </c>
      <c r="C2356" s="34" t="inlineStr">
        <is>
          <t>Éclat Magique</t>
        </is>
      </c>
      <c r="D2356" s="34" t="inlineStr">
        <is>
          <t>Psykoud'Boul</t>
        </is>
      </c>
      <c r="E2356" s="34" t="n"/>
      <c r="F2356" s="34" t="n"/>
      <c r="G2356" s="34" t="n"/>
      <c r="H2356" s="30" t="inlineStr">
        <is>
          <t>Oui</t>
        </is>
      </c>
    </row>
    <row r="2357">
      <c r="A2357" s="31" t="n"/>
      <c r="B2357" s="34" t="inlineStr">
        <is>
          <t>Psyko</t>
        </is>
      </c>
      <c r="C2357" s="34" t="inlineStr">
        <is>
          <t>Tour de Magie</t>
        </is>
      </c>
      <c r="D2357" s="34" t="inlineStr">
        <is>
          <t>Machination</t>
        </is>
      </c>
      <c r="E2357" s="34" t="n"/>
      <c r="F2357" s="34" t="n"/>
      <c r="G2357" s="34" t="n"/>
      <c r="H2357" s="30" t="inlineStr">
        <is>
          <t>Oui</t>
        </is>
      </c>
    </row>
    <row r="2358">
      <c r="A2358" s="31" t="n"/>
      <c r="B2358" s="34" t="inlineStr">
        <is>
          <t>Dernier Recours</t>
        </is>
      </c>
      <c r="C2358" s="34" t="inlineStr">
        <is>
          <t>Psyko</t>
        </is>
      </c>
      <c r="D2358" s="34" t="inlineStr">
        <is>
          <t>Vantardise</t>
        </is>
      </c>
      <c r="E2358" s="34" t="n"/>
      <c r="F2358" s="34" t="n"/>
      <c r="G2358" s="34" t="n"/>
      <c r="H2358" s="30" t="inlineStr">
        <is>
          <t>Oui</t>
        </is>
      </c>
    </row>
    <row r="2359">
      <c r="A2359" s="31" t="n"/>
      <c r="B2359" s="34" t="inlineStr">
        <is>
          <t>Permuforce</t>
        </is>
      </c>
      <c r="C2359" s="34" t="inlineStr">
        <is>
          <t>Imitation</t>
        </is>
      </c>
      <c r="D2359" s="34" t="inlineStr">
        <is>
          <t>Psyko</t>
        </is>
      </c>
      <c r="E2359" s="34" t="n"/>
      <c r="F2359" s="34" t="n"/>
      <c r="G2359" s="34" t="n"/>
      <c r="H2359" s="30" t="inlineStr">
        <is>
          <t>Oui</t>
        </is>
      </c>
    </row>
    <row r="2360" ht="18" customHeight="1">
      <c r="A2360" s="26" t="inlineStr">
        <is>
          <t>Rosalia — Théâtre</t>
        </is>
      </c>
      <c r="B2360" s="26" t="n"/>
      <c r="C2360" s="26" t="n"/>
      <c r="D2360" s="26" t="n"/>
      <c r="E2360" s="26" t="n"/>
      <c r="F2360" s="26" t="n"/>
      <c r="G2360" s="26" t="n"/>
      <c r="H2360" s="30" t="inlineStr">
        <is>
          <t>Oui</t>
        </is>
      </c>
    </row>
    <row r="2361">
      <c r="A2361" s="31" t="inlineStr">
        <is>
          <t>Nom</t>
        </is>
      </c>
      <c r="B2361" s="32" t="inlineStr">
        <is>
          <t>Kimono Tamao</t>
        </is>
      </c>
      <c r="C2361" s="32" t="n"/>
      <c r="D2361" s="32" t="n"/>
      <c r="E2361" s="32" t="n"/>
      <c r="F2361" s="32" t="n"/>
      <c r="G2361" s="32" t="n"/>
      <c r="H2361" s="30" t="inlineStr">
        <is>
          <t>Oui</t>
        </is>
      </c>
    </row>
    <row r="2362">
      <c r="A2362" s="31" t="inlineStr">
        <is>
          <t>Pokémon</t>
        </is>
      </c>
      <c r="B2362" s="33" t="inlineStr">
        <is>
          <t>NOCTALI</t>
        </is>
      </c>
      <c r="C2362" s="33" t="n"/>
      <c r="D2362" s="33" t="n"/>
      <c r="E2362" s="33" t="n"/>
      <c r="F2362" s="33" t="n"/>
      <c r="G2362" s="33" t="n"/>
      <c r="H2362" s="30" t="inlineStr">
        <is>
          <t>Oui</t>
        </is>
      </c>
    </row>
    <row r="2363">
      <c r="A2363" s="31" t="inlineStr">
        <is>
          <t>Niveau</t>
        </is>
      </c>
      <c r="B2363" s="33" t="n">
        <v>48</v>
      </c>
      <c r="C2363" s="33" t="n"/>
      <c r="D2363" s="33" t="n"/>
      <c r="E2363" s="33" t="n"/>
      <c r="F2363" s="33" t="n"/>
      <c r="G2363" s="33" t="n"/>
      <c r="H2363" s="30" t="inlineStr">
        <is>
          <t>Oui</t>
        </is>
      </c>
    </row>
    <row r="2364">
      <c r="A2364" s="31" t="inlineStr">
        <is>
          <t>Objet</t>
        </is>
      </c>
      <c r="B2364" s="33" t="inlineStr">
        <is>
          <t>Aucun</t>
        </is>
      </c>
      <c r="C2364" s="33" t="n"/>
      <c r="D2364" s="33" t="n"/>
      <c r="E2364" s="33" t="n"/>
      <c r="F2364" s="33" t="n"/>
      <c r="G2364" s="33" t="n"/>
      <c r="H2364" s="30" t="inlineStr">
        <is>
          <t>Oui</t>
        </is>
      </c>
    </row>
    <row r="2365">
      <c r="A2365" s="31" t="inlineStr">
        <is>
          <t>Talent</t>
        </is>
      </c>
      <c r="B2365" s="33" t="inlineStr">
        <is>
          <t>Synchro</t>
        </is>
      </c>
      <c r="C2365" s="33" t="n"/>
      <c r="D2365" s="33" t="n"/>
      <c r="E2365" s="33" t="n"/>
      <c r="F2365" s="33" t="n"/>
      <c r="G2365" s="33" t="n"/>
      <c r="H2365" s="30" t="inlineStr">
        <is>
          <t>Oui</t>
        </is>
      </c>
    </row>
    <row r="2366">
      <c r="A2366" s="31" t="inlineStr">
        <is>
          <t>Capacités</t>
        </is>
      </c>
      <c r="B2366" s="34" t="inlineStr">
        <is>
          <t>Vibrobscur</t>
        </is>
      </c>
      <c r="C2366" s="34" t="n"/>
      <c r="D2366" s="34" t="n"/>
      <c r="E2366" s="34" t="n"/>
      <c r="F2366" s="34" t="n"/>
      <c r="G2366" s="34" t="n"/>
      <c r="H2366" s="30" t="inlineStr">
        <is>
          <t>Oui</t>
        </is>
      </c>
    </row>
    <row r="2367">
      <c r="A2367" s="31" t="n"/>
      <c r="B2367" s="34" t="inlineStr">
        <is>
          <t>Onde Folie</t>
        </is>
      </c>
      <c r="C2367" s="34" t="n"/>
      <c r="D2367" s="34" t="n"/>
      <c r="E2367" s="34" t="n"/>
      <c r="F2367" s="34" t="n"/>
      <c r="G2367" s="34" t="n"/>
      <c r="H2367" s="30" t="inlineStr">
        <is>
          <t>Oui</t>
        </is>
      </c>
    </row>
    <row r="2368">
      <c r="A2368" s="31" t="n"/>
      <c r="B2368" s="34" t="inlineStr">
        <is>
          <t>Ball'Ombre</t>
        </is>
      </c>
      <c r="C2368" s="34" t="n"/>
      <c r="D2368" s="34" t="n"/>
      <c r="E2368" s="34" t="n"/>
      <c r="F2368" s="34" t="n"/>
      <c r="G2368" s="34" t="n"/>
      <c r="H2368" s="30" t="inlineStr">
        <is>
          <t>Oui</t>
        </is>
      </c>
    </row>
    <row r="2369">
      <c r="A2369" s="31" t="n"/>
      <c r="B2369" s="34" t="inlineStr">
        <is>
          <t>Dernier Recours</t>
        </is>
      </c>
      <c r="C2369" s="34" t="n"/>
      <c r="D2369" s="34" t="n"/>
      <c r="E2369" s="34" t="n"/>
      <c r="F2369" s="34" t="n"/>
      <c r="G2369" s="34" t="n"/>
      <c r="H2369" s="30" t="inlineStr">
        <is>
          <t>Oui</t>
        </is>
      </c>
    </row>
    <row r="2370">
      <c r="A2370" s="31" t="inlineStr">
        <is>
          <t>Nom</t>
        </is>
      </c>
      <c r="B2370" s="32" t="inlineStr">
        <is>
          <t>Kimono Umeko</t>
        </is>
      </c>
      <c r="C2370" s="32" t="n"/>
      <c r="D2370" s="32" t="n"/>
      <c r="E2370" s="32" t="n"/>
      <c r="F2370" s="32" t="n"/>
      <c r="G2370" s="32" t="n"/>
      <c r="H2370" s="30" t="inlineStr">
        <is>
          <t>Oui</t>
        </is>
      </c>
    </row>
    <row r="2371">
      <c r="A2371" s="31" t="inlineStr">
        <is>
          <t>Pokémon</t>
        </is>
      </c>
      <c r="B2371" s="33" t="inlineStr">
        <is>
          <t>MENTALI</t>
        </is>
      </c>
      <c r="C2371" s="33" t="n"/>
      <c r="D2371" s="33" t="n"/>
      <c r="E2371" s="33" t="n"/>
      <c r="F2371" s="33" t="n"/>
      <c r="G2371" s="33" t="n"/>
      <c r="H2371" s="30" t="inlineStr">
        <is>
          <t>Oui</t>
        </is>
      </c>
    </row>
    <row r="2372">
      <c r="A2372" s="31" t="inlineStr">
        <is>
          <t>Niveau</t>
        </is>
      </c>
      <c r="B2372" s="33" t="n">
        <v>48</v>
      </c>
      <c r="C2372" s="33" t="n"/>
      <c r="D2372" s="33" t="n"/>
      <c r="E2372" s="33" t="n"/>
      <c r="F2372" s="33" t="n"/>
      <c r="G2372" s="33" t="n"/>
      <c r="H2372" s="30" t="inlineStr">
        <is>
          <t>Oui</t>
        </is>
      </c>
    </row>
    <row r="2373">
      <c r="A2373" s="31" t="inlineStr">
        <is>
          <t>Objet</t>
        </is>
      </c>
      <c r="B2373" s="33" t="inlineStr">
        <is>
          <t>Aucun</t>
        </is>
      </c>
      <c r="C2373" s="33" t="n"/>
      <c r="D2373" s="33" t="n"/>
      <c r="E2373" s="33" t="n"/>
      <c r="F2373" s="33" t="n"/>
      <c r="G2373" s="33" t="n"/>
      <c r="H2373" s="30" t="inlineStr">
        <is>
          <t>Oui</t>
        </is>
      </c>
    </row>
    <row r="2374">
      <c r="A2374" s="31" t="inlineStr">
        <is>
          <t>Talent</t>
        </is>
      </c>
      <c r="B2374" s="33" t="inlineStr">
        <is>
          <t>Synchro</t>
        </is>
      </c>
      <c r="C2374" s="33" t="n"/>
      <c r="D2374" s="33" t="n"/>
      <c r="E2374" s="33" t="n"/>
      <c r="F2374" s="33" t="n"/>
      <c r="G2374" s="33" t="n"/>
      <c r="H2374" s="30" t="inlineStr">
        <is>
          <t>Oui</t>
        </is>
      </c>
    </row>
    <row r="2375">
      <c r="A2375" s="31" t="inlineStr">
        <is>
          <t>Capacités</t>
        </is>
      </c>
      <c r="B2375" s="34" t="inlineStr">
        <is>
          <t>Psyko</t>
        </is>
      </c>
      <c r="C2375" s="34" t="n"/>
      <c r="D2375" s="34" t="n"/>
      <c r="E2375" s="34" t="n"/>
      <c r="F2375" s="34" t="n"/>
      <c r="G2375" s="34" t="n"/>
      <c r="H2375" s="30" t="inlineStr">
        <is>
          <t>Oui</t>
        </is>
      </c>
    </row>
    <row r="2376">
      <c r="A2376" s="31" t="n"/>
      <c r="B2376" s="34" t="inlineStr">
        <is>
          <t>Boost</t>
        </is>
      </c>
      <c r="C2376" s="34" t="n"/>
      <c r="D2376" s="34" t="n"/>
      <c r="E2376" s="34" t="n"/>
      <c r="F2376" s="34" t="n"/>
      <c r="G2376" s="34" t="n"/>
      <c r="H2376" s="30" t="inlineStr">
        <is>
          <t>Oui</t>
        </is>
      </c>
    </row>
    <row r="2377">
      <c r="A2377" s="31" t="n"/>
      <c r="B2377" s="34" t="inlineStr">
        <is>
          <t>Météores</t>
        </is>
      </c>
      <c r="C2377" s="34" t="n"/>
      <c r="D2377" s="34" t="n"/>
      <c r="E2377" s="34" t="n"/>
      <c r="F2377" s="34" t="n"/>
      <c r="G2377" s="34" t="n"/>
      <c r="H2377" s="30" t="inlineStr">
        <is>
          <t>Oui</t>
        </is>
      </c>
    </row>
    <row r="2378">
      <c r="A2378" s="31" t="n"/>
      <c r="B2378" s="34" t="inlineStr">
        <is>
          <t>Dernier Recours</t>
        </is>
      </c>
      <c r="C2378" s="34" t="n"/>
      <c r="D2378" s="34" t="n"/>
      <c r="E2378" s="34" t="n"/>
      <c r="F2378" s="34" t="n"/>
      <c r="G2378" s="34" t="n"/>
      <c r="H2378" s="30" t="inlineStr">
        <is>
          <t>Oui</t>
        </is>
      </c>
    </row>
    <row r="2379">
      <c r="A2379" s="31" t="inlineStr">
        <is>
          <t>Nom</t>
        </is>
      </c>
      <c r="B2379" s="32" t="inlineStr">
        <is>
          <t>Kimono Satsuki</t>
        </is>
      </c>
      <c r="C2379" s="32" t="n"/>
      <c r="D2379" s="32" t="n"/>
      <c r="E2379" s="32" t="n"/>
      <c r="F2379" s="32" t="n"/>
      <c r="G2379" s="32" t="n"/>
      <c r="H2379" s="30" t="inlineStr">
        <is>
          <t>Oui</t>
        </is>
      </c>
    </row>
    <row r="2380">
      <c r="A2380" s="31" t="inlineStr">
        <is>
          <t>Pokémon</t>
        </is>
      </c>
      <c r="B2380" s="33" t="inlineStr">
        <is>
          <t>PYROLI</t>
        </is>
      </c>
      <c r="C2380" s="33" t="n"/>
      <c r="D2380" s="33" t="n"/>
      <c r="E2380" s="33" t="n"/>
      <c r="F2380" s="33" t="n"/>
      <c r="G2380" s="33" t="n"/>
      <c r="H2380" s="30" t="inlineStr">
        <is>
          <t>Oui</t>
        </is>
      </c>
    </row>
    <row r="2381">
      <c r="A2381" s="31" t="inlineStr">
        <is>
          <t>Niveau</t>
        </is>
      </c>
      <c r="B2381" s="33" t="n">
        <v>48</v>
      </c>
      <c r="C2381" s="33" t="n"/>
      <c r="D2381" s="33" t="n"/>
      <c r="E2381" s="33" t="n"/>
      <c r="F2381" s="33" t="n"/>
      <c r="G2381" s="33" t="n"/>
      <c r="H2381" s="30" t="inlineStr">
        <is>
          <t>Oui</t>
        </is>
      </c>
    </row>
    <row r="2382">
      <c r="A2382" s="31" t="inlineStr">
        <is>
          <t>Objet</t>
        </is>
      </c>
      <c r="B2382" s="33" t="inlineStr">
        <is>
          <t>Aucun</t>
        </is>
      </c>
      <c r="C2382" s="33" t="n"/>
      <c r="D2382" s="33" t="n"/>
      <c r="E2382" s="33" t="n"/>
      <c r="F2382" s="33" t="n"/>
      <c r="G2382" s="33" t="n"/>
      <c r="H2382" s="30" t="inlineStr">
        <is>
          <t>Oui</t>
        </is>
      </c>
    </row>
    <row r="2383">
      <c r="A2383" s="31" t="inlineStr">
        <is>
          <t>Talent</t>
        </is>
      </c>
      <c r="B2383" s="33" t="inlineStr">
        <is>
          <t>Torche</t>
        </is>
      </c>
      <c r="C2383" s="33" t="n"/>
      <c r="D2383" s="33" t="n"/>
      <c r="E2383" s="33" t="n"/>
      <c r="F2383" s="33" t="n"/>
      <c r="G2383" s="33" t="n"/>
      <c r="H2383" s="30" t="inlineStr">
        <is>
          <t>Oui</t>
        </is>
      </c>
    </row>
    <row r="2384">
      <c r="A2384" s="31" t="inlineStr">
        <is>
          <t>Capacités</t>
        </is>
      </c>
      <c r="B2384" s="34" t="inlineStr">
        <is>
          <t>Déflagration</t>
        </is>
      </c>
      <c r="C2384" s="34" t="n"/>
      <c r="D2384" s="34" t="n"/>
      <c r="E2384" s="34" t="n"/>
      <c r="F2384" s="34" t="n"/>
      <c r="G2384" s="34" t="n"/>
      <c r="H2384" s="30" t="inlineStr">
        <is>
          <t>Oui</t>
        </is>
      </c>
    </row>
    <row r="2385">
      <c r="A2385" s="31" t="n"/>
      <c r="B2385" s="34" t="inlineStr">
        <is>
          <t>Vive-Attaque</t>
        </is>
      </c>
      <c r="C2385" s="34" t="n"/>
      <c r="D2385" s="34" t="n"/>
      <c r="E2385" s="34" t="n"/>
      <c r="F2385" s="34" t="n"/>
      <c r="G2385" s="34" t="n"/>
      <c r="H2385" s="30" t="inlineStr">
        <is>
          <t>Oui</t>
        </is>
      </c>
    </row>
    <row r="2386">
      <c r="A2386" s="31" t="n"/>
      <c r="B2386" s="34" t="inlineStr">
        <is>
          <t>Feu Follet</t>
        </is>
      </c>
      <c r="C2386" s="34" t="n"/>
      <c r="D2386" s="34" t="n"/>
      <c r="E2386" s="34" t="n"/>
      <c r="F2386" s="34" t="n"/>
      <c r="G2386" s="34" t="n"/>
      <c r="H2386" s="30" t="inlineStr">
        <is>
          <t>Oui</t>
        </is>
      </c>
    </row>
    <row r="2387">
      <c r="A2387" s="31" t="n"/>
      <c r="B2387" s="34" t="inlineStr">
        <is>
          <t>Dernier Recours</t>
        </is>
      </c>
      <c r="C2387" s="34" t="n"/>
      <c r="D2387" s="34" t="n"/>
      <c r="E2387" s="34" t="n"/>
      <c r="F2387" s="34" t="n"/>
      <c r="G2387" s="34" t="n"/>
      <c r="H2387" s="30" t="inlineStr">
        <is>
          <t>Oui</t>
        </is>
      </c>
    </row>
    <row r="2388">
      <c r="A2388" s="31" t="inlineStr">
        <is>
          <t>Nom</t>
        </is>
      </c>
      <c r="B2388" s="32" t="inlineStr">
        <is>
          <t>Kimono Sakura</t>
        </is>
      </c>
      <c r="C2388" s="32" t="n"/>
      <c r="D2388" s="32" t="n"/>
      <c r="E2388" s="32" t="n"/>
      <c r="F2388" s="32" t="n"/>
      <c r="G2388" s="32" t="n"/>
      <c r="H2388" s="30" t="inlineStr">
        <is>
          <t>Oui</t>
        </is>
      </c>
    </row>
    <row r="2389">
      <c r="A2389" s="31" t="inlineStr">
        <is>
          <t>Pokémon</t>
        </is>
      </c>
      <c r="B2389" s="33" t="inlineStr">
        <is>
          <t>VOLTALI</t>
        </is>
      </c>
      <c r="C2389" s="33" t="n"/>
      <c r="D2389" s="33" t="n"/>
      <c r="E2389" s="33" t="n"/>
      <c r="F2389" s="33" t="n"/>
      <c r="G2389" s="33" t="n"/>
      <c r="H2389" s="30" t="inlineStr">
        <is>
          <t>Oui</t>
        </is>
      </c>
    </row>
    <row r="2390">
      <c r="A2390" s="31" t="inlineStr">
        <is>
          <t>Niveau</t>
        </is>
      </c>
      <c r="B2390" s="33" t="n">
        <v>48</v>
      </c>
      <c r="C2390" s="33" t="n"/>
      <c r="D2390" s="33" t="n"/>
      <c r="E2390" s="33" t="n"/>
      <c r="F2390" s="33" t="n"/>
      <c r="G2390" s="33" t="n"/>
      <c r="H2390" s="30" t="inlineStr">
        <is>
          <t>Oui</t>
        </is>
      </c>
    </row>
    <row r="2391">
      <c r="A2391" s="31" t="inlineStr">
        <is>
          <t>Objet</t>
        </is>
      </c>
      <c r="B2391" s="33" t="inlineStr">
        <is>
          <t>Aucun</t>
        </is>
      </c>
      <c r="C2391" s="33" t="n"/>
      <c r="D2391" s="33" t="n"/>
      <c r="E2391" s="33" t="n"/>
      <c r="F2391" s="33" t="n"/>
      <c r="G2391" s="33" t="n"/>
      <c r="H2391" s="30" t="inlineStr">
        <is>
          <t>Oui</t>
        </is>
      </c>
    </row>
    <row r="2392">
      <c r="A2392" s="31" t="inlineStr">
        <is>
          <t>Talent</t>
        </is>
      </c>
      <c r="B2392" s="33" t="inlineStr">
        <is>
          <t>Absorbe-Volt</t>
        </is>
      </c>
      <c r="C2392" s="33" t="n"/>
      <c r="D2392" s="33" t="n"/>
      <c r="E2392" s="33" t="n"/>
      <c r="F2392" s="33" t="n"/>
      <c r="G2392" s="33" t="n"/>
      <c r="H2392" s="30" t="inlineStr">
        <is>
          <t>Oui</t>
        </is>
      </c>
    </row>
    <row r="2393">
      <c r="A2393" s="31" t="inlineStr">
        <is>
          <t>Capacités</t>
        </is>
      </c>
      <c r="B2393" s="34" t="inlineStr">
        <is>
          <t>Tonnerre</t>
        </is>
      </c>
      <c r="C2393" s="34" t="n"/>
      <c r="D2393" s="34" t="n"/>
      <c r="E2393" s="34" t="n"/>
      <c r="F2393" s="34" t="n"/>
      <c r="G2393" s="34" t="n"/>
      <c r="H2393" s="30" t="inlineStr">
        <is>
          <t>Oui</t>
        </is>
      </c>
    </row>
    <row r="2394">
      <c r="A2394" s="31" t="n"/>
      <c r="B2394" s="34" t="inlineStr">
        <is>
          <t>Reflet</t>
        </is>
      </c>
      <c r="C2394" s="34" t="n"/>
      <c r="D2394" s="34" t="n"/>
      <c r="E2394" s="34" t="n"/>
      <c r="F2394" s="34" t="n"/>
      <c r="G2394" s="34" t="n"/>
      <c r="H2394" s="30" t="inlineStr">
        <is>
          <t>Oui</t>
        </is>
      </c>
    </row>
    <row r="2395">
      <c r="A2395" s="31" t="n"/>
      <c r="B2395" s="34" t="inlineStr">
        <is>
          <t>Cage Éclair</t>
        </is>
      </c>
      <c r="C2395" s="34" t="n"/>
      <c r="D2395" s="34" t="n"/>
      <c r="E2395" s="34" t="n"/>
      <c r="F2395" s="34" t="n"/>
      <c r="G2395" s="34" t="n"/>
      <c r="H2395" s="30" t="inlineStr">
        <is>
          <t>Oui</t>
        </is>
      </c>
    </row>
    <row r="2396">
      <c r="A2396" s="31" t="n"/>
      <c r="B2396" s="34" t="inlineStr">
        <is>
          <t>Dernier Recours</t>
        </is>
      </c>
      <c r="C2396" s="34" t="n"/>
      <c r="D2396" s="34" t="n"/>
      <c r="E2396" s="34" t="n"/>
      <c r="F2396" s="34" t="n"/>
      <c r="G2396" s="34" t="n"/>
      <c r="H2396" s="30" t="inlineStr">
        <is>
          <t>Oui</t>
        </is>
      </c>
    </row>
    <row r="2397">
      <c r="A2397" s="31" t="inlineStr">
        <is>
          <t>Nom</t>
        </is>
      </c>
      <c r="B2397" s="32" t="inlineStr">
        <is>
          <t>Kimono Komomo</t>
        </is>
      </c>
      <c r="C2397" s="32" t="n"/>
      <c r="D2397" s="32" t="n"/>
      <c r="E2397" s="32" t="n"/>
      <c r="F2397" s="32" t="n"/>
      <c r="G2397" s="32" t="n"/>
      <c r="H2397" s="30" t="inlineStr">
        <is>
          <t>Oui</t>
        </is>
      </c>
    </row>
    <row r="2398">
      <c r="A2398" s="31" t="inlineStr">
        <is>
          <t>Pokémon</t>
        </is>
      </c>
      <c r="B2398" s="33" t="inlineStr">
        <is>
          <t>AQUALI</t>
        </is>
      </c>
      <c r="C2398" s="33" t="n"/>
      <c r="D2398" s="33" t="n"/>
      <c r="E2398" s="33" t="n"/>
      <c r="F2398" s="33" t="n"/>
      <c r="G2398" s="33" t="n"/>
      <c r="H2398" s="30" t="inlineStr">
        <is>
          <t>Oui</t>
        </is>
      </c>
    </row>
    <row r="2399">
      <c r="A2399" s="31" t="inlineStr">
        <is>
          <t>Niveau</t>
        </is>
      </c>
      <c r="B2399" s="33" t="n">
        <v>48</v>
      </c>
      <c r="C2399" s="33" t="n"/>
      <c r="D2399" s="33" t="n"/>
      <c r="E2399" s="33" t="n"/>
      <c r="F2399" s="33" t="n"/>
      <c r="G2399" s="33" t="n"/>
      <c r="H2399" s="30" t="inlineStr">
        <is>
          <t>Oui</t>
        </is>
      </c>
    </row>
    <row r="2400">
      <c r="A2400" s="31" t="inlineStr">
        <is>
          <t>Objet</t>
        </is>
      </c>
      <c r="B2400" s="33" t="inlineStr">
        <is>
          <t>Aucun</t>
        </is>
      </c>
      <c r="C2400" s="33" t="n"/>
      <c r="D2400" s="33" t="n"/>
      <c r="E2400" s="33" t="n"/>
      <c r="F2400" s="33" t="n"/>
      <c r="G2400" s="33" t="n"/>
      <c r="H2400" s="30" t="inlineStr">
        <is>
          <t>Oui</t>
        </is>
      </c>
    </row>
    <row r="2401">
      <c r="A2401" s="31" t="inlineStr">
        <is>
          <t>Talent</t>
        </is>
      </c>
      <c r="B2401" s="33" t="inlineStr">
        <is>
          <t>Absorbe-Eau</t>
        </is>
      </c>
      <c r="C2401" s="33" t="n"/>
      <c r="D2401" s="33" t="n"/>
      <c r="E2401" s="33" t="n"/>
      <c r="F2401" s="33" t="n"/>
      <c r="G2401" s="33" t="n"/>
      <c r="H2401" s="30" t="inlineStr">
        <is>
          <t>Oui</t>
        </is>
      </c>
    </row>
    <row r="2402">
      <c r="A2402" s="31" t="inlineStr">
        <is>
          <t>Capacités</t>
        </is>
      </c>
      <c r="B2402" s="34" t="inlineStr">
        <is>
          <t>Surf</t>
        </is>
      </c>
      <c r="C2402" s="34" t="n"/>
      <c r="D2402" s="34" t="n"/>
      <c r="E2402" s="34" t="n"/>
      <c r="F2402" s="34" t="n"/>
      <c r="G2402" s="34" t="n"/>
      <c r="H2402" s="30" t="inlineStr">
        <is>
          <t>Oui</t>
        </is>
      </c>
    </row>
    <row r="2403">
      <c r="A2403" s="31" t="n"/>
      <c r="B2403" s="34" t="inlineStr">
        <is>
          <t>Vive-Attaque</t>
        </is>
      </c>
      <c r="C2403" s="34" t="n"/>
      <c r="D2403" s="34" t="n"/>
      <c r="E2403" s="34" t="n"/>
      <c r="F2403" s="34" t="n"/>
      <c r="G2403" s="34" t="n"/>
      <c r="H2403" s="30" t="inlineStr">
        <is>
          <t>Oui</t>
        </is>
      </c>
    </row>
    <row r="2404">
      <c r="A2404" s="31" t="n"/>
      <c r="B2404" s="34" t="inlineStr">
        <is>
          <t>Onde Boréale</t>
        </is>
      </c>
      <c r="C2404" s="34" t="n"/>
      <c r="D2404" s="34" t="n"/>
      <c r="E2404" s="34" t="n"/>
      <c r="F2404" s="34" t="n"/>
      <c r="G2404" s="34" t="n"/>
      <c r="H2404" s="30" t="inlineStr">
        <is>
          <t>Oui</t>
        </is>
      </c>
    </row>
    <row r="2405">
      <c r="A2405" s="31" t="n"/>
      <c r="B2405" s="34" t="inlineStr">
        <is>
          <t>Dernier Recours</t>
        </is>
      </c>
      <c r="C2405" s="34" t="n"/>
      <c r="D2405" s="34" t="n"/>
      <c r="E2405" s="34" t="n"/>
      <c r="F2405" s="34" t="n"/>
      <c r="G2405" s="34" t="n"/>
      <c r="H2405" s="30" t="inlineStr">
        <is>
          <t>Oui</t>
        </is>
      </c>
    </row>
    <row r="2406" ht="18" customHeight="1">
      <c r="A2406" s="26" t="inlineStr">
        <is>
          <t>Route Victoire — 1F</t>
        </is>
      </c>
      <c r="B2406" s="26" t="n"/>
      <c r="C2406" s="26" t="n"/>
      <c r="D2406" s="26" t="n"/>
      <c r="E2406" s="26" t="n"/>
      <c r="F2406" s="26" t="n"/>
      <c r="G2406" s="26" t="n"/>
      <c r="H2406" s="30" t="inlineStr">
        <is>
          <t>Oui</t>
        </is>
      </c>
    </row>
    <row r="2407">
      <c r="A2407" s="31" t="inlineStr">
        <is>
          <t>Nom</t>
        </is>
      </c>
      <c r="B2407" s="32" t="inlineStr">
        <is>
          <t>Rival (si vous avez choisi GERMIGNON)</t>
        </is>
      </c>
      <c r="C2407" s="32" t="n"/>
      <c r="D2407" s="32" t="n"/>
      <c r="E2407" s="32" t="n"/>
      <c r="F2407" s="32" t="n"/>
      <c r="G2407" s="32" t="n"/>
      <c r="H2407" s="30">
        <f>IF(OR($B$1="Tous",$B$1="GERMIGNON"),"Oui","Non")</f>
        <v/>
      </c>
    </row>
    <row r="2408">
      <c r="A2408" s="31" t="inlineStr">
        <is>
          <t>Pokémon</t>
        </is>
      </c>
      <c r="B2408" s="33" t="inlineStr">
        <is>
          <t>URSARING</t>
        </is>
      </c>
      <c r="C2408" s="33" t="inlineStr">
        <is>
          <t>NOSFERALTO</t>
        </is>
      </c>
      <c r="D2408" s="33" t="inlineStr">
        <is>
          <t>OCTILLERY</t>
        </is>
      </c>
      <c r="E2408" s="33" t="inlineStr">
        <is>
          <t>EMPIFLOR</t>
        </is>
      </c>
      <c r="F2408" s="33" t="inlineStr">
        <is>
          <t>TYPHLOSION</t>
        </is>
      </c>
      <c r="G2408" s="33" t="inlineStr">
        <is>
          <t>TYRANOCIF</t>
        </is>
      </c>
      <c r="H2408" s="30">
        <f>IF(OR($B$1="Tous",$B$1="GERMIGNON"),"Oui","Non")</f>
        <v/>
      </c>
    </row>
    <row r="2409">
      <c r="A2409" s="31" t="inlineStr">
        <is>
          <t>Niveau</t>
        </is>
      </c>
      <c r="B2409" s="33" t="n">
        <v>45</v>
      </c>
      <c r="C2409" s="33" t="n">
        <v>45</v>
      </c>
      <c r="D2409" s="33" t="n">
        <v>46</v>
      </c>
      <c r="E2409" s="33" t="n">
        <v>46</v>
      </c>
      <c r="F2409" s="33" t="n">
        <v>47</v>
      </c>
      <c r="G2409" s="33" t="n">
        <v>48</v>
      </c>
      <c r="H2409" s="30">
        <f>IF(OR($B$1="Tous",$B$1="GERMIGNON"),"Oui","Non")</f>
        <v/>
      </c>
    </row>
    <row r="2410">
      <c r="A2410" s="31" t="inlineStr">
        <is>
          <t>Objet</t>
        </is>
      </c>
      <c r="B2410" s="33" t="inlineStr">
        <is>
          <t>Baie Maron</t>
        </is>
      </c>
      <c r="C2410" s="33" t="inlineStr">
        <is>
          <t>Aucun</t>
        </is>
      </c>
      <c r="D2410" s="33" t="inlineStr">
        <is>
          <t>Vive Griffe</t>
        </is>
      </c>
      <c r="E2410" s="33" t="inlineStr">
        <is>
          <t>Aucun</t>
        </is>
      </c>
      <c r="F2410" s="33" t="inlineStr">
        <is>
          <t>Charbon</t>
        </is>
      </c>
      <c r="G2410" s="33" t="inlineStr">
        <is>
          <t>Aucun</t>
        </is>
      </c>
      <c r="H2410" s="30">
        <f>IF(OR($B$1="Tous",$B$1="GERMIGNON"),"Oui","Non")</f>
        <v/>
      </c>
    </row>
    <row r="2411">
      <c r="A2411" s="31" t="inlineStr">
        <is>
          <t>Talent</t>
        </is>
      </c>
      <c r="B2411" s="33" t="inlineStr">
        <is>
          <t>Cran</t>
        </is>
      </c>
      <c r="C2411" s="33" t="inlineStr">
        <is>
          <t>Attention</t>
        </is>
      </c>
      <c r="D2411" s="33" t="inlineStr">
        <is>
          <t>Ventouse</t>
        </is>
      </c>
      <c r="E2411" s="33" t="inlineStr">
        <is>
          <t>Chlorophylle</t>
        </is>
      </c>
      <c r="F2411" s="33" t="inlineStr">
        <is>
          <t>Brasier</t>
        </is>
      </c>
      <c r="G2411" s="33" t="inlineStr">
        <is>
          <t>Sable Volant</t>
        </is>
      </c>
      <c r="H2411" s="30">
        <f>IF(OR($B$1="Tous",$B$1="GERMIGNON"),"Oui","Non")</f>
        <v/>
      </c>
    </row>
    <row r="2412">
      <c r="A2412" s="31" t="inlineStr">
        <is>
          <t>Capacités</t>
        </is>
      </c>
      <c r="B2412" s="34" t="inlineStr">
        <is>
          <t>Tranche</t>
        </is>
      </c>
      <c r="C2412" s="34" t="inlineStr">
        <is>
          <t>Choc Venin</t>
        </is>
      </c>
      <c r="D2412" s="34" t="inlineStr">
        <is>
          <t>Surf</t>
        </is>
      </c>
      <c r="E2412" s="34" t="inlineStr">
        <is>
          <t>Bombe Beurk</t>
        </is>
      </c>
      <c r="F2412" s="34" t="inlineStr">
        <is>
          <t>Lance-Flammes</t>
        </is>
      </c>
      <c r="G2412" s="34" t="inlineStr">
        <is>
          <t>Mâchouille</t>
        </is>
      </c>
      <c r="H2412" s="30">
        <f>IF(OR($B$1="Tous",$B$1="GERMIGNON"),"Oui","Non")</f>
        <v/>
      </c>
    </row>
    <row r="2413">
      <c r="A2413" s="31" t="n"/>
      <c r="B2413" s="34" t="inlineStr">
        <is>
          <t>Feinte</t>
        </is>
      </c>
      <c r="C2413" s="34" t="inlineStr">
        <is>
          <t>Aéropique</t>
        </is>
      </c>
      <c r="D2413" s="34" t="inlineStr">
        <is>
          <t>Laser Glace</t>
        </is>
      </c>
      <c r="E2413" s="34" t="inlineStr">
        <is>
          <t>Giga-Sangsue</t>
        </is>
      </c>
      <c r="F2413" s="34" t="inlineStr">
        <is>
          <t>Vive-Attaque</t>
        </is>
      </c>
      <c r="G2413" s="34" t="inlineStr">
        <is>
          <t>Séisme</t>
        </is>
      </c>
      <c r="H2413" s="30">
        <f>IF(OR($B$1="Tous",$B$1="GERMIGNON"),"Oui","Non")</f>
        <v/>
      </c>
    </row>
    <row r="2414">
      <c r="A2414" s="31" t="n"/>
      <c r="B2414" s="34" t="inlineStr">
        <is>
          <t>Éclate-Roc</t>
        </is>
      </c>
      <c r="C2414" s="34" t="inlineStr">
        <is>
          <t>Reflet</t>
        </is>
      </c>
      <c r="D2414" s="34" t="inlineStr">
        <is>
          <t>Rafale Psy</t>
        </is>
      </c>
      <c r="E2414" s="34" t="inlineStr">
        <is>
          <t>Poudre Dodo</t>
        </is>
      </c>
      <c r="F2414" s="34" t="inlineStr">
        <is>
          <t>Queue de Fer</t>
        </is>
      </c>
      <c r="G2414" s="34" t="inlineStr">
        <is>
          <t>Éboulement</t>
        </is>
      </c>
      <c r="H2414" s="30">
        <f>IF(OR($B$1="Tous",$B$1="GERMIGNON"),"Oui","Non")</f>
        <v/>
      </c>
    </row>
    <row r="2415">
      <c r="A2415" s="31" t="n"/>
      <c r="B2415" s="34" t="inlineStr">
        <is>
          <t>Repos</t>
        </is>
      </c>
      <c r="C2415" s="34" t="inlineStr">
        <is>
          <t>Onde Folie</t>
        </is>
      </c>
      <c r="D2415" s="34" t="inlineStr">
        <is>
          <t>Rayon Signal</t>
        </is>
      </c>
      <c r="E2415" s="34" t="inlineStr">
        <is>
          <t>Croissance</t>
        </is>
      </c>
      <c r="F2415" s="34" t="inlineStr">
        <is>
          <t>Poing Éclair</t>
        </is>
      </c>
      <c r="G2415" s="34" t="inlineStr">
        <is>
          <t>Crocs Feu</t>
        </is>
      </c>
      <c r="H2415" s="30">
        <f>IF(OR($B$1="Tous",$B$1="GERMIGNON"),"Oui","Non")</f>
        <v/>
      </c>
    </row>
    <row r="2416">
      <c r="A2416" s="31" t="inlineStr">
        <is>
          <t>Nom</t>
        </is>
      </c>
      <c r="B2416" s="32" t="inlineStr">
        <is>
          <t>Rival (si vous avez choisi HERICENDRE)</t>
        </is>
      </c>
      <c r="C2416" s="32" t="n"/>
      <c r="D2416" s="32" t="n"/>
      <c r="E2416" s="32" t="n"/>
      <c r="F2416" s="32" t="n"/>
      <c r="G2416" s="32" t="n"/>
      <c r="H2416" s="30">
        <f>IF(OR($B$1="Tous",$B$1="HERICENDRE"),"Oui","Non")</f>
        <v/>
      </c>
    </row>
    <row r="2417">
      <c r="A2417" s="31" t="inlineStr">
        <is>
          <t>Pokémon</t>
        </is>
      </c>
      <c r="B2417" s="33" t="inlineStr">
        <is>
          <t>URSARING</t>
        </is>
      </c>
      <c r="C2417" s="33" t="inlineStr">
        <is>
          <t>NOSFERALTO</t>
        </is>
      </c>
      <c r="D2417" s="33" t="inlineStr">
        <is>
          <t>EMPIFLOR</t>
        </is>
      </c>
      <c r="E2417" s="33" t="inlineStr">
        <is>
          <t>DEMOLOSSE</t>
        </is>
      </c>
      <c r="F2417" s="33" t="inlineStr">
        <is>
          <t>ALIGATUEUR</t>
        </is>
      </c>
      <c r="G2417" s="33" t="inlineStr">
        <is>
          <t>TYRANOCIF</t>
        </is>
      </c>
      <c r="H2417" s="30">
        <f>IF(OR($B$1="Tous",$B$1="HERICENDRE"),"Oui","Non")</f>
        <v/>
      </c>
    </row>
    <row r="2418">
      <c r="A2418" s="31" t="inlineStr">
        <is>
          <t>Niveau</t>
        </is>
      </c>
      <c r="B2418" s="33" t="n">
        <v>45</v>
      </c>
      <c r="C2418" s="33" t="n">
        <v>45</v>
      </c>
      <c r="D2418" s="33" t="n">
        <v>46</v>
      </c>
      <c r="E2418" s="33" t="n">
        <v>46</v>
      </c>
      <c r="F2418" s="33" t="n">
        <v>47</v>
      </c>
      <c r="G2418" s="33" t="n">
        <v>48</v>
      </c>
      <c r="H2418" s="30">
        <f>IF(OR($B$1="Tous",$B$1="HERICENDRE"),"Oui","Non")</f>
        <v/>
      </c>
    </row>
    <row r="2419">
      <c r="A2419" s="31" t="inlineStr">
        <is>
          <t>Objet</t>
        </is>
      </c>
      <c r="B2419" s="33" t="inlineStr">
        <is>
          <t>Baie Maron</t>
        </is>
      </c>
      <c r="C2419" s="33" t="inlineStr">
        <is>
          <t>Aucun</t>
        </is>
      </c>
      <c r="D2419" s="33" t="inlineStr">
        <is>
          <t>Vive Griffe</t>
        </is>
      </c>
      <c r="E2419" s="33" t="inlineStr">
        <is>
          <t>Aucun</t>
        </is>
      </c>
      <c r="F2419" s="33" t="inlineStr">
        <is>
          <t>Eau Mystique</t>
        </is>
      </c>
      <c r="G2419" s="33" t="inlineStr">
        <is>
          <t>Aucun</t>
        </is>
      </c>
      <c r="H2419" s="30">
        <f>IF(OR($B$1="Tous",$B$1="HERICENDRE"),"Oui","Non")</f>
        <v/>
      </c>
    </row>
    <row r="2420">
      <c r="A2420" s="31" t="inlineStr">
        <is>
          <t>Talent</t>
        </is>
      </c>
      <c r="B2420" s="33" t="inlineStr">
        <is>
          <t>Cran</t>
        </is>
      </c>
      <c r="C2420" s="33" t="inlineStr">
        <is>
          <t>Attention</t>
        </is>
      </c>
      <c r="D2420" s="33" t="inlineStr">
        <is>
          <t>Chlorophylle</t>
        </is>
      </c>
      <c r="E2420" s="33" t="inlineStr">
        <is>
          <t>Matinal</t>
        </is>
      </c>
      <c r="F2420" s="33" t="inlineStr">
        <is>
          <t>Torrent</t>
        </is>
      </c>
      <c r="G2420" s="33" t="inlineStr">
        <is>
          <t>Sable Volant</t>
        </is>
      </c>
      <c r="H2420" s="30">
        <f>IF(OR($B$1="Tous",$B$1="HERICENDRE"),"Oui","Non")</f>
        <v/>
      </c>
    </row>
    <row r="2421">
      <c r="A2421" s="31" t="inlineStr">
        <is>
          <t>Capacités</t>
        </is>
      </c>
      <c r="B2421" s="34" t="inlineStr">
        <is>
          <t>Tranche</t>
        </is>
      </c>
      <c r="C2421" s="34" t="inlineStr">
        <is>
          <t>Choc Venin</t>
        </is>
      </c>
      <c r="D2421" s="34" t="inlineStr">
        <is>
          <t>Bombe Beurk</t>
        </is>
      </c>
      <c r="E2421" s="34" t="inlineStr">
        <is>
          <t>Lance-Flammes</t>
        </is>
      </c>
      <c r="F2421" s="34" t="inlineStr">
        <is>
          <t>Poing Glace</t>
        </is>
      </c>
      <c r="G2421" s="34" t="inlineStr">
        <is>
          <t>Mâchouille</t>
        </is>
      </c>
      <c r="H2421" s="30">
        <f>IF(OR($B$1="Tous",$B$1="HERICENDRE"),"Oui","Non")</f>
        <v/>
      </c>
    </row>
    <row r="2422">
      <c r="A2422" s="31" t="n"/>
      <c r="B2422" s="34" t="inlineStr">
        <is>
          <t>Feinte</t>
        </is>
      </c>
      <c r="C2422" s="34" t="inlineStr">
        <is>
          <t>Aéropique</t>
        </is>
      </c>
      <c r="D2422" s="34" t="inlineStr">
        <is>
          <t>Giga-Sangsue</t>
        </is>
      </c>
      <c r="E2422" s="34" t="inlineStr">
        <is>
          <t>Queue de Fer</t>
        </is>
      </c>
      <c r="F2422" s="34" t="inlineStr">
        <is>
          <t>Surf</t>
        </is>
      </c>
      <c r="G2422" s="34" t="inlineStr">
        <is>
          <t>Séisme</t>
        </is>
      </c>
      <c r="H2422" s="30">
        <f>IF(OR($B$1="Tous",$B$1="HERICENDRE"),"Oui","Non")</f>
        <v/>
      </c>
    </row>
    <row r="2423">
      <c r="A2423" s="31" t="n"/>
      <c r="B2423" s="34" t="inlineStr">
        <is>
          <t>Éclate-Roc</t>
        </is>
      </c>
      <c r="C2423" s="34" t="inlineStr">
        <is>
          <t>Reflet</t>
        </is>
      </c>
      <c r="D2423" s="34" t="inlineStr">
        <is>
          <t>Poudre Dodo</t>
        </is>
      </c>
      <c r="E2423" s="34" t="inlineStr">
        <is>
          <t>Mâchouille</t>
        </is>
      </c>
      <c r="F2423" s="34" t="inlineStr">
        <is>
          <t>Tranche</t>
        </is>
      </c>
      <c r="G2423" s="34" t="inlineStr">
        <is>
          <t>Éboulement</t>
        </is>
      </c>
      <c r="H2423" s="30">
        <f>IF(OR($B$1="Tous",$B$1="HERICENDRE"),"Oui","Non")</f>
        <v/>
      </c>
    </row>
    <row r="2424">
      <c r="A2424" s="31" t="n"/>
      <c r="B2424" s="34" t="inlineStr">
        <is>
          <t>Repos</t>
        </is>
      </c>
      <c r="C2424" s="34" t="inlineStr">
        <is>
          <t>Onde Folie</t>
        </is>
      </c>
      <c r="D2424" s="34" t="inlineStr">
        <is>
          <t>Croissance</t>
        </is>
      </c>
      <c r="E2424" s="34" t="inlineStr">
        <is>
          <t>Reflet</t>
        </is>
      </c>
      <c r="F2424" s="34" t="inlineStr">
        <is>
          <t>Morsure</t>
        </is>
      </c>
      <c r="G2424" s="34" t="inlineStr">
        <is>
          <t>Crocs Feu</t>
        </is>
      </c>
      <c r="H2424" s="30">
        <f>IF(OR($B$1="Tous",$B$1="HERICENDRE"),"Oui","Non")</f>
        <v/>
      </c>
    </row>
    <row r="2425">
      <c r="A2425" s="31" t="inlineStr">
        <is>
          <t>Nom</t>
        </is>
      </c>
      <c r="B2425" s="32" t="inlineStr">
        <is>
          <t>Rival (si vous avez choisi KAIMINUS)</t>
        </is>
      </c>
      <c r="C2425" s="32" t="n"/>
      <c r="D2425" s="32" t="n"/>
      <c r="E2425" s="32" t="n"/>
      <c r="F2425" s="32" t="n"/>
      <c r="G2425" s="32" t="n"/>
      <c r="H2425" s="30">
        <f>IF(OR($B$1="Tous",$B$1="KAIMINUS"),"Oui","Non")</f>
        <v/>
      </c>
    </row>
    <row r="2426">
      <c r="A2426" s="31" t="inlineStr">
        <is>
          <t>Pokémon</t>
        </is>
      </c>
      <c r="B2426" s="33" t="inlineStr">
        <is>
          <t>URSARING</t>
        </is>
      </c>
      <c r="C2426" s="33" t="inlineStr">
        <is>
          <t>NOSFERALTO</t>
        </is>
      </c>
      <c r="D2426" s="33" t="inlineStr">
        <is>
          <t>OCTILLERY</t>
        </is>
      </c>
      <c r="E2426" s="33" t="inlineStr">
        <is>
          <t>DEMOLOSSE</t>
        </is>
      </c>
      <c r="F2426" s="33" t="inlineStr">
        <is>
          <t>MEGANIUM</t>
        </is>
      </c>
      <c r="G2426" s="33" t="inlineStr">
        <is>
          <t>TYRANOCIF</t>
        </is>
      </c>
      <c r="H2426" s="30">
        <f>IF(OR($B$1="Tous",$B$1="KAIMINUS"),"Oui","Non")</f>
        <v/>
      </c>
    </row>
    <row r="2427">
      <c r="A2427" s="31" t="inlineStr">
        <is>
          <t>Niveau</t>
        </is>
      </c>
      <c r="B2427" s="33" t="n">
        <v>45</v>
      </c>
      <c r="C2427" s="33" t="n">
        <v>45</v>
      </c>
      <c r="D2427" s="33" t="n">
        <v>46</v>
      </c>
      <c r="E2427" s="33" t="n">
        <v>46</v>
      </c>
      <c r="F2427" s="33" t="n">
        <v>47</v>
      </c>
      <c r="G2427" s="33" t="n">
        <v>48</v>
      </c>
      <c r="H2427" s="30">
        <f>IF(OR($B$1="Tous",$B$1="KAIMINUS"),"Oui","Non")</f>
        <v/>
      </c>
    </row>
    <row r="2428">
      <c r="A2428" s="31" t="inlineStr">
        <is>
          <t>Objet</t>
        </is>
      </c>
      <c r="B2428" s="33" t="inlineStr">
        <is>
          <t>Baie Maron</t>
        </is>
      </c>
      <c r="C2428" s="33" t="inlineStr">
        <is>
          <t>Aucun</t>
        </is>
      </c>
      <c r="D2428" s="33" t="inlineStr">
        <is>
          <t>Vive Griffe</t>
        </is>
      </c>
      <c r="E2428" s="33" t="inlineStr">
        <is>
          <t>Aucun</t>
        </is>
      </c>
      <c r="F2428" s="33" t="inlineStr">
        <is>
          <t>Graine Miracle</t>
        </is>
      </c>
      <c r="G2428" s="33" t="inlineStr">
        <is>
          <t>Aucun</t>
        </is>
      </c>
      <c r="H2428" s="30">
        <f>IF(OR($B$1="Tous",$B$1="KAIMINUS"),"Oui","Non")</f>
        <v/>
      </c>
    </row>
    <row r="2429">
      <c r="A2429" s="31" t="inlineStr">
        <is>
          <t>Talent</t>
        </is>
      </c>
      <c r="B2429" s="33" t="inlineStr">
        <is>
          <t>Cran</t>
        </is>
      </c>
      <c r="C2429" s="33" t="inlineStr">
        <is>
          <t>Attention</t>
        </is>
      </c>
      <c r="D2429" s="33" t="inlineStr">
        <is>
          <t>Ventouse</t>
        </is>
      </c>
      <c r="E2429" s="33" t="inlineStr">
        <is>
          <t>Matinal</t>
        </is>
      </c>
      <c r="F2429" s="33" t="inlineStr">
        <is>
          <t>Engrais</t>
        </is>
      </c>
      <c r="G2429" s="33" t="inlineStr">
        <is>
          <t>Sable Volant</t>
        </is>
      </c>
      <c r="H2429" s="30">
        <f>IF(OR($B$1="Tous",$B$1="KAIMINUS"),"Oui","Non")</f>
        <v/>
      </c>
    </row>
    <row r="2430">
      <c r="A2430" s="31" t="inlineStr">
        <is>
          <t>Capacités</t>
        </is>
      </c>
      <c r="B2430" s="34" t="inlineStr">
        <is>
          <t>Tranche</t>
        </is>
      </c>
      <c r="C2430" s="34" t="inlineStr">
        <is>
          <t>Choc Venin</t>
        </is>
      </c>
      <c r="D2430" s="34" t="inlineStr">
        <is>
          <t>Surf</t>
        </is>
      </c>
      <c r="E2430" s="34" t="inlineStr">
        <is>
          <t>Lance-Flammes</t>
        </is>
      </c>
      <c r="F2430" s="34" t="inlineStr">
        <is>
          <t>Câlinerie</t>
        </is>
      </c>
      <c r="G2430" s="34" t="inlineStr">
        <is>
          <t>Mâchouille</t>
        </is>
      </c>
      <c r="H2430" s="30">
        <f>IF(OR($B$1="Tous",$B$1="KAIMINUS"),"Oui","Non")</f>
        <v/>
      </c>
    </row>
    <row r="2431">
      <c r="A2431" s="31" t="n"/>
      <c r="B2431" s="34" t="inlineStr">
        <is>
          <t>Feinte</t>
        </is>
      </c>
      <c r="C2431" s="34" t="inlineStr">
        <is>
          <t>Aéropique</t>
        </is>
      </c>
      <c r="D2431" s="34" t="inlineStr">
        <is>
          <t>Laser Glace</t>
        </is>
      </c>
      <c r="E2431" s="34" t="inlineStr">
        <is>
          <t>Queue de Fer</t>
        </is>
      </c>
      <c r="F2431" s="34" t="inlineStr">
        <is>
          <t>Danse Fleurs</t>
        </is>
      </c>
      <c r="G2431" s="34" t="inlineStr">
        <is>
          <t>Séisme</t>
        </is>
      </c>
      <c r="H2431" s="30">
        <f>IF(OR($B$1="Tous",$B$1="KAIMINUS"),"Oui","Non")</f>
        <v/>
      </c>
    </row>
    <row r="2432">
      <c r="A2432" s="31" t="n"/>
      <c r="B2432" s="34" t="inlineStr">
        <is>
          <t>Éclate-Roc</t>
        </is>
      </c>
      <c r="C2432" s="34" t="inlineStr">
        <is>
          <t>Reflet</t>
        </is>
      </c>
      <c r="D2432" s="34" t="inlineStr">
        <is>
          <t>Rafale Psy</t>
        </is>
      </c>
      <c r="E2432" s="34" t="inlineStr">
        <is>
          <t>Mâchouille</t>
        </is>
      </c>
      <c r="F2432" s="34" t="inlineStr">
        <is>
          <t>Tempête Florale</t>
        </is>
      </c>
      <c r="G2432" s="34" t="inlineStr">
        <is>
          <t>Éboulement</t>
        </is>
      </c>
      <c r="H2432" s="30">
        <f>IF(OR($B$1="Tous",$B$1="KAIMINUS"),"Oui","Non")</f>
        <v/>
      </c>
    </row>
    <row r="2433">
      <c r="A2433" s="31" t="n"/>
      <c r="B2433" s="34" t="inlineStr">
        <is>
          <t>Repos</t>
        </is>
      </c>
      <c r="C2433" s="34" t="inlineStr">
        <is>
          <t>Onde Folie</t>
        </is>
      </c>
      <c r="D2433" s="34" t="inlineStr">
        <is>
          <t>Rayon Signal</t>
        </is>
      </c>
      <c r="E2433" s="34" t="inlineStr">
        <is>
          <t>Zénith</t>
        </is>
      </c>
      <c r="F2433" s="34" t="inlineStr">
        <is>
          <t>Poudre Toxik</t>
        </is>
      </c>
      <c r="G2433" s="34" t="inlineStr">
        <is>
          <t>Crocs Feu</t>
        </is>
      </c>
      <c r="H2433" s="30">
        <f>IF(OR($B$1="Tous",$B$1="KAIMINUS"),"Oui","Non")</f>
        <v/>
      </c>
    </row>
    <row r="2434" ht="18" customHeight="1">
      <c r="A2434" s="26" t="inlineStr">
        <is>
          <t>Plateau Indigo — Salle de Clément</t>
        </is>
      </c>
      <c r="B2434" s="26" t="n"/>
      <c r="C2434" s="26" t="n"/>
      <c r="D2434" s="26" t="n"/>
      <c r="E2434" s="26" t="n"/>
      <c r="F2434" s="26" t="n"/>
      <c r="G2434" s="26" t="n"/>
      <c r="H2434" s="30" t="inlineStr">
        <is>
          <t>Oui</t>
        </is>
      </c>
    </row>
    <row r="2435">
      <c r="A2435" s="31" t="inlineStr">
        <is>
          <t>Nom</t>
        </is>
      </c>
      <c r="B2435" s="32" t="inlineStr">
        <is>
          <t>Conseil 4 Clément</t>
        </is>
      </c>
      <c r="C2435" s="32" t="n"/>
      <c r="D2435" s="32" t="n"/>
      <c r="E2435" s="32" t="n"/>
      <c r="F2435" s="32" t="n"/>
      <c r="G2435" s="32" t="n"/>
      <c r="H2435" s="30" t="inlineStr">
        <is>
          <t>Oui</t>
        </is>
      </c>
    </row>
    <row r="2436">
      <c r="A2436" s="31" t="inlineStr">
        <is>
          <t>Pokémon</t>
        </is>
      </c>
      <c r="B2436" s="33" t="inlineStr">
        <is>
          <t>GIRAFARIG</t>
        </is>
      </c>
      <c r="C2436" s="33" t="inlineStr">
        <is>
          <t>ROIGADA</t>
        </is>
      </c>
      <c r="D2436" s="33" t="inlineStr">
        <is>
          <t>MENTALI</t>
        </is>
      </c>
      <c r="E2436" s="33" t="inlineStr">
        <is>
          <t>FLAGADOSS</t>
        </is>
      </c>
      <c r="F2436" s="33" t="inlineStr">
        <is>
          <t>XATU</t>
        </is>
      </c>
      <c r="G2436" s="33" t="n"/>
      <c r="H2436" s="30" t="inlineStr">
        <is>
          <t>Oui</t>
        </is>
      </c>
    </row>
    <row r="2437">
      <c r="A2437" s="31" t="inlineStr">
        <is>
          <t>Niveau</t>
        </is>
      </c>
      <c r="B2437" s="33" t="n">
        <v>48</v>
      </c>
      <c r="C2437" s="33" t="n">
        <v>49</v>
      </c>
      <c r="D2437" s="33" t="n">
        <v>48</v>
      </c>
      <c r="E2437" s="33" t="n">
        <v>49</v>
      </c>
      <c r="F2437" s="33" t="n">
        <v>50</v>
      </c>
      <c r="G2437" s="33" t="n"/>
      <c r="H2437" s="30" t="inlineStr">
        <is>
          <t>Oui</t>
        </is>
      </c>
    </row>
    <row r="2438">
      <c r="A2438" s="31" t="inlineStr">
        <is>
          <t>Objet</t>
        </is>
      </c>
      <c r="B2438" s="33" t="inlineStr">
        <is>
          <t>Aucun</t>
        </is>
      </c>
      <c r="C2438" s="33" t="inlineStr">
        <is>
          <t>Aucun</t>
        </is>
      </c>
      <c r="D2438" s="33" t="inlineStr">
        <is>
          <t>Aucun</t>
        </is>
      </c>
      <c r="E2438" s="33" t="inlineStr">
        <is>
          <t>Vive Griffe</t>
        </is>
      </c>
      <c r="F2438" s="33" t="inlineStr">
        <is>
          <t>Cuillère Tordue</t>
        </is>
      </c>
      <c r="G2438" s="33" t="n"/>
      <c r="H2438" s="30" t="inlineStr">
        <is>
          <t>Oui</t>
        </is>
      </c>
    </row>
    <row r="2439">
      <c r="A2439" s="31" t="inlineStr">
        <is>
          <t>Talent</t>
        </is>
      </c>
      <c r="B2439" s="33" t="inlineStr">
        <is>
          <t>Attention</t>
        </is>
      </c>
      <c r="C2439" s="33" t="inlineStr">
        <is>
          <t>Benêt</t>
        </is>
      </c>
      <c r="D2439" s="33" t="inlineStr">
        <is>
          <t>Synchro</t>
        </is>
      </c>
      <c r="E2439" s="33" t="inlineStr">
        <is>
          <t>Benêt</t>
        </is>
      </c>
      <c r="F2439" s="33" t="inlineStr">
        <is>
          <t>Synchro</t>
        </is>
      </c>
      <c r="G2439" s="33" t="n"/>
      <c r="H2439" s="30" t="inlineStr">
        <is>
          <t>Oui</t>
        </is>
      </c>
    </row>
    <row r="2440">
      <c r="A2440" s="31" t="inlineStr">
        <is>
          <t>Capacités</t>
        </is>
      </c>
      <c r="B2440" s="34" t="inlineStr">
        <is>
          <t>Psykoud'Boul</t>
        </is>
      </c>
      <c r="C2440" s="34" t="inlineStr">
        <is>
          <t>Amnésie</t>
        </is>
      </c>
      <c r="D2440" s="34" t="inlineStr">
        <is>
          <t>Psyko</t>
        </is>
      </c>
      <c r="E2440" s="34" t="inlineStr">
        <is>
          <t>Malédiction</t>
        </is>
      </c>
      <c r="F2440" s="34" t="inlineStr">
        <is>
          <t>Lame d'Air</t>
        </is>
      </c>
      <c r="G2440" s="34" t="n"/>
      <c r="H2440" s="30" t="inlineStr">
        <is>
          <t>Oui</t>
        </is>
      </c>
    </row>
    <row r="2441">
      <c r="A2441" s="31" t="n"/>
      <c r="B2441" s="34" t="inlineStr">
        <is>
          <t>Machination</t>
        </is>
      </c>
      <c r="C2441" s="34" t="inlineStr">
        <is>
          <t>Poing Feu</t>
        </is>
      </c>
      <c r="D2441" s="34" t="inlineStr">
        <is>
          <t>Ball'Ombre</t>
        </is>
      </c>
      <c r="E2441" s="34" t="inlineStr">
        <is>
          <t>Éclate-Roc</t>
        </is>
      </c>
      <c r="F2441" s="34" t="inlineStr">
        <is>
          <t>Soin</t>
        </is>
      </c>
      <c r="G2441" s="34" t="n"/>
      <c r="H2441" s="30" t="inlineStr">
        <is>
          <t>Oui</t>
        </is>
      </c>
    </row>
    <row r="2442">
      <c r="A2442" s="31" t="n"/>
      <c r="B2442" s="34" t="inlineStr">
        <is>
          <t>Hâte</t>
        </is>
      </c>
      <c r="C2442" s="34" t="inlineStr">
        <is>
          <t>Surf</t>
        </is>
      </c>
      <c r="D2442" s="34" t="inlineStr">
        <is>
          <t>Protection</t>
        </is>
      </c>
      <c r="E2442" s="34" t="inlineStr">
        <is>
          <t>Plaquage</t>
        </is>
      </c>
      <c r="F2442" s="34" t="inlineStr">
        <is>
          <t>Onde Folie</t>
        </is>
      </c>
      <c r="G2442" s="34" t="n"/>
      <c r="H2442" s="30" t="inlineStr">
        <is>
          <t>Oui</t>
        </is>
      </c>
    </row>
    <row r="2443">
      <c r="A2443" s="31" t="n"/>
      <c r="B2443" s="34" t="inlineStr">
        <is>
          <t>Relais</t>
        </is>
      </c>
      <c r="C2443" s="34" t="inlineStr">
        <is>
          <t>Psyko</t>
        </is>
      </c>
      <c r="D2443" s="34" t="inlineStr">
        <is>
          <t>Coup d'Boule</t>
        </is>
      </c>
      <c r="E2443" s="34" t="inlineStr">
        <is>
          <t>Psykoud'Boul</t>
        </is>
      </c>
      <c r="F2443" s="34" t="inlineStr">
        <is>
          <t>Psyko</t>
        </is>
      </c>
      <c r="G2443" s="34" t="n"/>
      <c r="H2443" s="30" t="inlineStr">
        <is>
          <t>Oui</t>
        </is>
      </c>
    </row>
    <row r="2444" ht="18" customHeight="1">
      <c r="A2444" s="26" t="inlineStr">
        <is>
          <t>Plateau Indigo — Salle de Koga</t>
        </is>
      </c>
      <c r="B2444" s="26" t="n"/>
      <c r="C2444" s="26" t="n"/>
      <c r="D2444" s="26" t="n"/>
      <c r="E2444" s="26" t="n"/>
      <c r="F2444" s="26" t="n"/>
      <c r="G2444" s="26" t="n"/>
      <c r="H2444" s="30" t="inlineStr">
        <is>
          <t>Oui</t>
        </is>
      </c>
    </row>
    <row r="2445">
      <c r="A2445" s="31" t="inlineStr">
        <is>
          <t>Nom</t>
        </is>
      </c>
      <c r="B2445" s="32" t="inlineStr">
        <is>
          <t>Conseil 4 Koga</t>
        </is>
      </c>
      <c r="C2445" s="32" t="n"/>
      <c r="D2445" s="32" t="n"/>
      <c r="E2445" s="32" t="n"/>
      <c r="F2445" s="32" t="n"/>
      <c r="G2445" s="32" t="n"/>
      <c r="H2445" s="30" t="inlineStr">
        <is>
          <t>Oui</t>
        </is>
      </c>
    </row>
    <row r="2446">
      <c r="A2446" s="31" t="inlineStr">
        <is>
          <t>Pokémon</t>
        </is>
      </c>
      <c r="B2446" s="33" t="inlineStr">
        <is>
          <t>MIGALOS</t>
        </is>
      </c>
      <c r="C2446" s="33" t="inlineStr">
        <is>
          <t>QWILFISH</t>
        </is>
      </c>
      <c r="D2446" s="33" t="inlineStr">
        <is>
          <t>GROTADMORV</t>
        </is>
      </c>
      <c r="E2446" s="33" t="inlineStr">
        <is>
          <t>AEROMITE</t>
        </is>
      </c>
      <c r="F2446" s="33" t="inlineStr">
        <is>
          <t>NOSTENFER</t>
        </is>
      </c>
      <c r="G2446" s="33" t="n"/>
      <c r="H2446" s="30" t="inlineStr">
        <is>
          <t>Oui</t>
        </is>
      </c>
    </row>
    <row r="2447">
      <c r="A2447" s="31" t="inlineStr">
        <is>
          <t>Niveau</t>
        </is>
      </c>
      <c r="B2447" s="33" t="n">
        <v>50</v>
      </c>
      <c r="C2447" s="33" t="n">
        <v>51</v>
      </c>
      <c r="D2447" s="33" t="n">
        <v>50</v>
      </c>
      <c r="E2447" s="33" t="n">
        <v>51</v>
      </c>
      <c r="F2447" s="33" t="n">
        <v>52</v>
      </c>
      <c r="G2447" s="33" t="n"/>
      <c r="H2447" s="30" t="inlineStr">
        <is>
          <t>Oui</t>
        </is>
      </c>
    </row>
    <row r="2448">
      <c r="A2448" s="31" t="inlineStr">
        <is>
          <t>Objet</t>
        </is>
      </c>
      <c r="B2448" s="33" t="inlineStr">
        <is>
          <t>Roche Royale</t>
        </is>
      </c>
      <c r="C2448" s="33" t="inlineStr">
        <is>
          <t>Aucun</t>
        </is>
      </c>
      <c r="D2448" s="33" t="inlineStr">
        <is>
          <t>Restes</t>
        </is>
      </c>
      <c r="E2448" s="33" t="inlineStr">
        <is>
          <t>Aucun</t>
        </is>
      </c>
      <c r="F2448" s="33" t="inlineStr">
        <is>
          <t>Poudre Claire</t>
        </is>
      </c>
      <c r="G2448" s="33" t="n"/>
      <c r="H2448" s="30" t="inlineStr">
        <is>
          <t>Oui</t>
        </is>
      </c>
    </row>
    <row r="2449">
      <c r="A2449" s="31" t="inlineStr">
        <is>
          <t>Talent</t>
        </is>
      </c>
      <c r="B2449" s="33" t="inlineStr">
        <is>
          <t>Essaim</t>
        </is>
      </c>
      <c r="C2449" s="33" t="inlineStr">
        <is>
          <t>Point Poison</t>
        </is>
      </c>
      <c r="D2449" s="33" t="inlineStr">
        <is>
          <t>Puanteur</t>
        </is>
      </c>
      <c r="E2449" s="33" t="inlineStr">
        <is>
          <t>Écran Poudre</t>
        </is>
      </c>
      <c r="F2449" s="33" t="inlineStr">
        <is>
          <t>Attention</t>
        </is>
      </c>
      <c r="G2449" s="33" t="n"/>
      <c r="H2449" s="30" t="inlineStr">
        <is>
          <t>Oui</t>
        </is>
      </c>
    </row>
    <row r="2450">
      <c r="A2450" s="31" t="inlineStr">
        <is>
          <t>Capacités</t>
        </is>
      </c>
      <c r="B2450" s="34" t="inlineStr">
        <is>
          <t>Mégacorne</t>
        </is>
      </c>
      <c r="C2450" s="34" t="inlineStr">
        <is>
          <t>Hydro-Queue</t>
        </is>
      </c>
      <c r="D2450" s="34" t="inlineStr">
        <is>
          <t>Lilliput</t>
        </is>
      </c>
      <c r="E2450" s="34" t="inlineStr">
        <is>
          <t>Vampirisme</t>
        </is>
      </c>
      <c r="F2450" s="34" t="inlineStr">
        <is>
          <t>Reflet</t>
        </is>
      </c>
      <c r="G2450" s="34" t="n"/>
      <c r="H2450" s="30" t="inlineStr">
        <is>
          <t>Oui</t>
        </is>
      </c>
    </row>
    <row r="2451">
      <c r="A2451" s="31" t="n"/>
      <c r="B2451" s="34" t="inlineStr">
        <is>
          <t>Giga-Sangsue</t>
        </is>
      </c>
      <c r="C2451" s="34" t="inlineStr">
        <is>
          <t>Toxik</t>
        </is>
      </c>
      <c r="D2451" s="34" t="inlineStr">
        <is>
          <t>Déflagration</t>
        </is>
      </c>
      <c r="E2451" s="34" t="inlineStr">
        <is>
          <t>Psyko</t>
        </is>
      </c>
      <c r="F2451" s="34" t="inlineStr">
        <is>
          <t>Toxik</t>
        </is>
      </c>
      <c r="G2451" s="34" t="n"/>
      <c r="H2451" s="30" t="inlineStr">
        <is>
          <t>Oui</t>
        </is>
      </c>
    </row>
    <row r="2452">
      <c r="A2452" s="31" t="n"/>
      <c r="B2452" s="34" t="inlineStr">
        <is>
          <t>Reflet</t>
        </is>
      </c>
      <c r="C2452" s="34" t="inlineStr">
        <is>
          <t>Abri</t>
        </is>
      </c>
      <c r="D2452" s="34" t="inlineStr">
        <is>
          <t>Détricanon</t>
        </is>
      </c>
      <c r="E2452" s="34" t="inlineStr">
        <is>
          <t>Crochet Venin</t>
        </is>
      </c>
      <c r="F2452" s="34" t="inlineStr">
        <is>
          <t>Morsure</t>
        </is>
      </c>
      <c r="G2452" s="34" t="n"/>
      <c r="H2452" s="30" t="inlineStr">
        <is>
          <t>Oui</t>
        </is>
      </c>
    </row>
    <row r="2453">
      <c r="A2453" s="31" t="n"/>
      <c r="B2453" s="34" t="inlineStr">
        <is>
          <t>Toxik</t>
        </is>
      </c>
      <c r="C2453" s="34" t="inlineStr">
        <is>
          <t>Direct Toxik</t>
        </is>
      </c>
      <c r="D2453" s="34" t="inlineStr">
        <is>
          <t>Toxik</t>
        </is>
      </c>
      <c r="E2453" s="34" t="inlineStr">
        <is>
          <t>Poudre Dodo</t>
        </is>
      </c>
      <c r="F2453" s="34" t="inlineStr">
        <is>
          <t>Onde Folie</t>
        </is>
      </c>
      <c r="G2453" s="34" t="n"/>
      <c r="H2453" s="30" t="inlineStr">
        <is>
          <t>Oui</t>
        </is>
      </c>
    </row>
    <row r="2454" ht="18" customHeight="1">
      <c r="A2454" s="26" t="inlineStr">
        <is>
          <t>Plateau Indigo — Salle d'Aldo</t>
        </is>
      </c>
      <c r="B2454" s="26" t="n"/>
      <c r="C2454" s="26" t="n"/>
      <c r="D2454" s="26" t="n"/>
      <c r="E2454" s="26" t="n"/>
      <c r="F2454" s="26" t="n"/>
      <c r="G2454" s="26" t="n"/>
      <c r="H2454" s="30" t="inlineStr">
        <is>
          <t>Oui</t>
        </is>
      </c>
    </row>
    <row r="2455">
      <c r="A2455" s="31" t="inlineStr">
        <is>
          <t>Nom</t>
        </is>
      </c>
      <c r="B2455" s="32" t="inlineStr">
        <is>
          <t>Conseil 4 Aldo</t>
        </is>
      </c>
      <c r="C2455" s="32" t="n"/>
      <c r="D2455" s="32" t="n"/>
      <c r="E2455" s="32" t="n"/>
      <c r="F2455" s="32" t="n"/>
      <c r="G2455" s="32" t="n"/>
      <c r="H2455" s="30" t="inlineStr">
        <is>
          <t>Oui</t>
        </is>
      </c>
    </row>
    <row r="2456">
      <c r="A2456" s="31" t="inlineStr">
        <is>
          <t>Pokémon</t>
        </is>
      </c>
      <c r="B2456" s="33" t="inlineStr">
        <is>
          <t>TYGNON</t>
        </is>
      </c>
      <c r="C2456" s="33" t="inlineStr">
        <is>
          <t>SCARHINO</t>
        </is>
      </c>
      <c r="D2456" s="33" t="inlineStr">
        <is>
          <t>KICKLEE</t>
        </is>
      </c>
      <c r="E2456" s="33" t="inlineStr">
        <is>
          <t>STEELIX</t>
        </is>
      </c>
      <c r="F2456" s="33" t="inlineStr">
        <is>
          <t>MACKOGNEUR</t>
        </is>
      </c>
      <c r="G2456" s="33" t="n"/>
      <c r="H2456" s="30" t="inlineStr">
        <is>
          <t>Oui</t>
        </is>
      </c>
    </row>
    <row r="2457">
      <c r="A2457" s="31" t="inlineStr">
        <is>
          <t>Niveau</t>
        </is>
      </c>
      <c r="B2457" s="33" t="n">
        <v>53</v>
      </c>
      <c r="C2457" s="33" t="n">
        <v>52</v>
      </c>
      <c r="D2457" s="33" t="n">
        <v>53</v>
      </c>
      <c r="E2457" s="33" t="n">
        <v>53</v>
      </c>
      <c r="F2457" s="33" t="n">
        <v>54</v>
      </c>
      <c r="G2457" s="33" t="n"/>
      <c r="H2457" s="30" t="inlineStr">
        <is>
          <t>Oui</t>
        </is>
      </c>
    </row>
    <row r="2458">
      <c r="A2458" s="31" t="inlineStr">
        <is>
          <t>Objet</t>
        </is>
      </c>
      <c r="B2458" s="33" t="inlineStr">
        <is>
          <t>Lentilscope</t>
        </is>
      </c>
      <c r="C2458" s="33" t="inlineStr">
        <is>
          <t>Aucun</t>
        </is>
      </c>
      <c r="D2458" s="33" t="inlineStr">
        <is>
          <t>Mouchoir Soie</t>
        </is>
      </c>
      <c r="E2458" s="33" t="inlineStr">
        <is>
          <t>Aucun</t>
        </is>
      </c>
      <c r="F2458" s="33" t="inlineStr">
        <is>
          <t>Ceinture Noire</t>
        </is>
      </c>
      <c r="G2458" s="33" t="n"/>
      <c r="H2458" s="30" t="inlineStr">
        <is>
          <t>Oui</t>
        </is>
      </c>
    </row>
    <row r="2459">
      <c r="A2459" s="31" t="inlineStr">
        <is>
          <t>Talent</t>
        </is>
      </c>
      <c r="B2459" s="33" t="inlineStr">
        <is>
          <t>Regard Vif</t>
        </is>
      </c>
      <c r="C2459" s="33" t="inlineStr">
        <is>
          <t>Essaim</t>
        </is>
      </c>
      <c r="D2459" s="33" t="inlineStr">
        <is>
          <t>Échauffement</t>
        </is>
      </c>
      <c r="E2459" s="33" t="inlineStr">
        <is>
          <t>Tête de Roc</t>
        </is>
      </c>
      <c r="F2459" s="33" t="inlineStr">
        <is>
          <t>Cran</t>
        </is>
      </c>
      <c r="G2459" s="33" t="n"/>
      <c r="H2459" s="30" t="inlineStr">
        <is>
          <t>Oui</t>
        </is>
      </c>
    </row>
    <row r="2460">
      <c r="A2460" s="31" t="inlineStr">
        <is>
          <t>Capacités</t>
        </is>
      </c>
      <c r="B2460" s="34" t="inlineStr">
        <is>
          <t>Close Combat</t>
        </is>
      </c>
      <c r="C2460" s="34" t="inlineStr">
        <is>
          <t>Close Combat</t>
        </is>
      </c>
      <c r="D2460" s="34" t="inlineStr">
        <is>
          <t>Pied Brûleur</t>
        </is>
      </c>
      <c r="E2460" s="34" t="inlineStr">
        <is>
          <t>Mâchouille</t>
        </is>
      </c>
      <c r="F2460" s="34" t="inlineStr">
        <is>
          <t>Éboulement</t>
        </is>
      </c>
      <c r="G2460" s="34" t="n"/>
      <c r="H2460" s="30" t="inlineStr">
        <is>
          <t>Oui</t>
        </is>
      </c>
    </row>
    <row r="2461">
      <c r="A2461" s="31" t="n"/>
      <c r="B2461" s="34" t="inlineStr">
        <is>
          <t>Poursuite</t>
        </is>
      </c>
      <c r="C2461" s="34" t="inlineStr">
        <is>
          <t>Mégacorne</t>
        </is>
      </c>
      <c r="D2461" s="34" t="inlineStr">
        <is>
          <t>Yoga</t>
        </is>
      </c>
      <c r="E2461" s="34" t="inlineStr">
        <is>
          <t>Séisme</t>
        </is>
      </c>
      <c r="F2461" s="34" t="inlineStr">
        <is>
          <t>Poing Feu</t>
        </is>
      </c>
      <c r="G2461" s="34" t="n"/>
      <c r="H2461" s="30" t="inlineStr">
        <is>
          <t>Oui</t>
        </is>
      </c>
    </row>
    <row r="2462">
      <c r="A2462" s="31" t="n"/>
      <c r="B2462" s="34" t="inlineStr">
        <is>
          <t>Uppercut</t>
        </is>
      </c>
      <c r="C2462" s="34" t="inlineStr">
        <is>
          <t>Bélier</t>
        </is>
      </c>
      <c r="D2462" s="34" t="inlineStr">
        <is>
          <t>Contre</t>
        </is>
      </c>
      <c r="E2462" s="34" t="inlineStr">
        <is>
          <t>Lame de Roc</t>
        </is>
      </c>
      <c r="F2462" s="34" t="inlineStr">
        <is>
          <t>Corps Perdu</t>
        </is>
      </c>
      <c r="G2462" s="34" t="n"/>
      <c r="H2462" s="30" t="inlineStr">
        <is>
          <t>Oui</t>
        </is>
      </c>
    </row>
    <row r="2463">
      <c r="A2463" s="31" t="n"/>
      <c r="B2463" s="34" t="inlineStr">
        <is>
          <t>Poing Éclair</t>
        </is>
      </c>
      <c r="C2463" s="34" t="inlineStr">
        <is>
          <t>Séisme</t>
        </is>
      </c>
      <c r="D2463" s="34" t="inlineStr">
        <is>
          <t>Pied Voltige</t>
        </is>
      </c>
      <c r="E2463" s="34" t="inlineStr">
        <is>
          <t>Queue de Fer</t>
        </is>
      </c>
      <c r="F2463" s="34" t="inlineStr">
        <is>
          <t>Coup Croix</t>
        </is>
      </c>
      <c r="G2463" s="34" t="n"/>
      <c r="H2463" s="30" t="inlineStr">
        <is>
          <t>Oui</t>
        </is>
      </c>
    </row>
    <row r="2464" ht="18" customHeight="1">
      <c r="A2464" s="26" t="inlineStr">
        <is>
          <t>Plateau Indigo — Salle de Marion</t>
        </is>
      </c>
      <c r="B2464" s="26" t="n"/>
      <c r="C2464" s="26" t="n"/>
      <c r="D2464" s="26" t="n"/>
      <c r="E2464" s="26" t="n"/>
      <c r="F2464" s="26" t="n"/>
      <c r="G2464" s="26" t="n"/>
      <c r="H2464" s="30" t="inlineStr">
        <is>
          <t>Oui</t>
        </is>
      </c>
    </row>
    <row r="2465">
      <c r="A2465" s="31" t="inlineStr">
        <is>
          <t>Nom</t>
        </is>
      </c>
      <c r="B2465" s="32" t="inlineStr">
        <is>
          <t>Conseil 4 Marion</t>
        </is>
      </c>
      <c r="C2465" s="32" t="n"/>
      <c r="D2465" s="32" t="n"/>
      <c r="E2465" s="32" t="n"/>
      <c r="F2465" s="32" t="n"/>
      <c r="G2465" s="32" t="n"/>
      <c r="H2465" s="30" t="inlineStr">
        <is>
          <t>Oui</t>
        </is>
      </c>
    </row>
    <row r="2466">
      <c r="A2466" s="31" t="inlineStr">
        <is>
          <t>Pokémon</t>
        </is>
      </c>
      <c r="B2466" s="33" t="inlineStr">
        <is>
          <t>NOCTALI</t>
        </is>
      </c>
      <c r="C2466" s="33" t="inlineStr">
        <is>
          <t>ECTOPLASMA</t>
        </is>
      </c>
      <c r="D2466" s="33" t="inlineStr">
        <is>
          <t>RAFFLESIA</t>
        </is>
      </c>
      <c r="E2466" s="33" t="inlineStr">
        <is>
          <t>CORBOSS</t>
        </is>
      </c>
      <c r="F2466" s="33" t="inlineStr">
        <is>
          <t>DEMOLOSSE</t>
        </is>
      </c>
      <c r="G2466" s="33" t="n"/>
      <c r="H2466" s="30" t="inlineStr">
        <is>
          <t>Oui</t>
        </is>
      </c>
    </row>
    <row r="2467">
      <c r="A2467" s="31" t="inlineStr">
        <is>
          <t>Niveau</t>
        </is>
      </c>
      <c r="B2467" s="33" t="n">
        <v>54</v>
      </c>
      <c r="C2467" s="33" t="n">
        <v>53</v>
      </c>
      <c r="D2467" s="33" t="n">
        <v>53</v>
      </c>
      <c r="E2467" s="33" t="n">
        <v>53</v>
      </c>
      <c r="F2467" s="33" t="n">
        <v>55</v>
      </c>
      <c r="G2467" s="33" t="n"/>
      <c r="H2467" s="30" t="inlineStr">
        <is>
          <t>Oui</t>
        </is>
      </c>
    </row>
    <row r="2468">
      <c r="A2468" s="31" t="inlineStr">
        <is>
          <t>Objet</t>
        </is>
      </c>
      <c r="B2468" s="33" t="inlineStr">
        <is>
          <t>Baie Sitrus</t>
        </is>
      </c>
      <c r="C2468" s="33" t="inlineStr">
        <is>
          <t>Aucun</t>
        </is>
      </c>
      <c r="D2468" s="33" t="inlineStr">
        <is>
          <t>Restes</t>
        </is>
      </c>
      <c r="E2468" s="33" t="inlineStr">
        <is>
          <t>Bec Pointu</t>
        </is>
      </c>
      <c r="F2468" s="33" t="inlineStr">
        <is>
          <t>Lunettes Noires</t>
        </is>
      </c>
      <c r="G2468" s="33" t="n"/>
      <c r="H2468" s="30" t="inlineStr">
        <is>
          <t>Oui</t>
        </is>
      </c>
    </row>
    <row r="2469">
      <c r="A2469" s="31" t="inlineStr">
        <is>
          <t>Talent</t>
        </is>
      </c>
      <c r="B2469" s="33" t="inlineStr">
        <is>
          <t>Synchro</t>
        </is>
      </c>
      <c r="C2469" s="33" t="inlineStr">
        <is>
          <t>Lévitation</t>
        </is>
      </c>
      <c r="D2469" s="33" t="inlineStr">
        <is>
          <t>Chlorophylle</t>
        </is>
      </c>
      <c r="E2469" s="33" t="inlineStr">
        <is>
          <t>Insomnia</t>
        </is>
      </c>
      <c r="F2469" s="33" t="inlineStr">
        <is>
          <t>Matinal</t>
        </is>
      </c>
      <c r="G2469" s="33" t="n"/>
      <c r="H2469" s="30" t="inlineStr">
        <is>
          <t>Oui</t>
        </is>
      </c>
    </row>
    <row r="2470">
      <c r="A2470" s="31" t="inlineStr">
        <is>
          <t>Capacités</t>
        </is>
      </c>
      <c r="B2470" s="34" t="inlineStr">
        <is>
          <t>Feinte</t>
        </is>
      </c>
      <c r="C2470" s="34" t="inlineStr">
        <is>
          <t>Ball'Ombre</t>
        </is>
      </c>
      <c r="D2470" s="34" t="inlineStr">
        <is>
          <t>Poudre Dodo</t>
        </is>
      </c>
      <c r="E2470" s="34" t="inlineStr">
        <is>
          <t>Lame d'Air</t>
        </is>
      </c>
      <c r="F2470" s="34" t="inlineStr">
        <is>
          <t>Lance-Flammes</t>
        </is>
      </c>
      <c r="G2470" s="34" t="n"/>
      <c r="H2470" s="30" t="inlineStr">
        <is>
          <t>Oui</t>
        </is>
      </c>
    </row>
    <row r="2471">
      <c r="A2471" s="31" t="n"/>
      <c r="B2471" s="34" t="inlineStr">
        <is>
          <t>Reflet</t>
        </is>
      </c>
      <c r="C2471" s="34" t="inlineStr">
        <is>
          <t>Hypnose</t>
        </is>
      </c>
      <c r="D2471" s="34" t="inlineStr">
        <is>
          <t>Giga-Sangsue</t>
        </is>
      </c>
      <c r="E2471" s="34" t="inlineStr">
        <is>
          <t>Feinte</t>
        </is>
      </c>
      <c r="F2471" s="34" t="inlineStr">
        <is>
          <t>Mâchouille</t>
        </is>
      </c>
      <c r="G2471" s="34" t="n"/>
      <c r="H2471" s="30" t="inlineStr">
        <is>
          <t>Oui</t>
        </is>
      </c>
    </row>
    <row r="2472">
      <c r="A2472" s="31" t="n"/>
      <c r="B2472" s="34" t="inlineStr">
        <is>
          <t>Relais</t>
        </is>
      </c>
      <c r="C2472" s="34" t="inlineStr">
        <is>
          <t>Dévorêve</t>
        </is>
      </c>
      <c r="D2472" s="34" t="inlineStr">
        <is>
          <t>Vampigraine</t>
        </is>
      </c>
      <c r="E2472" s="34" t="inlineStr">
        <is>
          <t>Ailes d'Acier</t>
        </is>
      </c>
      <c r="F2472" s="34" t="inlineStr">
        <is>
          <t>Queue de Fer</t>
        </is>
      </c>
      <c r="G2472" s="34" t="n"/>
      <c r="H2472" s="30" t="inlineStr">
        <is>
          <t>Oui</t>
        </is>
      </c>
    </row>
    <row r="2473">
      <c r="A2473" s="31" t="n"/>
      <c r="B2473" s="34" t="inlineStr">
        <is>
          <t>Rayon Lune</t>
        </is>
      </c>
      <c r="C2473" s="34" t="inlineStr">
        <is>
          <t>Onde Folie</t>
        </is>
      </c>
      <c r="D2473" s="34" t="inlineStr">
        <is>
          <t>Clonage</t>
        </is>
      </c>
      <c r="E2473" s="34" t="inlineStr">
        <is>
          <t>Buée Noire</t>
        </is>
      </c>
      <c r="F2473" s="34" t="inlineStr">
        <is>
          <t>Contre</t>
        </is>
      </c>
      <c r="G2473" s="34" t="n"/>
      <c r="H2473" s="30" t="inlineStr">
        <is>
          <t>Oui</t>
        </is>
      </c>
    </row>
    <row r="2474" ht="18" customHeight="1">
      <c r="A2474" s="26" t="inlineStr">
        <is>
          <t>Plateau Indigo — Salle du Maître</t>
        </is>
      </c>
      <c r="B2474" s="26" t="n"/>
      <c r="C2474" s="26" t="n"/>
      <c r="D2474" s="26" t="n"/>
      <c r="E2474" s="26" t="n"/>
      <c r="F2474" s="26" t="n"/>
      <c r="G2474" s="26" t="n"/>
      <c r="H2474" s="30" t="inlineStr">
        <is>
          <t>Oui</t>
        </is>
      </c>
    </row>
    <row r="2475">
      <c r="A2475" s="31" t="inlineStr">
        <is>
          <t>Nom</t>
        </is>
      </c>
      <c r="B2475" s="32" t="inlineStr">
        <is>
          <t>Maître Peter</t>
        </is>
      </c>
      <c r="C2475" s="32" t="n"/>
      <c r="D2475" s="32" t="n"/>
      <c r="E2475" s="32" t="n"/>
      <c r="F2475" s="32" t="n"/>
      <c r="G2475" s="32" t="n"/>
      <c r="H2475" s="30" t="inlineStr">
        <is>
          <t>Oui</t>
        </is>
      </c>
    </row>
    <row r="2476">
      <c r="A2476" s="31" t="inlineStr">
        <is>
          <t>Pokémon</t>
        </is>
      </c>
      <c r="B2476" s="33" t="inlineStr">
        <is>
          <t>LEVIATOR</t>
        </is>
      </c>
      <c r="C2476" s="33" t="inlineStr">
        <is>
          <t>DRACOLOSSE</t>
        </is>
      </c>
      <c r="D2476" s="33" t="inlineStr">
        <is>
          <t>DRACAUFEU</t>
        </is>
      </c>
      <c r="E2476" s="33" t="inlineStr">
        <is>
          <t>DRACOLOSSE</t>
        </is>
      </c>
      <c r="F2476" s="33" t="inlineStr">
        <is>
          <t>PTERA</t>
        </is>
      </c>
      <c r="G2476" s="33" t="inlineStr">
        <is>
          <t>DRACOLOSSE</t>
        </is>
      </c>
      <c r="H2476" s="30" t="inlineStr">
        <is>
          <t>Oui</t>
        </is>
      </c>
    </row>
    <row r="2477">
      <c r="A2477" s="31" t="inlineStr">
        <is>
          <t>Niveau</t>
        </is>
      </c>
      <c r="B2477" s="33" t="n">
        <v>54</v>
      </c>
      <c r="C2477" s="33" t="n">
        <v>55</v>
      </c>
      <c r="D2477" s="33" t="n">
        <v>54</v>
      </c>
      <c r="E2477" s="33" t="n">
        <v>55</v>
      </c>
      <c r="F2477" s="33" t="n">
        <v>54</v>
      </c>
      <c r="G2477" s="33" t="n">
        <v>56</v>
      </c>
      <c r="H2477" s="30" t="inlineStr">
        <is>
          <t>Oui</t>
        </is>
      </c>
    </row>
    <row r="2478">
      <c r="A2478" s="31" t="inlineStr">
        <is>
          <t>Objet</t>
        </is>
      </c>
      <c r="B2478" s="33" t="inlineStr">
        <is>
          <t>Restes</t>
        </is>
      </c>
      <c r="C2478" s="33" t="inlineStr">
        <is>
          <t>Baie Sitrus</t>
        </is>
      </c>
      <c r="D2478" s="33" t="inlineStr">
        <is>
          <t>Charbon</t>
        </is>
      </c>
      <c r="E2478" s="33" t="inlineStr">
        <is>
          <t>Aucun</t>
        </is>
      </c>
      <c r="F2478" s="33" t="inlineStr">
        <is>
          <t>Mouchoir Soie</t>
        </is>
      </c>
      <c r="G2478" s="33" t="inlineStr">
        <is>
          <t>Baie Sitrus</t>
        </is>
      </c>
      <c r="H2478" s="30" t="inlineStr">
        <is>
          <t>Oui</t>
        </is>
      </c>
    </row>
    <row r="2479">
      <c r="A2479" s="31" t="inlineStr">
        <is>
          <t>Talent</t>
        </is>
      </c>
      <c r="B2479" s="33" t="inlineStr">
        <is>
          <t>Intimidation</t>
        </is>
      </c>
      <c r="C2479" s="33" t="inlineStr">
        <is>
          <t>Attention</t>
        </is>
      </c>
      <c r="D2479" s="33" t="inlineStr">
        <is>
          <t>Brasier</t>
        </is>
      </c>
      <c r="E2479" s="33" t="inlineStr">
        <is>
          <t>Attention</t>
        </is>
      </c>
      <c r="F2479" s="33" t="inlineStr">
        <is>
          <t>Tête de Roc</t>
        </is>
      </c>
      <c r="G2479" s="33" t="inlineStr">
        <is>
          <t>Attention</t>
        </is>
      </c>
      <c r="H2479" s="30" t="inlineStr">
        <is>
          <t>Oui</t>
        </is>
      </c>
    </row>
    <row r="2480">
      <c r="A2480" s="31" t="inlineStr">
        <is>
          <t>Capacités</t>
        </is>
      </c>
      <c r="B2480" s="34" t="inlineStr">
        <is>
          <t>Cascade</t>
        </is>
      </c>
      <c r="C2480" s="34" t="inlineStr">
        <is>
          <t>Blizzard</t>
        </is>
      </c>
      <c r="D2480" s="34" t="inlineStr">
        <is>
          <t>Lance-Flammes</t>
        </is>
      </c>
      <c r="E2480" s="34" t="inlineStr">
        <is>
          <t>Rebond</t>
        </is>
      </c>
      <c r="F2480" s="34" t="inlineStr">
        <is>
          <t>Aéropique</t>
        </is>
      </c>
      <c r="G2480" s="34" t="inlineStr">
        <is>
          <t>Fatal-Foudre</t>
        </is>
      </c>
      <c r="H2480" s="30" t="inlineStr">
        <is>
          <t>Oui</t>
        </is>
      </c>
    </row>
    <row r="2481">
      <c r="A2481" s="31" t="n"/>
      <c r="B2481" s="34" t="inlineStr">
        <is>
          <t>Danse Draco</t>
        </is>
      </c>
      <c r="C2481" s="34" t="inlineStr">
        <is>
          <t>Déflagration</t>
        </is>
      </c>
      <c r="D2481" s="34" t="inlineStr">
        <is>
          <t>Cru-Ailes</t>
        </is>
      </c>
      <c r="E2481" s="34" t="inlineStr">
        <is>
          <t>Draco-Griffe</t>
        </is>
      </c>
      <c r="F2481" s="34" t="inlineStr">
        <is>
          <t>Éboulement</t>
        </is>
      </c>
      <c r="G2481" s="34" t="inlineStr">
        <is>
          <t>Rune Protect</t>
        </is>
      </c>
      <c r="H2481" s="30" t="inlineStr">
        <is>
          <t>Oui</t>
        </is>
      </c>
    </row>
    <row r="2482">
      <c r="A2482" s="31" t="n"/>
      <c r="B2482" s="34" t="inlineStr">
        <is>
          <t>Ultralaser</t>
        </is>
      </c>
      <c r="C2482" s="34" t="inlineStr">
        <is>
          <t>Fatal-Foudre</t>
        </is>
      </c>
      <c r="D2482" s="34" t="inlineStr">
        <is>
          <t>Reflet</t>
        </is>
      </c>
      <c r="E2482" s="34" t="inlineStr">
        <is>
          <t>Cascade</t>
        </is>
      </c>
      <c r="F2482" s="34" t="inlineStr">
        <is>
          <t>Ultralaser</t>
        </is>
      </c>
      <c r="G2482" s="34" t="inlineStr">
        <is>
          <t>Colère</t>
        </is>
      </c>
      <c r="H2482" s="30" t="inlineStr">
        <is>
          <t>Oui</t>
        </is>
      </c>
    </row>
    <row r="2483">
      <c r="A2483" s="31" t="n"/>
      <c r="B2483" s="34" t="inlineStr">
        <is>
          <t>Séisme</t>
        </is>
      </c>
      <c r="C2483" s="34" t="inlineStr">
        <is>
          <t>Vitesse Extrême</t>
        </is>
      </c>
      <c r="D2483" s="34" t="inlineStr">
        <is>
          <t>Ailes d'Acier</t>
        </is>
      </c>
      <c r="E2483" s="34" t="inlineStr">
        <is>
          <t>Danse Draco</t>
        </is>
      </c>
      <c r="F2483" s="34" t="inlineStr">
        <is>
          <t>Séisme</t>
        </is>
      </c>
      <c r="G2483" s="34" t="inlineStr">
        <is>
          <t>Ultralaser</t>
        </is>
      </c>
      <c r="H2483" s="30" t="inlineStr">
        <is>
          <t>Oui</t>
        </is>
      </c>
    </row>
    <row r="2484" ht="18" customHeight="1">
      <c r="A2484" s="26" t="inlineStr">
        <is>
          <t>Aquaria — B1F</t>
        </is>
      </c>
      <c r="B2484" s="26" t="n"/>
      <c r="C2484" s="26" t="n"/>
      <c r="D2484" s="26" t="n"/>
      <c r="E2484" s="26" t="n"/>
      <c r="F2484" s="26" t="n"/>
      <c r="G2484" s="26" t="n"/>
      <c r="H2484" s="30" t="inlineStr">
        <is>
          <t>Oui</t>
        </is>
      </c>
    </row>
    <row r="2485">
      <c r="A2485" s="31" t="inlineStr">
        <is>
          <t>Nom</t>
        </is>
      </c>
      <c r="B2485" s="32" t="inlineStr">
        <is>
          <t>Marin Olivier</t>
        </is>
      </c>
      <c r="C2485" s="32" t="n"/>
      <c r="D2485" s="32" t="n"/>
      <c r="E2485" s="32" t="n"/>
      <c r="F2485" s="32" t="n"/>
      <c r="G2485" s="32" t="n"/>
      <c r="H2485" s="30" t="inlineStr">
        <is>
          <t>Oui</t>
        </is>
      </c>
    </row>
    <row r="2486">
      <c r="A2486" s="31" t="inlineStr">
        <is>
          <t>Pokémon</t>
        </is>
      </c>
      <c r="B2486" s="33" t="inlineStr">
        <is>
          <t>RATTATAC</t>
        </is>
      </c>
      <c r="C2486" s="33" t="inlineStr">
        <is>
          <t>FOUINAR</t>
        </is>
      </c>
      <c r="D2486" s="33" t="n"/>
      <c r="E2486" s="33" t="n"/>
      <c r="F2486" s="33" t="n"/>
      <c r="G2486" s="33" t="n"/>
      <c r="H2486" s="30" t="inlineStr">
        <is>
          <t>Oui</t>
        </is>
      </c>
    </row>
    <row r="2487">
      <c r="A2487" s="31" t="inlineStr">
        <is>
          <t>Niveau</t>
        </is>
      </c>
      <c r="B2487" s="33" t="n">
        <v>58</v>
      </c>
      <c r="C2487" s="33" t="n">
        <v>58</v>
      </c>
      <c r="D2487" s="33" t="n"/>
      <c r="E2487" s="33" t="n"/>
      <c r="F2487" s="33" t="n"/>
      <c r="G2487" s="33" t="n"/>
      <c r="H2487" s="30" t="inlineStr">
        <is>
          <t>Oui</t>
        </is>
      </c>
    </row>
    <row r="2488">
      <c r="A2488" s="31" t="inlineStr">
        <is>
          <t>Objet</t>
        </is>
      </c>
      <c r="B2488" s="33" t="inlineStr">
        <is>
          <t>Aucun</t>
        </is>
      </c>
      <c r="C2488" s="33" t="inlineStr">
        <is>
          <t>Aucun</t>
        </is>
      </c>
      <c r="D2488" s="33" t="n"/>
      <c r="E2488" s="33" t="n"/>
      <c r="F2488" s="33" t="n"/>
      <c r="G2488" s="33" t="n"/>
      <c r="H2488" s="30" t="inlineStr">
        <is>
          <t>Oui</t>
        </is>
      </c>
    </row>
    <row r="2489">
      <c r="A2489" s="31" t="inlineStr">
        <is>
          <t>Talent</t>
        </is>
      </c>
      <c r="B2489" s="33" t="inlineStr">
        <is>
          <t>Fuite</t>
        </is>
      </c>
      <c r="C2489" s="33" t="inlineStr">
        <is>
          <t>Fuite</t>
        </is>
      </c>
      <c r="D2489" s="33" t="n"/>
      <c r="E2489" s="33" t="n"/>
      <c r="F2489" s="33" t="n"/>
      <c r="G2489" s="33" t="n"/>
      <c r="H2489" s="30" t="inlineStr">
        <is>
          <t>Oui</t>
        </is>
      </c>
    </row>
    <row r="2490">
      <c r="A2490" s="31" t="inlineStr">
        <is>
          <t>Capacités</t>
        </is>
      </c>
      <c r="B2490" s="34" t="inlineStr">
        <is>
          <t>Coup Bas</t>
        </is>
      </c>
      <c r="C2490" s="34" t="inlineStr">
        <is>
          <t>Câlinerie</t>
        </is>
      </c>
      <c r="D2490" s="34" t="n"/>
      <c r="E2490" s="34" t="n"/>
      <c r="F2490" s="34" t="n"/>
      <c r="G2490" s="34" t="n"/>
      <c r="H2490" s="30" t="inlineStr">
        <is>
          <t>Oui</t>
        </is>
      </c>
    </row>
    <row r="2491">
      <c r="A2491" s="31" t="n"/>
      <c r="B2491" s="34" t="inlineStr">
        <is>
          <t>Croc Fatal</t>
        </is>
      </c>
      <c r="C2491" s="34" t="inlineStr">
        <is>
          <t>Relais</t>
        </is>
      </c>
      <c r="D2491" s="34" t="n"/>
      <c r="E2491" s="34" t="n"/>
      <c r="F2491" s="34" t="n"/>
      <c r="G2491" s="34" t="n"/>
      <c r="H2491" s="30" t="inlineStr">
        <is>
          <t>Oui</t>
        </is>
      </c>
    </row>
    <row r="2492">
      <c r="A2492" s="31" t="n"/>
      <c r="B2492" s="34" t="inlineStr">
        <is>
          <t>Damoclès</t>
        </is>
      </c>
      <c r="C2492" s="34" t="inlineStr">
        <is>
          <t>Moi d'Abord</t>
        </is>
      </c>
      <c r="D2492" s="34" t="n"/>
      <c r="E2492" s="34" t="n"/>
      <c r="F2492" s="34" t="n"/>
      <c r="G2492" s="34" t="n"/>
      <c r="H2492" s="30" t="inlineStr">
        <is>
          <t>Oui</t>
        </is>
      </c>
    </row>
    <row r="2493">
      <c r="A2493" s="31" t="n"/>
      <c r="B2493" s="34" t="inlineStr">
        <is>
          <t>Effort</t>
        </is>
      </c>
      <c r="C2493" s="34" t="inlineStr">
        <is>
          <t>Mégaphone</t>
        </is>
      </c>
      <c r="D2493" s="34" t="n"/>
      <c r="E2493" s="34" t="n"/>
      <c r="F2493" s="34" t="n"/>
      <c r="G2493" s="34" t="n"/>
      <c r="H2493" s="30" t="inlineStr">
        <is>
          <t>Oui</t>
        </is>
      </c>
    </row>
    <row r="2494">
      <c r="A2494" s="31" t="inlineStr">
        <is>
          <t>Nom</t>
        </is>
      </c>
      <c r="B2494" s="32" t="inlineStr">
        <is>
          <t>Pique-Nique Debra</t>
        </is>
      </c>
      <c r="C2494" s="32" t="n"/>
      <c r="D2494" s="32" t="n"/>
      <c r="E2494" s="32" t="n"/>
      <c r="F2494" s="32" t="n"/>
      <c r="G2494" s="32" t="n"/>
      <c r="H2494" s="30" t="inlineStr">
        <is>
          <t>Oui</t>
        </is>
      </c>
    </row>
    <row r="2495">
      <c r="A2495" s="31" t="inlineStr">
        <is>
          <t>Pokémon</t>
        </is>
      </c>
      <c r="B2495" s="33" t="inlineStr">
        <is>
          <t>POISSOROY</t>
        </is>
      </c>
      <c r="C2495" s="33" t="n"/>
      <c r="D2495" s="33" t="n"/>
      <c r="E2495" s="33" t="n"/>
      <c r="F2495" s="33" t="n"/>
      <c r="G2495" s="33" t="n"/>
      <c r="H2495" s="30" t="inlineStr">
        <is>
          <t>Oui</t>
        </is>
      </c>
    </row>
    <row r="2496">
      <c r="A2496" s="31" t="inlineStr">
        <is>
          <t>Niveau</t>
        </is>
      </c>
      <c r="B2496" s="33" t="n">
        <v>58</v>
      </c>
      <c r="C2496" s="33" t="n"/>
      <c r="D2496" s="33" t="n"/>
      <c r="E2496" s="33" t="n"/>
      <c r="F2496" s="33" t="n"/>
      <c r="G2496" s="33" t="n"/>
      <c r="H2496" s="30" t="inlineStr">
        <is>
          <t>Oui</t>
        </is>
      </c>
    </row>
    <row r="2497">
      <c r="A2497" s="31" t="inlineStr">
        <is>
          <t>Objet</t>
        </is>
      </c>
      <c r="B2497" s="33" t="inlineStr">
        <is>
          <t>Aucun</t>
        </is>
      </c>
      <c r="C2497" s="33" t="n"/>
      <c r="D2497" s="33" t="n"/>
      <c r="E2497" s="33" t="n"/>
      <c r="F2497" s="33" t="n"/>
      <c r="G2497" s="33" t="n"/>
      <c r="H2497" s="30" t="inlineStr">
        <is>
          <t>Oui</t>
        </is>
      </c>
    </row>
    <row r="2498">
      <c r="A2498" s="31" t="inlineStr">
        <is>
          <t>Talent</t>
        </is>
      </c>
      <c r="B2498" s="33" t="inlineStr">
        <is>
          <t>Glissade</t>
        </is>
      </c>
      <c r="C2498" s="33" t="n"/>
      <c r="D2498" s="33" t="n"/>
      <c r="E2498" s="33" t="n"/>
      <c r="F2498" s="33" t="n"/>
      <c r="G2498" s="33" t="n"/>
      <c r="H2498" s="30" t="inlineStr">
        <is>
          <t>Oui</t>
        </is>
      </c>
    </row>
    <row r="2499">
      <c r="A2499" s="31" t="inlineStr">
        <is>
          <t>Capacités</t>
        </is>
      </c>
      <c r="B2499" s="34" t="inlineStr">
        <is>
          <t>Empal'Korne</t>
        </is>
      </c>
      <c r="C2499" s="34" t="n"/>
      <c r="D2499" s="34" t="n"/>
      <c r="E2499" s="34" t="n"/>
      <c r="F2499" s="34" t="n"/>
      <c r="G2499" s="34" t="n"/>
      <c r="H2499" s="30" t="inlineStr">
        <is>
          <t>Oui</t>
        </is>
      </c>
    </row>
    <row r="2500">
      <c r="A2500" s="31" t="n"/>
      <c r="B2500" s="34" t="inlineStr">
        <is>
          <t>Eau Revoir</t>
        </is>
      </c>
      <c r="C2500" s="34" t="n"/>
      <c r="D2500" s="34" t="n"/>
      <c r="E2500" s="34" t="n"/>
      <c r="F2500" s="34" t="n"/>
      <c r="G2500" s="34" t="n"/>
      <c r="H2500" s="30" t="inlineStr">
        <is>
          <t>Oui</t>
        </is>
      </c>
    </row>
    <row r="2501">
      <c r="A2501" s="31" t="n"/>
      <c r="B2501" s="34" t="inlineStr">
        <is>
          <t>Détrempage</t>
        </is>
      </c>
      <c r="C2501" s="34" t="n"/>
      <c r="D2501" s="34" t="n"/>
      <c r="E2501" s="34" t="n"/>
      <c r="F2501" s="34" t="n"/>
      <c r="G2501" s="34" t="n"/>
      <c r="H2501" s="30" t="inlineStr">
        <is>
          <t>Oui</t>
        </is>
      </c>
    </row>
    <row r="2502">
      <c r="A2502" s="31" t="n"/>
      <c r="B2502" s="34" t="inlineStr">
        <is>
          <t>Mégacorne</t>
        </is>
      </c>
      <c r="C2502" s="34" t="n"/>
      <c r="D2502" s="34" t="n"/>
      <c r="E2502" s="34" t="n"/>
      <c r="F2502" s="34" t="n"/>
      <c r="G2502" s="34" t="n"/>
      <c r="H2502" s="30" t="inlineStr">
        <is>
          <t>Oui</t>
        </is>
      </c>
    </row>
    <row r="2503">
      <c r="A2503" s="31" t="inlineStr">
        <is>
          <t>Nom</t>
        </is>
      </c>
      <c r="B2503" s="32" t="inlineStr">
        <is>
          <t>Jongleur Chico</t>
        </is>
      </c>
      <c r="C2503" s="32" t="n"/>
      <c r="D2503" s="32" t="n"/>
      <c r="E2503" s="32" t="n"/>
      <c r="F2503" s="32" t="n"/>
      <c r="G2503" s="32" t="n"/>
      <c r="H2503" s="30" t="inlineStr">
        <is>
          <t>Oui</t>
        </is>
      </c>
    </row>
    <row r="2504">
      <c r="A2504" s="31" t="inlineStr">
        <is>
          <t>Pokémon</t>
        </is>
      </c>
      <c r="B2504" s="33" t="inlineStr">
        <is>
          <t>M. MIME</t>
        </is>
      </c>
      <c r="C2504" s="33" t="inlineStr">
        <is>
          <t>MAGMAR</t>
        </is>
      </c>
      <c r="D2504" s="33" t="inlineStr">
        <is>
          <t>MACHOPEUR</t>
        </is>
      </c>
      <c r="E2504" s="33" t="n"/>
      <c r="F2504" s="33" t="n"/>
      <c r="G2504" s="33" t="n"/>
      <c r="H2504" s="30" t="inlineStr">
        <is>
          <t>Oui</t>
        </is>
      </c>
    </row>
    <row r="2505">
      <c r="A2505" s="31" t="inlineStr">
        <is>
          <t>Niveau</t>
        </is>
      </c>
      <c r="B2505" s="33" t="n">
        <v>54</v>
      </c>
      <c r="C2505" s="33" t="n">
        <v>54</v>
      </c>
      <c r="D2505" s="33" t="n">
        <v>56</v>
      </c>
      <c r="E2505" s="33" t="n"/>
      <c r="F2505" s="33" t="n"/>
      <c r="G2505" s="33" t="n"/>
      <c r="H2505" s="30" t="inlineStr">
        <is>
          <t>Oui</t>
        </is>
      </c>
    </row>
    <row r="2506">
      <c r="A2506" s="31" t="inlineStr">
        <is>
          <t>Objet</t>
        </is>
      </c>
      <c r="B2506" s="33" t="inlineStr">
        <is>
          <t>Aucun</t>
        </is>
      </c>
      <c r="C2506" s="33" t="inlineStr">
        <is>
          <t>Aucun</t>
        </is>
      </c>
      <c r="D2506" s="33" t="inlineStr">
        <is>
          <t>Aucun</t>
        </is>
      </c>
      <c r="E2506" s="33" t="n"/>
      <c r="F2506" s="33" t="n"/>
      <c r="G2506" s="33" t="n"/>
      <c r="H2506" s="30" t="inlineStr">
        <is>
          <t>Oui</t>
        </is>
      </c>
    </row>
    <row r="2507">
      <c r="A2507" s="31" t="inlineStr">
        <is>
          <t>Talent</t>
        </is>
      </c>
      <c r="B2507" s="33" t="inlineStr">
        <is>
          <t>Anti-Bruit</t>
        </is>
      </c>
      <c r="C2507" s="33" t="inlineStr">
        <is>
          <t>Corps Ardent</t>
        </is>
      </c>
      <c r="D2507" s="33" t="inlineStr">
        <is>
          <t>Cran</t>
        </is>
      </c>
      <c r="E2507" s="33" t="n"/>
      <c r="F2507" s="33" t="n"/>
      <c r="G2507" s="33" t="n"/>
      <c r="H2507" s="30" t="inlineStr">
        <is>
          <t>Oui</t>
        </is>
      </c>
    </row>
    <row r="2508">
      <c r="A2508" s="31" t="inlineStr">
        <is>
          <t>Capacités</t>
        </is>
      </c>
      <c r="B2508" s="34" t="inlineStr">
        <is>
          <t>Imitation</t>
        </is>
      </c>
      <c r="C2508" s="34" t="inlineStr">
        <is>
          <t>Poing Feu</t>
        </is>
      </c>
      <c r="D2508" s="34" t="inlineStr">
        <is>
          <t>Sacrifice</t>
        </is>
      </c>
      <c r="E2508" s="34" t="n"/>
      <c r="F2508" s="34" t="n"/>
      <c r="G2508" s="34" t="n"/>
      <c r="H2508" s="30" t="inlineStr">
        <is>
          <t>Oui</t>
        </is>
      </c>
    </row>
    <row r="2509">
      <c r="A2509" s="31" t="n"/>
      <c r="B2509" s="34" t="inlineStr">
        <is>
          <t>Relais</t>
        </is>
      </c>
      <c r="C2509" s="34" t="inlineStr">
        <is>
          <t>Ébullilave</t>
        </is>
      </c>
      <c r="D2509" s="34" t="inlineStr">
        <is>
          <t>Gonflette</t>
        </is>
      </c>
      <c r="E2509" s="34" t="n"/>
      <c r="F2509" s="34" t="n"/>
      <c r="G2509" s="34" t="n"/>
      <c r="H2509" s="30" t="inlineStr">
        <is>
          <t>Oui</t>
        </is>
      </c>
    </row>
    <row r="2510">
      <c r="A2510" s="31" t="n"/>
      <c r="B2510" s="34" t="inlineStr">
        <is>
          <t>Rune Protect</t>
        </is>
      </c>
      <c r="C2510" s="34" t="inlineStr">
        <is>
          <t>Zénith</t>
        </is>
      </c>
      <c r="D2510" s="34" t="inlineStr">
        <is>
          <t>Coup Croix</t>
        </is>
      </c>
      <c r="E2510" s="34" t="n"/>
      <c r="F2510" s="34" t="n"/>
      <c r="G2510" s="34" t="n"/>
      <c r="H2510" s="30" t="inlineStr">
        <is>
          <t>Oui</t>
        </is>
      </c>
    </row>
    <row r="2511">
      <c r="A2511" s="31" t="n"/>
      <c r="B2511" s="34" t="inlineStr">
        <is>
          <t>Vigilance</t>
        </is>
      </c>
      <c r="C2511" s="34" t="inlineStr">
        <is>
          <t>Lance-Flammes</t>
        </is>
      </c>
      <c r="D2511" s="34" t="inlineStr">
        <is>
          <t>Grimace</t>
        </is>
      </c>
      <c r="E2511" s="34" t="n"/>
      <c r="F2511" s="34" t="n"/>
      <c r="G2511" s="34" t="n"/>
      <c r="H2511" s="30" t="inlineStr">
        <is>
          <t>Oui</t>
        </is>
      </c>
    </row>
    <row r="2512">
      <c r="A2512" s="31" t="inlineStr">
        <is>
          <t>Nom</t>
        </is>
      </c>
      <c r="B2512" s="32" t="inlineStr">
        <is>
          <t>Marin Simbad</t>
        </is>
      </c>
      <c r="C2512" s="32" t="n"/>
      <c r="D2512" s="32" t="n"/>
      <c r="E2512" s="32" t="n"/>
      <c r="F2512" s="32" t="n"/>
      <c r="G2512" s="32" t="n"/>
      <c r="H2512" s="30" t="inlineStr">
        <is>
          <t>Oui</t>
        </is>
      </c>
    </row>
    <row r="2513">
      <c r="A2513" s="31" t="inlineStr">
        <is>
          <t>Pokémon</t>
        </is>
      </c>
      <c r="B2513" s="33" t="inlineStr">
        <is>
          <t>KRABBOSS</t>
        </is>
      </c>
      <c r="C2513" s="33" t="n"/>
      <c r="D2513" s="33" t="n"/>
      <c r="E2513" s="33" t="n"/>
      <c r="F2513" s="33" t="n"/>
      <c r="G2513" s="33" t="n"/>
      <c r="H2513" s="30" t="inlineStr">
        <is>
          <t>Oui</t>
        </is>
      </c>
    </row>
    <row r="2514">
      <c r="A2514" s="31" t="inlineStr">
        <is>
          <t>Niveau</t>
        </is>
      </c>
      <c r="B2514" s="33" t="n">
        <v>64</v>
      </c>
      <c r="C2514" s="33" t="n"/>
      <c r="D2514" s="33" t="n"/>
      <c r="E2514" s="33" t="n"/>
      <c r="F2514" s="33" t="n"/>
      <c r="G2514" s="33" t="n"/>
      <c r="H2514" s="30" t="inlineStr">
        <is>
          <t>Oui</t>
        </is>
      </c>
    </row>
    <row r="2515">
      <c r="A2515" s="31" t="inlineStr">
        <is>
          <t>Objet</t>
        </is>
      </c>
      <c r="B2515" s="33" t="inlineStr">
        <is>
          <t>Aucun</t>
        </is>
      </c>
      <c r="C2515" s="33" t="n"/>
      <c r="D2515" s="33" t="n"/>
      <c r="E2515" s="33" t="n"/>
      <c r="F2515" s="33" t="n"/>
      <c r="G2515" s="33" t="n"/>
      <c r="H2515" s="30" t="inlineStr">
        <is>
          <t>Oui</t>
        </is>
      </c>
    </row>
    <row r="2516">
      <c r="A2516" s="31" t="inlineStr">
        <is>
          <t>Talent</t>
        </is>
      </c>
      <c r="B2516" s="33" t="inlineStr">
        <is>
          <t>Hyper Cutter</t>
        </is>
      </c>
      <c r="C2516" s="33" t="n"/>
      <c r="D2516" s="33" t="n"/>
      <c r="E2516" s="33" t="n"/>
      <c r="F2516" s="33" t="n"/>
      <c r="G2516" s="33" t="n"/>
      <c r="H2516" s="30" t="inlineStr">
        <is>
          <t>Oui</t>
        </is>
      </c>
    </row>
    <row r="2517">
      <c r="A2517" s="31" t="inlineStr">
        <is>
          <t>Capacités</t>
        </is>
      </c>
      <c r="B2517" s="34" t="inlineStr">
        <is>
          <t>Souplesse</t>
        </is>
      </c>
      <c r="C2517" s="34" t="n"/>
      <c r="D2517" s="34" t="n"/>
      <c r="E2517" s="34" t="n"/>
      <c r="F2517" s="34" t="n"/>
      <c r="G2517" s="34" t="n"/>
      <c r="H2517" s="30" t="inlineStr">
        <is>
          <t>Oui</t>
        </is>
      </c>
    </row>
    <row r="2518">
      <c r="A2518" s="31" t="n"/>
      <c r="B2518" s="34" t="inlineStr">
        <is>
          <t>Saumure</t>
        </is>
      </c>
      <c r="C2518" s="34" t="n"/>
      <c r="D2518" s="34" t="n"/>
      <c r="E2518" s="34" t="n"/>
      <c r="F2518" s="34" t="n"/>
      <c r="G2518" s="34" t="n"/>
      <c r="H2518" s="30" t="inlineStr">
        <is>
          <t>Oui</t>
        </is>
      </c>
    </row>
    <row r="2519">
      <c r="A2519" s="31" t="n"/>
      <c r="B2519" s="34" t="inlineStr">
        <is>
          <t>Pince-Masse</t>
        </is>
      </c>
      <c r="C2519" s="34" t="n"/>
      <c r="D2519" s="34" t="n"/>
      <c r="E2519" s="34" t="n"/>
      <c r="F2519" s="34" t="n"/>
      <c r="G2519" s="34" t="n"/>
      <c r="H2519" s="30" t="inlineStr">
        <is>
          <t>Oui</t>
        </is>
      </c>
    </row>
    <row r="2520">
      <c r="A2520" s="31" t="n"/>
      <c r="B2520" s="34" t="inlineStr">
        <is>
          <t>Gigotage</t>
        </is>
      </c>
      <c r="C2520" s="34" t="n"/>
      <c r="D2520" s="34" t="n"/>
      <c r="E2520" s="34" t="n"/>
      <c r="F2520" s="34" t="n"/>
      <c r="G2520" s="34" t="n"/>
      <c r="H2520" s="30" t="inlineStr">
        <is>
          <t>Oui</t>
        </is>
      </c>
    </row>
    <row r="2521">
      <c r="A2521" s="31" t="inlineStr">
        <is>
          <t>Nom</t>
        </is>
      </c>
      <c r="B2521" s="32" t="inlineStr">
        <is>
          <t>Pêcheur Joseph</t>
        </is>
      </c>
      <c r="C2521" s="32" t="n"/>
      <c r="D2521" s="32" t="n"/>
      <c r="E2521" s="32" t="n"/>
      <c r="F2521" s="32" t="n"/>
      <c r="G2521" s="32" t="n"/>
      <c r="H2521" s="30" t="inlineStr">
        <is>
          <t>Oui</t>
        </is>
      </c>
    </row>
    <row r="2522">
      <c r="A2522" s="31" t="inlineStr">
        <is>
          <t>Pokémon</t>
        </is>
      </c>
      <c r="B2522" s="33" t="inlineStr">
        <is>
          <t>KOKIYAS</t>
        </is>
      </c>
      <c r="C2522" s="33" t="inlineStr">
        <is>
          <t>OCTILLERY</t>
        </is>
      </c>
      <c r="D2522" s="33" t="inlineStr">
        <is>
          <t>REMORAID</t>
        </is>
      </c>
      <c r="E2522" s="33" t="inlineStr">
        <is>
          <t>CRUSTABRI</t>
        </is>
      </c>
      <c r="F2522" s="33" t="n"/>
      <c r="G2522" s="33" t="n"/>
      <c r="H2522" s="30" t="inlineStr">
        <is>
          <t>Oui</t>
        </is>
      </c>
    </row>
    <row r="2523">
      <c r="A2523" s="31" t="inlineStr">
        <is>
          <t>Niveau</t>
        </is>
      </c>
      <c r="B2523" s="33" t="n">
        <v>55</v>
      </c>
      <c r="C2523" s="33" t="n">
        <v>59</v>
      </c>
      <c r="D2523" s="33" t="n">
        <v>55</v>
      </c>
      <c r="E2523" s="33" t="n">
        <v>59</v>
      </c>
      <c r="F2523" s="33" t="n"/>
      <c r="G2523" s="33" t="n"/>
      <c r="H2523" s="30" t="inlineStr">
        <is>
          <t>Oui</t>
        </is>
      </c>
    </row>
    <row r="2524">
      <c r="A2524" s="31" t="inlineStr">
        <is>
          <t>Objet</t>
        </is>
      </c>
      <c r="B2524" s="33" t="inlineStr">
        <is>
          <t>Aucun</t>
        </is>
      </c>
      <c r="C2524" s="33" t="inlineStr">
        <is>
          <t>Aucun</t>
        </is>
      </c>
      <c r="D2524" s="33" t="inlineStr">
        <is>
          <t>Aucun</t>
        </is>
      </c>
      <c r="E2524" s="33" t="inlineStr">
        <is>
          <t>Aucun</t>
        </is>
      </c>
      <c r="F2524" s="33" t="n"/>
      <c r="G2524" s="33" t="n"/>
      <c r="H2524" s="30" t="inlineStr">
        <is>
          <t>Oui</t>
        </is>
      </c>
    </row>
    <row r="2525">
      <c r="A2525" s="31" t="inlineStr">
        <is>
          <t>Talent</t>
        </is>
      </c>
      <c r="B2525" s="33" t="inlineStr">
        <is>
          <t>Coque Armure</t>
        </is>
      </c>
      <c r="C2525" s="33" t="inlineStr">
        <is>
          <t>Ventouse</t>
        </is>
      </c>
      <c r="D2525" s="33" t="inlineStr">
        <is>
          <t>Agitation</t>
        </is>
      </c>
      <c r="E2525" s="33" t="inlineStr">
        <is>
          <t>Coque Armure</t>
        </is>
      </c>
      <c r="F2525" s="33" t="n"/>
      <c r="G2525" s="33" t="n"/>
      <c r="H2525" s="30" t="inlineStr">
        <is>
          <t>Oui</t>
        </is>
      </c>
    </row>
    <row r="2526">
      <c r="A2526" s="31" t="inlineStr">
        <is>
          <t>Capacités</t>
        </is>
      </c>
      <c r="B2526" s="34" t="inlineStr">
        <is>
          <t>Siphon</t>
        </is>
      </c>
      <c r="C2526" s="34" t="inlineStr">
        <is>
          <t>Laser Glace</t>
        </is>
      </c>
      <c r="D2526" s="34" t="inlineStr">
        <is>
          <t>Balle Graine</t>
        </is>
      </c>
      <c r="E2526" s="34" t="inlineStr">
        <is>
          <t>Coqui-Lame</t>
        </is>
      </c>
      <c r="F2526" s="34" t="n"/>
      <c r="G2526" s="34" t="n"/>
      <c r="H2526" s="30" t="inlineStr">
        <is>
          <t>Oui</t>
        </is>
      </c>
    </row>
    <row r="2527">
      <c r="A2527" s="31" t="n"/>
      <c r="B2527" s="34" t="inlineStr">
        <is>
          <t>Saumure</t>
        </is>
      </c>
      <c r="C2527" s="34" t="inlineStr">
        <is>
          <t>Balle Graine</t>
        </is>
      </c>
      <c r="D2527" s="34" t="inlineStr">
        <is>
          <t>Hydrocanon</t>
        </is>
      </c>
      <c r="E2527" s="34" t="inlineStr">
        <is>
          <t>Chute Glace</t>
        </is>
      </c>
      <c r="F2527" s="34" t="n"/>
      <c r="G2527" s="34" t="n"/>
      <c r="H2527" s="30" t="inlineStr">
        <is>
          <t>Oui</t>
        </is>
      </c>
    </row>
    <row r="2528">
      <c r="A2528" s="31" t="n"/>
      <c r="B2528" s="34" t="inlineStr">
        <is>
          <t>Mur de Fer</t>
        </is>
      </c>
      <c r="C2528" s="34" t="inlineStr">
        <is>
          <t>Hydrocanon</t>
        </is>
      </c>
      <c r="D2528" s="34" t="inlineStr">
        <is>
          <t>Ultralaser</t>
        </is>
      </c>
      <c r="E2528" s="34" t="inlineStr">
        <is>
          <t>Saumure</t>
        </is>
      </c>
      <c r="F2528" s="34" t="n"/>
      <c r="G2528" s="34" t="n"/>
      <c r="H2528" s="30" t="inlineStr">
        <is>
          <t>Oui</t>
        </is>
      </c>
    </row>
    <row r="2529">
      <c r="A2529" s="31" t="n"/>
      <c r="B2529" s="34" t="inlineStr">
        <is>
          <t>Laser Glace</t>
        </is>
      </c>
      <c r="C2529" s="34" t="inlineStr">
        <is>
          <t>Ultralaser</t>
        </is>
      </c>
      <c r="D2529" s="34" t="inlineStr">
        <is>
          <t>Détrempage</t>
        </is>
      </c>
      <c r="E2529" s="34" t="inlineStr">
        <is>
          <t>Mur de Fer</t>
        </is>
      </c>
      <c r="F2529" s="34" t="n"/>
      <c r="G2529" s="34" t="n"/>
      <c r="H2529" s="30" t="inlineStr">
        <is>
          <t>Oui</t>
        </is>
      </c>
    </row>
    <row r="2530">
      <c r="A2530" s="31" t="inlineStr">
        <is>
          <t>Nom</t>
        </is>
      </c>
      <c r="B2530" s="32" t="inlineStr">
        <is>
          <t>Karatéka Keisuke</t>
        </is>
      </c>
      <c r="C2530" s="32" t="n"/>
      <c r="D2530" s="32" t="n"/>
      <c r="E2530" s="32" t="n"/>
      <c r="F2530" s="32" t="n"/>
      <c r="G2530" s="32" t="n"/>
      <c r="H2530" s="30" t="inlineStr">
        <is>
          <t>Oui</t>
        </is>
      </c>
    </row>
    <row r="2531">
      <c r="A2531" s="31" t="inlineStr">
        <is>
          <t>Pokémon</t>
        </is>
      </c>
      <c r="B2531" s="33" t="inlineStr">
        <is>
          <t>MACKOGNEUR</t>
        </is>
      </c>
      <c r="C2531" s="33" t="inlineStr">
        <is>
          <t>MACHOPEUR</t>
        </is>
      </c>
      <c r="D2531" s="33" t="inlineStr">
        <is>
          <t>MACKOGNEUR</t>
        </is>
      </c>
      <c r="E2531" s="33" t="n"/>
      <c r="F2531" s="33" t="n"/>
      <c r="G2531" s="33" t="n"/>
      <c r="H2531" s="30" t="inlineStr">
        <is>
          <t>Oui</t>
        </is>
      </c>
    </row>
    <row r="2532">
      <c r="A2532" s="31" t="inlineStr">
        <is>
          <t>Niveau</t>
        </is>
      </c>
      <c r="B2532" s="33" t="n">
        <v>56</v>
      </c>
      <c r="C2532" s="33" t="n">
        <v>58</v>
      </c>
      <c r="D2532" s="33" t="n">
        <v>60</v>
      </c>
      <c r="E2532" s="33" t="n"/>
      <c r="F2532" s="33" t="n"/>
      <c r="G2532" s="33" t="n"/>
      <c r="H2532" s="30" t="inlineStr">
        <is>
          <t>Oui</t>
        </is>
      </c>
    </row>
    <row r="2533">
      <c r="A2533" s="31" t="inlineStr">
        <is>
          <t>Objet</t>
        </is>
      </c>
      <c r="B2533" s="33" t="inlineStr">
        <is>
          <t>Aucun</t>
        </is>
      </c>
      <c r="C2533" s="33" t="inlineStr">
        <is>
          <t>Aucun</t>
        </is>
      </c>
      <c r="D2533" s="33" t="inlineStr">
        <is>
          <t>Aucun</t>
        </is>
      </c>
      <c r="E2533" s="33" t="n"/>
      <c r="F2533" s="33" t="n"/>
      <c r="G2533" s="33" t="n"/>
      <c r="H2533" s="30" t="inlineStr">
        <is>
          <t>Oui</t>
        </is>
      </c>
    </row>
    <row r="2534">
      <c r="A2534" s="31" t="inlineStr">
        <is>
          <t>Talent</t>
        </is>
      </c>
      <c r="B2534" s="33" t="inlineStr">
        <is>
          <t>Cran</t>
        </is>
      </c>
      <c r="C2534" s="33" t="inlineStr">
        <is>
          <t>Cran</t>
        </is>
      </c>
      <c r="D2534" s="33" t="inlineStr">
        <is>
          <t>Cran</t>
        </is>
      </c>
      <c r="E2534" s="33" t="n"/>
      <c r="F2534" s="33" t="n"/>
      <c r="G2534" s="33" t="n"/>
      <c r="H2534" s="30" t="inlineStr">
        <is>
          <t>Oui</t>
        </is>
      </c>
    </row>
    <row r="2535">
      <c r="A2535" s="31" t="inlineStr">
        <is>
          <t>Capacités</t>
        </is>
      </c>
      <c r="B2535" s="34" t="inlineStr">
        <is>
          <t>Sacrifice</t>
        </is>
      </c>
      <c r="C2535" s="34" t="inlineStr">
        <is>
          <t>Gonflette</t>
        </is>
      </c>
      <c r="D2535" s="34" t="inlineStr">
        <is>
          <t>Gonflette</t>
        </is>
      </c>
      <c r="E2535" s="34" t="n"/>
      <c r="F2535" s="34" t="n"/>
      <c r="G2535" s="34" t="n"/>
      <c r="H2535" s="30" t="inlineStr">
        <is>
          <t>Oui</t>
        </is>
      </c>
    </row>
    <row r="2536">
      <c r="A2536" s="31" t="n"/>
      <c r="B2536" s="34" t="inlineStr">
        <is>
          <t>Gonflette</t>
        </is>
      </c>
      <c r="C2536" s="34" t="inlineStr">
        <is>
          <t>Coup Croix</t>
        </is>
      </c>
      <c r="D2536" s="34" t="inlineStr">
        <is>
          <t>Coup Croix</t>
        </is>
      </c>
      <c r="E2536" s="34" t="n"/>
      <c r="F2536" s="34" t="n"/>
      <c r="G2536" s="34" t="n"/>
      <c r="H2536" s="30" t="inlineStr">
        <is>
          <t>Oui</t>
        </is>
      </c>
    </row>
    <row r="2537">
      <c r="A2537" s="31" t="n"/>
      <c r="B2537" s="34" t="inlineStr">
        <is>
          <t>Coup Croix</t>
        </is>
      </c>
      <c r="C2537" s="34" t="inlineStr">
        <is>
          <t>Grimace</t>
        </is>
      </c>
      <c r="D2537" s="34" t="inlineStr">
        <is>
          <t>Grimace</t>
        </is>
      </c>
      <c r="E2537" s="34" t="n"/>
      <c r="F2537" s="34" t="n"/>
      <c r="G2537" s="34" t="n"/>
      <c r="H2537" s="30" t="inlineStr">
        <is>
          <t>Oui</t>
        </is>
      </c>
    </row>
    <row r="2538">
      <c r="A2538" s="31" t="n"/>
      <c r="B2538" s="34" t="inlineStr">
        <is>
          <t>Grimace</t>
        </is>
      </c>
      <c r="C2538" s="34" t="inlineStr">
        <is>
          <t>Dynamo-Poing</t>
        </is>
      </c>
      <c r="D2538" s="34" t="inlineStr">
        <is>
          <t>Dynamo-Poing</t>
        </is>
      </c>
      <c r="E2538" s="34" t="n"/>
      <c r="F2538" s="34" t="n"/>
      <c r="G2538" s="34" t="n"/>
      <c r="H2538" s="30" t="inlineStr">
        <is>
          <t>Oui</t>
        </is>
      </c>
    </row>
    <row r="2539">
      <c r="A2539" s="31" t="inlineStr">
        <is>
          <t>Nom</t>
        </is>
      </c>
      <c r="B2539" s="32" t="inlineStr">
        <is>
          <t>Marin Cédric</t>
        </is>
      </c>
      <c r="C2539" s="32" t="n"/>
      <c r="D2539" s="32" t="n"/>
      <c r="E2539" s="32" t="n"/>
      <c r="F2539" s="32" t="n"/>
      <c r="G2539" s="32" t="n"/>
      <c r="H2539" s="30" t="inlineStr">
        <is>
          <t>Oui</t>
        </is>
      </c>
    </row>
    <row r="2540">
      <c r="A2540" s="31" t="inlineStr">
        <is>
          <t>Pokémon</t>
        </is>
      </c>
      <c r="B2540" s="33" t="inlineStr">
        <is>
          <t>MACHOC</t>
        </is>
      </c>
      <c r="C2540" s="33" t="inlineStr">
        <is>
          <t>MACHOPEUR</t>
        </is>
      </c>
      <c r="D2540" s="33" t="inlineStr">
        <is>
          <t>TARTARD</t>
        </is>
      </c>
      <c r="E2540" s="33" t="inlineStr">
        <is>
          <t>MACKOGNEUR</t>
        </is>
      </c>
      <c r="F2540" s="33" t="n"/>
      <c r="G2540" s="33" t="n"/>
      <c r="H2540" s="30" t="inlineStr">
        <is>
          <t>Oui</t>
        </is>
      </c>
    </row>
    <row r="2541">
      <c r="A2541" s="31" t="inlineStr">
        <is>
          <t>Niveau</t>
        </is>
      </c>
      <c r="B2541" s="33" t="n">
        <v>58</v>
      </c>
      <c r="C2541" s="33" t="n">
        <v>58</v>
      </c>
      <c r="D2541" s="33" t="n">
        <v>58</v>
      </c>
      <c r="E2541" s="33" t="n">
        <v>58</v>
      </c>
      <c r="F2541" s="33" t="n"/>
      <c r="G2541" s="33" t="n"/>
      <c r="H2541" s="30" t="inlineStr">
        <is>
          <t>Oui</t>
        </is>
      </c>
    </row>
    <row r="2542">
      <c r="A2542" s="31" t="inlineStr">
        <is>
          <t>Objet</t>
        </is>
      </c>
      <c r="B2542" s="33" t="inlineStr">
        <is>
          <t>Aucun</t>
        </is>
      </c>
      <c r="C2542" s="33" t="inlineStr">
        <is>
          <t>Aucun</t>
        </is>
      </c>
      <c r="D2542" s="33" t="inlineStr">
        <is>
          <t>Aucun</t>
        </is>
      </c>
      <c r="E2542" s="33" t="inlineStr">
        <is>
          <t>Aucun</t>
        </is>
      </c>
      <c r="F2542" s="33" t="n"/>
      <c r="G2542" s="33" t="n"/>
      <c r="H2542" s="30" t="inlineStr">
        <is>
          <t>Oui</t>
        </is>
      </c>
    </row>
    <row r="2543">
      <c r="A2543" s="31" t="inlineStr">
        <is>
          <t>Talent</t>
        </is>
      </c>
      <c r="B2543" s="33" t="inlineStr">
        <is>
          <t>Cran</t>
        </is>
      </c>
      <c r="C2543" s="33" t="inlineStr">
        <is>
          <t>Cran</t>
        </is>
      </c>
      <c r="D2543" s="33" t="inlineStr">
        <is>
          <t>Absorbe-Eau</t>
        </is>
      </c>
      <c r="E2543" s="33" t="inlineStr">
        <is>
          <t>Cran</t>
        </is>
      </c>
      <c r="F2543" s="33" t="n"/>
      <c r="G2543" s="33" t="n"/>
      <c r="H2543" s="30" t="inlineStr">
        <is>
          <t>Oui</t>
        </is>
      </c>
    </row>
    <row r="2544">
      <c r="A2544" s="31" t="inlineStr">
        <is>
          <t>Capacités</t>
        </is>
      </c>
      <c r="B2544" s="34" t="inlineStr">
        <is>
          <t>Gonflette</t>
        </is>
      </c>
      <c r="C2544" s="34" t="inlineStr">
        <is>
          <t>Gonflette</t>
        </is>
      </c>
      <c r="D2544" s="34" t="inlineStr">
        <is>
          <t>Cognobidon</t>
        </is>
      </c>
      <c r="E2544" s="34" t="inlineStr">
        <is>
          <t>Gonflette</t>
        </is>
      </c>
      <c r="F2544" s="34" t="n"/>
      <c r="G2544" s="34" t="n"/>
      <c r="H2544" s="30" t="inlineStr">
        <is>
          <t>Oui</t>
        </is>
      </c>
    </row>
    <row r="2545">
      <c r="A2545" s="31" t="n"/>
      <c r="B2545" s="34" t="inlineStr">
        <is>
          <t>Coup Croix</t>
        </is>
      </c>
      <c r="C2545" s="34" t="inlineStr">
        <is>
          <t>Coup Croix</t>
        </is>
      </c>
      <c r="D2545" s="34" t="inlineStr">
        <is>
          <t>Projection</t>
        </is>
      </c>
      <c r="E2545" s="34" t="inlineStr">
        <is>
          <t>Coup Croix</t>
        </is>
      </c>
      <c r="F2545" s="34" t="n"/>
      <c r="G2545" s="34" t="n"/>
      <c r="H2545" s="30" t="inlineStr">
        <is>
          <t>Oui</t>
        </is>
      </c>
    </row>
    <row r="2546">
      <c r="A2546" s="31" t="n"/>
      <c r="B2546" s="34" t="inlineStr">
        <is>
          <t>Grimace</t>
        </is>
      </c>
      <c r="C2546" s="34" t="inlineStr">
        <is>
          <t>Grimace</t>
        </is>
      </c>
      <c r="D2546" s="34" t="inlineStr">
        <is>
          <t>Réveil Forcé</t>
        </is>
      </c>
      <c r="E2546" s="34" t="inlineStr">
        <is>
          <t>Grimace</t>
        </is>
      </c>
      <c r="F2546" s="34" t="n"/>
      <c r="G2546" s="34" t="n"/>
      <c r="H2546" s="30" t="inlineStr">
        <is>
          <t>Oui</t>
        </is>
      </c>
    </row>
    <row r="2547">
      <c r="A2547" s="31" t="n"/>
      <c r="B2547" s="34" t="inlineStr">
        <is>
          <t>Dynamo-Poing</t>
        </is>
      </c>
      <c r="C2547" s="34" t="inlineStr">
        <is>
          <t>Dynamo-Poing</t>
        </is>
      </c>
      <c r="D2547" s="34" t="inlineStr">
        <is>
          <t>Hydrocanon</t>
        </is>
      </c>
      <c r="E2547" s="34" t="inlineStr">
        <is>
          <t>Dynamo-Poing</t>
        </is>
      </c>
      <c r="F2547" s="34" t="n"/>
      <c r="G2547" s="34" t="n"/>
      <c r="H2547" s="30" t="inlineStr">
        <is>
          <t>Oui</t>
        </is>
      </c>
    </row>
    <row r="2548">
      <c r="A2548" s="31" t="inlineStr">
        <is>
          <t>Nom</t>
        </is>
      </c>
      <c r="B2548" s="32" t="inlineStr">
        <is>
          <t>Expert Ginette</t>
        </is>
      </c>
      <c r="C2548" s="32" t="n"/>
      <c r="D2548" s="32" t="n"/>
      <c r="E2548" s="32" t="n"/>
      <c r="F2548" s="32" t="n"/>
      <c r="G2548" s="32" t="n"/>
      <c r="H2548" s="30" t="inlineStr">
        <is>
          <t>Oui</t>
        </is>
      </c>
    </row>
    <row r="2549">
      <c r="A2549" s="31" t="inlineStr">
        <is>
          <t>Pokémon</t>
        </is>
      </c>
      <c r="B2549" s="33" t="inlineStr">
        <is>
          <t>RONDOUDOU</t>
        </is>
      </c>
      <c r="C2549" s="33" t="inlineStr">
        <is>
          <t>GRODOUDOU</t>
        </is>
      </c>
      <c r="D2549" s="33" t="n"/>
      <c r="E2549" s="33" t="n"/>
      <c r="F2549" s="33" t="n"/>
      <c r="G2549" s="33" t="n"/>
      <c r="H2549" s="30" t="inlineStr">
        <is>
          <t>Oui</t>
        </is>
      </c>
    </row>
    <row r="2550">
      <c r="A2550" s="31" t="inlineStr">
        <is>
          <t>Niveau</t>
        </is>
      </c>
      <c r="B2550" s="33" t="n">
        <v>61</v>
      </c>
      <c r="C2550" s="33" t="n">
        <v>63</v>
      </c>
      <c r="D2550" s="33" t="n"/>
      <c r="E2550" s="33" t="n"/>
      <c r="F2550" s="33" t="n"/>
      <c r="G2550" s="33" t="n"/>
      <c r="H2550" s="30" t="inlineStr">
        <is>
          <t>Oui</t>
        </is>
      </c>
    </row>
    <row r="2551">
      <c r="A2551" s="31" t="inlineStr">
        <is>
          <t>Objet</t>
        </is>
      </c>
      <c r="B2551" s="33" t="inlineStr">
        <is>
          <t>Aucun</t>
        </is>
      </c>
      <c r="C2551" s="33" t="inlineStr">
        <is>
          <t>Aucun</t>
        </is>
      </c>
      <c r="D2551" s="33" t="n"/>
      <c r="E2551" s="33" t="n"/>
      <c r="F2551" s="33" t="n"/>
      <c r="G2551" s="33" t="n"/>
      <c r="H2551" s="30" t="inlineStr">
        <is>
          <t>Oui</t>
        </is>
      </c>
    </row>
    <row r="2552">
      <c r="A2552" s="31" t="inlineStr">
        <is>
          <t>Talent</t>
        </is>
      </c>
      <c r="B2552" s="33" t="inlineStr">
        <is>
          <t>Joli Sourire</t>
        </is>
      </c>
      <c r="C2552" s="33" t="inlineStr">
        <is>
          <t>Joli Sourire</t>
        </is>
      </c>
      <c r="D2552" s="33" t="n"/>
      <c r="E2552" s="33" t="n"/>
      <c r="F2552" s="33" t="n"/>
      <c r="G2552" s="33" t="n"/>
      <c r="H2552" s="30" t="inlineStr">
        <is>
          <t>Oui</t>
        </is>
      </c>
    </row>
    <row r="2553">
      <c r="A2553" s="31" t="inlineStr">
        <is>
          <t>Capacités</t>
        </is>
      </c>
      <c r="B2553" s="34" t="inlineStr">
        <is>
          <t>Gyroballe</t>
        </is>
      </c>
      <c r="C2553" s="34" t="inlineStr">
        <is>
          <t>Gyroballe</t>
        </is>
      </c>
      <c r="D2553" s="34" t="n"/>
      <c r="E2553" s="34" t="n"/>
      <c r="F2553" s="34" t="n"/>
      <c r="G2553" s="34" t="n"/>
      <c r="H2553" s="30" t="inlineStr">
        <is>
          <t>Oui</t>
        </is>
      </c>
    </row>
    <row r="2554">
      <c r="A2554" s="31" t="n"/>
      <c r="B2554" s="34" t="inlineStr">
        <is>
          <t>Copie</t>
        </is>
      </c>
      <c r="C2554" s="34" t="inlineStr">
        <is>
          <t>Copie</t>
        </is>
      </c>
      <c r="D2554" s="34" t="n"/>
      <c r="E2554" s="34" t="n"/>
      <c r="F2554" s="34" t="n"/>
      <c r="G2554" s="34" t="n"/>
      <c r="H2554" s="30" t="inlineStr">
        <is>
          <t>Oui</t>
        </is>
      </c>
    </row>
    <row r="2555">
      <c r="A2555" s="31" t="n"/>
      <c r="B2555" s="34" t="inlineStr">
        <is>
          <t>Mégaphone</t>
        </is>
      </c>
      <c r="C2555" s="34" t="inlineStr">
        <is>
          <t>Mégaphone</t>
        </is>
      </c>
      <c r="D2555" s="34" t="n"/>
      <c r="E2555" s="34" t="n"/>
      <c r="F2555" s="34" t="n"/>
      <c r="G2555" s="34" t="n"/>
      <c r="H2555" s="30" t="inlineStr">
        <is>
          <t>Oui</t>
        </is>
      </c>
    </row>
    <row r="2556">
      <c r="A2556" s="31" t="n"/>
      <c r="B2556" s="34" t="inlineStr">
        <is>
          <t>Damoclès</t>
        </is>
      </c>
      <c r="C2556" s="34" t="inlineStr">
        <is>
          <t>Damoclès</t>
        </is>
      </c>
      <c r="D2556" s="34" t="n"/>
      <c r="E2556" s="34" t="n"/>
      <c r="F2556" s="34" t="n"/>
      <c r="G2556" s="34" t="n"/>
      <c r="H2556" s="30" t="inlineStr">
        <is>
          <t>Oui</t>
        </is>
      </c>
    </row>
    <row r="2557">
      <c r="A2557" s="31" t="inlineStr">
        <is>
          <t>Nom</t>
        </is>
      </c>
      <c r="B2557" s="32" t="inlineStr">
        <is>
          <t>Élève Basile</t>
        </is>
      </c>
      <c r="C2557" s="32" t="n"/>
      <c r="D2557" s="32" t="n"/>
      <c r="E2557" s="32" t="n"/>
      <c r="F2557" s="32" t="n"/>
      <c r="G2557" s="32" t="n"/>
      <c r="H2557" s="30" t="inlineStr">
        <is>
          <t>Oui</t>
        </is>
      </c>
    </row>
    <row r="2558">
      <c r="A2558" s="31" t="inlineStr">
        <is>
          <t>Pokémon</t>
        </is>
      </c>
      <c r="B2558" s="33" t="inlineStr">
        <is>
          <t>COXYCLAQUE</t>
        </is>
      </c>
      <c r="C2558" s="33" t="inlineStr">
        <is>
          <t>NOADKOKO</t>
        </is>
      </c>
      <c r="D2558" s="33" t="n"/>
      <c r="E2558" s="33" t="n"/>
      <c r="F2558" s="33" t="n"/>
      <c r="G2558" s="33" t="n"/>
      <c r="H2558" s="30" t="inlineStr">
        <is>
          <t>Oui</t>
        </is>
      </c>
    </row>
    <row r="2559">
      <c r="A2559" s="31" t="inlineStr">
        <is>
          <t>Niveau</t>
        </is>
      </c>
      <c r="B2559" s="33" t="n">
        <v>62</v>
      </c>
      <c r="C2559" s="33" t="n">
        <v>62</v>
      </c>
      <c r="D2559" s="33" t="n"/>
      <c r="E2559" s="33" t="n"/>
      <c r="F2559" s="33" t="n"/>
      <c r="G2559" s="33" t="n"/>
      <c r="H2559" s="30" t="inlineStr">
        <is>
          <t>Oui</t>
        </is>
      </c>
    </row>
    <row r="2560">
      <c r="A2560" s="31" t="inlineStr">
        <is>
          <t>Objet</t>
        </is>
      </c>
      <c r="B2560" s="33" t="inlineStr">
        <is>
          <t>Aucun</t>
        </is>
      </c>
      <c r="C2560" s="33" t="inlineStr">
        <is>
          <t>Aucun</t>
        </is>
      </c>
      <c r="D2560" s="33" t="n"/>
      <c r="E2560" s="33" t="n"/>
      <c r="F2560" s="33" t="n"/>
      <c r="G2560" s="33" t="n"/>
      <c r="H2560" s="30" t="inlineStr">
        <is>
          <t>Oui</t>
        </is>
      </c>
    </row>
    <row r="2561">
      <c r="A2561" s="31" t="inlineStr">
        <is>
          <t>Talent</t>
        </is>
      </c>
      <c r="B2561" s="33" t="inlineStr">
        <is>
          <t>Essaim</t>
        </is>
      </c>
      <c r="C2561" s="33" t="inlineStr">
        <is>
          <t>Chlorophylle</t>
        </is>
      </c>
      <c r="D2561" s="33" t="n"/>
      <c r="E2561" s="33" t="n"/>
      <c r="F2561" s="33" t="n"/>
      <c r="G2561" s="33" t="n"/>
      <c r="H2561" s="30" t="inlineStr">
        <is>
          <t>Oui</t>
        </is>
      </c>
    </row>
    <row r="2562">
      <c r="A2562" s="31" t="inlineStr">
        <is>
          <t>Capacités</t>
        </is>
      </c>
      <c r="B2562" s="34" t="inlineStr">
        <is>
          <t>Bourdon</t>
        </is>
      </c>
      <c r="C2562" s="34" t="inlineStr">
        <is>
          <t>Giga-Sangsue</t>
        </is>
      </c>
      <c r="D2562" s="34" t="n"/>
      <c r="E2562" s="34" t="n"/>
      <c r="F2562" s="34" t="n"/>
      <c r="G2562" s="34" t="n"/>
      <c r="H2562" s="30" t="inlineStr">
        <is>
          <t>Oui</t>
        </is>
      </c>
    </row>
    <row r="2563">
      <c r="A2563" s="31" t="n"/>
      <c r="B2563" s="34" t="inlineStr">
        <is>
          <t>Lame d'Air</t>
        </is>
      </c>
      <c r="C2563" s="34" t="inlineStr">
        <is>
          <t>Lance-Soleil</t>
        </is>
      </c>
      <c r="D2563" s="34" t="n"/>
      <c r="E2563" s="34" t="n"/>
      <c r="F2563" s="34" t="n"/>
      <c r="G2563" s="34" t="n"/>
      <c r="H2563" s="30" t="inlineStr">
        <is>
          <t>Oui</t>
        </is>
      </c>
    </row>
    <row r="2564">
      <c r="A2564" s="31" t="n"/>
      <c r="B2564" s="34" t="inlineStr">
        <is>
          <t>Escarmouche</t>
        </is>
      </c>
      <c r="C2564" s="34" t="inlineStr">
        <is>
          <t>Extrasenseur</t>
        </is>
      </c>
      <c r="D2564" s="34" t="n"/>
      <c r="E2564" s="34" t="n"/>
      <c r="F2564" s="34" t="n"/>
      <c r="G2564" s="34" t="n"/>
      <c r="H2564" s="30" t="inlineStr">
        <is>
          <t>Oui</t>
        </is>
      </c>
    </row>
    <row r="2565">
      <c r="A2565" s="31" t="n"/>
      <c r="B2565" s="34" t="inlineStr">
        <is>
          <t>Damoclès</t>
        </is>
      </c>
      <c r="C2565" s="34" t="inlineStr">
        <is>
          <t>Passe-Cadeau</t>
        </is>
      </c>
      <c r="D2565" s="34" t="n"/>
      <c r="E2565" s="34" t="n"/>
      <c r="F2565" s="34" t="n"/>
      <c r="G2565" s="34" t="n"/>
      <c r="H2565" s="30" t="inlineStr">
        <is>
          <t>Oui</t>
        </is>
      </c>
    </row>
    <row r="2566">
      <c r="A2566" s="31" t="inlineStr">
        <is>
          <t>Nom</t>
        </is>
      </c>
      <c r="B2566" s="32" t="inlineStr">
        <is>
          <t>Élève Benjamin</t>
        </is>
      </c>
      <c r="C2566" s="32" t="n"/>
      <c r="D2566" s="32" t="n"/>
      <c r="E2566" s="32" t="n"/>
      <c r="F2566" s="32" t="n"/>
      <c r="G2566" s="32" t="n"/>
      <c r="H2566" s="30" t="inlineStr">
        <is>
          <t>Oui</t>
        </is>
      </c>
    </row>
    <row r="2567">
      <c r="A2567" s="31" t="inlineStr">
        <is>
          <t>Pokémon</t>
        </is>
      </c>
      <c r="B2567" s="33" t="inlineStr">
        <is>
          <t>CAPUMAIN</t>
        </is>
      </c>
      <c r="C2567" s="33" t="inlineStr">
        <is>
          <t>METAMORPH</t>
        </is>
      </c>
      <c r="D2567" s="33" t="n"/>
      <c r="E2567" s="33" t="n"/>
      <c r="F2567" s="33" t="n"/>
      <c r="G2567" s="33" t="n"/>
      <c r="H2567" s="30" t="inlineStr">
        <is>
          <t>Oui</t>
        </is>
      </c>
    </row>
    <row r="2568">
      <c r="A2568" s="31" t="inlineStr">
        <is>
          <t>Niveau</t>
        </is>
      </c>
      <c r="B2568" s="33" t="n">
        <v>62</v>
      </c>
      <c r="C2568" s="33" t="n">
        <v>62</v>
      </c>
      <c r="D2568" s="33" t="n"/>
      <c r="E2568" s="33" t="n"/>
      <c r="F2568" s="33" t="n"/>
      <c r="G2568" s="33" t="n"/>
      <c r="H2568" s="30" t="inlineStr">
        <is>
          <t>Oui</t>
        </is>
      </c>
    </row>
    <row r="2569">
      <c r="A2569" s="31" t="inlineStr">
        <is>
          <t>Objet</t>
        </is>
      </c>
      <c r="B2569" s="33" t="inlineStr">
        <is>
          <t>Aucun</t>
        </is>
      </c>
      <c r="C2569" s="33" t="inlineStr">
        <is>
          <t>Aucun</t>
        </is>
      </c>
      <c r="D2569" s="33" t="n"/>
      <c r="E2569" s="33" t="n"/>
      <c r="F2569" s="33" t="n"/>
      <c r="G2569" s="33" t="n"/>
      <c r="H2569" s="30" t="inlineStr">
        <is>
          <t>Oui</t>
        </is>
      </c>
    </row>
    <row r="2570">
      <c r="A2570" s="31" t="inlineStr">
        <is>
          <t>Talent</t>
        </is>
      </c>
      <c r="B2570" s="33" t="inlineStr">
        <is>
          <t>Fuite</t>
        </is>
      </c>
      <c r="C2570" s="33" t="inlineStr">
        <is>
          <t>Échauffement</t>
        </is>
      </c>
      <c r="D2570" s="33" t="n"/>
      <c r="E2570" s="33" t="n"/>
      <c r="F2570" s="33" t="n"/>
      <c r="G2570" s="33" t="n"/>
      <c r="H2570" s="30" t="inlineStr">
        <is>
          <t>Oui</t>
        </is>
      </c>
    </row>
    <row r="2571">
      <c r="A2571" s="31" t="inlineStr">
        <is>
          <t>Capacités</t>
        </is>
      </c>
      <c r="B2571" s="34" t="inlineStr">
        <is>
          <t>Coup Double</t>
        </is>
      </c>
      <c r="C2571" s="34" t="inlineStr">
        <is>
          <t>Morphing</t>
        </is>
      </c>
      <c r="D2571" s="34" t="n"/>
      <c r="E2571" s="34" t="n"/>
      <c r="F2571" s="34" t="n"/>
      <c r="G2571" s="34" t="n"/>
      <c r="H2571" s="30" t="inlineStr">
        <is>
          <t>Oui</t>
        </is>
      </c>
    </row>
    <row r="2572">
      <c r="A2572" s="31" t="n"/>
      <c r="B2572" s="34" t="inlineStr">
        <is>
          <t>Dégommage</t>
        </is>
      </c>
      <c r="C2572" s="34" t="n"/>
      <c r="D2572" s="34" t="n"/>
      <c r="E2572" s="34" t="n"/>
      <c r="F2572" s="34" t="n"/>
      <c r="G2572" s="34" t="n"/>
      <c r="H2572" s="30" t="inlineStr">
        <is>
          <t>Oui</t>
        </is>
      </c>
    </row>
    <row r="2573">
      <c r="A2573" s="31" t="n"/>
      <c r="B2573" s="34" t="inlineStr">
        <is>
          <t>Machination</t>
        </is>
      </c>
      <c r="C2573" s="34" t="n"/>
      <c r="D2573" s="34" t="n"/>
      <c r="E2573" s="34" t="n"/>
      <c r="F2573" s="34" t="n"/>
      <c r="G2573" s="34" t="n"/>
      <c r="H2573" s="30" t="inlineStr">
        <is>
          <t>Oui</t>
        </is>
      </c>
    </row>
    <row r="2574">
      <c r="A2574" s="31" t="n"/>
      <c r="B2574" s="34" t="inlineStr">
        <is>
          <t>Dernier Recours</t>
        </is>
      </c>
      <c r="C2574" s="34" t="n"/>
      <c r="D2574" s="34" t="n"/>
      <c r="E2574" s="34" t="n"/>
      <c r="F2574" s="34" t="n"/>
      <c r="G2574" s="34" t="n"/>
      <c r="H2574" s="30" t="inlineStr">
        <is>
          <t>Oui</t>
        </is>
      </c>
    </row>
    <row r="2575" ht="18" customHeight="1">
      <c r="A2575" s="26" t="inlineStr">
        <is>
          <t>Aquaria — salle NE</t>
        </is>
      </c>
      <c r="B2575" s="26" t="n"/>
      <c r="C2575" s="26" t="n"/>
      <c r="D2575" s="26" t="n"/>
      <c r="E2575" s="26" t="n"/>
      <c r="F2575" s="26" t="n"/>
      <c r="G2575" s="26" t="n"/>
      <c r="H2575" s="30" t="inlineStr">
        <is>
          <t>Oui</t>
        </is>
      </c>
    </row>
    <row r="2576">
      <c r="A2576" s="31" t="inlineStr">
        <is>
          <t>Nom</t>
        </is>
      </c>
      <c r="B2576" s="32" t="inlineStr">
        <is>
          <t>Montagnard Evrard</t>
        </is>
      </c>
      <c r="C2576" s="32" t="n"/>
      <c r="D2576" s="32" t="n"/>
      <c r="E2576" s="32" t="n"/>
      <c r="F2576" s="32" t="n"/>
      <c r="G2576" s="32" t="n"/>
      <c r="H2576" s="30" t="inlineStr">
        <is>
          <t>Oui</t>
        </is>
      </c>
    </row>
    <row r="2577">
      <c r="A2577" s="31" t="inlineStr">
        <is>
          <t>Pokémon</t>
        </is>
      </c>
      <c r="B2577" s="33" t="inlineStr">
        <is>
          <t>SABLAIREAU</t>
        </is>
      </c>
      <c r="C2577" s="33" t="inlineStr">
        <is>
          <t>GROLEM</t>
        </is>
      </c>
      <c r="D2577" s="33" t="n"/>
      <c r="E2577" s="33" t="n"/>
      <c r="F2577" s="33" t="n"/>
      <c r="G2577" s="33" t="n"/>
      <c r="H2577" s="30" t="inlineStr">
        <is>
          <t>Oui</t>
        </is>
      </c>
    </row>
    <row r="2578">
      <c r="A2578" s="31" t="inlineStr">
        <is>
          <t>Niveau</t>
        </is>
      </c>
      <c r="B2578" s="33" t="n">
        <v>55</v>
      </c>
      <c r="C2578" s="33" t="n">
        <v>55</v>
      </c>
      <c r="D2578" s="33" t="n"/>
      <c r="E2578" s="33" t="n"/>
      <c r="F2578" s="33" t="n"/>
      <c r="G2578" s="33" t="n"/>
      <c r="H2578" s="30" t="inlineStr">
        <is>
          <t>Oui</t>
        </is>
      </c>
    </row>
    <row r="2579">
      <c r="A2579" s="31" t="inlineStr">
        <is>
          <t>Objet</t>
        </is>
      </c>
      <c r="B2579" s="33" t="inlineStr">
        <is>
          <t>Aucun</t>
        </is>
      </c>
      <c r="C2579" s="33" t="inlineStr">
        <is>
          <t>Aucun</t>
        </is>
      </c>
      <c r="D2579" s="33" t="n"/>
      <c r="E2579" s="33" t="n"/>
      <c r="F2579" s="33" t="n"/>
      <c r="G2579" s="33" t="n"/>
      <c r="H2579" s="30" t="inlineStr">
        <is>
          <t>Oui</t>
        </is>
      </c>
    </row>
    <row r="2580">
      <c r="A2580" s="31" t="inlineStr">
        <is>
          <t>Talent</t>
        </is>
      </c>
      <c r="B2580" s="33" t="inlineStr">
        <is>
          <t>Voile Sable</t>
        </is>
      </c>
      <c r="C2580" s="33" t="inlineStr">
        <is>
          <t>Tête de Roc</t>
        </is>
      </c>
      <c r="D2580" s="33" t="n"/>
      <c r="E2580" s="33" t="n"/>
      <c r="F2580" s="33" t="n"/>
      <c r="G2580" s="33" t="n"/>
      <c r="H2580" s="30" t="inlineStr">
        <is>
          <t>Oui</t>
        </is>
      </c>
    </row>
    <row r="2581">
      <c r="A2581" s="31" t="inlineStr">
        <is>
          <t>Capacités</t>
        </is>
      </c>
      <c r="B2581" s="34" t="inlineStr">
        <is>
          <t>Gyroballe</t>
        </is>
      </c>
      <c r="C2581" s="34" t="inlineStr">
        <is>
          <t>Séisme</t>
        </is>
      </c>
      <c r="D2581" s="34" t="n"/>
      <c r="E2581" s="34" t="n"/>
      <c r="F2581" s="34" t="n"/>
      <c r="G2581" s="34" t="n"/>
      <c r="H2581" s="30" t="inlineStr">
        <is>
          <t>Oui</t>
        </is>
      </c>
    </row>
    <row r="2582">
      <c r="A2582" s="31" t="n"/>
      <c r="B2582" s="34" t="inlineStr">
        <is>
          <t>Danse Lames</t>
        </is>
      </c>
      <c r="C2582" s="34" t="inlineStr">
        <is>
          <t>Explosion</t>
        </is>
      </c>
      <c r="D2582" s="34" t="n"/>
      <c r="E2582" s="34" t="n"/>
      <c r="F2582" s="34" t="n"/>
      <c r="G2582" s="34" t="n"/>
      <c r="H2582" s="30" t="inlineStr">
        <is>
          <t>Oui</t>
        </is>
      </c>
    </row>
    <row r="2583">
      <c r="A2583" s="31" t="n"/>
      <c r="B2583" s="34" t="inlineStr">
        <is>
          <t>Tempête de Sable</t>
        </is>
      </c>
      <c r="C2583" s="34" t="inlineStr">
        <is>
          <t>Damoclès</t>
        </is>
      </c>
      <c r="D2583" s="34" t="n"/>
      <c r="E2583" s="34" t="n"/>
      <c r="F2583" s="34" t="n"/>
      <c r="G2583" s="34" t="n"/>
      <c r="H2583" s="30" t="inlineStr">
        <is>
          <t>Oui</t>
        </is>
      </c>
    </row>
    <row r="2584">
      <c r="A2584" s="31" t="n"/>
      <c r="B2584" s="34" t="inlineStr">
        <is>
          <t>Séisme</t>
        </is>
      </c>
      <c r="C2584" s="34" t="inlineStr">
        <is>
          <t>Lame de Roc</t>
        </is>
      </c>
      <c r="D2584" s="34" t="n"/>
      <c r="E2584" s="34" t="n"/>
      <c r="F2584" s="34" t="n"/>
      <c r="G2584" s="34" t="n"/>
      <c r="H2584" s="30" t="inlineStr">
        <is>
          <t>Oui</t>
        </is>
      </c>
    </row>
    <row r="2585">
      <c r="A2585" s="31" t="inlineStr">
        <is>
          <t>Nom</t>
        </is>
      </c>
      <c r="B2585" s="32" t="inlineStr">
        <is>
          <t>Pokémaniac Brice</t>
        </is>
      </c>
      <c r="C2585" s="32" t="n"/>
      <c r="D2585" s="32" t="n"/>
      <c r="E2585" s="32" t="n"/>
      <c r="F2585" s="32" t="n"/>
      <c r="G2585" s="32" t="n"/>
      <c r="H2585" s="30" t="inlineStr">
        <is>
          <t>Oui</t>
        </is>
      </c>
    </row>
    <row r="2586">
      <c r="A2586" s="31" t="inlineStr">
        <is>
          <t>Pokémon</t>
        </is>
      </c>
      <c r="B2586" s="33" t="inlineStr">
        <is>
          <t>SPECTRUM</t>
        </is>
      </c>
      <c r="C2586" s="33" t="inlineStr">
        <is>
          <t>RHINOFEROS</t>
        </is>
      </c>
      <c r="D2586" s="33" t="n"/>
      <c r="E2586" s="33" t="n"/>
      <c r="F2586" s="33" t="n"/>
      <c r="G2586" s="33" t="n"/>
      <c r="H2586" s="30" t="inlineStr">
        <is>
          <t>Oui</t>
        </is>
      </c>
    </row>
    <row r="2587">
      <c r="A2587" s="31" t="inlineStr">
        <is>
          <t>Niveau</t>
        </is>
      </c>
      <c r="B2587" s="33" t="n">
        <v>61</v>
      </c>
      <c r="C2587" s="33" t="n">
        <v>61</v>
      </c>
      <c r="D2587" s="33" t="n"/>
      <c r="E2587" s="33" t="n"/>
      <c r="F2587" s="33" t="n"/>
      <c r="G2587" s="33" t="n"/>
      <c r="H2587" s="30" t="inlineStr">
        <is>
          <t>Oui</t>
        </is>
      </c>
    </row>
    <row r="2588">
      <c r="A2588" s="31" t="inlineStr">
        <is>
          <t>Objet</t>
        </is>
      </c>
      <c r="B2588" s="33" t="inlineStr">
        <is>
          <t>Aucun</t>
        </is>
      </c>
      <c r="C2588" s="33" t="inlineStr">
        <is>
          <t>Aucun</t>
        </is>
      </c>
      <c r="D2588" s="33" t="n"/>
      <c r="E2588" s="33" t="n"/>
      <c r="F2588" s="33" t="n"/>
      <c r="G2588" s="33" t="n"/>
      <c r="H2588" s="30" t="inlineStr">
        <is>
          <t>Oui</t>
        </is>
      </c>
    </row>
    <row r="2589">
      <c r="A2589" s="31" t="inlineStr">
        <is>
          <t>Talent</t>
        </is>
      </c>
      <c r="B2589" s="33" t="inlineStr">
        <is>
          <t>Lévitation</t>
        </is>
      </c>
      <c r="C2589" s="33" t="inlineStr">
        <is>
          <t>Paratonnerre</t>
        </is>
      </c>
      <c r="D2589" s="33" t="n"/>
      <c r="E2589" s="33" t="n"/>
      <c r="F2589" s="33" t="n"/>
      <c r="G2589" s="33" t="n"/>
      <c r="H2589" s="30" t="inlineStr">
        <is>
          <t>Oui</t>
        </is>
      </c>
    </row>
    <row r="2590">
      <c r="A2590" s="31" t="inlineStr">
        <is>
          <t>Capacités</t>
        </is>
      </c>
      <c r="B2590" s="34" t="inlineStr">
        <is>
          <t>Vibrobscur</t>
        </is>
      </c>
      <c r="C2590" s="34" t="inlineStr">
        <is>
          <t>Bélier</t>
        </is>
      </c>
      <c r="D2590" s="34" t="n"/>
      <c r="E2590" s="34" t="n"/>
      <c r="F2590" s="34" t="n"/>
      <c r="G2590" s="34" t="n"/>
      <c r="H2590" s="30" t="inlineStr">
        <is>
          <t>Oui</t>
        </is>
      </c>
    </row>
    <row r="2591">
      <c r="A2591" s="31" t="n"/>
      <c r="B2591" s="34" t="inlineStr">
        <is>
          <t>Lien du Destin</t>
        </is>
      </c>
      <c r="C2591" s="34" t="inlineStr">
        <is>
          <t>Lame de Roc</t>
        </is>
      </c>
      <c r="D2591" s="34" t="n"/>
      <c r="E2591" s="34" t="n"/>
      <c r="F2591" s="34" t="n"/>
      <c r="G2591" s="34" t="n"/>
      <c r="H2591" s="30" t="inlineStr">
        <is>
          <t>Oui</t>
        </is>
      </c>
    </row>
    <row r="2592">
      <c r="A2592" s="31" t="n"/>
      <c r="B2592" s="34" t="inlineStr">
        <is>
          <t>Châtiment</t>
        </is>
      </c>
      <c r="C2592" s="34" t="inlineStr">
        <is>
          <t>Séisme</t>
        </is>
      </c>
      <c r="D2592" s="34" t="n"/>
      <c r="E2592" s="34" t="n"/>
      <c r="F2592" s="34" t="n"/>
      <c r="G2592" s="34" t="n"/>
      <c r="H2592" s="30" t="inlineStr">
        <is>
          <t>Oui</t>
        </is>
      </c>
    </row>
    <row r="2593">
      <c r="A2593" s="31" t="n"/>
      <c r="B2593" s="34" t="inlineStr">
        <is>
          <t>Cauchemar</t>
        </is>
      </c>
      <c r="C2593" s="34" t="inlineStr">
        <is>
          <t>Mégacorne</t>
        </is>
      </c>
      <c r="D2593" s="34" t="n"/>
      <c r="E2593" s="34" t="n"/>
      <c r="F2593" s="34" t="n"/>
      <c r="G2593" s="34" t="n"/>
      <c r="H2593" s="30" t="inlineStr">
        <is>
          <t>Oui</t>
        </is>
      </c>
    </row>
    <row r="2594" ht="18" customHeight="1">
      <c r="A2594" s="26" t="inlineStr">
        <is>
          <t>Aquaria — salle NNE</t>
        </is>
      </c>
      <c r="B2594" s="26" t="n"/>
      <c r="C2594" s="26" t="n"/>
      <c r="D2594" s="26" t="n"/>
      <c r="E2594" s="26" t="n"/>
      <c r="F2594" s="26" t="n"/>
      <c r="G2594" s="26" t="n"/>
      <c r="H2594" s="30" t="inlineStr">
        <is>
          <t>Oui</t>
        </is>
      </c>
    </row>
    <row r="2595">
      <c r="A2595" s="31" t="inlineStr">
        <is>
          <t>Nom</t>
        </is>
      </c>
      <c r="B2595" s="32" t="inlineStr">
        <is>
          <t>Topdresseur Paul</t>
        </is>
      </c>
      <c r="C2595" s="32" t="n"/>
      <c r="D2595" s="32" t="n"/>
      <c r="E2595" s="32" t="n"/>
      <c r="F2595" s="32" t="n"/>
      <c r="G2595" s="32" t="n"/>
      <c r="H2595" s="30" t="inlineStr">
        <is>
          <t>Oui</t>
        </is>
      </c>
    </row>
    <row r="2596">
      <c r="A2596" s="31" t="inlineStr">
        <is>
          <t>Pokémon</t>
        </is>
      </c>
      <c r="B2596" s="33" t="inlineStr">
        <is>
          <t>PYROLI</t>
        </is>
      </c>
      <c r="C2596" s="33" t="inlineStr">
        <is>
          <t>SAQUEDENEU</t>
        </is>
      </c>
      <c r="D2596" s="33" t="inlineStr">
        <is>
          <t>TAUROS</t>
        </is>
      </c>
      <c r="E2596" s="33" t="n"/>
      <c r="F2596" s="33" t="n"/>
      <c r="G2596" s="33" t="n"/>
      <c r="H2596" s="30" t="inlineStr">
        <is>
          <t>Oui</t>
        </is>
      </c>
    </row>
    <row r="2597">
      <c r="A2597" s="31" t="inlineStr">
        <is>
          <t>Niveau</t>
        </is>
      </c>
      <c r="B2597" s="33" t="n">
        <v>60</v>
      </c>
      <c r="C2597" s="33" t="n">
        <v>60</v>
      </c>
      <c r="D2597" s="33" t="n">
        <v>60</v>
      </c>
      <c r="E2597" s="33" t="n"/>
      <c r="F2597" s="33" t="n"/>
      <c r="G2597" s="33" t="n"/>
      <c r="H2597" s="30" t="inlineStr">
        <is>
          <t>Oui</t>
        </is>
      </c>
    </row>
    <row r="2598">
      <c r="A2598" s="31" t="inlineStr">
        <is>
          <t>Objet</t>
        </is>
      </c>
      <c r="B2598" s="33" t="inlineStr">
        <is>
          <t>Aucun</t>
        </is>
      </c>
      <c r="C2598" s="33" t="inlineStr">
        <is>
          <t>Aucun</t>
        </is>
      </c>
      <c r="D2598" s="33" t="inlineStr">
        <is>
          <t>Aucun</t>
        </is>
      </c>
      <c r="E2598" s="33" t="n"/>
      <c r="F2598" s="33" t="n"/>
      <c r="G2598" s="33" t="n"/>
      <c r="H2598" s="30" t="inlineStr">
        <is>
          <t>Oui</t>
        </is>
      </c>
    </row>
    <row r="2599">
      <c r="A2599" s="31" t="inlineStr">
        <is>
          <t>Talent</t>
        </is>
      </c>
      <c r="B2599" s="33" t="inlineStr">
        <is>
          <t>Torche</t>
        </is>
      </c>
      <c r="C2599" s="33" t="inlineStr">
        <is>
          <t>Chlorophylle</t>
        </is>
      </c>
      <c r="D2599" s="33" t="inlineStr">
        <is>
          <t>Intimidation</t>
        </is>
      </c>
      <c r="E2599" s="33" t="n"/>
      <c r="F2599" s="33" t="n"/>
      <c r="G2599" s="33" t="n"/>
      <c r="H2599" s="30" t="inlineStr">
        <is>
          <t>Oui</t>
        </is>
      </c>
    </row>
    <row r="2600">
      <c r="A2600" s="31" t="inlineStr">
        <is>
          <t>Capacités</t>
        </is>
      </c>
      <c r="B2600" s="34" t="inlineStr">
        <is>
          <t>Purédpois</t>
        </is>
      </c>
      <c r="C2600" s="34" t="inlineStr">
        <is>
          <t>Chatouille</t>
        </is>
      </c>
      <c r="D2600" s="34" t="inlineStr">
        <is>
          <t>Psykoud'Boul</t>
        </is>
      </c>
      <c r="E2600" s="34" t="n"/>
      <c r="F2600" s="34" t="n"/>
      <c r="G2600" s="34" t="n"/>
      <c r="H2600" s="30" t="inlineStr">
        <is>
          <t>Oui</t>
        </is>
      </c>
    </row>
    <row r="2601">
      <c r="A2601" s="31" t="n"/>
      <c r="B2601" s="34" t="inlineStr">
        <is>
          <t>Ébullilave</t>
        </is>
      </c>
      <c r="C2601" s="34" t="inlineStr">
        <is>
          <t>Essorage</t>
        </is>
      </c>
      <c r="D2601" s="34" t="inlineStr">
        <is>
          <t>Vantardise</t>
        </is>
      </c>
      <c r="E2601" s="34" t="n"/>
      <c r="F2601" s="34" t="n"/>
      <c r="G2601" s="34" t="n"/>
      <c r="H2601" s="30" t="inlineStr">
        <is>
          <t>Oui</t>
        </is>
      </c>
    </row>
    <row r="2602">
      <c r="A2602" s="31" t="n"/>
      <c r="B2602" s="34" t="inlineStr">
        <is>
          <t>Dernier Recours</t>
        </is>
      </c>
      <c r="C2602" s="34" t="inlineStr">
        <is>
          <t>Champ Herbu</t>
        </is>
      </c>
      <c r="D2602" s="34" t="inlineStr">
        <is>
          <t>Pied Brûleur</t>
        </is>
      </c>
      <c r="E2602" s="34" t="n"/>
      <c r="F2602" s="34" t="n"/>
      <c r="G2602" s="34" t="n"/>
      <c r="H2602" s="30" t="inlineStr">
        <is>
          <t>Oui</t>
        </is>
      </c>
    </row>
    <row r="2603">
      <c r="A2603" s="31" t="n"/>
      <c r="B2603" s="34" t="inlineStr">
        <is>
          <t>Boutefeu</t>
        </is>
      </c>
      <c r="C2603" s="34" t="inlineStr">
        <is>
          <t>Mégafouet</t>
        </is>
      </c>
      <c r="D2603" s="34" t="inlineStr">
        <is>
          <t>Mania</t>
        </is>
      </c>
      <c r="E2603" s="34" t="n"/>
      <c r="F2603" s="34" t="n"/>
      <c r="G2603" s="34" t="n"/>
      <c r="H2603" s="30" t="inlineStr">
        <is>
          <t>Oui</t>
        </is>
      </c>
    </row>
    <row r="2604">
      <c r="A2604" s="31" t="inlineStr">
        <is>
          <t>Nom</t>
        </is>
      </c>
      <c r="B2604" s="32" t="inlineStr">
        <is>
          <t>Topdresseur Caro</t>
        </is>
      </c>
      <c r="C2604" s="32" t="n"/>
      <c r="D2604" s="32" t="n"/>
      <c r="E2604" s="32" t="n"/>
      <c r="F2604" s="32" t="n"/>
      <c r="G2604" s="32" t="n"/>
      <c r="H2604" s="30" t="inlineStr">
        <is>
          <t>Oui</t>
        </is>
      </c>
    </row>
    <row r="2605">
      <c r="A2605" s="31" t="inlineStr">
        <is>
          <t>Pokémon</t>
        </is>
      </c>
      <c r="B2605" s="33" t="inlineStr">
        <is>
          <t>ELECTRODE</t>
        </is>
      </c>
      <c r="C2605" s="33" t="inlineStr">
        <is>
          <t>STAROSS</t>
        </is>
      </c>
      <c r="D2605" s="33" t="inlineStr">
        <is>
          <t>FEUNARD</t>
        </is>
      </c>
      <c r="E2605" s="33" t="n"/>
      <c r="F2605" s="33" t="n"/>
      <c r="G2605" s="33" t="n"/>
      <c r="H2605" s="30" t="inlineStr">
        <is>
          <t>Oui</t>
        </is>
      </c>
    </row>
    <row r="2606">
      <c r="A2606" s="31" t="inlineStr">
        <is>
          <t>Niveau</t>
        </is>
      </c>
      <c r="B2606" s="33" t="n">
        <v>60</v>
      </c>
      <c r="C2606" s="33" t="n">
        <v>61</v>
      </c>
      <c r="D2606" s="33" t="n">
        <v>60</v>
      </c>
      <c r="E2606" s="33" t="n"/>
      <c r="F2606" s="33" t="n"/>
      <c r="G2606" s="33" t="n"/>
      <c r="H2606" s="30" t="inlineStr">
        <is>
          <t>Oui</t>
        </is>
      </c>
    </row>
    <row r="2607">
      <c r="A2607" s="31" t="inlineStr">
        <is>
          <t>Objet</t>
        </is>
      </c>
      <c r="B2607" s="33" t="inlineStr">
        <is>
          <t>Aucun</t>
        </is>
      </c>
      <c r="C2607" s="33" t="inlineStr">
        <is>
          <t>Aucun</t>
        </is>
      </c>
      <c r="D2607" s="33" t="inlineStr">
        <is>
          <t>Aucun</t>
        </is>
      </c>
      <c r="E2607" s="33" t="n"/>
      <c r="F2607" s="33" t="n"/>
      <c r="G2607" s="33" t="n"/>
      <c r="H2607" s="30" t="inlineStr">
        <is>
          <t>Oui</t>
        </is>
      </c>
    </row>
    <row r="2608">
      <c r="A2608" s="31" t="inlineStr">
        <is>
          <t>Talent</t>
        </is>
      </c>
      <c r="B2608" s="33" t="inlineStr">
        <is>
          <t>Anti-Bruit</t>
        </is>
      </c>
      <c r="C2608" s="33" t="inlineStr">
        <is>
          <t>Lumiattirance</t>
        </is>
      </c>
      <c r="D2608" s="33" t="inlineStr">
        <is>
          <t>Torche</t>
        </is>
      </c>
      <c r="E2608" s="33" t="n"/>
      <c r="F2608" s="33" t="n"/>
      <c r="G2608" s="33" t="n"/>
      <c r="H2608" s="30" t="inlineStr">
        <is>
          <t>Oui</t>
        </is>
      </c>
    </row>
    <row r="2609">
      <c r="A2609" s="31" t="inlineStr">
        <is>
          <t>Capacités</t>
        </is>
      </c>
      <c r="B2609" s="34" t="inlineStr">
        <is>
          <t>Explosion</t>
        </is>
      </c>
      <c r="C2609" s="34" t="inlineStr">
        <is>
          <t>Rayon Gemme</t>
        </is>
      </c>
      <c r="D2609" s="34" t="inlineStr">
        <is>
          <t>Déflagration</t>
        </is>
      </c>
      <c r="E2609" s="34" t="n"/>
      <c r="F2609" s="34" t="n"/>
      <c r="G2609" s="34" t="n"/>
      <c r="H2609" s="30" t="inlineStr">
        <is>
          <t>Oui</t>
        </is>
      </c>
    </row>
    <row r="2610">
      <c r="A2610" s="31" t="n"/>
      <c r="B2610" s="34" t="inlineStr">
        <is>
          <t>Gyroballe</t>
        </is>
      </c>
      <c r="C2610" s="34" t="inlineStr">
        <is>
          <t>Psyko</t>
        </is>
      </c>
      <c r="D2610" s="34" t="inlineStr">
        <is>
          <t>Rancune</t>
        </is>
      </c>
      <c r="E2610" s="34" t="n"/>
      <c r="F2610" s="34" t="n"/>
      <c r="G2610" s="34" t="n"/>
      <c r="H2610" s="30" t="inlineStr">
        <is>
          <t>Oui</t>
        </is>
      </c>
    </row>
    <row r="2611">
      <c r="A2611" s="31" t="n"/>
      <c r="B2611" s="34" t="inlineStr">
        <is>
          <t>Luminocanon</t>
        </is>
      </c>
      <c r="C2611" s="34" t="inlineStr">
        <is>
          <t>Mur Lumière</t>
        </is>
      </c>
      <c r="D2611" s="34" t="inlineStr">
        <is>
          <t>Séduction</t>
        </is>
      </c>
      <c r="E2611" s="34" t="n"/>
      <c r="F2611" s="34" t="n"/>
      <c r="G2611" s="34" t="n"/>
      <c r="H2611" s="30" t="inlineStr">
        <is>
          <t>Oui</t>
        </is>
      </c>
    </row>
    <row r="2612">
      <c r="A2612" s="31" t="n"/>
      <c r="B2612" s="34" t="inlineStr">
        <is>
          <t>Voile Miroir</t>
        </is>
      </c>
      <c r="C2612" s="34" t="inlineStr">
        <is>
          <t>Force Cosmique</t>
        </is>
      </c>
      <c r="D2612" s="34" t="inlineStr">
        <is>
          <t>Feu d'Enfer</t>
        </is>
      </c>
      <c r="E2612" s="34" t="n"/>
      <c r="F2612" s="34" t="n"/>
      <c r="G2612" s="34" t="n"/>
      <c r="H2612" s="30" t="inlineStr">
        <is>
          <t>Oui</t>
        </is>
      </c>
    </row>
    <row r="2613" ht="18" customHeight="1">
      <c r="A2613" s="26" t="inlineStr">
        <is>
          <t>Aquaria — salle NW</t>
        </is>
      </c>
      <c r="B2613" s="26" t="n"/>
      <c r="C2613" s="26" t="n"/>
      <c r="D2613" s="26" t="n"/>
      <c r="E2613" s="26" t="n"/>
      <c r="F2613" s="26" t="n"/>
      <c r="G2613" s="26" t="n"/>
      <c r="H2613" s="30" t="inlineStr">
        <is>
          <t>Oui</t>
        </is>
      </c>
    </row>
    <row r="2614">
      <c r="A2614" s="31" t="inlineStr">
        <is>
          <t>Nom</t>
        </is>
      </c>
      <c r="B2614" s="32" t="inlineStr">
        <is>
          <t>Marin Gaston</t>
        </is>
      </c>
      <c r="C2614" s="32" t="n"/>
      <c r="D2614" s="32" t="n"/>
      <c r="E2614" s="32" t="n"/>
      <c r="F2614" s="32" t="n"/>
      <c r="G2614" s="32" t="n"/>
      <c r="H2614" s="30" t="inlineStr">
        <is>
          <t>Oui</t>
        </is>
      </c>
    </row>
    <row r="2615">
      <c r="A2615" s="31" t="inlineStr">
        <is>
          <t>Pokémon</t>
        </is>
      </c>
      <c r="B2615" s="33" t="inlineStr">
        <is>
          <t>QWILFISH</t>
        </is>
      </c>
      <c r="C2615" s="33" t="inlineStr">
        <is>
          <t>MACHOPEUR</t>
        </is>
      </c>
      <c r="D2615" s="33" t="inlineStr">
        <is>
          <t>AKWAKWAK</t>
        </is>
      </c>
      <c r="E2615" s="33" t="n"/>
      <c r="F2615" s="33" t="n"/>
      <c r="G2615" s="33" t="n"/>
      <c r="H2615" s="30" t="inlineStr">
        <is>
          <t>Oui</t>
        </is>
      </c>
    </row>
    <row r="2616">
      <c r="A2616" s="31" t="inlineStr">
        <is>
          <t>Niveau</t>
        </is>
      </c>
      <c r="B2616" s="33" t="n">
        <v>53</v>
      </c>
      <c r="C2616" s="33" t="n">
        <v>53</v>
      </c>
      <c r="D2616" s="33" t="n">
        <v>54</v>
      </c>
      <c r="E2616" s="33" t="n"/>
      <c r="F2616" s="33" t="n"/>
      <c r="G2616" s="33" t="n"/>
      <c r="H2616" s="30" t="inlineStr">
        <is>
          <t>Oui</t>
        </is>
      </c>
    </row>
    <row r="2617">
      <c r="A2617" s="31" t="inlineStr">
        <is>
          <t>Objet</t>
        </is>
      </c>
      <c r="B2617" s="33" t="inlineStr">
        <is>
          <t>Aucun</t>
        </is>
      </c>
      <c r="C2617" s="33" t="inlineStr">
        <is>
          <t>Aucun</t>
        </is>
      </c>
      <c r="D2617" s="33" t="inlineStr">
        <is>
          <t>Aucun</t>
        </is>
      </c>
      <c r="E2617" s="33" t="n"/>
      <c r="F2617" s="33" t="n"/>
      <c r="G2617" s="33" t="n"/>
      <c r="H2617" s="30" t="inlineStr">
        <is>
          <t>Oui</t>
        </is>
      </c>
    </row>
    <row r="2618">
      <c r="A2618" s="31" t="inlineStr">
        <is>
          <t>Talent</t>
        </is>
      </c>
      <c r="B2618" s="33" t="inlineStr">
        <is>
          <t>Point Poison</t>
        </is>
      </c>
      <c r="C2618" s="33" t="inlineStr">
        <is>
          <t>Cran</t>
        </is>
      </c>
      <c r="D2618" s="33" t="inlineStr">
        <is>
          <t>Moiteur</t>
        </is>
      </c>
      <c r="E2618" s="33" t="n"/>
      <c r="F2618" s="33" t="n"/>
      <c r="G2618" s="33" t="n"/>
      <c r="H2618" s="30" t="inlineStr">
        <is>
          <t>Oui</t>
        </is>
      </c>
    </row>
    <row r="2619">
      <c r="A2619" s="31" t="inlineStr">
        <is>
          <t>Capacités</t>
        </is>
      </c>
      <c r="B2619" s="34" t="inlineStr">
        <is>
          <t>Bélier</t>
        </is>
      </c>
      <c r="C2619" s="34" t="inlineStr">
        <is>
          <t>Sacrifice</t>
        </is>
      </c>
      <c r="D2619" s="34" t="inlineStr">
        <is>
          <t>Boost</t>
        </is>
      </c>
      <c r="E2619" s="34" t="n"/>
      <c r="F2619" s="34" t="n"/>
      <c r="G2619" s="34" t="n"/>
      <c r="H2619" s="30" t="inlineStr">
        <is>
          <t>Oui</t>
        </is>
      </c>
    </row>
    <row r="2620">
      <c r="A2620" s="31" t="n"/>
      <c r="B2620" s="34" t="inlineStr">
        <is>
          <t>Hydro-Queue</t>
        </is>
      </c>
      <c r="C2620" s="34" t="inlineStr">
        <is>
          <t>Gonflette</t>
        </is>
      </c>
      <c r="D2620" s="34" t="inlineStr">
        <is>
          <t>Amnésie</t>
        </is>
      </c>
      <c r="E2620" s="34" t="n"/>
      <c r="F2620" s="34" t="n"/>
      <c r="G2620" s="34" t="n"/>
      <c r="H2620" s="30" t="inlineStr">
        <is>
          <t>Oui</t>
        </is>
      </c>
    </row>
    <row r="2621">
      <c r="A2621" s="31" t="n"/>
      <c r="B2621" s="34" t="inlineStr">
        <is>
          <t>Direct Toxik</t>
        </is>
      </c>
      <c r="C2621" s="34" t="inlineStr">
        <is>
          <t>Coup Croix</t>
        </is>
      </c>
      <c r="D2621" s="34" t="inlineStr">
        <is>
          <t>Hydrocanon</t>
        </is>
      </c>
      <c r="E2621" s="34" t="n"/>
      <c r="F2621" s="34" t="n"/>
      <c r="G2621" s="34" t="n"/>
      <c r="H2621" s="30" t="inlineStr">
        <is>
          <t>Oui</t>
        </is>
      </c>
    </row>
    <row r="2622">
      <c r="A2622" s="31" t="n"/>
      <c r="B2622" s="34" t="inlineStr">
        <is>
          <t>Lien du Destin</t>
        </is>
      </c>
      <c r="C2622" s="34" t="inlineStr">
        <is>
          <t>Grimace</t>
        </is>
      </c>
      <c r="D2622" s="34" t="inlineStr">
        <is>
          <t>Zone Étrange</t>
        </is>
      </c>
      <c r="E2622" s="34" t="n"/>
      <c r="F2622" s="34" t="n"/>
      <c r="G2622" s="34" t="n"/>
      <c r="H2622" s="30" t="inlineStr">
        <is>
          <t>Oui</t>
        </is>
      </c>
    </row>
    <row r="2623">
      <c r="A2623" s="31" t="inlineStr">
        <is>
          <t>Nom</t>
        </is>
      </c>
      <c r="B2623" s="32" t="inlineStr">
        <is>
          <t>Gentleman Charles</t>
        </is>
      </c>
      <c r="C2623" s="32" t="n"/>
      <c r="D2623" s="32" t="n"/>
      <c r="E2623" s="32" t="n"/>
      <c r="F2623" s="32" t="n"/>
      <c r="G2623" s="32" t="n"/>
      <c r="H2623" s="30" t="inlineStr">
        <is>
          <t>Oui</t>
        </is>
      </c>
    </row>
    <row r="2624">
      <c r="A2624" s="31" t="inlineStr">
        <is>
          <t>Pokémon</t>
        </is>
      </c>
      <c r="B2624" s="33" t="inlineStr">
        <is>
          <t>PERSIAN</t>
        </is>
      </c>
      <c r="C2624" s="33" t="n"/>
      <c r="D2624" s="33" t="n"/>
      <c r="E2624" s="33" t="n"/>
      <c r="F2624" s="33" t="n"/>
      <c r="G2624" s="33" t="n"/>
      <c r="H2624" s="30" t="inlineStr">
        <is>
          <t>Oui</t>
        </is>
      </c>
    </row>
    <row r="2625">
      <c r="A2625" s="31" t="inlineStr">
        <is>
          <t>Niveau</t>
        </is>
      </c>
      <c r="B2625" s="33" t="n">
        <v>63</v>
      </c>
      <c r="C2625" s="33" t="n"/>
      <c r="D2625" s="33" t="n"/>
      <c r="E2625" s="33" t="n"/>
      <c r="F2625" s="33" t="n"/>
      <c r="G2625" s="33" t="n"/>
      <c r="H2625" s="30" t="inlineStr">
        <is>
          <t>Oui</t>
        </is>
      </c>
    </row>
    <row r="2626">
      <c r="A2626" s="31" t="inlineStr">
        <is>
          <t>Objet</t>
        </is>
      </c>
      <c r="B2626" s="33" t="inlineStr">
        <is>
          <t>Aucun</t>
        </is>
      </c>
      <c r="C2626" s="33" t="n"/>
      <c r="D2626" s="33" t="n"/>
      <c r="E2626" s="33" t="n"/>
      <c r="F2626" s="33" t="n"/>
      <c r="G2626" s="33" t="n"/>
      <c r="H2626" s="30" t="inlineStr">
        <is>
          <t>Oui</t>
        </is>
      </c>
    </row>
    <row r="2627">
      <c r="A2627" s="31" t="inlineStr">
        <is>
          <t>Talent</t>
        </is>
      </c>
      <c r="B2627" s="33" t="inlineStr">
        <is>
          <t>Échauffement</t>
        </is>
      </c>
      <c r="C2627" s="33" t="n"/>
      <c r="D2627" s="33" t="n"/>
      <c r="E2627" s="33" t="n"/>
      <c r="F2627" s="33" t="n"/>
      <c r="G2627" s="33" t="n"/>
      <c r="H2627" s="30" t="inlineStr">
        <is>
          <t>Oui</t>
        </is>
      </c>
    </row>
    <row r="2628">
      <c r="A2628" s="31" t="inlineStr">
        <is>
          <t>Capacités</t>
        </is>
      </c>
      <c r="B2628" s="34" t="inlineStr">
        <is>
          <t>Machination</t>
        </is>
      </c>
      <c r="C2628" s="34" t="n"/>
      <c r="D2628" s="34" t="n"/>
      <c r="E2628" s="34" t="n"/>
      <c r="F2628" s="34" t="n"/>
      <c r="G2628" s="34" t="n"/>
      <c r="H2628" s="30" t="inlineStr">
        <is>
          <t>Oui</t>
        </is>
      </c>
    </row>
    <row r="2629">
      <c r="A2629" s="31" t="n"/>
      <c r="B2629" s="34" t="inlineStr">
        <is>
          <t>Assurance</t>
        </is>
      </c>
      <c r="C2629" s="34" t="n"/>
      <c r="D2629" s="34" t="n"/>
      <c r="E2629" s="34" t="n"/>
      <c r="F2629" s="34" t="n"/>
      <c r="G2629" s="34" t="n"/>
      <c r="H2629" s="30" t="inlineStr">
        <is>
          <t>Oui</t>
        </is>
      </c>
    </row>
    <row r="2630">
      <c r="A2630" s="31" t="n"/>
      <c r="B2630" s="34" t="inlineStr">
        <is>
          <t>Séduction</t>
        </is>
      </c>
      <c r="C2630" s="34" t="n"/>
      <c r="D2630" s="34" t="n"/>
      <c r="E2630" s="34" t="n"/>
      <c r="F2630" s="34" t="n"/>
      <c r="G2630" s="34" t="n"/>
      <c r="H2630" s="30" t="inlineStr">
        <is>
          <t>Oui</t>
        </is>
      </c>
    </row>
    <row r="2631">
      <c r="A2631" s="31" t="n"/>
      <c r="B2631" s="34" t="inlineStr">
        <is>
          <t>Tranche-Nuit</t>
        </is>
      </c>
      <c r="C2631" s="34" t="n"/>
      <c r="D2631" s="34" t="n"/>
      <c r="E2631" s="34" t="n"/>
      <c r="F2631" s="34" t="n"/>
      <c r="G2631" s="34" t="n"/>
      <c r="H2631" s="30" t="inlineStr">
        <is>
          <t>Oui</t>
        </is>
      </c>
    </row>
    <row r="2632">
      <c r="A2632" s="31" t="inlineStr">
        <is>
          <t>Nom</t>
        </is>
      </c>
      <c r="B2632" s="32" t="inlineStr">
        <is>
          <t>Crache-Feu Pietro</t>
        </is>
      </c>
      <c r="C2632" s="32" t="n"/>
      <c r="D2632" s="32" t="n"/>
      <c r="E2632" s="32" t="n"/>
      <c r="F2632" s="32" t="n"/>
      <c r="G2632" s="32" t="n"/>
      <c r="H2632" s="30" t="inlineStr">
        <is>
          <t>Oui</t>
        </is>
      </c>
    </row>
    <row r="2633">
      <c r="A2633" s="31" t="inlineStr">
        <is>
          <t>Pokémon</t>
        </is>
      </c>
      <c r="B2633" s="33" t="inlineStr">
        <is>
          <t>SMOGO</t>
        </is>
      </c>
      <c r="C2633" s="33" t="inlineStr">
        <is>
          <t>MAGMAR</t>
        </is>
      </c>
      <c r="D2633" s="33" t="inlineStr">
        <is>
          <t>SMOGO</t>
        </is>
      </c>
      <c r="E2633" s="33" t="inlineStr">
        <is>
          <t>SMOGO</t>
        </is>
      </c>
      <c r="F2633" s="33" t="n"/>
      <c r="G2633" s="33" t="n"/>
      <c r="H2633" s="30" t="inlineStr">
        <is>
          <t>Oui</t>
        </is>
      </c>
    </row>
    <row r="2634">
      <c r="A2634" s="31" t="inlineStr">
        <is>
          <t>Niveau</t>
        </is>
      </c>
      <c r="B2634" s="33" t="n">
        <v>55</v>
      </c>
      <c r="C2634" s="33" t="n">
        <v>58</v>
      </c>
      <c r="D2634" s="33" t="n">
        <v>55</v>
      </c>
      <c r="E2634" s="33" t="n">
        <v>60</v>
      </c>
      <c r="F2634" s="33" t="n"/>
      <c r="G2634" s="33" t="n"/>
      <c r="H2634" s="30" t="inlineStr">
        <is>
          <t>Oui</t>
        </is>
      </c>
    </row>
    <row r="2635">
      <c r="A2635" s="31" t="inlineStr">
        <is>
          <t>Objet</t>
        </is>
      </c>
      <c r="B2635" s="33" t="inlineStr">
        <is>
          <t>Aucun</t>
        </is>
      </c>
      <c r="C2635" s="33" t="inlineStr">
        <is>
          <t>Aucun</t>
        </is>
      </c>
      <c r="D2635" s="33" t="inlineStr">
        <is>
          <t>Aucun</t>
        </is>
      </c>
      <c r="E2635" s="33" t="inlineStr">
        <is>
          <t>Aucun</t>
        </is>
      </c>
      <c r="F2635" s="33" t="n"/>
      <c r="G2635" s="33" t="n"/>
      <c r="H2635" s="30" t="inlineStr">
        <is>
          <t>Oui</t>
        </is>
      </c>
    </row>
    <row r="2636">
      <c r="A2636" s="31" t="inlineStr">
        <is>
          <t>Talent</t>
        </is>
      </c>
      <c r="B2636" s="33" t="inlineStr">
        <is>
          <t>Lévitation</t>
        </is>
      </c>
      <c r="C2636" s="33" t="inlineStr">
        <is>
          <t>Corps Ardent</t>
        </is>
      </c>
      <c r="D2636" s="33" t="inlineStr">
        <is>
          <t>Lévitation</t>
        </is>
      </c>
      <c r="E2636" s="33" t="inlineStr">
        <is>
          <t>Lévitation</t>
        </is>
      </c>
      <c r="F2636" s="33" t="n"/>
      <c r="G2636" s="33" t="n"/>
      <c r="H2636" s="30" t="inlineStr">
        <is>
          <t>Oui</t>
        </is>
      </c>
    </row>
    <row r="2637">
      <c r="A2637" s="31" t="inlineStr">
        <is>
          <t>Capacités</t>
        </is>
      </c>
      <c r="B2637" s="34" t="inlineStr">
        <is>
          <t>Explosion</t>
        </is>
      </c>
      <c r="C2637" s="34" t="inlineStr">
        <is>
          <t>Ébullilave</t>
        </is>
      </c>
      <c r="D2637" s="34" t="inlineStr">
        <is>
          <t>Explosion</t>
        </is>
      </c>
      <c r="E2637" s="34" t="inlineStr">
        <is>
          <t>Explosion</t>
        </is>
      </c>
      <c r="F2637" s="34" t="n"/>
      <c r="G2637" s="34" t="n"/>
      <c r="H2637" s="30" t="inlineStr">
        <is>
          <t>Oui</t>
        </is>
      </c>
    </row>
    <row r="2638">
      <c r="A2638" s="31" t="n"/>
      <c r="B2638" s="34" t="inlineStr">
        <is>
          <t>Lien du Destin</t>
        </is>
      </c>
      <c r="C2638" s="34" t="inlineStr">
        <is>
          <t>Zénith</t>
        </is>
      </c>
      <c r="D2638" s="34" t="inlineStr">
        <is>
          <t>Lien du Destin</t>
        </is>
      </c>
      <c r="E2638" s="34" t="inlineStr">
        <is>
          <t>Lien du Destin</t>
        </is>
      </c>
      <c r="F2638" s="34" t="n"/>
      <c r="G2638" s="34" t="n"/>
      <c r="H2638" s="30" t="inlineStr">
        <is>
          <t>Oui</t>
        </is>
      </c>
    </row>
    <row r="2639">
      <c r="A2639" s="31" t="n"/>
      <c r="B2639" s="34" t="inlineStr">
        <is>
          <t>Éructation</t>
        </is>
      </c>
      <c r="C2639" s="34" t="inlineStr">
        <is>
          <t>Lance-Flammes</t>
        </is>
      </c>
      <c r="D2639" s="34" t="inlineStr">
        <is>
          <t>Éructation</t>
        </is>
      </c>
      <c r="E2639" s="34" t="inlineStr">
        <is>
          <t>Éructation</t>
        </is>
      </c>
      <c r="F2639" s="34" t="n"/>
      <c r="G2639" s="34" t="n"/>
      <c r="H2639" s="30" t="inlineStr">
        <is>
          <t>Oui</t>
        </is>
      </c>
    </row>
    <row r="2640">
      <c r="A2640" s="31" t="n"/>
      <c r="B2640" s="34" t="inlineStr">
        <is>
          <t>Souvenir</t>
        </is>
      </c>
      <c r="C2640" s="34" t="inlineStr">
        <is>
          <t>Déflagration</t>
        </is>
      </c>
      <c r="D2640" s="34" t="inlineStr">
        <is>
          <t>Souvenir</t>
        </is>
      </c>
      <c r="E2640" s="34" t="inlineStr">
        <is>
          <t>Souvenir</t>
        </is>
      </c>
      <c r="F2640" s="34" t="n"/>
      <c r="G2640" s="34" t="n"/>
      <c r="H2640" s="30" t="inlineStr">
        <is>
          <t>Oui</t>
        </is>
      </c>
    </row>
    <row r="2641" ht="18" customHeight="1">
      <c r="A2641" s="26" t="inlineStr">
        <is>
          <t>Aquaria — salle SE</t>
        </is>
      </c>
      <c r="B2641" s="26" t="n"/>
      <c r="C2641" s="26" t="n"/>
      <c r="D2641" s="26" t="n"/>
      <c r="E2641" s="26" t="n"/>
      <c r="F2641" s="26" t="n"/>
      <c r="G2641" s="26" t="n"/>
      <c r="H2641" s="30" t="inlineStr">
        <is>
          <t>Oui</t>
        </is>
      </c>
    </row>
    <row r="2642">
      <c r="A2642" s="31" t="inlineStr">
        <is>
          <t>Nom</t>
        </is>
      </c>
      <c r="B2642" s="32" t="inlineStr">
        <is>
          <t>Pokéfan Léandre</t>
        </is>
      </c>
      <c r="C2642" s="32" t="n"/>
      <c r="D2642" s="32" t="n"/>
      <c r="E2642" s="32" t="n"/>
      <c r="F2642" s="32" t="n"/>
      <c r="G2642" s="32" t="n"/>
      <c r="H2642" s="30" t="inlineStr">
        <is>
          <t>Oui</t>
        </is>
      </c>
    </row>
    <row r="2643">
      <c r="A2643" s="31" t="inlineStr">
        <is>
          <t>Pokémon</t>
        </is>
      </c>
      <c r="B2643" s="33" t="inlineStr">
        <is>
          <t>CADOIZO</t>
        </is>
      </c>
      <c r="C2643" s="33" t="n"/>
      <c r="D2643" s="33" t="n"/>
      <c r="E2643" s="33" t="n"/>
      <c r="F2643" s="33" t="n"/>
      <c r="G2643" s="33" t="n"/>
      <c r="H2643" s="30" t="inlineStr">
        <is>
          <t>Oui</t>
        </is>
      </c>
    </row>
    <row r="2644">
      <c r="A2644" s="31" t="inlineStr">
        <is>
          <t>Niveau</t>
        </is>
      </c>
      <c r="B2644" s="33" t="n">
        <v>56</v>
      </c>
      <c r="C2644" s="33" t="n"/>
      <c r="D2644" s="33" t="n"/>
      <c r="E2644" s="33" t="n"/>
      <c r="F2644" s="33" t="n"/>
      <c r="G2644" s="33" t="n"/>
      <c r="H2644" s="30" t="inlineStr">
        <is>
          <t>Oui</t>
        </is>
      </c>
    </row>
    <row r="2645">
      <c r="A2645" s="31" t="inlineStr">
        <is>
          <t>Objet</t>
        </is>
      </c>
      <c r="B2645" s="33" t="inlineStr">
        <is>
          <t>Aucun</t>
        </is>
      </c>
      <c r="C2645" s="33" t="n"/>
      <c r="D2645" s="33" t="n"/>
      <c r="E2645" s="33" t="n"/>
      <c r="F2645" s="33" t="n"/>
      <c r="G2645" s="33" t="n"/>
      <c r="H2645" s="30" t="inlineStr">
        <is>
          <t>Oui</t>
        </is>
      </c>
    </row>
    <row r="2646">
      <c r="A2646" s="31" t="inlineStr">
        <is>
          <t>Talent</t>
        </is>
      </c>
      <c r="B2646" s="33" t="inlineStr">
        <is>
          <t>Esprit Vital</t>
        </is>
      </c>
      <c r="C2646" s="33" t="n"/>
      <c r="D2646" s="33" t="n"/>
      <c r="E2646" s="33" t="n"/>
      <c r="F2646" s="33" t="n"/>
      <c r="G2646" s="33" t="n"/>
      <c r="H2646" s="30" t="inlineStr">
        <is>
          <t>Oui</t>
        </is>
      </c>
    </row>
    <row r="2647">
      <c r="A2647" s="31" t="inlineStr">
        <is>
          <t>Capacités</t>
        </is>
      </c>
      <c r="B2647" s="34" t="inlineStr">
        <is>
          <t>Cadeau</t>
        </is>
      </c>
      <c r="C2647" s="34" t="n"/>
      <c r="D2647" s="34" t="n"/>
      <c r="E2647" s="34" t="n"/>
      <c r="F2647" s="34" t="n"/>
      <c r="G2647" s="34" t="n"/>
      <c r="H2647" s="30" t="inlineStr">
        <is>
          <t>Oui</t>
        </is>
      </c>
    </row>
    <row r="2648">
      <c r="A2648" s="31" t="n"/>
      <c r="B2648" s="34" t="inlineStr">
        <is>
          <t>Bec Vrille</t>
        </is>
      </c>
      <c r="C2648" s="34" t="n"/>
      <c r="D2648" s="34" t="n"/>
      <c r="E2648" s="34" t="n"/>
      <c r="F2648" s="34" t="n"/>
      <c r="G2648" s="34" t="n"/>
      <c r="H2648" s="30" t="inlineStr">
        <is>
          <t>Oui</t>
        </is>
      </c>
    </row>
    <row r="2649">
      <c r="A2649" s="31" t="n"/>
      <c r="B2649" s="34" t="n"/>
      <c r="C2649" s="34" t="n"/>
      <c r="D2649" s="34" t="n"/>
      <c r="E2649" s="34" t="n"/>
      <c r="F2649" s="34" t="n"/>
      <c r="G2649" s="34" t="n"/>
      <c r="H2649" s="30" t="inlineStr">
        <is>
          <t>Oui</t>
        </is>
      </c>
    </row>
    <row r="2650">
      <c r="A2650" s="31" t="n"/>
      <c r="B2650" s="34" t="n"/>
      <c r="C2650" s="34" t="n"/>
      <c r="D2650" s="34" t="n"/>
      <c r="E2650" s="34" t="n"/>
      <c r="F2650" s="34" t="n"/>
      <c r="G2650" s="34" t="n"/>
      <c r="H2650" s="30" t="inlineStr">
        <is>
          <t>Oui</t>
        </is>
      </c>
    </row>
    <row r="2651">
      <c r="A2651" s="31" t="inlineStr">
        <is>
          <t>Nom</t>
        </is>
      </c>
      <c r="B2651" s="32" t="inlineStr">
        <is>
          <t>Jumelles Mily&amp;Milia (combat double)</t>
        </is>
      </c>
      <c r="C2651" s="32" t="n"/>
      <c r="D2651" s="32" t="n"/>
      <c r="E2651" s="32" t="n"/>
      <c r="F2651" s="32" t="n"/>
      <c r="G2651" s="32" t="n"/>
      <c r="H2651" s="30" t="inlineStr">
        <is>
          <t>Oui</t>
        </is>
      </c>
    </row>
    <row r="2652">
      <c r="A2652" s="31" t="inlineStr">
        <is>
          <t>Pokémon</t>
        </is>
      </c>
      <c r="B2652" s="33" t="inlineStr">
        <is>
          <t>URSARING</t>
        </is>
      </c>
      <c r="C2652" s="33" t="inlineStr">
        <is>
          <t>DONPHAN</t>
        </is>
      </c>
      <c r="D2652" s="33" t="n"/>
      <c r="E2652" s="33" t="n"/>
      <c r="F2652" s="33" t="n"/>
      <c r="G2652" s="33" t="n"/>
      <c r="H2652" s="30" t="inlineStr">
        <is>
          <t>Oui</t>
        </is>
      </c>
    </row>
    <row r="2653">
      <c r="A2653" s="31" t="inlineStr">
        <is>
          <t>Niveau</t>
        </is>
      </c>
      <c r="B2653" s="33" t="n">
        <v>54</v>
      </c>
      <c r="C2653" s="33" t="n">
        <v>54</v>
      </c>
      <c r="D2653" s="33" t="n"/>
      <c r="E2653" s="33" t="n"/>
      <c r="F2653" s="33" t="n"/>
      <c r="G2653" s="33" t="n"/>
      <c r="H2653" s="30" t="inlineStr">
        <is>
          <t>Oui</t>
        </is>
      </c>
    </row>
    <row r="2654">
      <c r="A2654" s="31" t="inlineStr">
        <is>
          <t>Objet</t>
        </is>
      </c>
      <c r="B2654" s="33" t="inlineStr">
        <is>
          <t>Aucun</t>
        </is>
      </c>
      <c r="C2654" s="33" t="inlineStr">
        <is>
          <t>Aucun</t>
        </is>
      </c>
      <c r="D2654" s="33" t="n"/>
      <c r="E2654" s="33" t="n"/>
      <c r="F2654" s="33" t="n"/>
      <c r="G2654" s="33" t="n"/>
      <c r="H2654" s="30" t="inlineStr">
        <is>
          <t>Oui</t>
        </is>
      </c>
    </row>
    <row r="2655">
      <c r="A2655" s="31" t="inlineStr">
        <is>
          <t>Talent</t>
        </is>
      </c>
      <c r="B2655" s="33" t="inlineStr">
        <is>
          <t>Cran</t>
        </is>
      </c>
      <c r="C2655" s="33" t="inlineStr">
        <is>
          <t>Fermeté</t>
        </is>
      </c>
      <c r="D2655" s="33" t="n"/>
      <c r="E2655" s="33" t="n"/>
      <c r="F2655" s="33" t="n"/>
      <c r="G2655" s="33" t="n"/>
      <c r="H2655" s="30" t="inlineStr">
        <is>
          <t>Oui</t>
        </is>
      </c>
    </row>
    <row r="2656">
      <c r="A2656" s="31" t="inlineStr">
        <is>
          <t>Capacités</t>
        </is>
      </c>
      <c r="B2656" s="34" t="inlineStr">
        <is>
          <t>Tranche</t>
        </is>
      </c>
      <c r="C2656" s="34" t="inlineStr">
        <is>
          <t>Tour Rapide</t>
        </is>
      </c>
      <c r="D2656" s="34" t="n"/>
      <c r="E2656" s="34" t="n"/>
      <c r="F2656" s="34" t="n"/>
      <c r="G2656" s="34" t="n"/>
      <c r="H2656" s="30" t="inlineStr">
        <is>
          <t>Oui</t>
        </is>
      </c>
    </row>
    <row r="2657">
      <c r="A2657" s="31" t="n"/>
      <c r="B2657" s="34" t="inlineStr">
        <is>
          <t>Grimace</t>
        </is>
      </c>
      <c r="C2657" s="34" t="inlineStr">
        <is>
          <t>Séisme</t>
        </is>
      </c>
      <c r="D2657" s="34" t="n"/>
      <c r="E2657" s="34" t="n"/>
      <c r="F2657" s="34" t="n"/>
      <c r="G2657" s="34" t="n"/>
      <c r="H2657" s="30" t="inlineStr">
        <is>
          <t>Oui</t>
        </is>
      </c>
    </row>
    <row r="2658">
      <c r="A2658" s="31" t="n"/>
      <c r="B2658" s="34" t="inlineStr">
        <is>
          <t>Repos</t>
        </is>
      </c>
      <c r="C2658" s="34" t="inlineStr">
        <is>
          <t>Giga Impact</t>
        </is>
      </c>
      <c r="D2658" s="34" t="n"/>
      <c r="E2658" s="34" t="n"/>
      <c r="F2658" s="34" t="n"/>
      <c r="G2658" s="34" t="n"/>
      <c r="H2658" s="30" t="inlineStr">
        <is>
          <t>Oui</t>
        </is>
      </c>
    </row>
    <row r="2659">
      <c r="A2659" s="31" t="n"/>
      <c r="B2659" s="34" t="inlineStr">
        <is>
          <t>Ronflement</t>
        </is>
      </c>
      <c r="C2659" s="34" t="inlineStr">
        <is>
          <t>Câlinerie</t>
        </is>
      </c>
      <c r="D2659" s="34" t="n"/>
      <c r="E2659" s="34" t="n"/>
      <c r="F2659" s="34" t="n"/>
      <c r="G2659" s="34" t="n"/>
      <c r="H2659" s="30" t="inlineStr">
        <is>
          <t>Oui</t>
        </is>
      </c>
    </row>
    <row r="2660" ht="18" customHeight="1">
      <c r="A2660" s="26" t="inlineStr">
        <is>
          <t>Aquaria — salle SSW</t>
        </is>
      </c>
      <c r="B2660" s="26" t="n"/>
      <c r="C2660" s="26" t="n"/>
      <c r="D2660" s="26" t="n"/>
      <c r="E2660" s="26" t="n"/>
      <c r="F2660" s="26" t="n"/>
      <c r="G2660" s="26" t="n"/>
      <c r="H2660" s="30" t="inlineStr">
        <is>
          <t>Oui</t>
        </is>
      </c>
    </row>
    <row r="2661">
      <c r="A2661" s="31" t="inlineStr">
        <is>
          <t>Nom</t>
        </is>
      </c>
      <c r="B2661" s="32" t="inlineStr">
        <is>
          <t>Crache-Feu Bozo</t>
        </is>
      </c>
      <c r="C2661" s="32" t="n"/>
      <c r="D2661" s="32" t="n"/>
      <c r="E2661" s="32" t="n"/>
      <c r="F2661" s="32" t="n"/>
      <c r="G2661" s="32" t="n"/>
      <c r="H2661" s="30" t="inlineStr">
        <is>
          <t>Oui</t>
        </is>
      </c>
    </row>
    <row r="2662">
      <c r="A2662" s="31" t="inlineStr">
        <is>
          <t>Pokémon</t>
        </is>
      </c>
      <c r="B2662" s="33" t="inlineStr">
        <is>
          <t>SMOGOGO</t>
        </is>
      </c>
      <c r="C2662" s="33" t="inlineStr">
        <is>
          <t>PYROLI</t>
        </is>
      </c>
      <c r="D2662" s="33" t="inlineStr">
        <is>
          <t>FEUNARD</t>
        </is>
      </c>
      <c r="E2662" s="33" t="n"/>
      <c r="F2662" s="33" t="n"/>
      <c r="G2662" s="33" t="n"/>
      <c r="H2662" s="30" t="inlineStr">
        <is>
          <t>Oui</t>
        </is>
      </c>
    </row>
    <row r="2663">
      <c r="A2663" s="31" t="inlineStr">
        <is>
          <t>Niveau</t>
        </is>
      </c>
      <c r="B2663" s="33" t="n">
        <v>54</v>
      </c>
      <c r="C2663" s="33" t="n">
        <v>54</v>
      </c>
      <c r="D2663" s="33" t="n">
        <v>54</v>
      </c>
      <c r="E2663" s="33" t="n"/>
      <c r="F2663" s="33" t="n"/>
      <c r="G2663" s="33" t="n"/>
      <c r="H2663" s="30" t="inlineStr">
        <is>
          <t>Oui</t>
        </is>
      </c>
    </row>
    <row r="2664">
      <c r="A2664" s="31" t="inlineStr">
        <is>
          <t>Objet</t>
        </is>
      </c>
      <c r="B2664" s="33" t="inlineStr">
        <is>
          <t>Aucun</t>
        </is>
      </c>
      <c r="C2664" s="33" t="inlineStr">
        <is>
          <t>Aucun</t>
        </is>
      </c>
      <c r="D2664" s="33" t="inlineStr">
        <is>
          <t>Aucun</t>
        </is>
      </c>
      <c r="E2664" s="33" t="n"/>
      <c r="F2664" s="33" t="n"/>
      <c r="G2664" s="33" t="n"/>
      <c r="H2664" s="30" t="inlineStr">
        <is>
          <t>Oui</t>
        </is>
      </c>
    </row>
    <row r="2665">
      <c r="A2665" s="31" t="inlineStr">
        <is>
          <t>Talent</t>
        </is>
      </c>
      <c r="B2665" s="33" t="inlineStr">
        <is>
          <t>Lévitation</t>
        </is>
      </c>
      <c r="C2665" s="33" t="inlineStr">
        <is>
          <t>Torche</t>
        </is>
      </c>
      <c r="D2665" s="33" t="inlineStr">
        <is>
          <t>Torche</t>
        </is>
      </c>
      <c r="E2665" s="33" t="n"/>
      <c r="F2665" s="33" t="n"/>
      <c r="G2665" s="33" t="n"/>
      <c r="H2665" s="30" t="inlineStr">
        <is>
          <t>Oui</t>
        </is>
      </c>
    </row>
    <row r="2666">
      <c r="A2666" s="31" t="inlineStr">
        <is>
          <t>Capacités</t>
        </is>
      </c>
      <c r="B2666" s="34" t="inlineStr">
        <is>
          <t>Bombe Beurk</t>
        </is>
      </c>
      <c r="C2666" s="34" t="inlineStr">
        <is>
          <t>Purédpois</t>
        </is>
      </c>
      <c r="D2666" s="34" t="inlineStr">
        <is>
          <t>Lance-Flammes</t>
        </is>
      </c>
      <c r="E2666" s="34" t="n"/>
      <c r="F2666" s="34" t="n"/>
      <c r="G2666" s="34" t="n"/>
      <c r="H2666" s="30" t="inlineStr">
        <is>
          <t>Oui</t>
        </is>
      </c>
    </row>
    <row r="2667">
      <c r="A2667" s="31" t="n"/>
      <c r="B2667" s="34" t="inlineStr">
        <is>
          <t>Explosion</t>
        </is>
      </c>
      <c r="C2667" s="34" t="inlineStr">
        <is>
          <t>Ébullilave</t>
        </is>
      </c>
      <c r="D2667" s="34" t="inlineStr">
        <is>
          <t>Possessif</t>
        </is>
      </c>
      <c r="E2667" s="34" t="n"/>
      <c r="F2667" s="34" t="n"/>
      <c r="G2667" s="34" t="n"/>
      <c r="H2667" s="30" t="inlineStr">
        <is>
          <t>Oui</t>
        </is>
      </c>
    </row>
    <row r="2668">
      <c r="A2668" s="31" t="n"/>
      <c r="B2668" s="34" t="inlineStr">
        <is>
          <t>Lien du Destin</t>
        </is>
      </c>
      <c r="C2668" s="34" t="inlineStr">
        <is>
          <t>Dernier Recours</t>
        </is>
      </c>
      <c r="D2668" s="34" t="inlineStr">
        <is>
          <t>Déflagration</t>
        </is>
      </c>
      <c r="E2668" s="34" t="n"/>
      <c r="F2668" s="34" t="n"/>
      <c r="G2668" s="34" t="n"/>
      <c r="H2668" s="30" t="inlineStr">
        <is>
          <t>Oui</t>
        </is>
      </c>
    </row>
    <row r="2669">
      <c r="A2669" s="31" t="n"/>
      <c r="B2669" s="34" t="inlineStr">
        <is>
          <t>Éructation</t>
        </is>
      </c>
      <c r="C2669" s="34" t="inlineStr">
        <is>
          <t>Boutefeu</t>
        </is>
      </c>
      <c r="D2669" s="34" t="inlineStr">
        <is>
          <t>Rancune</t>
        </is>
      </c>
      <c r="E2669" s="34" t="n"/>
      <c r="F2669" s="34" t="n"/>
      <c r="G2669" s="34" t="n"/>
      <c r="H2669" s="30" t="inlineStr">
        <is>
          <t>Oui</t>
        </is>
      </c>
    </row>
    <row r="2670">
      <c r="A2670" s="31" t="inlineStr">
        <is>
          <t>Nom</t>
        </is>
      </c>
      <c r="B2670" s="32" t="inlineStr">
        <is>
          <t>Scout Amaury</t>
        </is>
      </c>
      <c r="C2670" s="32" t="n"/>
      <c r="D2670" s="32" t="n"/>
      <c r="E2670" s="32" t="n"/>
      <c r="F2670" s="32" t="n"/>
      <c r="G2670" s="32" t="n"/>
      <c r="H2670" s="30" t="inlineStr">
        <is>
          <t>Oui</t>
        </is>
      </c>
    </row>
    <row r="2671">
      <c r="A2671" s="31" t="inlineStr">
        <is>
          <t>Pokémon</t>
        </is>
      </c>
      <c r="B2671" s="33" t="inlineStr">
        <is>
          <t>MIGALOS</t>
        </is>
      </c>
      <c r="C2671" s="33" t="inlineStr">
        <is>
          <t>SCARABRUTE</t>
        </is>
      </c>
      <c r="D2671" s="33" t="n"/>
      <c r="E2671" s="33" t="n"/>
      <c r="F2671" s="33" t="n"/>
      <c r="G2671" s="33" t="n"/>
      <c r="H2671" s="30" t="inlineStr">
        <is>
          <t>Oui</t>
        </is>
      </c>
    </row>
    <row r="2672">
      <c r="A2672" s="31" t="inlineStr">
        <is>
          <t>Niveau</t>
        </is>
      </c>
      <c r="B2672" s="33" t="n">
        <v>60</v>
      </c>
      <c r="C2672" s="33" t="n">
        <v>62</v>
      </c>
      <c r="D2672" s="33" t="n"/>
      <c r="E2672" s="33" t="n"/>
      <c r="F2672" s="33" t="n"/>
      <c r="G2672" s="33" t="n"/>
      <c r="H2672" s="30" t="inlineStr">
        <is>
          <t>Oui</t>
        </is>
      </c>
    </row>
    <row r="2673">
      <c r="A2673" s="31" t="inlineStr">
        <is>
          <t>Objet</t>
        </is>
      </c>
      <c r="B2673" s="33" t="inlineStr">
        <is>
          <t>Aucun</t>
        </is>
      </c>
      <c r="C2673" s="33" t="inlineStr">
        <is>
          <t>Aucun</t>
        </is>
      </c>
      <c r="D2673" s="33" t="n"/>
      <c r="E2673" s="33" t="n"/>
      <c r="F2673" s="33" t="n"/>
      <c r="G2673" s="33" t="n"/>
      <c r="H2673" s="30" t="inlineStr">
        <is>
          <t>Oui</t>
        </is>
      </c>
    </row>
    <row r="2674">
      <c r="A2674" s="31" t="inlineStr">
        <is>
          <t>Talent</t>
        </is>
      </c>
      <c r="B2674" s="33" t="inlineStr">
        <is>
          <t>Essaim</t>
        </is>
      </c>
      <c r="C2674" s="33" t="inlineStr">
        <is>
          <t>Hyper Cutter</t>
        </is>
      </c>
      <c r="D2674" s="33" t="n"/>
      <c r="E2674" s="33" t="n"/>
      <c r="F2674" s="33" t="n"/>
      <c r="G2674" s="33" t="n"/>
      <c r="H2674" s="30" t="inlineStr">
        <is>
          <t>Oui</t>
        </is>
      </c>
    </row>
    <row r="2675">
      <c r="A2675" s="31" t="inlineStr">
        <is>
          <t>Capacités</t>
        </is>
      </c>
      <c r="B2675" s="34" t="inlineStr">
        <is>
          <t>Psyko</t>
        </is>
      </c>
      <c r="C2675" s="34" t="inlineStr">
        <is>
          <t>Mania</t>
        </is>
      </c>
      <c r="D2675" s="34" t="n"/>
      <c r="E2675" s="34" t="n"/>
      <c r="F2675" s="34" t="n"/>
      <c r="G2675" s="34" t="n"/>
      <c r="H2675" s="30" t="inlineStr">
        <is>
          <t>Oui</t>
        </is>
      </c>
    </row>
    <row r="2676">
      <c r="A2676" s="31" t="n"/>
      <c r="B2676" s="34" t="inlineStr">
        <is>
          <t>Direct Toxik</t>
        </is>
      </c>
      <c r="C2676" s="34" t="inlineStr">
        <is>
          <t>Furie-Bond</t>
        </is>
      </c>
      <c r="D2676" s="34" t="n"/>
      <c r="E2676" s="34" t="n"/>
      <c r="F2676" s="34" t="n"/>
      <c r="G2676" s="34" t="n"/>
      <c r="H2676" s="30" t="inlineStr">
        <is>
          <t>Oui</t>
        </is>
      </c>
    </row>
    <row r="2677">
      <c r="A2677" s="31" t="n"/>
      <c r="B2677" s="34" t="inlineStr">
        <is>
          <t>Poison Croix</t>
        </is>
      </c>
      <c r="C2677" s="34" t="inlineStr">
        <is>
          <t>Surpuissance</t>
        </is>
      </c>
      <c r="D2677" s="34" t="n"/>
      <c r="E2677" s="34" t="n"/>
      <c r="F2677" s="34" t="n"/>
      <c r="G2677" s="34" t="n"/>
      <c r="H2677" s="30" t="inlineStr">
        <is>
          <t>Oui</t>
        </is>
      </c>
    </row>
    <row r="2678">
      <c r="A2678" s="31" t="n"/>
      <c r="B2678" s="34" t="inlineStr">
        <is>
          <t>Toile Gluante</t>
        </is>
      </c>
      <c r="C2678" s="34" t="inlineStr">
        <is>
          <t>Guillotine</t>
        </is>
      </c>
      <c r="D2678" s="34" t="n"/>
      <c r="E2678" s="34" t="n"/>
      <c r="F2678" s="34" t="n"/>
      <c r="G2678" s="34" t="n"/>
      <c r="H2678" s="30" t="inlineStr">
        <is>
          <t>Oui</t>
        </is>
      </c>
    </row>
    <row r="2679" ht="18" customHeight="1">
      <c r="A2679" s="26" t="inlineStr">
        <is>
          <t>Aquaria — salle SW</t>
        </is>
      </c>
      <c r="B2679" s="26" t="n"/>
      <c r="C2679" s="26" t="n"/>
      <c r="D2679" s="26" t="n"/>
      <c r="E2679" s="26" t="n"/>
      <c r="F2679" s="26" t="n"/>
      <c r="G2679" s="26" t="n"/>
      <c r="H2679" s="30" t="inlineStr">
        <is>
          <t>Oui</t>
        </is>
      </c>
    </row>
    <row r="2680">
      <c r="A2680" s="31" t="inlineStr">
        <is>
          <t>Nom</t>
        </is>
      </c>
      <c r="B2680" s="32" t="inlineStr">
        <is>
          <t>Canon Claudia</t>
        </is>
      </c>
      <c r="C2680" s="32" t="n"/>
      <c r="D2680" s="32" t="n"/>
      <c r="E2680" s="32" t="n"/>
      <c r="F2680" s="32" t="n"/>
      <c r="G2680" s="32" t="n"/>
      <c r="H2680" s="30" t="inlineStr">
        <is>
          <t>Oui</t>
        </is>
      </c>
    </row>
    <row r="2681">
      <c r="A2681" s="31" t="inlineStr">
        <is>
          <t>Pokémon</t>
        </is>
      </c>
      <c r="B2681" s="33" t="inlineStr">
        <is>
          <t>RAFFLESIA</t>
        </is>
      </c>
      <c r="C2681" s="33" t="inlineStr">
        <is>
          <t>LIPPOUTOU</t>
        </is>
      </c>
      <c r="D2681" s="33" t="n"/>
      <c r="E2681" s="33" t="n"/>
      <c r="F2681" s="33" t="n"/>
      <c r="G2681" s="33" t="n"/>
      <c r="H2681" s="30" t="inlineStr">
        <is>
          <t>Oui</t>
        </is>
      </c>
    </row>
    <row r="2682">
      <c r="A2682" s="31" t="inlineStr">
        <is>
          <t>Niveau</t>
        </is>
      </c>
      <c r="B2682" s="33" t="n">
        <v>60</v>
      </c>
      <c r="C2682" s="33" t="n">
        <v>62</v>
      </c>
      <c r="D2682" s="33" t="n"/>
      <c r="E2682" s="33" t="n"/>
      <c r="F2682" s="33" t="n"/>
      <c r="G2682" s="33" t="n"/>
      <c r="H2682" s="30" t="inlineStr">
        <is>
          <t>Oui</t>
        </is>
      </c>
    </row>
    <row r="2683">
      <c r="A2683" s="31" t="inlineStr">
        <is>
          <t>Objet</t>
        </is>
      </c>
      <c r="B2683" s="33" t="inlineStr">
        <is>
          <t>Aucun</t>
        </is>
      </c>
      <c r="C2683" s="33" t="inlineStr">
        <is>
          <t>Aucun</t>
        </is>
      </c>
      <c r="D2683" s="33" t="n"/>
      <c r="E2683" s="33" t="n"/>
      <c r="F2683" s="33" t="n"/>
      <c r="G2683" s="33" t="n"/>
      <c r="H2683" s="30" t="inlineStr">
        <is>
          <t>Oui</t>
        </is>
      </c>
    </row>
    <row r="2684">
      <c r="A2684" s="31" t="inlineStr">
        <is>
          <t>Talent</t>
        </is>
      </c>
      <c r="B2684" s="33" t="inlineStr">
        <is>
          <t>Chlorophylle</t>
        </is>
      </c>
      <c r="C2684" s="33" t="inlineStr">
        <is>
          <t>Benêt</t>
        </is>
      </c>
      <c r="D2684" s="33" t="n"/>
      <c r="E2684" s="33" t="n"/>
      <c r="F2684" s="33" t="n"/>
      <c r="G2684" s="33" t="n"/>
      <c r="H2684" s="30" t="inlineStr">
        <is>
          <t>Oui</t>
        </is>
      </c>
    </row>
    <row r="2685">
      <c r="A2685" s="31" t="inlineStr">
        <is>
          <t>Capacités</t>
        </is>
      </c>
      <c r="B2685" s="34" t="inlineStr">
        <is>
          <t>Toxik</t>
        </is>
      </c>
      <c r="C2685" s="34" t="inlineStr">
        <is>
          <t>Plaquage</t>
        </is>
      </c>
      <c r="D2685" s="34" t="n"/>
      <c r="E2685" s="34" t="n"/>
      <c r="F2685" s="34" t="n"/>
      <c r="G2685" s="34" t="n"/>
      <c r="H2685" s="30" t="inlineStr">
        <is>
          <t>Oui</t>
        </is>
      </c>
    </row>
    <row r="2686">
      <c r="A2686" s="31" t="n"/>
      <c r="B2686" s="34" t="inlineStr">
        <is>
          <t>Don Naturel</t>
        </is>
      </c>
      <c r="C2686" s="34" t="inlineStr">
        <is>
          <t>Essorage</t>
        </is>
      </c>
      <c r="D2686" s="34" t="n"/>
      <c r="E2686" s="34" t="n"/>
      <c r="F2686" s="34" t="n"/>
      <c r="G2686" s="34" t="n"/>
      <c r="H2686" s="30" t="inlineStr">
        <is>
          <t>Oui</t>
        </is>
      </c>
    </row>
    <row r="2687">
      <c r="A2687" s="31" t="n"/>
      <c r="B2687" s="34" t="inlineStr">
        <is>
          <t>Danse Fleurs</t>
        </is>
      </c>
      <c r="C2687" s="34" t="inlineStr">
        <is>
          <t>Requiem</t>
        </is>
      </c>
      <c r="D2687" s="34" t="n"/>
      <c r="E2687" s="34" t="n"/>
      <c r="F2687" s="34" t="n"/>
      <c r="G2687" s="34" t="n"/>
      <c r="H2687" s="30" t="inlineStr">
        <is>
          <t>Oui</t>
        </is>
      </c>
    </row>
    <row r="2688">
      <c r="A2688" s="31" t="n"/>
      <c r="B2688" s="34" t="inlineStr">
        <is>
          <t>Tempête Florale</t>
        </is>
      </c>
      <c r="C2688" s="34" t="inlineStr">
        <is>
          <t>Blizzard</t>
        </is>
      </c>
      <c r="D2688" s="34" t="n"/>
      <c r="E2688" s="34" t="n"/>
      <c r="F2688" s="34" t="n"/>
      <c r="G2688" s="34" t="n"/>
      <c r="H2688" s="30" t="inlineStr">
        <is>
          <t>Oui</t>
        </is>
      </c>
    </row>
    <row r="2689">
      <c r="A2689" s="31" t="inlineStr">
        <is>
          <t>Nom</t>
        </is>
      </c>
      <c r="B2689" s="32" t="inlineStr">
        <is>
          <t>Guitariste Django</t>
        </is>
      </c>
      <c r="C2689" s="32" t="n"/>
      <c r="D2689" s="32" t="n"/>
      <c r="E2689" s="32" t="n"/>
      <c r="F2689" s="32" t="n"/>
      <c r="G2689" s="32" t="n"/>
      <c r="H2689" s="30" t="inlineStr">
        <is>
          <t>Oui</t>
        </is>
      </c>
    </row>
    <row r="2690">
      <c r="A2690" s="31" t="inlineStr">
        <is>
          <t>Pokémon</t>
        </is>
      </c>
      <c r="B2690" s="33" t="inlineStr">
        <is>
          <t>ELEKTEK</t>
        </is>
      </c>
      <c r="C2690" s="33" t="n"/>
      <c r="D2690" s="33" t="n"/>
      <c r="E2690" s="33" t="n"/>
      <c r="F2690" s="33" t="n"/>
      <c r="G2690" s="33" t="n"/>
      <c r="H2690" s="30" t="inlineStr">
        <is>
          <t>Oui</t>
        </is>
      </c>
    </row>
    <row r="2691">
      <c r="A2691" s="31" t="inlineStr">
        <is>
          <t>Niveau</t>
        </is>
      </c>
      <c r="B2691" s="33" t="n">
        <v>61</v>
      </c>
      <c r="C2691" s="33" t="n"/>
      <c r="D2691" s="33" t="n"/>
      <c r="E2691" s="33" t="n"/>
      <c r="F2691" s="33" t="n"/>
      <c r="G2691" s="33" t="n"/>
      <c r="H2691" s="30" t="inlineStr">
        <is>
          <t>Oui</t>
        </is>
      </c>
    </row>
    <row r="2692">
      <c r="A2692" s="31" t="inlineStr">
        <is>
          <t>Objet</t>
        </is>
      </c>
      <c r="B2692" s="33" t="inlineStr">
        <is>
          <t>Aucun</t>
        </is>
      </c>
      <c r="C2692" s="33" t="n"/>
      <c r="D2692" s="33" t="n"/>
      <c r="E2692" s="33" t="n"/>
      <c r="F2692" s="33" t="n"/>
      <c r="G2692" s="33" t="n"/>
      <c r="H2692" s="30" t="inlineStr">
        <is>
          <t>Oui</t>
        </is>
      </c>
    </row>
    <row r="2693">
      <c r="A2693" s="31" t="inlineStr">
        <is>
          <t>Talent</t>
        </is>
      </c>
      <c r="B2693" s="33" t="inlineStr">
        <is>
          <t>Statik</t>
        </is>
      </c>
      <c r="C2693" s="33" t="n"/>
      <c r="D2693" s="33" t="n"/>
      <c r="E2693" s="33" t="n"/>
      <c r="F2693" s="33" t="n"/>
      <c r="G2693" s="33" t="n"/>
      <c r="H2693" s="30" t="inlineStr">
        <is>
          <t>Oui</t>
        </is>
      </c>
    </row>
    <row r="2694">
      <c r="A2694" s="31" t="inlineStr">
        <is>
          <t>Capacités</t>
        </is>
      </c>
      <c r="B2694" s="34" t="inlineStr">
        <is>
          <t>Coup d'Jus</t>
        </is>
      </c>
      <c r="C2694" s="34" t="n"/>
      <c r="D2694" s="34" t="n"/>
      <c r="E2694" s="34" t="n"/>
      <c r="F2694" s="34" t="n"/>
      <c r="G2694" s="34" t="n"/>
      <c r="H2694" s="30" t="inlineStr">
        <is>
          <t>Oui</t>
        </is>
      </c>
    </row>
    <row r="2695">
      <c r="A2695" s="31" t="n"/>
      <c r="B2695" s="34" t="inlineStr">
        <is>
          <t>Grincement</t>
        </is>
      </c>
      <c r="C2695" s="34" t="n"/>
      <c r="D2695" s="34" t="n"/>
      <c r="E2695" s="34" t="n"/>
      <c r="F2695" s="34" t="n"/>
      <c r="G2695" s="34" t="n"/>
      <c r="H2695" s="30" t="inlineStr">
        <is>
          <t>Oui</t>
        </is>
      </c>
    </row>
    <row r="2696">
      <c r="A2696" s="31" t="n"/>
      <c r="B2696" s="34" t="inlineStr">
        <is>
          <t>Tonnerre</t>
        </is>
      </c>
      <c r="C2696" s="34" t="n"/>
      <c r="D2696" s="34" t="n"/>
      <c r="E2696" s="34" t="n"/>
      <c r="F2696" s="34" t="n"/>
      <c r="G2696" s="34" t="n"/>
      <c r="H2696" s="30" t="inlineStr">
        <is>
          <t>Oui</t>
        </is>
      </c>
    </row>
    <row r="2697">
      <c r="A2697" s="31" t="n"/>
      <c r="B2697" s="34" t="inlineStr">
        <is>
          <t>Fatal-Foudre</t>
        </is>
      </c>
      <c r="C2697" s="34" t="n"/>
      <c r="D2697" s="34" t="n"/>
      <c r="E2697" s="34" t="n"/>
      <c r="F2697" s="34" t="n"/>
      <c r="G2697" s="34" t="n"/>
      <c r="H2697" s="30" t="inlineStr">
        <is>
          <t>Oui</t>
        </is>
      </c>
    </row>
    <row r="2698" ht="18" customHeight="1">
      <c r="A2698" s="26" t="inlineStr">
        <is>
          <t>Carmin sur Mer — Arène</t>
        </is>
      </c>
      <c r="B2698" s="26" t="n"/>
      <c r="C2698" s="26" t="n"/>
      <c r="D2698" s="26" t="n"/>
      <c r="E2698" s="26" t="n"/>
      <c r="F2698" s="26" t="n"/>
      <c r="G2698" s="26" t="n"/>
      <c r="H2698" s="30" t="inlineStr">
        <is>
          <t>Oui</t>
        </is>
      </c>
    </row>
    <row r="2699">
      <c r="A2699" s="31" t="inlineStr">
        <is>
          <t>Nom</t>
        </is>
      </c>
      <c r="B2699" s="32" t="inlineStr">
        <is>
          <t>Gentleman Hugues</t>
        </is>
      </c>
      <c r="C2699" s="32" t="n"/>
      <c r="D2699" s="32" t="n"/>
      <c r="E2699" s="32" t="n"/>
      <c r="F2699" s="32" t="n"/>
      <c r="G2699" s="32" t="n"/>
      <c r="H2699" s="30" t="inlineStr">
        <is>
          <t>Oui</t>
        </is>
      </c>
    </row>
    <row r="2700">
      <c r="A2700" s="31" t="inlineStr">
        <is>
          <t>Pokémon</t>
        </is>
      </c>
      <c r="B2700" s="33" t="inlineStr">
        <is>
          <t>PIKACHU</t>
        </is>
      </c>
      <c r="C2700" s="33" t="inlineStr">
        <is>
          <t>PHARAMP</t>
        </is>
      </c>
      <c r="D2700" s="33" t="n"/>
      <c r="E2700" s="33" t="n"/>
      <c r="F2700" s="33" t="n"/>
      <c r="G2700" s="33" t="n"/>
      <c r="H2700" s="30" t="inlineStr">
        <is>
          <t>Oui</t>
        </is>
      </c>
    </row>
    <row r="2701">
      <c r="A2701" s="31" t="inlineStr">
        <is>
          <t>Niveau</t>
        </is>
      </c>
      <c r="B2701" s="33" t="n">
        <v>57</v>
      </c>
      <c r="C2701" s="33" t="n">
        <v>56</v>
      </c>
      <c r="D2701" s="33" t="n"/>
      <c r="E2701" s="33" t="n"/>
      <c r="F2701" s="33" t="n"/>
      <c r="G2701" s="33" t="n"/>
      <c r="H2701" s="30" t="inlineStr">
        <is>
          <t>Oui</t>
        </is>
      </c>
    </row>
    <row r="2702">
      <c r="A2702" s="31" t="inlineStr">
        <is>
          <t>Objet</t>
        </is>
      </c>
      <c r="B2702" s="33" t="inlineStr">
        <is>
          <t>Aucun</t>
        </is>
      </c>
      <c r="C2702" s="33" t="inlineStr">
        <is>
          <t>Aucun</t>
        </is>
      </c>
      <c r="D2702" s="33" t="n"/>
      <c r="E2702" s="33" t="n"/>
      <c r="F2702" s="33" t="n"/>
      <c r="G2702" s="33" t="n"/>
      <c r="H2702" s="30" t="inlineStr">
        <is>
          <t>Oui</t>
        </is>
      </c>
    </row>
    <row r="2703">
      <c r="A2703" s="31" t="inlineStr">
        <is>
          <t>Talent</t>
        </is>
      </c>
      <c r="B2703" s="33" t="inlineStr">
        <is>
          <t>Statik</t>
        </is>
      </c>
      <c r="C2703" s="33" t="inlineStr">
        <is>
          <t>Statik</t>
        </is>
      </c>
      <c r="D2703" s="33" t="n"/>
      <c r="E2703" s="33" t="n"/>
      <c r="F2703" s="33" t="n"/>
      <c r="G2703" s="33" t="n"/>
      <c r="H2703" s="30" t="inlineStr">
        <is>
          <t>Oui</t>
        </is>
      </c>
    </row>
    <row r="2704">
      <c r="A2704" s="31" t="inlineStr">
        <is>
          <t>Capacités</t>
        </is>
      </c>
      <c r="B2704" s="34" t="inlineStr">
        <is>
          <t>Hâte</t>
        </is>
      </c>
      <c r="C2704" s="34" t="inlineStr">
        <is>
          <t>Rayon Gemme</t>
        </is>
      </c>
      <c r="D2704" s="34" t="n"/>
      <c r="E2704" s="34" t="n"/>
      <c r="F2704" s="34" t="n"/>
      <c r="G2704" s="34" t="n"/>
      <c r="H2704" s="30" t="inlineStr">
        <is>
          <t>Oui</t>
        </is>
      </c>
    </row>
    <row r="2705">
      <c r="A2705" s="31" t="n"/>
      <c r="B2705" s="34" t="inlineStr">
        <is>
          <t>Électacle</t>
        </is>
      </c>
      <c r="C2705" s="34" t="inlineStr">
        <is>
          <t>Coup d'Jus</t>
        </is>
      </c>
      <c r="D2705" s="34" t="n"/>
      <c r="E2705" s="34" t="n"/>
      <c r="F2705" s="34" t="n"/>
      <c r="G2705" s="34" t="n"/>
      <c r="H2705" s="30" t="inlineStr">
        <is>
          <t>Oui</t>
        </is>
      </c>
    </row>
    <row r="2706">
      <c r="A2706" s="31" t="n"/>
      <c r="B2706" s="34" t="inlineStr">
        <is>
          <t>Éclair Fou</t>
        </is>
      </c>
      <c r="C2706" s="34" t="inlineStr">
        <is>
          <t>Cotogarde</t>
        </is>
      </c>
      <c r="D2706" s="34" t="n"/>
      <c r="E2706" s="34" t="n"/>
      <c r="F2706" s="34" t="n"/>
      <c r="G2706" s="34" t="n"/>
      <c r="H2706" s="30" t="inlineStr">
        <is>
          <t>Oui</t>
        </is>
      </c>
    </row>
    <row r="2707">
      <c r="A2707" s="31" t="n"/>
      <c r="B2707" s="34" t="inlineStr">
        <is>
          <t>Mur Lumière</t>
        </is>
      </c>
      <c r="C2707" s="34" t="inlineStr">
        <is>
          <t>Rayon Signal</t>
        </is>
      </c>
      <c r="D2707" s="34" t="n"/>
      <c r="E2707" s="34" t="n"/>
      <c r="F2707" s="34" t="n"/>
      <c r="G2707" s="34" t="n"/>
      <c r="H2707" s="30" t="inlineStr">
        <is>
          <t>Oui</t>
        </is>
      </c>
    </row>
    <row r="2708">
      <c r="A2708" s="31" t="inlineStr">
        <is>
          <t>Nom</t>
        </is>
      </c>
      <c r="B2708" s="32" t="inlineStr">
        <is>
          <t>Guitariste Carlos</t>
        </is>
      </c>
      <c r="C2708" s="32" t="n"/>
      <c r="D2708" s="32" t="n"/>
      <c r="E2708" s="32" t="n"/>
      <c r="F2708" s="32" t="n"/>
      <c r="G2708" s="32" t="n"/>
      <c r="H2708" s="30" t="inlineStr">
        <is>
          <t>Oui</t>
        </is>
      </c>
    </row>
    <row r="2709">
      <c r="A2709" s="31" t="inlineStr">
        <is>
          <t>Pokémon</t>
        </is>
      </c>
      <c r="B2709" s="33" t="inlineStr">
        <is>
          <t>MAGNETON</t>
        </is>
      </c>
      <c r="C2709" s="33" t="inlineStr">
        <is>
          <t>ELECTRODE</t>
        </is>
      </c>
      <c r="D2709" s="33" t="inlineStr">
        <is>
          <t>MAGNETON</t>
        </is>
      </c>
      <c r="E2709" s="33" t="inlineStr">
        <is>
          <t>VOLTALI</t>
        </is>
      </c>
      <c r="F2709" s="33" t="n"/>
      <c r="G2709" s="33" t="n"/>
      <c r="H2709" s="30" t="inlineStr">
        <is>
          <t>Oui</t>
        </is>
      </c>
    </row>
    <row r="2710">
      <c r="A2710" s="31" t="inlineStr">
        <is>
          <t>Niveau</t>
        </is>
      </c>
      <c r="B2710" s="33" t="n">
        <v>57</v>
      </c>
      <c r="C2710" s="33" t="n">
        <v>55</v>
      </c>
      <c r="D2710" s="33" t="n">
        <v>57</v>
      </c>
      <c r="E2710" s="33" t="n">
        <v>55</v>
      </c>
      <c r="F2710" s="33" t="n"/>
      <c r="G2710" s="33" t="n"/>
      <c r="H2710" s="30" t="inlineStr">
        <is>
          <t>Oui</t>
        </is>
      </c>
    </row>
    <row r="2711">
      <c r="A2711" s="31" t="inlineStr">
        <is>
          <t>Objet</t>
        </is>
      </c>
      <c r="B2711" s="33" t="inlineStr">
        <is>
          <t>Aucun</t>
        </is>
      </c>
      <c r="C2711" s="33" t="inlineStr">
        <is>
          <t>Aucun</t>
        </is>
      </c>
      <c r="D2711" s="33" t="inlineStr">
        <is>
          <t>Aucun</t>
        </is>
      </c>
      <c r="E2711" s="33" t="inlineStr">
        <is>
          <t>Aucun</t>
        </is>
      </c>
      <c r="F2711" s="33" t="n"/>
      <c r="G2711" s="33" t="n"/>
      <c r="H2711" s="30" t="inlineStr">
        <is>
          <t>Oui</t>
        </is>
      </c>
    </row>
    <row r="2712">
      <c r="A2712" s="31" t="inlineStr">
        <is>
          <t>Talent</t>
        </is>
      </c>
      <c r="B2712" s="33" t="inlineStr">
        <is>
          <t>Magnépiège</t>
        </is>
      </c>
      <c r="C2712" s="33" t="inlineStr">
        <is>
          <t>Anti-Bruit</t>
        </is>
      </c>
      <c r="D2712" s="33" t="inlineStr">
        <is>
          <t>Magnépiège</t>
        </is>
      </c>
      <c r="E2712" s="33" t="inlineStr">
        <is>
          <t>Absorbe-Volt</t>
        </is>
      </c>
      <c r="F2712" s="33" t="n"/>
      <c r="G2712" s="33" t="n"/>
      <c r="H2712" s="30" t="inlineStr">
        <is>
          <t>Oui</t>
        </is>
      </c>
    </row>
    <row r="2713">
      <c r="A2713" s="31" t="inlineStr">
        <is>
          <t>Capacités</t>
        </is>
      </c>
      <c r="B2713" s="34" t="inlineStr">
        <is>
          <t>Grincement</t>
        </is>
      </c>
      <c r="C2713" s="34" t="inlineStr">
        <is>
          <t>Vol Magnétik</t>
        </is>
      </c>
      <c r="D2713" s="34" t="inlineStr">
        <is>
          <t>Grincement</t>
        </is>
      </c>
      <c r="E2713" s="34" t="inlineStr">
        <is>
          <t>Cage Éclair</t>
        </is>
      </c>
      <c r="F2713" s="34" t="n"/>
      <c r="G2713" s="34" t="n"/>
      <c r="H2713" s="30" t="inlineStr">
        <is>
          <t>Oui</t>
        </is>
      </c>
    </row>
    <row r="2714">
      <c r="A2714" s="31" t="n"/>
      <c r="B2714" s="34" t="inlineStr">
        <is>
          <t>Coup d'Jus</t>
        </is>
      </c>
      <c r="C2714" s="34" t="inlineStr">
        <is>
          <t>Coup d'Jus</t>
        </is>
      </c>
      <c r="D2714" s="34" t="inlineStr">
        <is>
          <t>Coup d'Jus</t>
        </is>
      </c>
      <c r="E2714" s="34" t="inlineStr">
        <is>
          <t>Coup d'Jus</t>
        </is>
      </c>
      <c r="F2714" s="34" t="n"/>
      <c r="G2714" s="34" t="n"/>
      <c r="H2714" s="30" t="inlineStr">
        <is>
          <t>Oui</t>
        </is>
      </c>
    </row>
    <row r="2715">
      <c r="A2715" s="31" t="n"/>
      <c r="B2715" s="34" t="inlineStr">
        <is>
          <t>Verrouillage</t>
        </is>
      </c>
      <c r="C2715" s="34" t="inlineStr">
        <is>
          <t>Explosion</t>
        </is>
      </c>
      <c r="D2715" s="34" t="inlineStr">
        <is>
          <t>Verrouillage</t>
        </is>
      </c>
      <c r="E2715" s="34" t="inlineStr">
        <is>
          <t>Dernier Recours</t>
        </is>
      </c>
      <c r="F2715" s="34" t="n"/>
      <c r="G2715" s="34" t="n"/>
      <c r="H2715" s="30" t="inlineStr">
        <is>
          <t>Oui</t>
        </is>
      </c>
    </row>
    <row r="2716">
      <c r="A2716" s="31" t="n"/>
      <c r="B2716" s="34" t="inlineStr">
        <is>
          <t>Vol Magnétik</t>
        </is>
      </c>
      <c r="C2716" s="34" t="inlineStr">
        <is>
          <t>Gyroballe</t>
        </is>
      </c>
      <c r="D2716" s="34" t="inlineStr">
        <is>
          <t>Vol Magnétik</t>
        </is>
      </c>
      <c r="E2716" s="34" t="inlineStr">
        <is>
          <t>Fatal-Foudre</t>
        </is>
      </c>
      <c r="F2716" s="34" t="n"/>
      <c r="G2716" s="34" t="n"/>
      <c r="H2716" s="30" t="inlineStr">
        <is>
          <t>Oui</t>
        </is>
      </c>
    </row>
    <row r="2717">
      <c r="A2717" s="31" t="inlineStr">
        <is>
          <t>Nom</t>
        </is>
      </c>
      <c r="B2717" s="32" t="inlineStr">
        <is>
          <t>Jongleur Harpo</t>
        </is>
      </c>
      <c r="C2717" s="32" t="n"/>
      <c r="D2717" s="32" t="n"/>
      <c r="E2717" s="32" t="n"/>
      <c r="F2717" s="32" t="n"/>
      <c r="G2717" s="32" t="n"/>
      <c r="H2717" s="30" t="inlineStr">
        <is>
          <t>Oui</t>
        </is>
      </c>
    </row>
    <row r="2718">
      <c r="A2718" s="31" t="inlineStr">
        <is>
          <t>Pokémon</t>
        </is>
      </c>
      <c r="B2718" s="33" t="inlineStr">
        <is>
          <t>ELECTRODE</t>
        </is>
      </c>
      <c r="C2718" s="33" t="inlineStr">
        <is>
          <t>ELECTRODE</t>
        </is>
      </c>
      <c r="D2718" s="33" t="inlineStr">
        <is>
          <t>ELECTRODE</t>
        </is>
      </c>
      <c r="E2718" s="33" t="inlineStr">
        <is>
          <t>ELECTRODE</t>
        </is>
      </c>
      <c r="F2718" s="33" t="n"/>
      <c r="G2718" s="33" t="n"/>
      <c r="H2718" s="30" t="inlineStr">
        <is>
          <t>Oui</t>
        </is>
      </c>
    </row>
    <row r="2719">
      <c r="A2719" s="31" t="inlineStr">
        <is>
          <t>Niveau</t>
        </is>
      </c>
      <c r="B2719" s="33" t="n">
        <v>56</v>
      </c>
      <c r="C2719" s="33" t="n">
        <v>57</v>
      </c>
      <c r="D2719" s="33" t="n">
        <v>56</v>
      </c>
      <c r="E2719" s="33" t="n">
        <v>58</v>
      </c>
      <c r="F2719" s="33" t="n"/>
      <c r="G2719" s="33" t="n"/>
      <c r="H2719" s="30" t="inlineStr">
        <is>
          <t>Oui</t>
        </is>
      </c>
    </row>
    <row r="2720">
      <c r="A2720" s="31" t="inlineStr">
        <is>
          <t>Objet</t>
        </is>
      </c>
      <c r="B2720" s="33" t="inlineStr">
        <is>
          <t>Aucun</t>
        </is>
      </c>
      <c r="C2720" s="33" t="inlineStr">
        <is>
          <t>Aucun</t>
        </is>
      </c>
      <c r="D2720" s="33" t="inlineStr">
        <is>
          <t>Aucun</t>
        </is>
      </c>
      <c r="E2720" s="33" t="inlineStr">
        <is>
          <t>Aucun</t>
        </is>
      </c>
      <c r="F2720" s="33" t="n"/>
      <c r="G2720" s="33" t="n"/>
      <c r="H2720" s="30" t="inlineStr">
        <is>
          <t>Oui</t>
        </is>
      </c>
    </row>
    <row r="2721">
      <c r="A2721" s="31" t="inlineStr">
        <is>
          <t>Talent</t>
        </is>
      </c>
      <c r="B2721" s="33" t="inlineStr">
        <is>
          <t>Anti-Bruit</t>
        </is>
      </c>
      <c r="C2721" s="33" t="inlineStr">
        <is>
          <t>Anti-Bruit</t>
        </is>
      </c>
      <c r="D2721" s="33" t="inlineStr">
        <is>
          <t>Anti-Bruit</t>
        </is>
      </c>
      <c r="E2721" s="33" t="inlineStr">
        <is>
          <t>Anti-Bruit</t>
        </is>
      </c>
      <c r="F2721" s="33" t="n"/>
      <c r="G2721" s="33" t="n"/>
      <c r="H2721" s="30" t="inlineStr">
        <is>
          <t>Oui</t>
        </is>
      </c>
    </row>
    <row r="2722">
      <c r="A2722" s="31" t="inlineStr">
        <is>
          <t>Capacités</t>
        </is>
      </c>
      <c r="B2722" s="34" t="inlineStr">
        <is>
          <t>Coup d'Jus</t>
        </is>
      </c>
      <c r="C2722" s="34" t="inlineStr">
        <is>
          <t>Coup d'Jus</t>
        </is>
      </c>
      <c r="D2722" s="34" t="inlineStr">
        <is>
          <t>Coup d'Jus</t>
        </is>
      </c>
      <c r="E2722" s="34" t="inlineStr">
        <is>
          <t>Explosion</t>
        </is>
      </c>
      <c r="F2722" s="34" t="n"/>
      <c r="G2722" s="34" t="n"/>
      <c r="H2722" s="30" t="inlineStr">
        <is>
          <t>Oui</t>
        </is>
      </c>
    </row>
    <row r="2723">
      <c r="A2723" s="31" t="n"/>
      <c r="B2723" s="34" t="inlineStr">
        <is>
          <t>Explosion</t>
        </is>
      </c>
      <c r="C2723" s="34" t="inlineStr">
        <is>
          <t>Explosion</t>
        </is>
      </c>
      <c r="D2723" s="34" t="inlineStr">
        <is>
          <t>Explosion</t>
        </is>
      </c>
      <c r="E2723" s="34" t="inlineStr">
        <is>
          <t>Gyroballe</t>
        </is>
      </c>
      <c r="F2723" s="34" t="n"/>
      <c r="G2723" s="34" t="n"/>
      <c r="H2723" s="30" t="inlineStr">
        <is>
          <t>Oui</t>
        </is>
      </c>
    </row>
    <row r="2724">
      <c r="A2724" s="31" t="n"/>
      <c r="B2724" s="34" t="inlineStr">
        <is>
          <t>Gyroballe</t>
        </is>
      </c>
      <c r="C2724" s="34" t="inlineStr">
        <is>
          <t>Gyroballe</t>
        </is>
      </c>
      <c r="D2724" s="34" t="inlineStr">
        <is>
          <t>Gyroballe</t>
        </is>
      </c>
      <c r="E2724" s="34" t="inlineStr">
        <is>
          <t>Luminocanon</t>
        </is>
      </c>
      <c r="F2724" s="34" t="n"/>
      <c r="G2724" s="34" t="n"/>
      <c r="H2724" s="30" t="inlineStr">
        <is>
          <t>Oui</t>
        </is>
      </c>
    </row>
    <row r="2725">
      <c r="A2725" s="31" t="n"/>
      <c r="B2725" s="34" t="inlineStr">
        <is>
          <t>Luminocanon</t>
        </is>
      </c>
      <c r="C2725" s="34" t="inlineStr">
        <is>
          <t>Luminocanon</t>
        </is>
      </c>
      <c r="D2725" s="34" t="inlineStr">
        <is>
          <t>Luminocanon</t>
        </is>
      </c>
      <c r="E2725" s="34" t="inlineStr">
        <is>
          <t>Voile Miroir</t>
        </is>
      </c>
      <c r="F2725" s="34" t="n"/>
      <c r="G2725" s="34" t="n"/>
      <c r="H2725" s="30" t="inlineStr">
        <is>
          <t>Oui</t>
        </is>
      </c>
    </row>
    <row r="2726">
      <c r="A2726" s="31" t="inlineStr">
        <is>
          <t>Nom</t>
        </is>
      </c>
      <c r="B2726" s="32" t="inlineStr">
        <is>
          <t>Champion Major Bob</t>
        </is>
      </c>
      <c r="C2726" s="32" t="n"/>
      <c r="D2726" s="32" t="n"/>
      <c r="E2726" s="32" t="n"/>
      <c r="F2726" s="32" t="n"/>
      <c r="G2726" s="32" t="n"/>
      <c r="H2726" s="30" t="inlineStr">
        <is>
          <t>Oui</t>
        </is>
      </c>
    </row>
    <row r="2727">
      <c r="A2727" s="31" t="inlineStr">
        <is>
          <t>Pokémon</t>
        </is>
      </c>
      <c r="B2727" s="33" t="inlineStr">
        <is>
          <t>ELECTRODE</t>
        </is>
      </c>
      <c r="C2727" s="33" t="inlineStr">
        <is>
          <t>MAGNEZONE</t>
        </is>
      </c>
      <c r="D2727" s="33" t="inlineStr">
        <is>
          <t>LANTURN</t>
        </is>
      </c>
      <c r="E2727" s="33" t="inlineStr">
        <is>
          <t>ELECSPRINT</t>
        </is>
      </c>
      <c r="F2727" s="33" t="inlineStr">
        <is>
          <t>ELEKABLE</t>
        </is>
      </c>
      <c r="G2727" s="33" t="inlineStr">
        <is>
          <t>RAICHU</t>
        </is>
      </c>
      <c r="H2727" s="30" t="inlineStr">
        <is>
          <t>Oui</t>
        </is>
      </c>
    </row>
    <row r="2728">
      <c r="A2728" s="31" t="inlineStr">
        <is>
          <t>Niveau</t>
        </is>
      </c>
      <c r="B2728" s="33" t="n">
        <v>57</v>
      </c>
      <c r="C2728" s="33" t="n">
        <v>59</v>
      </c>
      <c r="D2728" s="33" t="n">
        <v>58</v>
      </c>
      <c r="E2728" s="33" t="n">
        <v>58</v>
      </c>
      <c r="F2728" s="33" t="n">
        <v>59</v>
      </c>
      <c r="G2728" s="33" t="n">
        <v>60</v>
      </c>
      <c r="H2728" s="30" t="inlineStr">
        <is>
          <t>Oui</t>
        </is>
      </c>
    </row>
    <row r="2729">
      <c r="A2729" s="31" t="inlineStr">
        <is>
          <t>Objet</t>
        </is>
      </c>
      <c r="B2729" s="33" t="inlineStr">
        <is>
          <t>Bandeau</t>
        </is>
      </c>
      <c r="C2729" s="33" t="inlineStr">
        <is>
          <t>Aucun</t>
        </is>
      </c>
      <c r="D2729" s="33" t="inlineStr">
        <is>
          <t>Restes</t>
        </is>
      </c>
      <c r="E2729" s="33" t="inlineStr">
        <is>
          <t>Aucun</t>
        </is>
      </c>
      <c r="F2729" s="33" t="inlineStr">
        <is>
          <t>Lentilscope</t>
        </is>
      </c>
      <c r="G2729" s="33" t="inlineStr">
        <is>
          <t>Aimant</t>
        </is>
      </c>
      <c r="H2729" s="30" t="inlineStr">
        <is>
          <t>Oui</t>
        </is>
      </c>
    </row>
    <row r="2730">
      <c r="A2730" s="31" t="inlineStr">
        <is>
          <t>Talent</t>
        </is>
      </c>
      <c r="B2730" s="33" t="inlineStr">
        <is>
          <t>Anti-Bruit</t>
        </is>
      </c>
      <c r="C2730" s="33" t="inlineStr">
        <is>
          <t>Magnépiège</t>
        </is>
      </c>
      <c r="D2730" s="33" t="inlineStr">
        <is>
          <t>Absorbe-Volt</t>
        </is>
      </c>
      <c r="E2730" s="33" t="inlineStr">
        <is>
          <t>Statik</t>
        </is>
      </c>
      <c r="F2730" s="33" t="inlineStr">
        <is>
          <t>Motorisé</t>
        </is>
      </c>
      <c r="G2730" s="33" t="inlineStr">
        <is>
          <t>Statik</t>
        </is>
      </c>
      <c r="H2730" s="30" t="inlineStr">
        <is>
          <t>Oui</t>
        </is>
      </c>
    </row>
    <row r="2731">
      <c r="A2731" s="31" t="inlineStr">
        <is>
          <t>Capacités</t>
        </is>
      </c>
      <c r="B2731" s="34" t="inlineStr">
        <is>
          <t>Onde de Choc</t>
        </is>
      </c>
      <c r="C2731" s="34" t="inlineStr">
        <is>
          <t>Fatal-Foudre</t>
        </is>
      </c>
      <c r="D2731" s="34" t="inlineStr">
        <is>
          <t>Déluge Plasmique</t>
        </is>
      </c>
      <c r="E2731" s="34" t="inlineStr">
        <is>
          <t>Éclair Fou</t>
        </is>
      </c>
      <c r="F2731" s="34" t="inlineStr">
        <is>
          <t>Tonnerre</t>
        </is>
      </c>
      <c r="G2731" s="34" t="inlineStr">
        <is>
          <t>Fatal-Foudre</t>
        </is>
      </c>
      <c r="H2731" s="30" t="inlineStr">
        <is>
          <t>Oui</t>
        </is>
      </c>
    </row>
    <row r="2732">
      <c r="A2732" s="31" t="n"/>
      <c r="B2732" s="34" t="inlineStr">
        <is>
          <t>Danse Pluie</t>
        </is>
      </c>
      <c r="C2732" s="34" t="inlineStr">
        <is>
          <t>Protection</t>
        </is>
      </c>
      <c r="D2732" s="34" t="inlineStr">
        <is>
          <t>Hydrocanon</t>
        </is>
      </c>
      <c r="E2732" s="34" t="inlineStr">
        <is>
          <t>Chargeur</t>
        </is>
      </c>
      <c r="F2732" s="34" t="inlineStr">
        <is>
          <t>Poing Feu</t>
        </is>
      </c>
      <c r="G2732" s="34" t="inlineStr">
        <is>
          <t>Danse Pluie</t>
        </is>
      </c>
      <c r="H2732" s="30" t="inlineStr">
        <is>
          <t>Oui</t>
        </is>
      </c>
    </row>
    <row r="2733">
      <c r="A2733" s="31" t="n"/>
      <c r="B2733" s="34" t="inlineStr">
        <is>
          <t>Cage Éclair</t>
        </is>
      </c>
      <c r="C2733" s="34" t="inlineStr">
        <is>
          <t>Danse Pluie</t>
        </is>
      </c>
      <c r="D2733" s="34" t="inlineStr">
        <is>
          <t>Coup d'Jus</t>
        </is>
      </c>
      <c r="E2733" s="34" t="inlineStr">
        <is>
          <t>Mâchouille</t>
        </is>
      </c>
      <c r="F2733" s="34" t="inlineStr">
        <is>
          <t>Poing Glace</t>
        </is>
      </c>
      <c r="G2733" s="34" t="inlineStr">
        <is>
          <t>Plaquage</t>
        </is>
      </c>
      <c r="H2733" s="30" t="inlineStr">
        <is>
          <t>Oui</t>
        </is>
      </c>
    </row>
    <row r="2734">
      <c r="A2734" s="31" t="n"/>
      <c r="B2734" s="34" t="inlineStr">
        <is>
          <t>Explosion</t>
        </is>
      </c>
      <c r="C2734" s="34" t="inlineStr">
        <is>
          <t>Damoclès</t>
        </is>
      </c>
      <c r="D2734" s="34" t="inlineStr">
        <is>
          <t>Onde Folie</t>
        </is>
      </c>
      <c r="E2734" s="34" t="inlineStr">
        <is>
          <t>Champ Électrifié</t>
        </is>
      </c>
      <c r="F2734" s="34" t="inlineStr">
        <is>
          <t>Sacrifice</t>
        </is>
      </c>
      <c r="G2734" s="34" t="inlineStr">
        <is>
          <t>Surf</t>
        </is>
      </c>
      <c r="H2734" s="30" t="inlineStr">
        <is>
          <t>Oui</t>
        </is>
      </c>
    </row>
    <row r="2735" ht="18" customHeight="1">
      <c r="A2735" s="26" t="inlineStr">
        <is>
          <t>Route 6</t>
        </is>
      </c>
      <c r="B2735" s="26" t="n"/>
      <c r="C2735" s="26" t="n"/>
      <c r="D2735" s="26" t="n"/>
      <c r="E2735" s="26" t="n"/>
      <c r="F2735" s="26" t="n"/>
      <c r="G2735" s="26" t="n"/>
      <c r="H2735" s="30" t="inlineStr">
        <is>
          <t>Oui</t>
        </is>
      </c>
    </row>
    <row r="2736">
      <c r="A2736" s="31" t="inlineStr">
        <is>
          <t>Nom</t>
        </is>
      </c>
      <c r="B2736" s="32" t="inlineStr">
        <is>
          <t>Pokéfan Victor</t>
        </is>
      </c>
      <c r="C2736" s="32" t="n"/>
      <c r="D2736" s="32" t="n"/>
      <c r="E2736" s="32" t="n"/>
      <c r="F2736" s="32" t="n"/>
      <c r="G2736" s="32" t="n"/>
      <c r="H2736" s="30" t="inlineStr">
        <is>
          <t>Oui</t>
        </is>
      </c>
    </row>
    <row r="2737">
      <c r="A2737" s="31" t="inlineStr">
        <is>
          <t>Pokémon</t>
        </is>
      </c>
      <c r="B2737" s="33" t="inlineStr">
        <is>
          <t>CERFROUSSE</t>
        </is>
      </c>
      <c r="C2737" s="33" t="n"/>
      <c r="D2737" s="33" t="n"/>
      <c r="E2737" s="33" t="n"/>
      <c r="F2737" s="33" t="n"/>
      <c r="G2737" s="33" t="n"/>
      <c r="H2737" s="30" t="inlineStr">
        <is>
          <t>Oui</t>
        </is>
      </c>
    </row>
    <row r="2738">
      <c r="A2738" s="31" t="inlineStr">
        <is>
          <t>Niveau</t>
        </is>
      </c>
      <c r="B2738" s="33" t="n">
        <v>55</v>
      </c>
      <c r="C2738" s="33" t="n"/>
      <c r="D2738" s="33" t="n"/>
      <c r="E2738" s="33" t="n"/>
      <c r="F2738" s="33" t="n"/>
      <c r="G2738" s="33" t="n"/>
      <c r="H2738" s="30" t="inlineStr">
        <is>
          <t>Oui</t>
        </is>
      </c>
    </row>
    <row r="2739">
      <c r="A2739" s="31" t="inlineStr">
        <is>
          <t>Objet</t>
        </is>
      </c>
      <c r="B2739" s="33" t="inlineStr">
        <is>
          <t>Aucun</t>
        </is>
      </c>
      <c r="C2739" s="33" t="n"/>
      <c r="D2739" s="33" t="n"/>
      <c r="E2739" s="33" t="n"/>
      <c r="F2739" s="33" t="n"/>
      <c r="G2739" s="33" t="n"/>
      <c r="H2739" s="30" t="inlineStr">
        <is>
          <t>Oui</t>
        </is>
      </c>
    </row>
    <row r="2740">
      <c r="A2740" s="31" t="inlineStr">
        <is>
          <t>Talent</t>
        </is>
      </c>
      <c r="B2740" s="33" t="inlineStr">
        <is>
          <t>Intimidation</t>
        </is>
      </c>
      <c r="C2740" s="33" t="n"/>
      <c r="D2740" s="33" t="n"/>
      <c r="E2740" s="33" t="n"/>
      <c r="F2740" s="33" t="n"/>
      <c r="G2740" s="33" t="n"/>
      <c r="H2740" s="30" t="inlineStr">
        <is>
          <t>Oui</t>
        </is>
      </c>
    </row>
    <row r="2741">
      <c r="A2741" s="31" t="inlineStr">
        <is>
          <t>Capacités</t>
        </is>
      </c>
      <c r="B2741" s="34" t="inlineStr">
        <is>
          <t>Pied Sauté</t>
        </is>
      </c>
      <c r="C2741" s="34" t="n"/>
      <c r="D2741" s="34" t="n"/>
      <c r="E2741" s="34" t="n"/>
      <c r="F2741" s="34" t="n"/>
      <c r="G2741" s="34" t="n"/>
      <c r="H2741" s="30" t="inlineStr">
        <is>
          <t>Oui</t>
        </is>
      </c>
    </row>
    <row r="2742">
      <c r="A2742" s="31" t="n"/>
      <c r="B2742" s="34" t="inlineStr">
        <is>
          <t>Possessif</t>
        </is>
      </c>
      <c r="C2742" s="34" t="n"/>
      <c r="D2742" s="34" t="n"/>
      <c r="E2742" s="34" t="n"/>
      <c r="F2742" s="34" t="n"/>
      <c r="G2742" s="34" t="n"/>
      <c r="H2742" s="30" t="inlineStr">
        <is>
          <t>Oui</t>
        </is>
      </c>
    </row>
    <row r="2743">
      <c r="A2743" s="31" t="n"/>
      <c r="B2743" s="34" t="inlineStr">
        <is>
          <t>Séduction</t>
        </is>
      </c>
      <c r="C2743" s="34" t="n"/>
      <c r="D2743" s="34" t="n"/>
      <c r="E2743" s="34" t="n"/>
      <c r="F2743" s="34" t="n"/>
      <c r="G2743" s="34" t="n"/>
      <c r="H2743" s="30" t="inlineStr">
        <is>
          <t>Oui</t>
        </is>
      </c>
    </row>
    <row r="2744">
      <c r="A2744" s="31" t="n"/>
      <c r="B2744" s="34" t="inlineStr">
        <is>
          <t>Moi d'Abord</t>
        </is>
      </c>
      <c r="C2744" s="34" t="n"/>
      <c r="D2744" s="34" t="n"/>
      <c r="E2744" s="34" t="n"/>
      <c r="F2744" s="34" t="n"/>
      <c r="G2744" s="34" t="n"/>
      <c r="H2744" s="30" t="inlineStr">
        <is>
          <t>Oui</t>
        </is>
      </c>
    </row>
    <row r="2745">
      <c r="A2745" s="31" t="inlineStr">
        <is>
          <t>Nom</t>
        </is>
      </c>
      <c r="B2745" s="32" t="inlineStr">
        <is>
          <t>Campeur Allan</t>
        </is>
      </c>
      <c r="C2745" s="32" t="n"/>
      <c r="D2745" s="32" t="n"/>
      <c r="E2745" s="32" t="n"/>
      <c r="F2745" s="32" t="n"/>
      <c r="G2745" s="32" t="n"/>
      <c r="H2745" s="30" t="inlineStr">
        <is>
          <t>Oui</t>
        </is>
      </c>
    </row>
    <row r="2746">
      <c r="A2746" s="31" t="inlineStr">
        <is>
          <t>Pokémon</t>
        </is>
      </c>
      <c r="B2746" s="33" t="inlineStr">
        <is>
          <t>GRANBULL</t>
        </is>
      </c>
      <c r="C2746" s="33" t="n"/>
      <c r="D2746" s="33" t="n"/>
      <c r="E2746" s="33" t="n"/>
      <c r="F2746" s="33" t="n"/>
      <c r="G2746" s="33" t="n"/>
      <c r="H2746" s="30" t="inlineStr">
        <is>
          <t>Oui</t>
        </is>
      </c>
    </row>
    <row r="2747">
      <c r="A2747" s="31" t="inlineStr">
        <is>
          <t>Niveau</t>
        </is>
      </c>
      <c r="B2747" s="33" t="n">
        <v>55</v>
      </c>
      <c r="C2747" s="33" t="n"/>
      <c r="D2747" s="33" t="n"/>
      <c r="E2747" s="33" t="n"/>
      <c r="F2747" s="33" t="n"/>
      <c r="G2747" s="33" t="n"/>
      <c r="H2747" s="30" t="inlineStr">
        <is>
          <t>Oui</t>
        </is>
      </c>
    </row>
    <row r="2748">
      <c r="A2748" s="31" t="inlineStr">
        <is>
          <t>Objet</t>
        </is>
      </c>
      <c r="B2748" s="33" t="inlineStr">
        <is>
          <t>Aucun</t>
        </is>
      </c>
      <c r="C2748" s="33" t="n"/>
      <c r="D2748" s="33" t="n"/>
      <c r="E2748" s="33" t="n"/>
      <c r="F2748" s="33" t="n"/>
      <c r="G2748" s="33" t="n"/>
      <c r="H2748" s="30" t="inlineStr">
        <is>
          <t>Oui</t>
        </is>
      </c>
    </row>
    <row r="2749">
      <c r="A2749" s="31" t="inlineStr">
        <is>
          <t>Talent</t>
        </is>
      </c>
      <c r="B2749" s="33" t="inlineStr">
        <is>
          <t>Intimidation</t>
        </is>
      </c>
      <c r="C2749" s="33" t="n"/>
      <c r="D2749" s="33" t="n"/>
      <c r="E2749" s="33" t="n"/>
      <c r="F2749" s="33" t="n"/>
      <c r="G2749" s="33" t="n"/>
      <c r="H2749" s="30" t="inlineStr">
        <is>
          <t>Oui</t>
        </is>
      </c>
    </row>
    <row r="2750">
      <c r="A2750" s="31" t="inlineStr">
        <is>
          <t>Capacités</t>
        </is>
      </c>
      <c r="B2750" s="34" t="inlineStr">
        <is>
          <t>Hurlement</t>
        </is>
      </c>
      <c r="C2750" s="34" t="n"/>
      <c r="D2750" s="34" t="n"/>
      <c r="E2750" s="34" t="n"/>
      <c r="F2750" s="34" t="n"/>
      <c r="G2750" s="34" t="n"/>
      <c r="H2750" s="30" t="inlineStr">
        <is>
          <t>Oui</t>
        </is>
      </c>
    </row>
    <row r="2751">
      <c r="A2751" s="31" t="n"/>
      <c r="B2751" s="34" t="inlineStr">
        <is>
          <t>Frénésie</t>
        </is>
      </c>
      <c r="C2751" s="34" t="n"/>
      <c r="D2751" s="34" t="n"/>
      <c r="E2751" s="34" t="n"/>
      <c r="F2751" s="34" t="n"/>
      <c r="G2751" s="34" t="n"/>
      <c r="H2751" s="30" t="inlineStr">
        <is>
          <t>Oui</t>
        </is>
      </c>
    </row>
    <row r="2752">
      <c r="A2752" s="31" t="n"/>
      <c r="B2752" s="34" t="inlineStr">
        <is>
          <t>Câlinerie</t>
        </is>
      </c>
      <c r="C2752" s="34" t="n"/>
      <c r="D2752" s="34" t="n"/>
      <c r="E2752" s="34" t="n"/>
      <c r="F2752" s="34" t="n"/>
      <c r="G2752" s="34" t="n"/>
      <c r="H2752" s="30" t="inlineStr">
        <is>
          <t>Oui</t>
        </is>
      </c>
    </row>
    <row r="2753">
      <c r="A2753" s="31" t="n"/>
      <c r="B2753" s="34" t="inlineStr">
        <is>
          <t>Représailles</t>
        </is>
      </c>
      <c r="C2753" s="34" t="n"/>
      <c r="D2753" s="34" t="n"/>
      <c r="E2753" s="34" t="n"/>
      <c r="F2753" s="34" t="n"/>
      <c r="G2753" s="34" t="n"/>
      <c r="H2753" s="30" t="inlineStr">
        <is>
          <t>Oui</t>
        </is>
      </c>
    </row>
    <row r="2754" ht="18" customHeight="1">
      <c r="A2754" s="26" t="inlineStr">
        <is>
          <t>Route 11</t>
        </is>
      </c>
      <c r="B2754" s="26" t="n"/>
      <c r="C2754" s="26" t="n"/>
      <c r="D2754" s="26" t="n"/>
      <c r="E2754" s="26" t="n"/>
      <c r="F2754" s="26" t="n"/>
      <c r="G2754" s="26" t="n"/>
      <c r="H2754" s="30" t="inlineStr">
        <is>
          <t>Oui</t>
        </is>
      </c>
    </row>
    <row r="2755">
      <c r="A2755" s="31" t="inlineStr">
        <is>
          <t>Nom</t>
        </is>
      </c>
      <c r="B2755" s="32" t="inlineStr">
        <is>
          <t>Gamin Sancho</t>
        </is>
      </c>
      <c r="C2755" s="32" t="n"/>
      <c r="D2755" s="32" t="n"/>
      <c r="E2755" s="32" t="n"/>
      <c r="F2755" s="32" t="n"/>
      <c r="G2755" s="32" t="n"/>
      <c r="H2755" s="30" t="inlineStr">
        <is>
          <t>Oui</t>
        </is>
      </c>
    </row>
    <row r="2756">
      <c r="A2756" s="31" t="inlineStr">
        <is>
          <t>Pokémon</t>
        </is>
      </c>
      <c r="B2756" s="33" t="inlineStr">
        <is>
          <t>ARCANIN</t>
        </is>
      </c>
      <c r="C2756" s="33" t="n"/>
      <c r="D2756" s="33" t="n"/>
      <c r="E2756" s="33" t="n"/>
      <c r="F2756" s="33" t="n"/>
      <c r="G2756" s="33" t="n"/>
      <c r="H2756" s="30" t="inlineStr">
        <is>
          <t>Oui</t>
        </is>
      </c>
    </row>
    <row r="2757">
      <c r="A2757" s="31" t="inlineStr">
        <is>
          <t>Niveau</t>
        </is>
      </c>
      <c r="B2757" s="33" t="n">
        <v>55</v>
      </c>
      <c r="C2757" s="33" t="n"/>
      <c r="D2757" s="33" t="n"/>
      <c r="E2757" s="33" t="n"/>
      <c r="F2757" s="33" t="n"/>
      <c r="G2757" s="33" t="n"/>
      <c r="H2757" s="30" t="inlineStr">
        <is>
          <t>Oui</t>
        </is>
      </c>
    </row>
    <row r="2758">
      <c r="A2758" s="31" t="inlineStr">
        <is>
          <t>Objet</t>
        </is>
      </c>
      <c r="B2758" s="33" t="inlineStr">
        <is>
          <t>Aucun</t>
        </is>
      </c>
      <c r="C2758" s="33" t="n"/>
      <c r="D2758" s="33" t="n"/>
      <c r="E2758" s="33" t="n"/>
      <c r="F2758" s="33" t="n"/>
      <c r="G2758" s="33" t="n"/>
      <c r="H2758" s="30" t="inlineStr">
        <is>
          <t>Oui</t>
        </is>
      </c>
    </row>
    <row r="2759">
      <c r="A2759" s="31" t="inlineStr">
        <is>
          <t>Talent</t>
        </is>
      </c>
      <c r="B2759" s="33" t="inlineStr">
        <is>
          <t>Intimidation</t>
        </is>
      </c>
      <c r="C2759" s="33" t="n"/>
      <c r="D2759" s="33" t="n"/>
      <c r="E2759" s="33" t="n"/>
      <c r="F2759" s="33" t="n"/>
      <c r="G2759" s="33" t="n"/>
      <c r="H2759" s="30" t="inlineStr">
        <is>
          <t>Oui</t>
        </is>
      </c>
    </row>
    <row r="2760">
      <c r="A2760" s="31" t="inlineStr">
        <is>
          <t>Capacités</t>
        </is>
      </c>
      <c r="B2760" s="34" t="inlineStr">
        <is>
          <t>Mâchouille</t>
        </is>
      </c>
      <c r="C2760" s="34" t="n"/>
      <c r="D2760" s="34" t="n"/>
      <c r="E2760" s="34" t="n"/>
      <c r="F2760" s="34" t="n"/>
      <c r="G2760" s="34" t="n"/>
      <c r="H2760" s="30" t="inlineStr">
        <is>
          <t>Oui</t>
        </is>
      </c>
    </row>
    <row r="2761">
      <c r="A2761" s="31" t="n"/>
      <c r="B2761" s="34" t="inlineStr">
        <is>
          <t>Canicule</t>
        </is>
      </c>
      <c r="C2761" s="34" t="n"/>
      <c r="D2761" s="34" t="n"/>
      <c r="E2761" s="34" t="n"/>
      <c r="F2761" s="34" t="n"/>
      <c r="G2761" s="34" t="n"/>
      <c r="H2761" s="30" t="inlineStr">
        <is>
          <t>Oui</t>
        </is>
      </c>
    </row>
    <row r="2762">
      <c r="A2762" s="31" t="n"/>
      <c r="B2762" s="34" t="inlineStr">
        <is>
          <t>Colère</t>
        </is>
      </c>
      <c r="C2762" s="34" t="n"/>
      <c r="D2762" s="34" t="n"/>
      <c r="E2762" s="34" t="n"/>
      <c r="F2762" s="34" t="n"/>
      <c r="G2762" s="34" t="n"/>
      <c r="H2762" s="30" t="inlineStr">
        <is>
          <t>Oui</t>
        </is>
      </c>
    </row>
    <row r="2763">
      <c r="A2763" s="31" t="n"/>
      <c r="B2763" s="34" t="inlineStr">
        <is>
          <t>Boutefeu</t>
        </is>
      </c>
      <c r="C2763" s="34" t="n"/>
      <c r="D2763" s="34" t="n"/>
      <c r="E2763" s="34" t="n"/>
      <c r="F2763" s="34" t="n"/>
      <c r="G2763" s="34" t="n"/>
      <c r="H2763" s="30" t="inlineStr">
        <is>
          <t>Oui</t>
        </is>
      </c>
    </row>
    <row r="2764">
      <c r="A2764" s="31" t="inlineStr">
        <is>
          <t>Nom</t>
        </is>
      </c>
      <c r="B2764" s="32" t="inlineStr">
        <is>
          <t>Gamin Mercutio</t>
        </is>
      </c>
      <c r="C2764" s="32" t="n"/>
      <c r="D2764" s="32" t="n"/>
      <c r="E2764" s="32" t="n"/>
      <c r="F2764" s="32" t="n"/>
      <c r="G2764" s="32" t="n"/>
      <c r="H2764" s="30" t="inlineStr">
        <is>
          <t>Oui</t>
        </is>
      </c>
    </row>
    <row r="2765">
      <c r="A2765" s="31" t="inlineStr">
        <is>
          <t>Pokémon</t>
        </is>
      </c>
      <c r="B2765" s="33" t="inlineStr">
        <is>
          <t>OCTILLERY</t>
        </is>
      </c>
      <c r="C2765" s="33" t="inlineStr">
        <is>
          <t>NOSTENFER</t>
        </is>
      </c>
      <c r="D2765" s="33" t="n"/>
      <c r="E2765" s="33" t="n"/>
      <c r="F2765" s="33" t="n"/>
      <c r="G2765" s="33" t="n"/>
      <c r="H2765" s="30" t="inlineStr">
        <is>
          <t>Oui</t>
        </is>
      </c>
    </row>
    <row r="2766">
      <c r="A2766" s="31" t="inlineStr">
        <is>
          <t>Niveau</t>
        </is>
      </c>
      <c r="B2766" s="33" t="n">
        <v>55</v>
      </c>
      <c r="C2766" s="33" t="n">
        <v>55</v>
      </c>
      <c r="D2766" s="33" t="n"/>
      <c r="E2766" s="33" t="n"/>
      <c r="F2766" s="33" t="n"/>
      <c r="G2766" s="33" t="n"/>
      <c r="H2766" s="30" t="inlineStr">
        <is>
          <t>Oui</t>
        </is>
      </c>
    </row>
    <row r="2767">
      <c r="A2767" s="31" t="inlineStr">
        <is>
          <t>Objet</t>
        </is>
      </c>
      <c r="B2767" s="33" t="inlineStr">
        <is>
          <t>Aucun</t>
        </is>
      </c>
      <c r="C2767" s="33" t="inlineStr">
        <is>
          <t>Aucun</t>
        </is>
      </c>
      <c r="D2767" s="33" t="n"/>
      <c r="E2767" s="33" t="n"/>
      <c r="F2767" s="33" t="n"/>
      <c r="G2767" s="33" t="n"/>
      <c r="H2767" s="30" t="inlineStr">
        <is>
          <t>Oui</t>
        </is>
      </c>
    </row>
    <row r="2768">
      <c r="A2768" s="31" t="inlineStr">
        <is>
          <t>Talent</t>
        </is>
      </c>
      <c r="B2768" s="33" t="inlineStr">
        <is>
          <t>Ventouse</t>
        </is>
      </c>
      <c r="C2768" s="33" t="inlineStr">
        <is>
          <t>Attention</t>
        </is>
      </c>
      <c r="D2768" s="33" t="n"/>
      <c r="E2768" s="33" t="n"/>
      <c r="F2768" s="33" t="n"/>
      <c r="G2768" s="33" t="n"/>
      <c r="H2768" s="30" t="inlineStr">
        <is>
          <t>Oui</t>
        </is>
      </c>
    </row>
    <row r="2769">
      <c r="A2769" s="31" t="inlineStr">
        <is>
          <t>Capacités</t>
        </is>
      </c>
      <c r="B2769" s="34" t="inlineStr">
        <is>
          <t>Rayon Signal</t>
        </is>
      </c>
      <c r="C2769" s="34" t="inlineStr">
        <is>
          <t>Buée Noire</t>
        </is>
      </c>
      <c r="D2769" s="34" t="n"/>
      <c r="E2769" s="34" t="n"/>
      <c r="F2769" s="34" t="n"/>
      <c r="G2769" s="34" t="n"/>
      <c r="H2769" s="30" t="inlineStr">
        <is>
          <t>Oui</t>
        </is>
      </c>
    </row>
    <row r="2770">
      <c r="A2770" s="31" t="n"/>
      <c r="B2770" s="34" t="inlineStr">
        <is>
          <t>Laser Glace</t>
        </is>
      </c>
      <c r="C2770" s="34" t="inlineStr">
        <is>
          <t>Choc Venin</t>
        </is>
      </c>
      <c r="D2770" s="34" t="n"/>
      <c r="E2770" s="34" t="n"/>
      <c r="F2770" s="34" t="n"/>
      <c r="G2770" s="34" t="n"/>
      <c r="H2770" s="30" t="inlineStr">
        <is>
          <t>Oui</t>
        </is>
      </c>
    </row>
    <row r="2771">
      <c r="A2771" s="31" t="n"/>
      <c r="B2771" s="34" t="inlineStr">
        <is>
          <t>Balle Graine</t>
        </is>
      </c>
      <c r="C2771" s="34" t="inlineStr">
        <is>
          <t>Lame d'Air</t>
        </is>
      </c>
      <c r="D2771" s="34" t="n"/>
      <c r="E2771" s="34" t="n"/>
      <c r="F2771" s="34" t="n"/>
      <c r="G2771" s="34" t="n"/>
      <c r="H2771" s="30" t="inlineStr">
        <is>
          <t>Oui</t>
        </is>
      </c>
    </row>
    <row r="2772">
      <c r="A2772" s="31" t="n"/>
      <c r="B2772" s="34" t="inlineStr">
        <is>
          <t>Hydrocanon</t>
        </is>
      </c>
      <c r="C2772" s="34" t="inlineStr">
        <is>
          <t>Prévention</t>
        </is>
      </c>
      <c r="D2772" s="34" t="n"/>
      <c r="E2772" s="34" t="n"/>
      <c r="F2772" s="34" t="n"/>
      <c r="G2772" s="34" t="n"/>
      <c r="H2772" s="30" t="inlineStr">
        <is>
          <t>Oui</t>
        </is>
      </c>
    </row>
    <row r="2773">
      <c r="A2773" s="31" t="inlineStr">
        <is>
          <t>Nom</t>
        </is>
      </c>
      <c r="B2773" s="32" t="inlineStr">
        <is>
          <t>Kinésiste Romuald</t>
        </is>
      </c>
      <c r="C2773" s="32" t="n"/>
      <c r="D2773" s="32" t="n"/>
      <c r="E2773" s="32" t="n"/>
      <c r="F2773" s="32" t="n"/>
      <c r="G2773" s="32" t="n"/>
      <c r="H2773" s="30" t="inlineStr">
        <is>
          <t>Oui</t>
        </is>
      </c>
    </row>
    <row r="2774">
      <c r="A2774" s="31" t="inlineStr">
        <is>
          <t>Pokémon</t>
        </is>
      </c>
      <c r="B2774" s="33" t="inlineStr">
        <is>
          <t>NOADKOKO</t>
        </is>
      </c>
      <c r="C2774" s="33" t="inlineStr">
        <is>
          <t>XATU</t>
        </is>
      </c>
      <c r="D2774" s="33" t="inlineStr">
        <is>
          <t>STAROSS</t>
        </is>
      </c>
      <c r="E2774" s="33" t="n"/>
      <c r="F2774" s="33" t="n"/>
      <c r="G2774" s="33" t="n"/>
      <c r="H2774" s="30" t="inlineStr">
        <is>
          <t>Oui</t>
        </is>
      </c>
    </row>
    <row r="2775">
      <c r="A2775" s="31" t="inlineStr">
        <is>
          <t>Niveau</t>
        </is>
      </c>
      <c r="B2775" s="33" t="n">
        <v>55</v>
      </c>
      <c r="C2775" s="33" t="n">
        <v>55</v>
      </c>
      <c r="D2775" s="33" t="n">
        <v>55</v>
      </c>
      <c r="E2775" s="33" t="n"/>
      <c r="F2775" s="33" t="n"/>
      <c r="G2775" s="33" t="n"/>
      <c r="H2775" s="30" t="inlineStr">
        <is>
          <t>Oui</t>
        </is>
      </c>
    </row>
    <row r="2776">
      <c r="A2776" s="31" t="inlineStr">
        <is>
          <t>Objet</t>
        </is>
      </c>
      <c r="B2776" s="33" t="inlineStr">
        <is>
          <t>Aucun</t>
        </is>
      </c>
      <c r="C2776" s="33" t="inlineStr">
        <is>
          <t>Aucun</t>
        </is>
      </c>
      <c r="D2776" s="33" t="inlineStr">
        <is>
          <t>Aucun</t>
        </is>
      </c>
      <c r="E2776" s="33" t="n"/>
      <c r="F2776" s="33" t="n"/>
      <c r="G2776" s="33" t="n"/>
      <c r="H2776" s="30" t="inlineStr">
        <is>
          <t>Oui</t>
        </is>
      </c>
    </row>
    <row r="2777">
      <c r="A2777" s="31" t="inlineStr">
        <is>
          <t>Talent</t>
        </is>
      </c>
      <c r="B2777" s="33" t="inlineStr">
        <is>
          <t>Chlorophylle</t>
        </is>
      </c>
      <c r="C2777" s="33" t="inlineStr">
        <is>
          <t>Synchro</t>
        </is>
      </c>
      <c r="D2777" s="33" t="inlineStr">
        <is>
          <t>Lumiattirance</t>
        </is>
      </c>
      <c r="E2777" s="33" t="n"/>
      <c r="F2777" s="33" t="n"/>
      <c r="G2777" s="33" t="n"/>
      <c r="H2777" s="30" t="inlineStr">
        <is>
          <t>Oui</t>
        </is>
      </c>
    </row>
    <row r="2778">
      <c r="A2778" s="31" t="inlineStr">
        <is>
          <t>Capacités</t>
        </is>
      </c>
      <c r="B2778" s="34" t="inlineStr">
        <is>
          <t>Tempête Verte</t>
        </is>
      </c>
      <c r="C2778" s="34" t="inlineStr">
        <is>
          <t>Échange Psy</t>
        </is>
      </c>
      <c r="D2778" s="34" t="inlineStr">
        <is>
          <t>Lilliput</t>
        </is>
      </c>
      <c r="E2778" s="34" t="n"/>
      <c r="F2778" s="34" t="n"/>
      <c r="G2778" s="34" t="n"/>
      <c r="H2778" s="30" t="inlineStr">
        <is>
          <t>Oui</t>
        </is>
      </c>
    </row>
    <row r="2779">
      <c r="A2779" s="31" t="n"/>
      <c r="B2779" s="34" t="inlineStr">
        <is>
          <t>Don Naturel</t>
        </is>
      </c>
      <c r="C2779" s="34" t="inlineStr">
        <is>
          <t>Prescience</t>
        </is>
      </c>
      <c r="D2779" s="34" t="inlineStr">
        <is>
          <t>Copie-Type</t>
        </is>
      </c>
      <c r="E2779" s="34" t="n"/>
      <c r="F2779" s="34" t="n"/>
      <c r="G2779" s="34" t="n"/>
      <c r="H2779" s="30" t="inlineStr">
        <is>
          <t>Oui</t>
        </is>
      </c>
    </row>
    <row r="2780">
      <c r="A2780" s="31" t="n"/>
      <c r="B2780" s="34" t="inlineStr">
        <is>
          <t>Giga-Sangsue</t>
        </is>
      </c>
      <c r="C2780" s="34" t="inlineStr">
        <is>
          <t>Permuforce</t>
        </is>
      </c>
      <c r="D2780" s="34" t="inlineStr">
        <is>
          <t>Rayon Gemme</t>
        </is>
      </c>
      <c r="E2780" s="34" t="n"/>
      <c r="F2780" s="34" t="n"/>
      <c r="G2780" s="34" t="n"/>
      <c r="H2780" s="30" t="inlineStr">
        <is>
          <t>Oui</t>
        </is>
      </c>
    </row>
    <row r="2781">
      <c r="A2781" s="31" t="n"/>
      <c r="B2781" s="34" t="inlineStr">
        <is>
          <t>Lance-Soleil</t>
        </is>
      </c>
      <c r="C2781" s="34" t="inlineStr">
        <is>
          <t>Permugarde</t>
        </is>
      </c>
      <c r="D2781" s="34" t="inlineStr">
        <is>
          <t>Psyko</t>
        </is>
      </c>
      <c r="E2781" s="34" t="n"/>
      <c r="F2781" s="34" t="n"/>
      <c r="G2781" s="34" t="n"/>
      <c r="H2781" s="30" t="inlineStr">
        <is>
          <t>Oui</t>
        </is>
      </c>
    </row>
    <row r="2782">
      <c r="A2782" s="31" t="inlineStr">
        <is>
          <t>Nom</t>
        </is>
      </c>
      <c r="B2782" s="32" t="inlineStr">
        <is>
          <t>Kinésiste Florent</t>
        </is>
      </c>
      <c r="C2782" s="32" t="n"/>
      <c r="D2782" s="32" t="n"/>
      <c r="E2782" s="32" t="n"/>
      <c r="F2782" s="32" t="n"/>
      <c r="G2782" s="32" t="n"/>
      <c r="H2782" s="30" t="inlineStr">
        <is>
          <t>Oui</t>
        </is>
      </c>
    </row>
    <row r="2783">
      <c r="A2783" s="31" t="inlineStr">
        <is>
          <t>Pokémon</t>
        </is>
      </c>
      <c r="B2783" s="33" t="inlineStr">
        <is>
          <t>XATU</t>
        </is>
      </c>
      <c r="C2783" s="33" t="n"/>
      <c r="D2783" s="33" t="n"/>
      <c r="E2783" s="33" t="n"/>
      <c r="F2783" s="33" t="n"/>
      <c r="G2783" s="33" t="n"/>
      <c r="H2783" s="30" t="inlineStr">
        <is>
          <t>Oui</t>
        </is>
      </c>
    </row>
    <row r="2784">
      <c r="A2784" s="31" t="inlineStr">
        <is>
          <t>Niveau</t>
        </is>
      </c>
      <c r="B2784" s="33" t="n">
        <v>54</v>
      </c>
      <c r="C2784" s="33" t="n"/>
      <c r="D2784" s="33" t="n"/>
      <c r="E2784" s="33" t="n"/>
      <c r="F2784" s="33" t="n"/>
      <c r="G2784" s="33" t="n"/>
      <c r="H2784" s="30" t="inlineStr">
        <is>
          <t>Oui</t>
        </is>
      </c>
    </row>
    <row r="2785">
      <c r="A2785" s="31" t="inlineStr">
        <is>
          <t>Objet</t>
        </is>
      </c>
      <c r="B2785" s="33" t="inlineStr">
        <is>
          <t>Aucun</t>
        </is>
      </c>
      <c r="C2785" s="33" t="n"/>
      <c r="D2785" s="33" t="n"/>
      <c r="E2785" s="33" t="n"/>
      <c r="F2785" s="33" t="n"/>
      <c r="G2785" s="33" t="n"/>
      <c r="H2785" s="30" t="inlineStr">
        <is>
          <t>Oui</t>
        </is>
      </c>
    </row>
    <row r="2786">
      <c r="A2786" s="31" t="inlineStr">
        <is>
          <t>Talent</t>
        </is>
      </c>
      <c r="B2786" s="33" t="inlineStr">
        <is>
          <t>Synchro</t>
        </is>
      </c>
      <c r="C2786" s="33" t="n"/>
      <c r="D2786" s="33" t="n"/>
      <c r="E2786" s="33" t="n"/>
      <c r="F2786" s="33" t="n"/>
      <c r="G2786" s="33" t="n"/>
      <c r="H2786" s="30" t="inlineStr">
        <is>
          <t>Oui</t>
        </is>
      </c>
    </row>
    <row r="2787">
      <c r="A2787" s="31" t="inlineStr">
        <is>
          <t>Capacités</t>
        </is>
      </c>
      <c r="B2787" s="34" t="inlineStr">
        <is>
          <t>Échange Psy</t>
        </is>
      </c>
      <c r="C2787" s="34" t="n"/>
      <c r="D2787" s="34" t="n"/>
      <c r="E2787" s="34" t="n"/>
      <c r="F2787" s="34" t="n"/>
      <c r="G2787" s="34" t="n"/>
      <c r="H2787" s="30" t="inlineStr">
        <is>
          <t>Oui</t>
        </is>
      </c>
    </row>
    <row r="2788">
      <c r="A2788" s="31" t="n"/>
      <c r="B2788" s="34" t="inlineStr">
        <is>
          <t>Prescience</t>
        </is>
      </c>
      <c r="C2788" s="34" t="n"/>
      <c r="D2788" s="34" t="n"/>
      <c r="E2788" s="34" t="n"/>
      <c r="F2788" s="34" t="n"/>
      <c r="G2788" s="34" t="n"/>
      <c r="H2788" s="30" t="inlineStr">
        <is>
          <t>Oui</t>
        </is>
      </c>
    </row>
    <row r="2789">
      <c r="A2789" s="31" t="n"/>
      <c r="B2789" s="34" t="inlineStr">
        <is>
          <t>Permuforce</t>
        </is>
      </c>
      <c r="C2789" s="34" t="n"/>
      <c r="D2789" s="34" t="n"/>
      <c r="E2789" s="34" t="n"/>
      <c r="F2789" s="34" t="n"/>
      <c r="G2789" s="34" t="n"/>
      <c r="H2789" s="30" t="inlineStr">
        <is>
          <t>Oui</t>
        </is>
      </c>
    </row>
    <row r="2790">
      <c r="A2790" s="31" t="n"/>
      <c r="B2790" s="34" t="inlineStr">
        <is>
          <t>Permugarde</t>
        </is>
      </c>
      <c r="C2790" s="34" t="n"/>
      <c r="D2790" s="34" t="n"/>
      <c r="E2790" s="34" t="n"/>
      <c r="F2790" s="34" t="n"/>
      <c r="G2790" s="34" t="n"/>
      <c r="H2790" s="30" t="inlineStr">
        <is>
          <t>Oui</t>
        </is>
      </c>
    </row>
    <row r="2791" ht="18" customHeight="1">
      <c r="A2791" s="26" t="inlineStr">
        <is>
          <t>Route 12</t>
        </is>
      </c>
      <c r="B2791" s="26" t="n"/>
      <c r="C2791" s="26" t="n"/>
      <c r="D2791" s="26" t="n"/>
      <c r="E2791" s="26" t="n"/>
      <c r="F2791" s="26" t="n"/>
      <c r="G2791" s="26" t="n"/>
      <c r="H2791" s="30" t="inlineStr">
        <is>
          <t>Oui</t>
        </is>
      </c>
    </row>
    <row r="2792">
      <c r="A2792" s="31" t="inlineStr">
        <is>
          <t>Nom</t>
        </is>
      </c>
      <c r="B2792" s="32" t="inlineStr">
        <is>
          <t>Pêcheur Pascal</t>
        </is>
      </c>
      <c r="C2792" s="32" t="n"/>
      <c r="D2792" s="32" t="n"/>
      <c r="E2792" s="32" t="n"/>
      <c r="F2792" s="32" t="n"/>
      <c r="G2792" s="32" t="n"/>
      <c r="H2792" s="30" t="inlineStr">
        <is>
          <t>Oui</t>
        </is>
      </c>
    </row>
    <row r="2793">
      <c r="A2793" s="31" t="inlineStr">
        <is>
          <t>Pokémon</t>
        </is>
      </c>
      <c r="B2793" s="33" t="inlineStr">
        <is>
          <t>REMORAID</t>
        </is>
      </c>
      <c r="C2793" s="33" t="inlineStr">
        <is>
          <t>OCTILLERY</t>
        </is>
      </c>
      <c r="D2793" s="33" t="n"/>
      <c r="E2793" s="33" t="n"/>
      <c r="F2793" s="33" t="n"/>
      <c r="G2793" s="33" t="n"/>
      <c r="H2793" s="30" t="inlineStr">
        <is>
          <t>Oui</t>
        </is>
      </c>
    </row>
    <row r="2794">
      <c r="A2794" s="31" t="inlineStr">
        <is>
          <t>Niveau</t>
        </is>
      </c>
      <c r="B2794" s="33" t="n">
        <v>58</v>
      </c>
      <c r="C2794" s="33" t="n">
        <v>60</v>
      </c>
      <c r="D2794" s="33" t="n"/>
      <c r="E2794" s="33" t="n"/>
      <c r="F2794" s="33" t="n"/>
      <c r="G2794" s="33" t="n"/>
      <c r="H2794" s="30" t="inlineStr">
        <is>
          <t>Oui</t>
        </is>
      </c>
    </row>
    <row r="2795">
      <c r="A2795" s="31" t="inlineStr">
        <is>
          <t>Objet</t>
        </is>
      </c>
      <c r="B2795" s="33" t="inlineStr">
        <is>
          <t>Aucun</t>
        </is>
      </c>
      <c r="C2795" s="33" t="inlineStr">
        <is>
          <t>Aucun</t>
        </is>
      </c>
      <c r="D2795" s="33" t="n"/>
      <c r="E2795" s="33" t="n"/>
      <c r="F2795" s="33" t="n"/>
      <c r="G2795" s="33" t="n"/>
      <c r="H2795" s="30" t="inlineStr">
        <is>
          <t>Oui</t>
        </is>
      </c>
    </row>
    <row r="2796">
      <c r="A2796" s="31" t="inlineStr">
        <is>
          <t>Talent</t>
        </is>
      </c>
      <c r="B2796" s="33" t="inlineStr">
        <is>
          <t>Agitation</t>
        </is>
      </c>
      <c r="C2796" s="33" t="inlineStr">
        <is>
          <t>Ventouse</t>
        </is>
      </c>
      <c r="D2796" s="33" t="n"/>
      <c r="E2796" s="33" t="n"/>
      <c r="F2796" s="33" t="n"/>
      <c r="G2796" s="33" t="n"/>
      <c r="H2796" s="30" t="inlineStr">
        <is>
          <t>Oui</t>
        </is>
      </c>
    </row>
    <row r="2797">
      <c r="A2797" s="31" t="inlineStr">
        <is>
          <t>Capacités</t>
        </is>
      </c>
      <c r="B2797" s="34" t="inlineStr">
        <is>
          <t>Balle Graine</t>
        </is>
      </c>
      <c r="C2797" s="34" t="inlineStr">
        <is>
          <t>Laser Glace</t>
        </is>
      </c>
      <c r="D2797" s="34" t="n"/>
      <c r="E2797" s="34" t="n"/>
      <c r="F2797" s="34" t="n"/>
      <c r="G2797" s="34" t="n"/>
      <c r="H2797" s="30" t="inlineStr">
        <is>
          <t>Oui</t>
        </is>
      </c>
    </row>
    <row r="2798">
      <c r="A2798" s="31" t="n"/>
      <c r="B2798" s="34" t="inlineStr">
        <is>
          <t>Hydrocanon</t>
        </is>
      </c>
      <c r="C2798" s="34" t="inlineStr">
        <is>
          <t>Balle Graine</t>
        </is>
      </c>
      <c r="D2798" s="34" t="n"/>
      <c r="E2798" s="34" t="n"/>
      <c r="F2798" s="34" t="n"/>
      <c r="G2798" s="34" t="n"/>
      <c r="H2798" s="30" t="inlineStr">
        <is>
          <t>Oui</t>
        </is>
      </c>
    </row>
    <row r="2799">
      <c r="A2799" s="31" t="n"/>
      <c r="B2799" s="34" t="inlineStr">
        <is>
          <t>Ultralaser</t>
        </is>
      </c>
      <c r="C2799" s="34" t="inlineStr">
        <is>
          <t>Hydrocanon</t>
        </is>
      </c>
      <c r="D2799" s="34" t="n"/>
      <c r="E2799" s="34" t="n"/>
      <c r="F2799" s="34" t="n"/>
      <c r="G2799" s="34" t="n"/>
      <c r="H2799" s="30" t="inlineStr">
        <is>
          <t>Oui</t>
        </is>
      </c>
    </row>
    <row r="2800">
      <c r="A2800" s="31" t="n"/>
      <c r="B2800" s="34" t="inlineStr">
        <is>
          <t>Détrempage</t>
        </is>
      </c>
      <c r="C2800" s="34" t="inlineStr">
        <is>
          <t>Ultralaser</t>
        </is>
      </c>
      <c r="D2800" s="34" t="n"/>
      <c r="E2800" s="34" t="n"/>
      <c r="F2800" s="34" t="n"/>
      <c r="G2800" s="34" t="n"/>
      <c r="H2800" s="30" t="inlineStr">
        <is>
          <t>Oui</t>
        </is>
      </c>
    </row>
    <row r="2801">
      <c r="A2801" s="31" t="inlineStr">
        <is>
          <t>Nom</t>
        </is>
      </c>
      <c r="B2801" s="32" t="inlineStr">
        <is>
          <t>Pêcheur Simonin</t>
        </is>
      </c>
      <c r="C2801" s="32" t="n"/>
      <c r="D2801" s="32" t="n"/>
      <c r="E2801" s="32" t="n"/>
      <c r="F2801" s="32" t="n"/>
      <c r="G2801" s="32" t="n"/>
      <c r="H2801" s="30" t="inlineStr">
        <is>
          <t>Oui</t>
        </is>
      </c>
    </row>
    <row r="2802">
      <c r="A2802" s="31" t="inlineStr">
        <is>
          <t>Pokémon</t>
        </is>
      </c>
      <c r="B2802" s="33" t="inlineStr">
        <is>
          <t>MAGICARPE</t>
        </is>
      </c>
      <c r="C2802" s="33" t="inlineStr">
        <is>
          <t>LEVIATOR</t>
        </is>
      </c>
      <c r="D2802" s="33" t="inlineStr">
        <is>
          <t>QWILFISH</t>
        </is>
      </c>
      <c r="E2802" s="33" t="inlineStr">
        <is>
          <t>TENTACRUEL</t>
        </is>
      </c>
      <c r="F2802" s="33" t="n"/>
      <c r="G2802" s="33" t="n"/>
      <c r="H2802" s="30" t="inlineStr">
        <is>
          <t>Oui</t>
        </is>
      </c>
    </row>
    <row r="2803">
      <c r="A2803" s="31" t="inlineStr">
        <is>
          <t>Niveau</t>
        </is>
      </c>
      <c r="B2803" s="33" t="n">
        <v>75</v>
      </c>
      <c r="C2803" s="33" t="n">
        <v>57</v>
      </c>
      <c r="D2803" s="33" t="n">
        <v>58</v>
      </c>
      <c r="E2803" s="33" t="n">
        <v>57</v>
      </c>
      <c r="F2803" s="33" t="n"/>
      <c r="G2803" s="33" t="n"/>
      <c r="H2803" s="30" t="inlineStr">
        <is>
          <t>Oui</t>
        </is>
      </c>
    </row>
    <row r="2804">
      <c r="A2804" s="31" t="inlineStr">
        <is>
          <t>Objet</t>
        </is>
      </c>
      <c r="B2804" s="33" t="inlineStr">
        <is>
          <t>Aucun</t>
        </is>
      </c>
      <c r="C2804" s="33" t="inlineStr">
        <is>
          <t>Aucun</t>
        </is>
      </c>
      <c r="D2804" s="33" t="inlineStr">
        <is>
          <t>Aucun</t>
        </is>
      </c>
      <c r="E2804" s="33" t="inlineStr">
        <is>
          <t>Aucun</t>
        </is>
      </c>
      <c r="F2804" s="33" t="n"/>
      <c r="G2804" s="33" t="n"/>
      <c r="H2804" s="30" t="inlineStr">
        <is>
          <t>Oui</t>
        </is>
      </c>
    </row>
    <row r="2805">
      <c r="A2805" s="31" t="inlineStr">
        <is>
          <t>Talent</t>
        </is>
      </c>
      <c r="B2805" s="33" t="inlineStr">
        <is>
          <t>Glissade</t>
        </is>
      </c>
      <c r="C2805" s="33" t="inlineStr">
        <is>
          <t>Intimidation</t>
        </is>
      </c>
      <c r="D2805" s="33" t="inlineStr">
        <is>
          <t>Point Poison</t>
        </is>
      </c>
      <c r="E2805" s="33" t="inlineStr">
        <is>
          <t>Corps Sain</t>
        </is>
      </c>
      <c r="F2805" s="33" t="n"/>
      <c r="G2805" s="33" t="n"/>
      <c r="H2805" s="30" t="inlineStr">
        <is>
          <t>Oui</t>
        </is>
      </c>
    </row>
    <row r="2806">
      <c r="A2806" s="31" t="inlineStr">
        <is>
          <t>Capacités</t>
        </is>
      </c>
      <c r="B2806" s="34" t="inlineStr">
        <is>
          <t>Trempette</t>
        </is>
      </c>
      <c r="C2806" s="34" t="inlineStr">
        <is>
          <t>Danse Draco</t>
        </is>
      </c>
      <c r="D2806" s="34" t="inlineStr">
        <is>
          <t>Hydro-Queue</t>
        </is>
      </c>
      <c r="E2806" s="34" t="inlineStr">
        <is>
          <t>Châtiment</t>
        </is>
      </c>
      <c r="F2806" s="34" t="n"/>
      <c r="G2806" s="34" t="n"/>
      <c r="H2806" s="30" t="inlineStr">
        <is>
          <t>Oui</t>
        </is>
      </c>
    </row>
    <row r="2807">
      <c r="A2807" s="31" t="n"/>
      <c r="B2807" s="34" t="inlineStr">
        <is>
          <t>Charge</t>
        </is>
      </c>
      <c r="C2807" s="34" t="inlineStr">
        <is>
          <t>Vent Violent</t>
        </is>
      </c>
      <c r="D2807" s="34" t="inlineStr">
        <is>
          <t>Direct Toxik</t>
        </is>
      </c>
      <c r="E2807" s="34" t="inlineStr">
        <is>
          <t>Cradovague</t>
        </is>
      </c>
      <c r="F2807" s="34" t="n"/>
      <c r="G2807" s="34" t="n"/>
      <c r="H2807" s="30" t="inlineStr">
        <is>
          <t>Oui</t>
        </is>
      </c>
    </row>
    <row r="2808">
      <c r="A2808" s="31" t="n"/>
      <c r="B2808" s="34" t="inlineStr">
        <is>
          <t>Gigotage</t>
        </is>
      </c>
      <c r="C2808" s="34" t="inlineStr">
        <is>
          <t>Danse Pluie</t>
        </is>
      </c>
      <c r="D2808" s="34" t="inlineStr">
        <is>
          <t>Lien du Destin</t>
        </is>
      </c>
      <c r="E2808" s="34" t="inlineStr">
        <is>
          <t>Hydrocanon</t>
        </is>
      </c>
      <c r="F2808" s="34" t="n"/>
      <c r="G2808" s="34" t="n"/>
      <c r="H2808" s="30" t="inlineStr">
        <is>
          <t>Oui</t>
        </is>
      </c>
    </row>
    <row r="2809">
      <c r="A2809" s="31" t="n"/>
      <c r="B2809" s="34" t="n"/>
      <c r="C2809" s="34" t="inlineStr">
        <is>
          <t>Ultralaser</t>
        </is>
      </c>
      <c r="D2809" s="34" t="inlineStr">
        <is>
          <t>Hydrocanon</t>
        </is>
      </c>
      <c r="E2809" s="34" t="inlineStr">
        <is>
          <t>Essorage</t>
        </is>
      </c>
      <c r="F2809" s="34" t="n"/>
      <c r="G2809" s="34" t="n"/>
      <c r="H2809" s="30" t="inlineStr">
        <is>
          <t>Oui</t>
        </is>
      </c>
    </row>
    <row r="2810">
      <c r="A2810" s="31" t="inlineStr">
        <is>
          <t>Nom</t>
        </is>
      </c>
      <c r="B2810" s="32" t="inlineStr">
        <is>
          <t>Pêcheur Yvon</t>
        </is>
      </c>
      <c r="C2810" s="32" t="n"/>
      <c r="D2810" s="32" t="n"/>
      <c r="E2810" s="32" t="n"/>
      <c r="F2810" s="32" t="n"/>
      <c r="G2810" s="32" t="n"/>
      <c r="H2810" s="30" t="inlineStr">
        <is>
          <t>Oui</t>
        </is>
      </c>
    </row>
    <row r="2811">
      <c r="A2811" s="31" t="inlineStr">
        <is>
          <t>Pokémon</t>
        </is>
      </c>
      <c r="B2811" s="33" t="inlineStr">
        <is>
          <t>LEVIATOR</t>
        </is>
      </c>
      <c r="C2811" s="33" t="inlineStr">
        <is>
          <t>LEVIATOR</t>
        </is>
      </c>
      <c r="D2811" s="33" t="inlineStr">
        <is>
          <t>LEVIATOR</t>
        </is>
      </c>
      <c r="E2811" s="33" t="n"/>
      <c r="F2811" s="33" t="n"/>
      <c r="G2811" s="33" t="n"/>
      <c r="H2811" s="30" t="inlineStr">
        <is>
          <t>Oui</t>
        </is>
      </c>
    </row>
    <row r="2812">
      <c r="A2812" s="31" t="inlineStr">
        <is>
          <t>Niveau</t>
        </is>
      </c>
      <c r="B2812" s="33" t="n">
        <v>58</v>
      </c>
      <c r="C2812" s="33" t="n">
        <v>58</v>
      </c>
      <c r="D2812" s="33" t="n">
        <v>58</v>
      </c>
      <c r="E2812" s="33" t="n"/>
      <c r="F2812" s="33" t="n"/>
      <c r="G2812" s="33" t="n"/>
      <c r="H2812" s="30" t="inlineStr">
        <is>
          <t>Oui</t>
        </is>
      </c>
    </row>
    <row r="2813">
      <c r="A2813" s="31" t="inlineStr">
        <is>
          <t>Objet</t>
        </is>
      </c>
      <c r="B2813" s="33" t="inlineStr">
        <is>
          <t>Aucun</t>
        </is>
      </c>
      <c r="C2813" s="33" t="inlineStr">
        <is>
          <t>Aucun</t>
        </is>
      </c>
      <c r="D2813" s="33" t="inlineStr">
        <is>
          <t>Aucun</t>
        </is>
      </c>
      <c r="E2813" s="33" t="n"/>
      <c r="F2813" s="33" t="n"/>
      <c r="G2813" s="33" t="n"/>
      <c r="H2813" s="30" t="inlineStr">
        <is>
          <t>Oui</t>
        </is>
      </c>
    </row>
    <row r="2814">
      <c r="A2814" s="31" t="inlineStr">
        <is>
          <t>Talent</t>
        </is>
      </c>
      <c r="B2814" s="33" t="inlineStr">
        <is>
          <t>Intimidation</t>
        </is>
      </c>
      <c r="C2814" s="33" t="inlineStr">
        <is>
          <t>Intimidation</t>
        </is>
      </c>
      <c r="D2814" s="33" t="inlineStr">
        <is>
          <t>Intimidation</t>
        </is>
      </c>
      <c r="E2814" s="33" t="n"/>
      <c r="F2814" s="33" t="n"/>
      <c r="G2814" s="33" t="n"/>
      <c r="H2814" s="30" t="inlineStr">
        <is>
          <t>Oui</t>
        </is>
      </c>
    </row>
    <row r="2815">
      <c r="A2815" s="31" t="inlineStr">
        <is>
          <t>Capacités</t>
        </is>
      </c>
      <c r="B2815" s="34" t="inlineStr">
        <is>
          <t>Danse Draco</t>
        </is>
      </c>
      <c r="C2815" s="34" t="inlineStr">
        <is>
          <t>Danse Draco</t>
        </is>
      </c>
      <c r="D2815" s="34" t="inlineStr">
        <is>
          <t>Danse Draco</t>
        </is>
      </c>
      <c r="E2815" s="34" t="n"/>
      <c r="F2815" s="34" t="n"/>
      <c r="G2815" s="34" t="n"/>
      <c r="H2815" s="30" t="inlineStr">
        <is>
          <t>Oui</t>
        </is>
      </c>
    </row>
    <row r="2816">
      <c r="A2816" s="31" t="n"/>
      <c r="B2816" s="34" t="inlineStr">
        <is>
          <t>Vent Violent</t>
        </is>
      </c>
      <c r="C2816" s="34" t="inlineStr">
        <is>
          <t>Vent Violent</t>
        </is>
      </c>
      <c r="D2816" s="34" t="inlineStr">
        <is>
          <t>Vent Violent</t>
        </is>
      </c>
      <c r="E2816" s="34" t="n"/>
      <c r="F2816" s="34" t="n"/>
      <c r="G2816" s="34" t="n"/>
      <c r="H2816" s="30" t="inlineStr">
        <is>
          <t>Oui</t>
        </is>
      </c>
    </row>
    <row r="2817">
      <c r="A2817" s="31" t="n"/>
      <c r="B2817" s="34" t="inlineStr">
        <is>
          <t>Danse Pluie</t>
        </is>
      </c>
      <c r="C2817" s="34" t="inlineStr">
        <is>
          <t>Danse Pluie</t>
        </is>
      </c>
      <c r="D2817" s="34" t="inlineStr">
        <is>
          <t>Danse Pluie</t>
        </is>
      </c>
      <c r="E2817" s="34" t="n"/>
      <c r="F2817" s="34" t="n"/>
      <c r="G2817" s="34" t="n"/>
      <c r="H2817" s="30" t="inlineStr">
        <is>
          <t>Oui</t>
        </is>
      </c>
    </row>
    <row r="2818">
      <c r="A2818" s="31" t="n"/>
      <c r="B2818" s="34" t="inlineStr">
        <is>
          <t>Ultralaser</t>
        </is>
      </c>
      <c r="C2818" s="34" t="inlineStr">
        <is>
          <t>Ultralaser</t>
        </is>
      </c>
      <c r="D2818" s="34" t="inlineStr">
        <is>
          <t>Ultralaser</t>
        </is>
      </c>
      <c r="E2818" s="34" t="n"/>
      <c r="F2818" s="34" t="n"/>
      <c r="G2818" s="34" t="n"/>
      <c r="H2818" s="30" t="inlineStr">
        <is>
          <t>Oui</t>
        </is>
      </c>
    </row>
    <row r="2819">
      <c r="A2819" s="31" t="inlineStr">
        <is>
          <t>Nom</t>
        </is>
      </c>
      <c r="B2819" s="32" t="inlineStr">
        <is>
          <t>Pêcheur Olive</t>
        </is>
      </c>
      <c r="C2819" s="32" t="n"/>
      <c r="D2819" s="32" t="n"/>
      <c r="E2819" s="32" t="n"/>
      <c r="F2819" s="32" t="n"/>
      <c r="G2819" s="32" t="n"/>
      <c r="H2819" s="30" t="inlineStr">
        <is>
          <t>Oui</t>
        </is>
      </c>
    </row>
    <row r="2820">
      <c r="A2820" s="31" t="inlineStr">
        <is>
          <t>Pokémon</t>
        </is>
      </c>
      <c r="B2820" s="33" t="inlineStr">
        <is>
          <t>POISSOROY</t>
        </is>
      </c>
      <c r="C2820" s="33" t="inlineStr">
        <is>
          <t>TETARTE</t>
        </is>
      </c>
      <c r="D2820" s="33" t="inlineStr">
        <is>
          <t>POISSOROY</t>
        </is>
      </c>
      <c r="E2820" s="33" t="n"/>
      <c r="F2820" s="33" t="n"/>
      <c r="G2820" s="33" t="n"/>
      <c r="H2820" s="30" t="inlineStr">
        <is>
          <t>Oui</t>
        </is>
      </c>
    </row>
    <row r="2821">
      <c r="A2821" s="31" t="inlineStr">
        <is>
          <t>Niveau</t>
        </is>
      </c>
      <c r="B2821" s="33" t="n">
        <v>58</v>
      </c>
      <c r="C2821" s="33" t="n">
        <v>58</v>
      </c>
      <c r="D2821" s="33" t="n">
        <v>59</v>
      </c>
      <c r="E2821" s="33" t="n"/>
      <c r="F2821" s="33" t="n"/>
      <c r="G2821" s="33" t="n"/>
      <c r="H2821" s="30" t="inlineStr">
        <is>
          <t>Oui</t>
        </is>
      </c>
    </row>
    <row r="2822">
      <c r="A2822" s="31" t="inlineStr">
        <is>
          <t>Objet</t>
        </is>
      </c>
      <c r="B2822" s="33" t="inlineStr">
        <is>
          <t>Aucun</t>
        </is>
      </c>
      <c r="C2822" s="33" t="inlineStr">
        <is>
          <t>Aucun</t>
        </is>
      </c>
      <c r="D2822" s="33" t="inlineStr">
        <is>
          <t>Aucun</t>
        </is>
      </c>
      <c r="E2822" s="33" t="n"/>
      <c r="F2822" s="33" t="n"/>
      <c r="G2822" s="33" t="n"/>
      <c r="H2822" s="30" t="inlineStr">
        <is>
          <t>Oui</t>
        </is>
      </c>
    </row>
    <row r="2823">
      <c r="A2823" s="31" t="inlineStr">
        <is>
          <t>Talent</t>
        </is>
      </c>
      <c r="B2823" s="33" t="inlineStr">
        <is>
          <t>Glissade</t>
        </is>
      </c>
      <c r="C2823" s="33" t="inlineStr">
        <is>
          <t>Absorbe-Eau</t>
        </is>
      </c>
      <c r="D2823" s="33" t="inlineStr">
        <is>
          <t>Glissade</t>
        </is>
      </c>
      <c r="E2823" s="33" t="n"/>
      <c r="F2823" s="33" t="n"/>
      <c r="G2823" s="33" t="n"/>
      <c r="H2823" s="30" t="inlineStr">
        <is>
          <t>Oui</t>
        </is>
      </c>
    </row>
    <row r="2824">
      <c r="A2824" s="31" t="inlineStr">
        <is>
          <t>Capacités</t>
        </is>
      </c>
      <c r="B2824" s="34" t="inlineStr">
        <is>
          <t>Empal'Korne</t>
        </is>
      </c>
      <c r="C2824" s="34" t="inlineStr">
        <is>
          <t>Cognobidon</t>
        </is>
      </c>
      <c r="D2824" s="34" t="inlineStr">
        <is>
          <t>Empal'Korne</t>
        </is>
      </c>
      <c r="E2824" s="34" t="n"/>
      <c r="F2824" s="34" t="n"/>
      <c r="G2824" s="34" t="n"/>
      <c r="H2824" s="30" t="inlineStr">
        <is>
          <t>Oui</t>
        </is>
      </c>
    </row>
    <row r="2825">
      <c r="A2825" s="31" t="n"/>
      <c r="B2825" s="34" t="inlineStr">
        <is>
          <t>Eau Revoir</t>
        </is>
      </c>
      <c r="C2825" s="34" t="inlineStr">
        <is>
          <t>Réveil Forcé</t>
        </is>
      </c>
      <c r="D2825" s="34" t="inlineStr">
        <is>
          <t>Eau Revoir</t>
        </is>
      </c>
      <c r="E2825" s="34" t="n"/>
      <c r="F2825" s="34" t="n"/>
      <c r="G2825" s="34" t="n"/>
      <c r="H2825" s="30" t="inlineStr">
        <is>
          <t>Oui</t>
        </is>
      </c>
    </row>
    <row r="2826">
      <c r="A2826" s="31" t="n"/>
      <c r="B2826" s="34" t="inlineStr">
        <is>
          <t>Détrempage</t>
        </is>
      </c>
      <c r="C2826" s="34" t="inlineStr">
        <is>
          <t>Hydrocanon</t>
        </is>
      </c>
      <c r="D2826" s="34" t="inlineStr">
        <is>
          <t>Détrempage</t>
        </is>
      </c>
      <c r="E2826" s="34" t="n"/>
      <c r="F2826" s="34" t="n"/>
      <c r="G2826" s="34" t="n"/>
      <c r="H2826" s="30" t="inlineStr">
        <is>
          <t>Oui</t>
        </is>
      </c>
    </row>
    <row r="2827">
      <c r="A2827" s="31" t="n"/>
      <c r="B2827" s="34" t="inlineStr">
        <is>
          <t>Mégacorne</t>
        </is>
      </c>
      <c r="C2827" s="34" t="inlineStr">
        <is>
          <t>Boue-Bombe</t>
        </is>
      </c>
      <c r="D2827" s="34" t="inlineStr">
        <is>
          <t>Mégacorne</t>
        </is>
      </c>
      <c r="E2827" s="34" t="n"/>
      <c r="F2827" s="34" t="n"/>
      <c r="G2827" s="34" t="n"/>
      <c r="H2827" s="30" t="inlineStr">
        <is>
          <t>Oui</t>
        </is>
      </c>
    </row>
    <row r="2828" ht="18" customHeight="1">
      <c r="A2828" s="26" t="inlineStr">
        <is>
          <t>Route 13</t>
        </is>
      </c>
      <c r="B2828" s="26" t="n"/>
      <c r="C2828" s="26" t="n"/>
      <c r="D2828" s="26" t="n"/>
      <c r="E2828" s="26" t="n"/>
      <c r="F2828" s="26" t="n"/>
      <c r="G2828" s="26" t="n"/>
      <c r="H2828" s="30" t="inlineStr">
        <is>
          <t>Oui</t>
        </is>
      </c>
    </row>
    <row r="2829">
      <c r="A2829" s="31" t="inlineStr">
        <is>
          <t>Nom</t>
        </is>
      </c>
      <c r="B2829" s="32" t="inlineStr">
        <is>
          <t>Combattante Adelin</t>
        </is>
      </c>
      <c r="C2829" s="32" t="n"/>
      <c r="D2829" s="32" t="n"/>
      <c r="E2829" s="32" t="n"/>
      <c r="F2829" s="32" t="n"/>
      <c r="G2829" s="32" t="n"/>
      <c r="H2829" s="30" t="inlineStr">
        <is>
          <t>Oui</t>
        </is>
      </c>
    </row>
    <row r="2830">
      <c r="A2830" s="31" t="inlineStr">
        <is>
          <t>Pokémon</t>
        </is>
      </c>
      <c r="B2830" s="33" t="inlineStr">
        <is>
          <t>NIDOKING</t>
        </is>
      </c>
      <c r="C2830" s="33" t="inlineStr">
        <is>
          <t>ROIGADA</t>
        </is>
      </c>
      <c r="D2830" s="33" t="inlineStr">
        <is>
          <t>POISSOROY</t>
        </is>
      </c>
      <c r="E2830" s="33" t="n"/>
      <c r="F2830" s="33" t="n"/>
      <c r="G2830" s="33" t="n"/>
      <c r="H2830" s="30" t="inlineStr">
        <is>
          <t>Oui</t>
        </is>
      </c>
    </row>
    <row r="2831">
      <c r="A2831" s="31" t="inlineStr">
        <is>
          <t>Niveau</t>
        </is>
      </c>
      <c r="B2831" s="33" t="n">
        <v>56</v>
      </c>
      <c r="C2831" s="33" t="n">
        <v>57</v>
      </c>
      <c r="D2831" s="33" t="n">
        <v>58</v>
      </c>
      <c r="E2831" s="33" t="n"/>
      <c r="F2831" s="33" t="n"/>
      <c r="G2831" s="33" t="n"/>
      <c r="H2831" s="30" t="inlineStr">
        <is>
          <t>Oui</t>
        </is>
      </c>
    </row>
    <row r="2832">
      <c r="A2832" s="31" t="inlineStr">
        <is>
          <t>Objet</t>
        </is>
      </c>
      <c r="B2832" s="33" t="inlineStr">
        <is>
          <t>Aucun</t>
        </is>
      </c>
      <c r="C2832" s="33" t="inlineStr">
        <is>
          <t>Aucun</t>
        </is>
      </c>
      <c r="D2832" s="33" t="inlineStr">
        <is>
          <t>Aucun</t>
        </is>
      </c>
      <c r="E2832" s="33" t="n"/>
      <c r="F2832" s="33" t="n"/>
      <c r="G2832" s="33" t="n"/>
      <c r="H2832" s="30" t="inlineStr">
        <is>
          <t>Oui</t>
        </is>
      </c>
    </row>
    <row r="2833">
      <c r="A2833" s="31" t="inlineStr">
        <is>
          <t>Talent</t>
        </is>
      </c>
      <c r="B2833" s="33" t="inlineStr">
        <is>
          <t>Point Poison</t>
        </is>
      </c>
      <c r="C2833" s="33" t="inlineStr">
        <is>
          <t>Benêt</t>
        </is>
      </c>
      <c r="D2833" s="33" t="inlineStr">
        <is>
          <t>Glissade</t>
        </is>
      </c>
      <c r="E2833" s="33" t="n"/>
      <c r="F2833" s="33" t="n"/>
      <c r="G2833" s="33" t="n"/>
      <c r="H2833" s="30" t="inlineStr">
        <is>
          <t>Oui</t>
        </is>
      </c>
    </row>
    <row r="2834">
      <c r="A2834" s="31" t="inlineStr">
        <is>
          <t>Capacités</t>
        </is>
      </c>
      <c r="B2834" s="34" t="inlineStr">
        <is>
          <t>Mania</t>
        </is>
      </c>
      <c r="C2834" s="34" t="inlineStr">
        <is>
          <t>Vantardise</t>
        </is>
      </c>
      <c r="D2834" s="34" t="inlineStr">
        <is>
          <t>Empal'Korne</t>
        </is>
      </c>
      <c r="E2834" s="34" t="n"/>
      <c r="F2834" s="34" t="n"/>
      <c r="G2834" s="34" t="n"/>
      <c r="H2834" s="30" t="inlineStr">
        <is>
          <t>Oui</t>
        </is>
      </c>
    </row>
    <row r="2835">
      <c r="A2835" s="31" t="n"/>
      <c r="B2835" s="34" t="inlineStr">
        <is>
          <t>Poison Croix</t>
        </is>
      </c>
      <c r="C2835" s="34" t="inlineStr">
        <is>
          <t>Psyko</t>
        </is>
      </c>
      <c r="D2835" s="34" t="inlineStr">
        <is>
          <t>Eau Revoir</t>
        </is>
      </c>
      <c r="E2835" s="34" t="n"/>
      <c r="F2835" s="34" t="n"/>
      <c r="G2835" s="34" t="n"/>
      <c r="H2835" s="30" t="inlineStr">
        <is>
          <t>Oui</t>
        </is>
      </c>
    </row>
    <row r="2836">
      <c r="A2836" s="31" t="n"/>
      <c r="B2836" s="34" t="inlineStr">
        <is>
          <t>Piétisol</t>
        </is>
      </c>
      <c r="C2836" s="34" t="inlineStr">
        <is>
          <t>Atout</t>
        </is>
      </c>
      <c r="D2836" s="34" t="inlineStr">
        <is>
          <t>Détrempage</t>
        </is>
      </c>
      <c r="E2836" s="34" t="n"/>
      <c r="F2836" s="34" t="n"/>
      <c r="G2836" s="34" t="n"/>
      <c r="H2836" s="30" t="inlineStr">
        <is>
          <t>Oui</t>
        </is>
      </c>
    </row>
    <row r="2837">
      <c r="A2837" s="31" t="n"/>
      <c r="B2837" s="34" t="inlineStr">
        <is>
          <t>Telluriforce</t>
        </is>
      </c>
      <c r="C2837" s="34" t="inlineStr">
        <is>
          <t>Boost</t>
        </is>
      </c>
      <c r="D2837" s="34" t="inlineStr">
        <is>
          <t>Mégacorne</t>
        </is>
      </c>
      <c r="E2837" s="34" t="n"/>
      <c r="F2837" s="34" t="n"/>
      <c r="G2837" s="34" t="n"/>
      <c r="H2837" s="30" t="inlineStr">
        <is>
          <t>Oui</t>
        </is>
      </c>
    </row>
    <row r="2838">
      <c r="A2838" s="31" t="inlineStr">
        <is>
          <t>Nom</t>
        </is>
      </c>
      <c r="B2838" s="32" t="inlineStr">
        <is>
          <t>Pokéfan Josh</t>
        </is>
      </c>
      <c r="C2838" s="32" t="n"/>
      <c r="D2838" s="32" t="n"/>
      <c r="E2838" s="32" t="n"/>
      <c r="F2838" s="32" t="n"/>
      <c r="G2838" s="32" t="n"/>
      <c r="H2838" s="30" t="inlineStr">
        <is>
          <t>Oui</t>
        </is>
      </c>
    </row>
    <row r="2839">
      <c r="A2839" s="31" t="inlineStr">
        <is>
          <t>Pokémon</t>
        </is>
      </c>
      <c r="B2839" s="33" t="inlineStr">
        <is>
          <t>PIKACHU</t>
        </is>
      </c>
      <c r="C2839" s="33" t="inlineStr">
        <is>
          <t>PIKACHU</t>
        </is>
      </c>
      <c r="D2839" s="33" t="inlineStr">
        <is>
          <t>PIKACHU</t>
        </is>
      </c>
      <c r="E2839" s="33" t="n"/>
      <c r="F2839" s="33" t="n"/>
      <c r="G2839" s="33" t="n"/>
      <c r="H2839" s="30" t="inlineStr">
        <is>
          <t>Oui</t>
        </is>
      </c>
    </row>
    <row r="2840">
      <c r="A2840" s="31" t="inlineStr">
        <is>
          <t>Niveau</t>
        </is>
      </c>
      <c r="B2840" s="33" t="n">
        <v>60</v>
      </c>
      <c r="C2840" s="33" t="n">
        <v>60</v>
      </c>
      <c r="D2840" s="33" t="n">
        <v>60</v>
      </c>
      <c r="E2840" s="33" t="n"/>
      <c r="F2840" s="33" t="n"/>
      <c r="G2840" s="33" t="n"/>
      <c r="H2840" s="30" t="inlineStr">
        <is>
          <t>Oui</t>
        </is>
      </c>
    </row>
    <row r="2841">
      <c r="A2841" s="31" t="inlineStr">
        <is>
          <t>Objet</t>
        </is>
      </c>
      <c r="B2841" s="33" t="inlineStr">
        <is>
          <t>Aucun</t>
        </is>
      </c>
      <c r="C2841" s="33" t="inlineStr">
        <is>
          <t>Aucun</t>
        </is>
      </c>
      <c r="D2841" s="33" t="inlineStr">
        <is>
          <t>Aucun</t>
        </is>
      </c>
      <c r="E2841" s="33" t="n"/>
      <c r="F2841" s="33" t="n"/>
      <c r="G2841" s="33" t="n"/>
      <c r="H2841" s="30" t="inlineStr">
        <is>
          <t>Oui</t>
        </is>
      </c>
    </row>
    <row r="2842">
      <c r="A2842" s="31" t="inlineStr">
        <is>
          <t>Talent</t>
        </is>
      </c>
      <c r="B2842" s="33" t="inlineStr">
        <is>
          <t>Statik</t>
        </is>
      </c>
      <c r="C2842" s="33" t="inlineStr">
        <is>
          <t>Statik</t>
        </is>
      </c>
      <c r="D2842" s="33" t="inlineStr">
        <is>
          <t>Statik</t>
        </is>
      </c>
      <c r="E2842" s="33" t="n"/>
      <c r="F2842" s="33" t="n"/>
      <c r="G2842" s="33" t="n"/>
      <c r="H2842" s="30" t="inlineStr">
        <is>
          <t>Oui</t>
        </is>
      </c>
    </row>
    <row r="2843">
      <c r="A2843" s="31" t="inlineStr">
        <is>
          <t>Capacités</t>
        </is>
      </c>
      <c r="B2843" s="34" t="inlineStr">
        <is>
          <t>Électacle</t>
        </is>
      </c>
      <c r="C2843" s="34" t="inlineStr">
        <is>
          <t>Électacle</t>
        </is>
      </c>
      <c r="D2843" s="34" t="inlineStr">
        <is>
          <t>Électacle</t>
        </is>
      </c>
      <c r="E2843" s="34" t="n"/>
      <c r="F2843" s="34" t="n"/>
      <c r="G2843" s="34" t="n"/>
      <c r="H2843" s="30" t="inlineStr">
        <is>
          <t>Oui</t>
        </is>
      </c>
    </row>
    <row r="2844">
      <c r="A2844" s="31" t="n"/>
      <c r="B2844" s="34" t="inlineStr">
        <is>
          <t>Éclair Fou</t>
        </is>
      </c>
      <c r="C2844" s="34" t="inlineStr">
        <is>
          <t>Éclair Fou</t>
        </is>
      </c>
      <c r="D2844" s="34" t="inlineStr">
        <is>
          <t>Éclair Fou</t>
        </is>
      </c>
      <c r="E2844" s="34" t="n"/>
      <c r="F2844" s="34" t="n"/>
      <c r="G2844" s="34" t="n"/>
      <c r="H2844" s="30" t="inlineStr">
        <is>
          <t>Oui</t>
        </is>
      </c>
    </row>
    <row r="2845">
      <c r="A2845" s="31" t="n"/>
      <c r="B2845" s="34" t="inlineStr">
        <is>
          <t>Mur Lumière</t>
        </is>
      </c>
      <c r="C2845" s="34" t="inlineStr">
        <is>
          <t>Mur Lumière</t>
        </is>
      </c>
      <c r="D2845" s="34" t="inlineStr">
        <is>
          <t>Mur Lumière</t>
        </is>
      </c>
      <c r="E2845" s="34" t="n"/>
      <c r="F2845" s="34" t="n"/>
      <c r="G2845" s="34" t="n"/>
      <c r="H2845" s="30" t="inlineStr">
        <is>
          <t>Oui</t>
        </is>
      </c>
    </row>
    <row r="2846">
      <c r="A2846" s="31" t="n"/>
      <c r="B2846" s="34" t="inlineStr">
        <is>
          <t>Fatal-Foudre</t>
        </is>
      </c>
      <c r="C2846" s="34" t="inlineStr">
        <is>
          <t>Fatal-Foudre</t>
        </is>
      </c>
      <c r="D2846" s="34" t="inlineStr">
        <is>
          <t>Fatal-Foudre</t>
        </is>
      </c>
      <c r="E2846" s="34" t="n"/>
      <c r="F2846" s="34" t="n"/>
      <c r="G2846" s="34" t="n"/>
      <c r="H2846" s="30" t="inlineStr">
        <is>
          <t>Oui</t>
        </is>
      </c>
    </row>
    <row r="2847">
      <c r="A2847" s="31" t="inlineStr">
        <is>
          <t>Nom</t>
        </is>
      </c>
      <c r="B2847" s="32" t="inlineStr">
        <is>
          <t>Ornithologue Jeff</t>
        </is>
      </c>
      <c r="C2847" s="32" t="n"/>
      <c r="D2847" s="32" t="n"/>
      <c r="E2847" s="32" t="n"/>
      <c r="F2847" s="32" t="n"/>
      <c r="G2847" s="32" t="n"/>
      <c r="H2847" s="30" t="inlineStr">
        <is>
          <t>Oui</t>
        </is>
      </c>
    </row>
    <row r="2848">
      <c r="A2848" s="31" t="inlineStr">
        <is>
          <t>Pokémon</t>
        </is>
      </c>
      <c r="B2848" s="33" t="inlineStr">
        <is>
          <t>CANARTICHO</t>
        </is>
      </c>
      <c r="C2848" s="33" t="n"/>
      <c r="D2848" s="33" t="n"/>
      <c r="E2848" s="33" t="n"/>
      <c r="F2848" s="33" t="n"/>
      <c r="G2848" s="33" t="n"/>
      <c r="H2848" s="30" t="inlineStr">
        <is>
          <t>Oui</t>
        </is>
      </c>
    </row>
    <row r="2849">
      <c r="A2849" s="31" t="inlineStr">
        <is>
          <t>Niveau</t>
        </is>
      </c>
      <c r="B2849" s="33" t="n">
        <v>61</v>
      </c>
      <c r="C2849" s="33" t="n"/>
      <c r="D2849" s="33" t="n"/>
      <c r="E2849" s="33" t="n"/>
      <c r="F2849" s="33" t="n"/>
      <c r="G2849" s="33" t="n"/>
      <c r="H2849" s="30" t="inlineStr">
        <is>
          <t>Oui</t>
        </is>
      </c>
    </row>
    <row r="2850">
      <c r="A2850" s="31" t="inlineStr">
        <is>
          <t>Objet</t>
        </is>
      </c>
      <c r="B2850" s="33" t="inlineStr">
        <is>
          <t>Aucun</t>
        </is>
      </c>
      <c r="C2850" s="33" t="n"/>
      <c r="D2850" s="33" t="n"/>
      <c r="E2850" s="33" t="n"/>
      <c r="F2850" s="33" t="n"/>
      <c r="G2850" s="33" t="n"/>
      <c r="H2850" s="30" t="inlineStr">
        <is>
          <t>Oui</t>
        </is>
      </c>
    </row>
    <row r="2851">
      <c r="A2851" s="31" t="inlineStr">
        <is>
          <t>Talent</t>
        </is>
      </c>
      <c r="B2851" s="33" t="inlineStr">
        <is>
          <t>Regard Vif</t>
        </is>
      </c>
      <c r="C2851" s="33" t="n"/>
      <c r="D2851" s="33" t="n"/>
      <c r="E2851" s="33" t="n"/>
      <c r="F2851" s="33" t="n"/>
      <c r="G2851" s="33" t="n"/>
      <c r="H2851" s="30" t="inlineStr">
        <is>
          <t>Oui</t>
        </is>
      </c>
    </row>
    <row r="2852">
      <c r="A2852" s="31" t="inlineStr">
        <is>
          <t>Capacités</t>
        </is>
      </c>
      <c r="B2852" s="34" t="inlineStr">
        <is>
          <t>Ruse</t>
        </is>
      </c>
      <c r="C2852" s="34" t="n"/>
      <c r="D2852" s="34" t="n"/>
      <c r="E2852" s="34" t="n"/>
      <c r="F2852" s="34" t="n"/>
      <c r="G2852" s="34" t="n"/>
      <c r="H2852" s="30" t="inlineStr">
        <is>
          <t>Oui</t>
        </is>
      </c>
    </row>
    <row r="2853">
      <c r="A2853" s="31" t="n"/>
      <c r="B2853" s="34" t="inlineStr">
        <is>
          <t>Faux-Chage</t>
        </is>
      </c>
      <c r="C2853" s="34" t="n"/>
      <c r="D2853" s="34" t="n"/>
      <c r="E2853" s="34" t="n"/>
      <c r="F2853" s="34" t="n"/>
      <c r="G2853" s="34" t="n"/>
      <c r="H2853" s="30" t="inlineStr">
        <is>
          <t>Oui</t>
        </is>
      </c>
    </row>
    <row r="2854">
      <c r="A2854" s="31" t="n"/>
      <c r="B2854" s="34" t="inlineStr">
        <is>
          <t>Lame d'Air</t>
        </is>
      </c>
      <c r="C2854" s="34" t="n"/>
      <c r="D2854" s="34" t="n"/>
      <c r="E2854" s="34" t="n"/>
      <c r="F2854" s="34" t="n"/>
      <c r="G2854" s="34" t="n"/>
      <c r="H2854" s="30" t="inlineStr">
        <is>
          <t>Oui</t>
        </is>
      </c>
    </row>
    <row r="2855">
      <c r="A2855" s="31" t="n"/>
      <c r="B2855" s="34" t="inlineStr">
        <is>
          <t>Rapace</t>
        </is>
      </c>
      <c r="C2855" s="34" t="n"/>
      <c r="D2855" s="34" t="n"/>
      <c r="E2855" s="34" t="n"/>
      <c r="F2855" s="34" t="n"/>
      <c r="G2855" s="34" t="n"/>
      <c r="H2855" s="30" t="inlineStr">
        <is>
          <t>Oui</t>
        </is>
      </c>
    </row>
    <row r="2856">
      <c r="A2856" s="31" t="inlineStr">
        <is>
          <t>Nom</t>
        </is>
      </c>
      <c r="B2856" s="32" t="inlineStr">
        <is>
          <t>Jongleur Bret</t>
        </is>
      </c>
      <c r="C2856" s="32" t="n"/>
      <c r="D2856" s="32" t="n"/>
      <c r="E2856" s="32" t="n"/>
      <c r="F2856" s="32" t="n"/>
      <c r="G2856" s="32" t="n"/>
      <c r="H2856" s="30" t="inlineStr">
        <is>
          <t>Oui</t>
        </is>
      </c>
    </row>
    <row r="2857">
      <c r="A2857" s="31" t="inlineStr">
        <is>
          <t>Pokémon</t>
        </is>
      </c>
      <c r="B2857" s="33" t="inlineStr">
        <is>
          <t>AIRMURE</t>
        </is>
      </c>
      <c r="C2857" s="33" t="inlineStr">
        <is>
          <t>RAPASDEPIC</t>
        </is>
      </c>
      <c r="D2857" s="33" t="n"/>
      <c r="E2857" s="33" t="n"/>
      <c r="F2857" s="33" t="n"/>
      <c r="G2857" s="33" t="n"/>
      <c r="H2857" s="30" t="inlineStr">
        <is>
          <t>Oui</t>
        </is>
      </c>
    </row>
    <row r="2858">
      <c r="A2858" s="31" t="inlineStr">
        <is>
          <t>Niveau</t>
        </is>
      </c>
      <c r="B2858" s="33" t="n">
        <v>58</v>
      </c>
      <c r="C2858" s="33" t="n">
        <v>58</v>
      </c>
      <c r="D2858" s="33" t="n"/>
      <c r="E2858" s="33" t="n"/>
      <c r="F2858" s="33" t="n"/>
      <c r="G2858" s="33" t="n"/>
      <c r="H2858" s="30" t="inlineStr">
        <is>
          <t>Oui</t>
        </is>
      </c>
    </row>
    <row r="2859">
      <c r="A2859" s="31" t="inlineStr">
        <is>
          <t>Objet</t>
        </is>
      </c>
      <c r="B2859" s="33" t="inlineStr">
        <is>
          <t>Aucun</t>
        </is>
      </c>
      <c r="C2859" s="33" t="inlineStr">
        <is>
          <t>Aucun</t>
        </is>
      </c>
      <c r="D2859" s="33" t="n"/>
      <c r="E2859" s="33" t="n"/>
      <c r="F2859" s="33" t="n"/>
      <c r="G2859" s="33" t="n"/>
      <c r="H2859" s="30" t="inlineStr">
        <is>
          <t>Oui</t>
        </is>
      </c>
    </row>
    <row r="2860">
      <c r="A2860" s="31" t="inlineStr">
        <is>
          <t>Talent</t>
        </is>
      </c>
      <c r="B2860" s="33" t="inlineStr">
        <is>
          <t>Regard Vif</t>
        </is>
      </c>
      <c r="C2860" s="33" t="inlineStr">
        <is>
          <t>Regard Vif</t>
        </is>
      </c>
      <c r="D2860" s="33" t="n"/>
      <c r="E2860" s="33" t="n"/>
      <c r="F2860" s="33" t="n"/>
      <c r="G2860" s="33" t="n"/>
      <c r="H2860" s="30" t="inlineStr">
        <is>
          <t>Oui</t>
        </is>
      </c>
    </row>
    <row r="2861">
      <c r="A2861" s="31" t="inlineStr">
        <is>
          <t>Capacités</t>
        </is>
      </c>
      <c r="B2861" s="34" t="inlineStr">
        <is>
          <t>Strido-Son</t>
        </is>
      </c>
      <c r="C2861" s="34" t="inlineStr">
        <is>
          <t>Puissance</t>
        </is>
      </c>
      <c r="D2861" s="34" t="n"/>
      <c r="E2861" s="34" t="n"/>
      <c r="F2861" s="34" t="n"/>
      <c r="G2861" s="34" t="n"/>
      <c r="H2861" s="30" t="inlineStr">
        <is>
          <t>Oui</t>
        </is>
      </c>
    </row>
    <row r="2862">
      <c r="A2862" s="31" t="n"/>
      <c r="B2862" s="34" t="inlineStr">
        <is>
          <t>Lame d'Air</t>
        </is>
      </c>
      <c r="C2862" s="34" t="inlineStr">
        <is>
          <t>Atterrissage</t>
        </is>
      </c>
      <c r="D2862" s="34" t="n"/>
      <c r="E2862" s="34" t="n"/>
      <c r="F2862" s="34" t="n"/>
      <c r="G2862" s="34" t="n"/>
      <c r="H2862" s="30" t="inlineStr">
        <is>
          <t>Oui</t>
        </is>
      </c>
    </row>
    <row r="2863">
      <c r="A2863" s="31" t="n"/>
      <c r="B2863" s="34" t="inlineStr">
        <is>
          <t>Allègement</t>
        </is>
      </c>
      <c r="C2863" s="34" t="inlineStr">
        <is>
          <t>Bec Vrille</t>
        </is>
      </c>
      <c r="D2863" s="34" t="n"/>
      <c r="E2863" s="34" t="n"/>
      <c r="F2863" s="34" t="n"/>
      <c r="G2863" s="34" t="n"/>
      <c r="H2863" s="30" t="inlineStr">
        <is>
          <t>Oui</t>
        </is>
      </c>
    </row>
    <row r="2864">
      <c r="A2864" s="31" t="n"/>
      <c r="B2864" s="34" t="inlineStr">
        <is>
          <t>Tranche-Nuit</t>
        </is>
      </c>
      <c r="C2864" s="34" t="inlineStr">
        <is>
          <t>Tunnelier</t>
        </is>
      </c>
      <c r="D2864" s="34" t="n"/>
      <c r="E2864" s="34" t="n"/>
      <c r="F2864" s="34" t="n"/>
      <c r="G2864" s="34" t="n"/>
      <c r="H2864" s="30" t="inlineStr">
        <is>
          <t>Oui</t>
        </is>
      </c>
    </row>
    <row r="2865">
      <c r="A2865" s="31" t="inlineStr">
        <is>
          <t>Nom</t>
        </is>
      </c>
      <c r="B2865" s="32" t="inlineStr">
        <is>
          <t>Montagnard Gilles</t>
        </is>
      </c>
      <c r="C2865" s="32" t="n"/>
      <c r="D2865" s="32" t="n"/>
      <c r="E2865" s="32" t="n"/>
      <c r="F2865" s="32" t="n"/>
      <c r="G2865" s="32" t="n"/>
      <c r="H2865" s="30" t="inlineStr">
        <is>
          <t>Oui</t>
        </is>
      </c>
    </row>
    <row r="2866">
      <c r="A2866" s="31" t="inlineStr">
        <is>
          <t>Pokémon</t>
        </is>
      </c>
      <c r="B2866" s="33" t="inlineStr">
        <is>
          <t>SABLAIREAU</t>
        </is>
      </c>
      <c r="C2866" s="33" t="inlineStr">
        <is>
          <t>GRAVALANCH</t>
        </is>
      </c>
      <c r="D2866" s="33" t="inlineStr">
        <is>
          <t>GROLEM</t>
        </is>
      </c>
      <c r="E2866" s="33" t="inlineStr">
        <is>
          <t>GRAVALANCH</t>
        </is>
      </c>
      <c r="F2866" s="33" t="n"/>
      <c r="G2866" s="33" t="n"/>
      <c r="H2866" s="30" t="inlineStr">
        <is>
          <t>Oui</t>
        </is>
      </c>
    </row>
    <row r="2867">
      <c r="A2867" s="31" t="inlineStr">
        <is>
          <t>Niveau</t>
        </is>
      </c>
      <c r="B2867" s="33" t="n">
        <v>56</v>
      </c>
      <c r="C2867" s="33" t="n">
        <v>59</v>
      </c>
      <c r="D2867" s="33" t="n">
        <v>57</v>
      </c>
      <c r="E2867" s="33" t="n">
        <v>59</v>
      </c>
      <c r="F2867" s="33" t="n"/>
      <c r="G2867" s="33" t="n"/>
      <c r="H2867" s="30" t="inlineStr">
        <is>
          <t>Oui</t>
        </is>
      </c>
    </row>
    <row r="2868">
      <c r="A2868" s="31" t="inlineStr">
        <is>
          <t>Objet</t>
        </is>
      </c>
      <c r="B2868" s="33" t="inlineStr">
        <is>
          <t>Aucun</t>
        </is>
      </c>
      <c r="C2868" s="33" t="inlineStr">
        <is>
          <t>Aucun</t>
        </is>
      </c>
      <c r="D2868" s="33" t="inlineStr">
        <is>
          <t>Aucun</t>
        </is>
      </c>
      <c r="E2868" s="33" t="inlineStr">
        <is>
          <t>Aucun</t>
        </is>
      </c>
      <c r="F2868" s="33" t="n"/>
      <c r="G2868" s="33" t="n"/>
      <c r="H2868" s="30" t="inlineStr">
        <is>
          <t>Oui</t>
        </is>
      </c>
    </row>
    <row r="2869">
      <c r="A2869" s="31" t="inlineStr">
        <is>
          <t>Talent</t>
        </is>
      </c>
      <c r="B2869" s="33" t="inlineStr">
        <is>
          <t>Voile Sable</t>
        </is>
      </c>
      <c r="C2869" s="33" t="inlineStr">
        <is>
          <t>Tête de Roc</t>
        </is>
      </c>
      <c r="D2869" s="33" t="inlineStr">
        <is>
          <t>Tête de Roc</t>
        </is>
      </c>
      <c r="E2869" s="33" t="inlineStr">
        <is>
          <t>Tête de Roc</t>
        </is>
      </c>
      <c r="F2869" s="33" t="n"/>
      <c r="G2869" s="33" t="n"/>
      <c r="H2869" s="30" t="inlineStr">
        <is>
          <t>Oui</t>
        </is>
      </c>
    </row>
    <row r="2870">
      <c r="A2870" s="31" t="inlineStr">
        <is>
          <t>Capacités</t>
        </is>
      </c>
      <c r="B2870" s="34" t="inlineStr">
        <is>
          <t>Gyroballe</t>
        </is>
      </c>
      <c r="C2870" s="34" t="inlineStr">
        <is>
          <t>Séisme</t>
        </is>
      </c>
      <c r="D2870" s="34" t="inlineStr">
        <is>
          <t>Séisme</t>
        </is>
      </c>
      <c r="E2870" s="34" t="inlineStr">
        <is>
          <t>Séisme</t>
        </is>
      </c>
      <c r="F2870" s="34" t="n"/>
      <c r="G2870" s="34" t="n"/>
      <c r="H2870" s="30" t="inlineStr">
        <is>
          <t>Oui</t>
        </is>
      </c>
    </row>
    <row r="2871">
      <c r="A2871" s="31" t="n"/>
      <c r="B2871" s="34" t="inlineStr">
        <is>
          <t>Danse Lames</t>
        </is>
      </c>
      <c r="C2871" s="34" t="inlineStr">
        <is>
          <t>Explosion</t>
        </is>
      </c>
      <c r="D2871" s="34" t="inlineStr">
        <is>
          <t>Explosion</t>
        </is>
      </c>
      <c r="E2871" s="34" t="inlineStr">
        <is>
          <t>Explosion</t>
        </is>
      </c>
      <c r="F2871" s="34" t="n"/>
      <c r="G2871" s="34" t="n"/>
      <c r="H2871" s="30" t="inlineStr">
        <is>
          <t>Oui</t>
        </is>
      </c>
    </row>
    <row r="2872">
      <c r="A2872" s="31" t="n"/>
      <c r="B2872" s="34" t="inlineStr">
        <is>
          <t>Tempête de Sable</t>
        </is>
      </c>
      <c r="C2872" s="34" t="inlineStr">
        <is>
          <t>Damoclès</t>
        </is>
      </c>
      <c r="D2872" s="34" t="inlineStr">
        <is>
          <t>Damoclès</t>
        </is>
      </c>
      <c r="E2872" s="34" t="inlineStr">
        <is>
          <t>Damoclès</t>
        </is>
      </c>
      <c r="F2872" s="34" t="n"/>
      <c r="G2872" s="34" t="n"/>
      <c r="H2872" s="30" t="inlineStr">
        <is>
          <t>Oui</t>
        </is>
      </c>
    </row>
    <row r="2873">
      <c r="A2873" s="31" t="n"/>
      <c r="B2873" s="34" t="inlineStr">
        <is>
          <t>Séisme</t>
        </is>
      </c>
      <c r="C2873" s="34" t="inlineStr">
        <is>
          <t>Lame de Roc</t>
        </is>
      </c>
      <c r="D2873" s="34" t="inlineStr">
        <is>
          <t>Lame de Roc</t>
        </is>
      </c>
      <c r="E2873" s="34" t="inlineStr">
        <is>
          <t>Lame de Roc</t>
        </is>
      </c>
      <c r="F2873" s="34" t="n"/>
      <c r="G2873" s="34" t="n"/>
      <c r="H2873" s="30" t="inlineStr">
        <is>
          <t>Oui</t>
        </is>
      </c>
    </row>
    <row r="2874" ht="18" customHeight="1">
      <c r="A2874" s="26" t="inlineStr">
        <is>
          <t>Route 14</t>
        </is>
      </c>
      <c r="B2874" s="26" t="n"/>
      <c r="C2874" s="26" t="n"/>
      <c r="D2874" s="26" t="n"/>
      <c r="E2874" s="26" t="n"/>
      <c r="F2874" s="26" t="n"/>
      <c r="G2874" s="26" t="n"/>
      <c r="H2874" s="30" t="inlineStr">
        <is>
          <t>Oui</t>
        </is>
      </c>
    </row>
    <row r="2875">
      <c r="A2875" s="31" t="inlineStr">
        <is>
          <t>Nom</t>
        </is>
      </c>
      <c r="B2875" s="32" t="inlineStr">
        <is>
          <t>Pokéfan Donald</t>
        </is>
      </c>
      <c r="C2875" s="32" t="n"/>
      <c r="D2875" s="32" t="n"/>
      <c r="E2875" s="32" t="n"/>
      <c r="F2875" s="32" t="n"/>
      <c r="G2875" s="32" t="n"/>
      <c r="H2875" s="30" t="inlineStr">
        <is>
          <t>Oui</t>
        </is>
      </c>
    </row>
    <row r="2876">
      <c r="A2876" s="31" t="inlineStr">
        <is>
          <t>Pokémon</t>
        </is>
      </c>
      <c r="B2876" s="33" t="inlineStr">
        <is>
          <t>GERMIGNON</t>
        </is>
      </c>
      <c r="C2876" s="33" t="inlineStr">
        <is>
          <t>HERICENDRE</t>
        </is>
      </c>
      <c r="D2876" s="33" t="inlineStr">
        <is>
          <t>KAIMINUS</t>
        </is>
      </c>
      <c r="E2876" s="33" t="n"/>
      <c r="F2876" s="33" t="n"/>
      <c r="G2876" s="33" t="n"/>
      <c r="H2876" s="30" t="inlineStr">
        <is>
          <t>Oui</t>
        </is>
      </c>
    </row>
    <row r="2877">
      <c r="A2877" s="31" t="inlineStr">
        <is>
          <t>Niveau</t>
        </is>
      </c>
      <c r="B2877" s="33" t="n">
        <v>65</v>
      </c>
      <c r="C2877" s="33" t="n">
        <v>65</v>
      </c>
      <c r="D2877" s="33" t="n">
        <v>65</v>
      </c>
      <c r="E2877" s="33" t="n"/>
      <c r="F2877" s="33" t="n"/>
      <c r="G2877" s="33" t="n"/>
      <c r="H2877" s="30" t="inlineStr">
        <is>
          <t>Oui</t>
        </is>
      </c>
    </row>
    <row r="2878">
      <c r="A2878" s="31" t="inlineStr">
        <is>
          <t>Objet</t>
        </is>
      </c>
      <c r="B2878" s="33" t="inlineStr">
        <is>
          <t>Aucun</t>
        </is>
      </c>
      <c r="C2878" s="33" t="inlineStr">
        <is>
          <t>Aucun</t>
        </is>
      </c>
      <c r="D2878" s="33" t="inlineStr">
        <is>
          <t>Aucun</t>
        </is>
      </c>
      <c r="E2878" s="33" t="n"/>
      <c r="F2878" s="33" t="n"/>
      <c r="G2878" s="33" t="n"/>
      <c r="H2878" s="30" t="inlineStr">
        <is>
          <t>Oui</t>
        </is>
      </c>
    </row>
    <row r="2879">
      <c r="A2879" s="31" t="inlineStr">
        <is>
          <t>Talent</t>
        </is>
      </c>
      <c r="B2879" s="33" t="inlineStr">
        <is>
          <t>Engrais</t>
        </is>
      </c>
      <c r="C2879" s="33" t="inlineStr">
        <is>
          <t>Brasier</t>
        </is>
      </c>
      <c r="D2879" s="33" t="inlineStr">
        <is>
          <t>Torrent</t>
        </is>
      </c>
      <c r="E2879" s="33" t="n"/>
      <c r="F2879" s="33" t="n"/>
      <c r="G2879" s="33" t="n"/>
      <c r="H2879" s="30" t="inlineStr">
        <is>
          <t>Oui</t>
        </is>
      </c>
    </row>
    <row r="2880">
      <c r="A2880" s="31" t="inlineStr">
        <is>
          <t>Capacités</t>
        </is>
      </c>
      <c r="B2880" s="34" t="inlineStr">
        <is>
          <t>Plaquage</t>
        </is>
      </c>
      <c r="C2880" s="34" t="inlineStr">
        <is>
          <t>Roulade</t>
        </is>
      </c>
      <c r="D2880" s="34" t="inlineStr">
        <is>
          <t>Mania</t>
        </is>
      </c>
      <c r="E2880" s="34" t="n"/>
      <c r="F2880" s="34" t="n"/>
      <c r="G2880" s="34" t="n"/>
      <c r="H2880" s="30" t="inlineStr">
        <is>
          <t>Oui</t>
        </is>
      </c>
    </row>
    <row r="2881">
      <c r="A2881" s="31" t="n"/>
      <c r="B2881" s="34" t="inlineStr">
        <is>
          <t>Rune Protect</t>
        </is>
      </c>
      <c r="C2881" s="34" t="inlineStr">
        <is>
          <t>Damoclès</t>
        </is>
      </c>
      <c r="D2881" s="34" t="inlineStr">
        <is>
          <t>Hydro-Queue</t>
        </is>
      </c>
      <c r="E2881" s="34" t="n"/>
      <c r="F2881" s="34" t="n"/>
      <c r="G2881" s="34" t="n"/>
      <c r="H2881" s="30" t="inlineStr">
        <is>
          <t>Oui</t>
        </is>
      </c>
    </row>
    <row r="2882">
      <c r="A2882" s="31" t="n"/>
      <c r="B2882" s="34" t="inlineStr">
        <is>
          <t>Aromathérapie</t>
        </is>
      </c>
      <c r="C2882" s="34" t="inlineStr">
        <is>
          <t>Flamme Ultime</t>
        </is>
      </c>
      <c r="D2882" s="34" t="inlineStr">
        <is>
          <t>Surpuissance</t>
        </is>
      </c>
      <c r="E2882" s="34" t="n"/>
      <c r="F2882" s="34" t="n"/>
      <c r="G2882" s="34" t="n"/>
      <c r="H2882" s="30" t="inlineStr">
        <is>
          <t>Oui</t>
        </is>
      </c>
    </row>
    <row r="2883">
      <c r="A2883" s="31" t="n"/>
      <c r="B2883" s="34" t="inlineStr">
        <is>
          <t>Lance-Soleil</t>
        </is>
      </c>
      <c r="C2883" s="34" t="inlineStr">
        <is>
          <t>Éruption</t>
        </is>
      </c>
      <c r="D2883" s="34" t="inlineStr">
        <is>
          <t>Hydrocanon</t>
        </is>
      </c>
      <c r="E2883" s="34" t="n"/>
      <c r="F2883" s="34" t="n"/>
      <c r="G2883" s="34" t="n"/>
      <c r="H2883" s="30" t="inlineStr">
        <is>
          <t>Oui</t>
        </is>
      </c>
    </row>
    <row r="2884">
      <c r="A2884" s="31" t="inlineStr">
        <is>
          <t>Nom</t>
        </is>
      </c>
      <c r="B2884" s="32" t="inlineStr">
        <is>
          <t>Motard Mamadou</t>
        </is>
      </c>
      <c r="C2884" s="32" t="n"/>
      <c r="D2884" s="32" t="n"/>
      <c r="E2884" s="32" t="n"/>
      <c r="F2884" s="32" t="n"/>
      <c r="G2884" s="32" t="n"/>
      <c r="H2884" s="30" t="inlineStr">
        <is>
          <t>Oui</t>
        </is>
      </c>
    </row>
    <row r="2885">
      <c r="A2885" s="31" t="inlineStr">
        <is>
          <t>Pokémon</t>
        </is>
      </c>
      <c r="B2885" s="33" t="inlineStr">
        <is>
          <t>RAPASDEPIC</t>
        </is>
      </c>
      <c r="C2885" s="33" t="inlineStr">
        <is>
          <t>RAPASDEPIC</t>
        </is>
      </c>
      <c r="D2885" s="33" t="n"/>
      <c r="E2885" s="33" t="n"/>
      <c r="F2885" s="33" t="n"/>
      <c r="G2885" s="33" t="n"/>
      <c r="H2885" s="30" t="inlineStr">
        <is>
          <t>Oui</t>
        </is>
      </c>
    </row>
    <row r="2886">
      <c r="A2886" s="31" t="inlineStr">
        <is>
          <t>Niveau</t>
        </is>
      </c>
      <c r="B2886" s="33" t="n">
        <v>59</v>
      </c>
      <c r="C2886" s="33" t="n">
        <v>59</v>
      </c>
      <c r="D2886" s="33" t="n"/>
      <c r="E2886" s="33" t="n"/>
      <c r="F2886" s="33" t="n"/>
      <c r="G2886" s="33" t="n"/>
      <c r="H2886" s="30" t="inlineStr">
        <is>
          <t>Oui</t>
        </is>
      </c>
    </row>
    <row r="2887">
      <c r="A2887" s="31" t="inlineStr">
        <is>
          <t>Objet</t>
        </is>
      </c>
      <c r="B2887" s="33" t="inlineStr">
        <is>
          <t>Aucun</t>
        </is>
      </c>
      <c r="C2887" s="33" t="inlineStr">
        <is>
          <t>Aucun</t>
        </is>
      </c>
      <c r="D2887" s="33" t="n"/>
      <c r="E2887" s="33" t="n"/>
      <c r="F2887" s="33" t="n"/>
      <c r="G2887" s="33" t="n"/>
      <c r="H2887" s="30" t="inlineStr">
        <is>
          <t>Oui</t>
        </is>
      </c>
    </row>
    <row r="2888">
      <c r="A2888" s="31" t="inlineStr">
        <is>
          <t>Talent</t>
        </is>
      </c>
      <c r="B2888" s="33" t="inlineStr">
        <is>
          <t>Regard Vif</t>
        </is>
      </c>
      <c r="C2888" s="33" t="inlineStr">
        <is>
          <t>Regard Vif</t>
        </is>
      </c>
      <c r="D2888" s="33" t="n"/>
      <c r="E2888" s="33" t="n"/>
      <c r="F2888" s="33" t="n"/>
      <c r="G2888" s="33" t="n"/>
      <c r="H2888" s="30" t="inlineStr">
        <is>
          <t>Oui</t>
        </is>
      </c>
    </row>
    <row r="2889">
      <c r="A2889" s="31" t="inlineStr">
        <is>
          <t>Capacités</t>
        </is>
      </c>
      <c r="B2889" s="34" t="inlineStr">
        <is>
          <t>Puissance</t>
        </is>
      </c>
      <c r="C2889" s="34" t="inlineStr">
        <is>
          <t>Puissance</t>
        </is>
      </c>
      <c r="D2889" s="34" t="n"/>
      <c r="E2889" s="34" t="n"/>
      <c r="F2889" s="34" t="n"/>
      <c r="G2889" s="34" t="n"/>
      <c r="H2889" s="30" t="inlineStr">
        <is>
          <t>Oui</t>
        </is>
      </c>
    </row>
    <row r="2890">
      <c r="A2890" s="31" t="n"/>
      <c r="B2890" s="34" t="inlineStr">
        <is>
          <t>Atterrissage</t>
        </is>
      </c>
      <c r="C2890" s="34" t="inlineStr">
        <is>
          <t>Atterrissage</t>
        </is>
      </c>
      <c r="D2890" s="34" t="n"/>
      <c r="E2890" s="34" t="n"/>
      <c r="F2890" s="34" t="n"/>
      <c r="G2890" s="34" t="n"/>
      <c r="H2890" s="30" t="inlineStr">
        <is>
          <t>Oui</t>
        </is>
      </c>
    </row>
    <row r="2891">
      <c r="A2891" s="31" t="n"/>
      <c r="B2891" s="34" t="inlineStr">
        <is>
          <t>Bec Vrille</t>
        </is>
      </c>
      <c r="C2891" s="34" t="inlineStr">
        <is>
          <t>Bec Vrille</t>
        </is>
      </c>
      <c r="D2891" s="34" t="n"/>
      <c r="E2891" s="34" t="n"/>
      <c r="F2891" s="34" t="n"/>
      <c r="G2891" s="34" t="n"/>
      <c r="H2891" s="30" t="inlineStr">
        <is>
          <t>Oui</t>
        </is>
      </c>
    </row>
    <row r="2892">
      <c r="A2892" s="31" t="n"/>
      <c r="B2892" s="34" t="inlineStr">
        <is>
          <t>Tunnelier</t>
        </is>
      </c>
      <c r="C2892" s="34" t="inlineStr">
        <is>
          <t>Tunnelier</t>
        </is>
      </c>
      <c r="D2892" s="34" t="n"/>
      <c r="E2892" s="34" t="n"/>
      <c r="F2892" s="34" t="n"/>
      <c r="G2892" s="34" t="n"/>
      <c r="H2892" s="30" t="inlineStr">
        <is>
          <t>Oui</t>
        </is>
      </c>
    </row>
    <row r="2893">
      <c r="A2893" s="31" t="inlineStr">
        <is>
          <t>Nom</t>
        </is>
      </c>
      <c r="B2893" s="32" t="inlineStr">
        <is>
          <t>Jongleur Arnaut</t>
        </is>
      </c>
      <c r="C2893" s="32" t="n"/>
      <c r="D2893" s="32" t="n"/>
      <c r="E2893" s="32" t="n"/>
      <c r="F2893" s="32" t="n"/>
      <c r="G2893" s="32" t="n"/>
      <c r="H2893" s="30" t="inlineStr">
        <is>
          <t>Oui</t>
        </is>
      </c>
    </row>
    <row r="2894">
      <c r="A2894" s="31" t="inlineStr">
        <is>
          <t>Pokémon</t>
        </is>
      </c>
      <c r="B2894" s="33" t="inlineStr">
        <is>
          <t>CIZAYOX</t>
        </is>
      </c>
      <c r="C2894" s="33" t="n"/>
      <c r="D2894" s="33" t="n"/>
      <c r="E2894" s="33" t="n"/>
      <c r="F2894" s="33" t="n"/>
      <c r="G2894" s="33" t="n"/>
      <c r="H2894" s="30" t="inlineStr">
        <is>
          <t>Oui</t>
        </is>
      </c>
    </row>
    <row r="2895">
      <c r="A2895" s="31" t="inlineStr">
        <is>
          <t>Niveau</t>
        </is>
      </c>
      <c r="B2895" s="33" t="n">
        <v>60</v>
      </c>
      <c r="C2895" s="33" t="n"/>
      <c r="D2895" s="33" t="n"/>
      <c r="E2895" s="33" t="n"/>
      <c r="F2895" s="33" t="n"/>
      <c r="G2895" s="33" t="n"/>
      <c r="H2895" s="30" t="inlineStr">
        <is>
          <t>Oui</t>
        </is>
      </c>
    </row>
    <row r="2896">
      <c r="A2896" s="31" t="inlineStr">
        <is>
          <t>Objet</t>
        </is>
      </c>
      <c r="B2896" s="33" t="inlineStr">
        <is>
          <t>Aucun</t>
        </is>
      </c>
      <c r="C2896" s="33" t="n"/>
      <c r="D2896" s="33" t="n"/>
      <c r="E2896" s="33" t="n"/>
      <c r="F2896" s="33" t="n"/>
      <c r="G2896" s="33" t="n"/>
      <c r="H2896" s="30" t="inlineStr">
        <is>
          <t>Oui</t>
        </is>
      </c>
    </row>
    <row r="2897">
      <c r="A2897" s="31" t="inlineStr">
        <is>
          <t>Talent</t>
        </is>
      </c>
      <c r="B2897" s="33" t="inlineStr">
        <is>
          <t>Essaim</t>
        </is>
      </c>
      <c r="C2897" s="33" t="n"/>
      <c r="D2897" s="33" t="n"/>
      <c r="E2897" s="33" t="n"/>
      <c r="F2897" s="33" t="n"/>
      <c r="G2897" s="33" t="n"/>
      <c r="H2897" s="30" t="inlineStr">
        <is>
          <t>Oui</t>
        </is>
      </c>
    </row>
    <row r="2898">
      <c r="A2898" s="31" t="inlineStr">
        <is>
          <t>Capacités</t>
        </is>
      </c>
      <c r="B2898" s="34" t="inlineStr">
        <is>
          <t>Tranche-Nuit</t>
        </is>
      </c>
      <c r="C2898" s="34" t="n"/>
      <c r="D2898" s="34" t="n"/>
      <c r="E2898" s="34" t="n"/>
      <c r="F2898" s="34" t="n"/>
      <c r="G2898" s="34" t="n"/>
      <c r="H2898" s="30" t="inlineStr">
        <is>
          <t>Oui</t>
        </is>
      </c>
    </row>
    <row r="2899">
      <c r="A2899" s="31" t="n"/>
      <c r="B2899" s="34" t="inlineStr">
        <is>
          <t>Coup Double</t>
        </is>
      </c>
      <c r="C2899" s="34" t="n"/>
      <c r="D2899" s="34" t="n"/>
      <c r="E2899" s="34" t="n"/>
      <c r="F2899" s="34" t="n"/>
      <c r="G2899" s="34" t="n"/>
      <c r="H2899" s="30" t="inlineStr">
        <is>
          <t>Oui</t>
        </is>
      </c>
    </row>
    <row r="2900">
      <c r="A2900" s="31" t="n"/>
      <c r="B2900" s="34" t="inlineStr">
        <is>
          <t>Tête de Fer</t>
        </is>
      </c>
      <c r="C2900" s="34" t="n"/>
      <c r="D2900" s="34" t="n"/>
      <c r="E2900" s="34" t="n"/>
      <c r="F2900" s="34" t="n"/>
      <c r="G2900" s="34" t="n"/>
      <c r="H2900" s="30" t="inlineStr">
        <is>
          <t>Oui</t>
        </is>
      </c>
    </row>
    <row r="2901">
      <c r="A2901" s="31" t="n"/>
      <c r="B2901" s="34" t="inlineStr">
        <is>
          <t>Danse Lames</t>
        </is>
      </c>
      <c r="C2901" s="34" t="n"/>
      <c r="D2901" s="34" t="n"/>
      <c r="E2901" s="34" t="n"/>
      <c r="F2901" s="34" t="n"/>
      <c r="G2901" s="34" t="n"/>
      <c r="H2901" s="30" t="inlineStr">
        <is>
          <t>Oui</t>
        </is>
      </c>
    </row>
    <row r="2902" ht="18" customHeight="1">
      <c r="A2902" s="26" t="inlineStr">
        <is>
          <t>Route 15</t>
        </is>
      </c>
      <c r="B2902" s="26" t="n"/>
      <c r="C2902" s="26" t="n"/>
      <c r="D2902" s="26" t="n"/>
      <c r="E2902" s="26" t="n"/>
      <c r="F2902" s="26" t="n"/>
      <c r="G2902" s="26" t="n"/>
      <c r="H2902" s="30" t="inlineStr">
        <is>
          <t>Oui</t>
        </is>
      </c>
    </row>
    <row r="2903">
      <c r="A2903" s="31" t="inlineStr">
        <is>
          <t>Nom</t>
        </is>
      </c>
      <c r="B2903" s="32" t="inlineStr">
        <is>
          <t>Expert Colette</t>
        </is>
      </c>
      <c r="C2903" s="32" t="n"/>
      <c r="D2903" s="32" t="n"/>
      <c r="E2903" s="32" t="n"/>
      <c r="F2903" s="32" t="n"/>
      <c r="G2903" s="32" t="n"/>
      <c r="H2903" s="30" t="inlineStr">
        <is>
          <t>Oui</t>
        </is>
      </c>
    </row>
    <row r="2904">
      <c r="A2904" s="31" t="inlineStr">
        <is>
          <t>Pokémon</t>
        </is>
      </c>
      <c r="B2904" s="33" t="inlineStr">
        <is>
          <t>MELOFEE</t>
        </is>
      </c>
      <c r="C2904" s="33" t="n"/>
      <c r="D2904" s="33" t="n"/>
      <c r="E2904" s="33" t="n"/>
      <c r="F2904" s="33" t="n"/>
      <c r="G2904" s="33" t="n"/>
      <c r="H2904" s="30" t="inlineStr">
        <is>
          <t>Oui</t>
        </is>
      </c>
    </row>
    <row r="2905">
      <c r="A2905" s="31" t="inlineStr">
        <is>
          <t>Niveau</t>
        </is>
      </c>
      <c r="B2905" s="33" t="n">
        <v>60</v>
      </c>
      <c r="C2905" s="33" t="n"/>
      <c r="D2905" s="33" t="n"/>
      <c r="E2905" s="33" t="n"/>
      <c r="F2905" s="33" t="n"/>
      <c r="G2905" s="33" t="n"/>
      <c r="H2905" s="30" t="inlineStr">
        <is>
          <t>Oui</t>
        </is>
      </c>
    </row>
    <row r="2906">
      <c r="A2906" s="31" t="inlineStr">
        <is>
          <t>Objet</t>
        </is>
      </c>
      <c r="B2906" s="33" t="inlineStr">
        <is>
          <t>Aucun</t>
        </is>
      </c>
      <c r="C2906" s="33" t="n"/>
      <c r="D2906" s="33" t="n"/>
      <c r="E2906" s="33" t="n"/>
      <c r="F2906" s="33" t="n"/>
      <c r="G2906" s="33" t="n"/>
      <c r="H2906" s="30" t="inlineStr">
        <is>
          <t>Oui</t>
        </is>
      </c>
    </row>
    <row r="2907">
      <c r="A2907" s="31" t="inlineStr">
        <is>
          <t>Talent</t>
        </is>
      </c>
      <c r="B2907" s="33" t="inlineStr">
        <is>
          <t>Joli Sourire</t>
        </is>
      </c>
      <c r="C2907" s="33" t="n"/>
      <c r="D2907" s="33" t="n"/>
      <c r="E2907" s="33" t="n"/>
      <c r="F2907" s="33" t="n"/>
      <c r="G2907" s="33" t="n"/>
      <c r="H2907" s="30" t="inlineStr">
        <is>
          <t>Oui</t>
        </is>
      </c>
    </row>
    <row r="2908">
      <c r="A2908" s="31" t="inlineStr">
        <is>
          <t>Capacités</t>
        </is>
      </c>
      <c r="B2908" s="34" t="inlineStr">
        <is>
          <t>Gravité</t>
        </is>
      </c>
      <c r="C2908" s="34" t="n"/>
      <c r="D2908" s="34" t="n"/>
      <c r="E2908" s="34" t="n"/>
      <c r="F2908" s="34" t="n"/>
      <c r="G2908" s="34" t="n"/>
      <c r="H2908" s="30" t="inlineStr">
        <is>
          <t>Oui</t>
        </is>
      </c>
    </row>
    <row r="2909">
      <c r="A2909" s="31" t="n"/>
      <c r="B2909" s="34" t="inlineStr">
        <is>
          <t>Poing Météore</t>
        </is>
      </c>
      <c r="C2909" s="34" t="n"/>
      <c r="D2909" s="34" t="n"/>
      <c r="E2909" s="34" t="n"/>
      <c r="F2909" s="34" t="n"/>
      <c r="G2909" s="34" t="n"/>
      <c r="H2909" s="30" t="inlineStr">
        <is>
          <t>Oui</t>
        </is>
      </c>
    </row>
    <row r="2910">
      <c r="A2910" s="31" t="n"/>
      <c r="B2910" s="34" t="inlineStr">
        <is>
          <t>Vœu Soin</t>
        </is>
      </c>
      <c r="C2910" s="34" t="n"/>
      <c r="D2910" s="34" t="n"/>
      <c r="E2910" s="34" t="n"/>
      <c r="F2910" s="34" t="n"/>
      <c r="G2910" s="34" t="n"/>
      <c r="H2910" s="30" t="inlineStr">
        <is>
          <t>Oui</t>
        </is>
      </c>
    </row>
    <row r="2911">
      <c r="A2911" s="31" t="n"/>
      <c r="B2911" s="34" t="inlineStr">
        <is>
          <t>Après Vous</t>
        </is>
      </c>
      <c r="C2911" s="34" t="n"/>
      <c r="D2911" s="34" t="n"/>
      <c r="E2911" s="34" t="n"/>
      <c r="F2911" s="34" t="n"/>
      <c r="G2911" s="34" t="n"/>
      <c r="H2911" s="30" t="inlineStr">
        <is>
          <t>Oui</t>
        </is>
      </c>
    </row>
    <row r="2912">
      <c r="A2912" s="31" t="inlineStr">
        <is>
          <t>Nom</t>
        </is>
      </c>
      <c r="B2912" s="32" t="inlineStr">
        <is>
          <t>Fillette Josianne</t>
        </is>
      </c>
      <c r="C2912" s="32" t="n"/>
      <c r="D2912" s="32" t="n"/>
      <c r="E2912" s="32" t="n"/>
      <c r="F2912" s="32" t="n"/>
      <c r="G2912" s="32" t="n"/>
      <c r="H2912" s="30" t="inlineStr">
        <is>
          <t>Oui</t>
        </is>
      </c>
    </row>
    <row r="2913">
      <c r="A2913" s="31" t="inlineStr">
        <is>
          <t>Pokémon</t>
        </is>
      </c>
      <c r="B2913" s="33" t="inlineStr">
        <is>
          <t>CAPUMAIN</t>
        </is>
      </c>
      <c r="C2913" s="33" t="inlineStr">
        <is>
          <t>OSSELAIT</t>
        </is>
      </c>
      <c r="D2913" s="33" t="n"/>
      <c r="E2913" s="33" t="n"/>
      <c r="F2913" s="33" t="n"/>
      <c r="G2913" s="33" t="n"/>
      <c r="H2913" s="30" t="inlineStr">
        <is>
          <t>Oui</t>
        </is>
      </c>
    </row>
    <row r="2914">
      <c r="A2914" s="31" t="inlineStr">
        <is>
          <t>Niveau</t>
        </is>
      </c>
      <c r="B2914" s="33" t="n">
        <v>61</v>
      </c>
      <c r="C2914" s="33" t="n">
        <v>61</v>
      </c>
      <c r="D2914" s="33" t="n"/>
      <c r="E2914" s="33" t="n"/>
      <c r="F2914" s="33" t="n"/>
      <c r="G2914" s="33" t="n"/>
      <c r="H2914" s="30" t="inlineStr">
        <is>
          <t>Oui</t>
        </is>
      </c>
    </row>
    <row r="2915">
      <c r="A2915" s="31" t="inlineStr">
        <is>
          <t>Objet</t>
        </is>
      </c>
      <c r="B2915" s="33" t="inlineStr">
        <is>
          <t>Aucun</t>
        </is>
      </c>
      <c r="C2915" s="33" t="inlineStr">
        <is>
          <t>Aucun</t>
        </is>
      </c>
      <c r="D2915" s="33" t="n"/>
      <c r="E2915" s="33" t="n"/>
      <c r="F2915" s="33" t="n"/>
      <c r="G2915" s="33" t="n"/>
      <c r="H2915" s="30" t="inlineStr">
        <is>
          <t>Oui</t>
        </is>
      </c>
    </row>
    <row r="2916">
      <c r="A2916" s="31" t="inlineStr">
        <is>
          <t>Talent</t>
        </is>
      </c>
      <c r="B2916" s="33" t="inlineStr">
        <is>
          <t>Fuite</t>
        </is>
      </c>
      <c r="C2916" s="33" t="inlineStr">
        <is>
          <t>Tête de Roc</t>
        </is>
      </c>
      <c r="D2916" s="33" t="n"/>
      <c r="E2916" s="33" t="n"/>
      <c r="F2916" s="33" t="n"/>
      <c r="G2916" s="33" t="n"/>
      <c r="H2916" s="30" t="inlineStr">
        <is>
          <t>Oui</t>
        </is>
      </c>
    </row>
    <row r="2917">
      <c r="A2917" s="31" t="inlineStr">
        <is>
          <t>Capacités</t>
        </is>
      </c>
      <c r="B2917" s="34" t="inlineStr">
        <is>
          <t>Coup Double</t>
        </is>
      </c>
      <c r="C2917" s="34" t="inlineStr">
        <is>
          <t>Effort</t>
        </is>
      </c>
      <c r="D2917" s="34" t="n"/>
      <c r="E2917" s="34" t="n"/>
      <c r="F2917" s="34" t="n"/>
      <c r="G2917" s="34" t="n"/>
      <c r="H2917" s="30" t="inlineStr">
        <is>
          <t>Oui</t>
        </is>
      </c>
    </row>
    <row r="2918">
      <c r="A2918" s="31" t="n"/>
      <c r="B2918" s="34" t="inlineStr">
        <is>
          <t>Dégommage</t>
        </is>
      </c>
      <c r="C2918" s="34" t="inlineStr">
        <is>
          <t>Damoclès</t>
        </is>
      </c>
      <c r="D2918" s="34" t="n"/>
      <c r="E2918" s="34" t="n"/>
      <c r="F2918" s="34" t="n"/>
      <c r="G2918" s="34" t="n"/>
      <c r="H2918" s="30" t="inlineStr">
        <is>
          <t>Oui</t>
        </is>
      </c>
    </row>
    <row r="2919">
      <c r="A2919" s="31" t="n"/>
      <c r="B2919" s="34" t="inlineStr">
        <is>
          <t>Machination</t>
        </is>
      </c>
      <c r="C2919" s="34" t="inlineStr">
        <is>
          <t>Vengeance</t>
        </is>
      </c>
      <c r="D2919" s="34" t="n"/>
      <c r="E2919" s="34" t="n"/>
      <c r="F2919" s="34" t="n"/>
      <c r="G2919" s="34" t="n"/>
      <c r="H2919" s="30" t="inlineStr">
        <is>
          <t>Oui</t>
        </is>
      </c>
    </row>
    <row r="2920">
      <c r="A2920" s="31" t="n"/>
      <c r="B2920" s="34" t="inlineStr">
        <is>
          <t>Dernier Recours</t>
        </is>
      </c>
      <c r="C2920" s="34" t="inlineStr">
        <is>
          <t>Charge Os</t>
        </is>
      </c>
      <c r="D2920" s="34" t="n"/>
      <c r="E2920" s="34" t="n"/>
      <c r="F2920" s="34" t="n"/>
      <c r="G2920" s="34" t="n"/>
      <c r="H2920" s="30" t="inlineStr">
        <is>
          <t>Oui</t>
        </is>
      </c>
    </row>
    <row r="2921">
      <c r="A2921" s="31" t="inlineStr">
        <is>
          <t>Nom</t>
        </is>
      </c>
      <c r="B2921" s="32" t="inlineStr">
        <is>
          <t>Élève Cyril</t>
        </is>
      </c>
      <c r="C2921" s="32" t="n"/>
      <c r="D2921" s="32" t="n"/>
      <c r="E2921" s="32" t="n"/>
      <c r="F2921" s="32" t="n"/>
      <c r="G2921" s="32" t="n"/>
      <c r="H2921" s="30" t="inlineStr">
        <is>
          <t>Oui</t>
        </is>
      </c>
    </row>
    <row r="2922">
      <c r="A2922" s="31" t="inlineStr">
        <is>
          <t>Pokémon</t>
        </is>
      </c>
      <c r="B2922" s="33" t="inlineStr">
        <is>
          <t>ELECTRODE</t>
        </is>
      </c>
      <c r="C2922" s="33" t="inlineStr">
        <is>
          <t>MAGNETI</t>
        </is>
      </c>
      <c r="D2922" s="33" t="n"/>
      <c r="E2922" s="33" t="n"/>
      <c r="F2922" s="33" t="n"/>
      <c r="G2922" s="33" t="n"/>
      <c r="H2922" s="30" t="inlineStr">
        <is>
          <t>Oui</t>
        </is>
      </c>
    </row>
    <row r="2923">
      <c r="A2923" s="31" t="inlineStr">
        <is>
          <t>Niveau</t>
        </is>
      </c>
      <c r="B2923" s="33" t="n">
        <v>59</v>
      </c>
      <c r="C2923" s="33" t="n">
        <v>59</v>
      </c>
      <c r="D2923" s="33" t="n"/>
      <c r="E2923" s="33" t="n"/>
      <c r="F2923" s="33" t="n"/>
      <c r="G2923" s="33" t="n"/>
      <c r="H2923" s="30" t="inlineStr">
        <is>
          <t>Oui</t>
        </is>
      </c>
    </row>
    <row r="2924">
      <c r="A2924" s="31" t="inlineStr">
        <is>
          <t>Objet</t>
        </is>
      </c>
      <c r="B2924" s="33" t="inlineStr">
        <is>
          <t>Aucun</t>
        </is>
      </c>
      <c r="C2924" s="33" t="inlineStr">
        <is>
          <t>Aucun</t>
        </is>
      </c>
      <c r="D2924" s="33" t="n"/>
      <c r="E2924" s="33" t="n"/>
      <c r="F2924" s="33" t="n"/>
      <c r="G2924" s="33" t="n"/>
      <c r="H2924" s="30" t="inlineStr">
        <is>
          <t>Oui</t>
        </is>
      </c>
    </row>
    <row r="2925">
      <c r="A2925" s="31" t="inlineStr">
        <is>
          <t>Talent</t>
        </is>
      </c>
      <c r="B2925" s="33" t="inlineStr">
        <is>
          <t>Anti-Bruit</t>
        </is>
      </c>
      <c r="C2925" s="33" t="inlineStr">
        <is>
          <t>Magnépiège</t>
        </is>
      </c>
      <c r="D2925" s="33" t="n"/>
      <c r="E2925" s="33" t="n"/>
      <c r="F2925" s="33" t="n"/>
      <c r="G2925" s="33" t="n"/>
      <c r="H2925" s="30" t="inlineStr">
        <is>
          <t>Oui</t>
        </is>
      </c>
    </row>
    <row r="2926">
      <c r="A2926" s="31" t="inlineStr">
        <is>
          <t>Capacités</t>
        </is>
      </c>
      <c r="B2926" s="34" t="inlineStr">
        <is>
          <t>Explosion</t>
        </is>
      </c>
      <c r="C2926" s="34" t="inlineStr">
        <is>
          <t>Verrouillage</t>
        </is>
      </c>
      <c r="D2926" s="34" t="n"/>
      <c r="E2926" s="34" t="n"/>
      <c r="F2926" s="34" t="n"/>
      <c r="G2926" s="34" t="n"/>
      <c r="H2926" s="30" t="inlineStr">
        <is>
          <t>Oui</t>
        </is>
      </c>
    </row>
    <row r="2927">
      <c r="A2927" s="31" t="n"/>
      <c r="B2927" s="34" t="inlineStr">
        <is>
          <t>Gyroballe</t>
        </is>
      </c>
      <c r="C2927" s="34" t="inlineStr">
        <is>
          <t>Vol Magnétik</t>
        </is>
      </c>
      <c r="D2927" s="34" t="n"/>
      <c r="E2927" s="34" t="n"/>
      <c r="F2927" s="34" t="n"/>
      <c r="G2927" s="34" t="n"/>
      <c r="H2927" s="30" t="inlineStr">
        <is>
          <t>Oui</t>
        </is>
      </c>
    </row>
    <row r="2928">
      <c r="A2928" s="31" t="n"/>
      <c r="B2928" s="34" t="inlineStr">
        <is>
          <t>Luminocanon</t>
        </is>
      </c>
      <c r="C2928" s="34" t="inlineStr">
        <is>
          <t>Gyroballe</t>
        </is>
      </c>
      <c r="D2928" s="34" t="n"/>
      <c r="E2928" s="34" t="n"/>
      <c r="F2928" s="34" t="n"/>
      <c r="G2928" s="34" t="n"/>
      <c r="H2928" s="30" t="inlineStr">
        <is>
          <t>Oui</t>
        </is>
      </c>
    </row>
    <row r="2929">
      <c r="A2929" s="31" t="n"/>
      <c r="B2929" s="34" t="inlineStr">
        <is>
          <t>Voile Miroir</t>
        </is>
      </c>
      <c r="C2929" s="34" t="inlineStr">
        <is>
          <t>Élecanon</t>
        </is>
      </c>
      <c r="D2929" s="34" t="n"/>
      <c r="E2929" s="34" t="n"/>
      <c r="F2929" s="34" t="n"/>
      <c r="G2929" s="34" t="n"/>
      <c r="H2929" s="30" t="inlineStr">
        <is>
          <t>Oui</t>
        </is>
      </c>
    </row>
    <row r="2930">
      <c r="A2930" s="31" t="inlineStr">
        <is>
          <t>Nom</t>
        </is>
      </c>
      <c r="B2930" s="32" t="inlineStr">
        <is>
          <t>Élève Tommy</t>
        </is>
      </c>
      <c r="C2930" s="32" t="n"/>
      <c r="D2930" s="32" t="n"/>
      <c r="E2930" s="32" t="n"/>
      <c r="F2930" s="32" t="n"/>
      <c r="G2930" s="32" t="n"/>
      <c r="H2930" s="30" t="inlineStr">
        <is>
          <t>Oui</t>
        </is>
      </c>
    </row>
    <row r="2931">
      <c r="A2931" s="31" t="inlineStr">
        <is>
          <t>Pokémon</t>
        </is>
      </c>
      <c r="B2931" s="33" t="inlineStr">
        <is>
          <t>XATU</t>
        </is>
      </c>
      <c r="C2931" s="33" t="inlineStr">
        <is>
          <t>ALAKAZAM</t>
        </is>
      </c>
      <c r="D2931" s="33" t="n"/>
      <c r="E2931" s="33" t="n"/>
      <c r="F2931" s="33" t="n"/>
      <c r="G2931" s="33" t="n"/>
      <c r="H2931" s="30" t="inlineStr">
        <is>
          <t>Oui</t>
        </is>
      </c>
    </row>
    <row r="2932">
      <c r="A2932" s="31" t="inlineStr">
        <is>
          <t>Niveau</t>
        </is>
      </c>
      <c r="B2932" s="33" t="n">
        <v>60</v>
      </c>
      <c r="C2932" s="33" t="n">
        <v>58</v>
      </c>
      <c r="D2932" s="33" t="n"/>
      <c r="E2932" s="33" t="n"/>
      <c r="F2932" s="33" t="n"/>
      <c r="G2932" s="33" t="n"/>
      <c r="H2932" s="30" t="inlineStr">
        <is>
          <t>Oui</t>
        </is>
      </c>
    </row>
    <row r="2933">
      <c r="A2933" s="31" t="inlineStr">
        <is>
          <t>Objet</t>
        </is>
      </c>
      <c r="B2933" s="33" t="inlineStr">
        <is>
          <t>Aucun</t>
        </is>
      </c>
      <c r="C2933" s="33" t="inlineStr">
        <is>
          <t>Aucun</t>
        </is>
      </c>
      <c r="D2933" s="33" t="n"/>
      <c r="E2933" s="33" t="n"/>
      <c r="F2933" s="33" t="n"/>
      <c r="G2933" s="33" t="n"/>
      <c r="H2933" s="30" t="inlineStr">
        <is>
          <t>Oui</t>
        </is>
      </c>
    </row>
    <row r="2934">
      <c r="A2934" s="31" t="inlineStr">
        <is>
          <t>Talent</t>
        </is>
      </c>
      <c r="B2934" s="33" t="inlineStr">
        <is>
          <t>Synchro</t>
        </is>
      </c>
      <c r="C2934" s="33" t="inlineStr">
        <is>
          <t>Synchro</t>
        </is>
      </c>
      <c r="D2934" s="33" t="n"/>
      <c r="E2934" s="33" t="n"/>
      <c r="F2934" s="33" t="n"/>
      <c r="G2934" s="33" t="n"/>
      <c r="H2934" s="30" t="inlineStr">
        <is>
          <t>Oui</t>
        </is>
      </c>
    </row>
    <row r="2935">
      <c r="A2935" s="31" t="inlineStr">
        <is>
          <t>Capacités</t>
        </is>
      </c>
      <c r="B2935" s="34" t="inlineStr">
        <is>
          <t>Prescience</t>
        </is>
      </c>
      <c r="C2935" s="34" t="inlineStr">
        <is>
          <t>Psyko</t>
        </is>
      </c>
      <c r="D2935" s="34" t="n"/>
      <c r="E2935" s="34" t="n"/>
      <c r="F2935" s="34" t="n"/>
      <c r="G2935" s="34" t="n"/>
      <c r="H2935" s="30" t="inlineStr">
        <is>
          <t>Oui</t>
        </is>
      </c>
    </row>
    <row r="2936">
      <c r="A2936" s="31" t="n"/>
      <c r="B2936" s="34" t="inlineStr">
        <is>
          <t>Permuforce</t>
        </is>
      </c>
      <c r="C2936" s="34" t="inlineStr">
        <is>
          <t>Plénitude</t>
        </is>
      </c>
      <c r="D2936" s="34" t="n"/>
      <c r="E2936" s="34" t="n"/>
      <c r="F2936" s="34" t="n"/>
      <c r="G2936" s="34" t="n"/>
      <c r="H2936" s="30" t="inlineStr">
        <is>
          <t>Oui</t>
        </is>
      </c>
    </row>
    <row r="2937">
      <c r="A2937" s="31" t="n"/>
      <c r="B2937" s="34" t="inlineStr">
        <is>
          <t>Permugarde</t>
        </is>
      </c>
      <c r="C2937" s="34" t="inlineStr">
        <is>
          <t>Prescience</t>
        </is>
      </c>
      <c r="D2937" s="34" t="n"/>
      <c r="E2937" s="34" t="n"/>
      <c r="F2937" s="34" t="n"/>
      <c r="G2937" s="34" t="n"/>
      <c r="H2937" s="30" t="inlineStr">
        <is>
          <t>Oui</t>
        </is>
      </c>
    </row>
    <row r="2938">
      <c r="A2938" s="31" t="n"/>
      <c r="B2938" s="34" t="inlineStr">
        <is>
          <t>Moi d'Abord</t>
        </is>
      </c>
      <c r="C2938" s="34" t="inlineStr">
        <is>
          <t>Tour de Magie</t>
        </is>
      </c>
      <c r="D2938" s="34" t="n"/>
      <c r="E2938" s="34" t="n"/>
      <c r="F2938" s="34" t="n"/>
      <c r="G2938" s="34" t="n"/>
      <c r="H2938" s="30" t="inlineStr">
        <is>
          <t>Oui</t>
        </is>
      </c>
    </row>
    <row r="2939">
      <c r="A2939" s="31" t="inlineStr">
        <is>
          <t>Nom</t>
        </is>
      </c>
      <c r="B2939" s="32" t="inlineStr">
        <is>
          <t>Élève Nestor</t>
        </is>
      </c>
      <c r="C2939" s="32" t="n"/>
      <c r="D2939" s="32" t="n"/>
      <c r="E2939" s="32" t="n"/>
      <c r="F2939" s="32" t="n"/>
      <c r="G2939" s="32" t="n"/>
      <c r="H2939" s="30" t="inlineStr">
        <is>
          <t>Oui</t>
        </is>
      </c>
    </row>
    <row r="2940">
      <c r="A2940" s="31" t="inlineStr">
        <is>
          <t>Pokémon</t>
        </is>
      </c>
      <c r="B2940" s="33" t="inlineStr">
        <is>
          <t>TAUROS</t>
        </is>
      </c>
      <c r="C2940" s="33" t="inlineStr">
        <is>
          <t>EMPIFLOR</t>
        </is>
      </c>
      <c r="D2940" s="33" t="n"/>
      <c r="E2940" s="33" t="n"/>
      <c r="F2940" s="33" t="n"/>
      <c r="G2940" s="33" t="n"/>
      <c r="H2940" s="30" t="inlineStr">
        <is>
          <t>Oui</t>
        </is>
      </c>
    </row>
    <row r="2941">
      <c r="A2941" s="31" t="inlineStr">
        <is>
          <t>Niveau</t>
        </is>
      </c>
      <c r="B2941" s="33" t="n">
        <v>59</v>
      </c>
      <c r="C2941" s="33" t="n">
        <v>59</v>
      </c>
      <c r="D2941" s="33" t="n"/>
      <c r="E2941" s="33" t="n"/>
      <c r="F2941" s="33" t="n"/>
      <c r="G2941" s="33" t="n"/>
      <c r="H2941" s="30" t="inlineStr">
        <is>
          <t>Oui</t>
        </is>
      </c>
    </row>
    <row r="2942">
      <c r="A2942" s="31" t="inlineStr">
        <is>
          <t>Objet</t>
        </is>
      </c>
      <c r="B2942" s="33" t="inlineStr">
        <is>
          <t>Aucun</t>
        </is>
      </c>
      <c r="C2942" s="33" t="inlineStr">
        <is>
          <t>Aucun</t>
        </is>
      </c>
      <c r="D2942" s="33" t="n"/>
      <c r="E2942" s="33" t="n"/>
      <c r="F2942" s="33" t="n"/>
      <c r="G2942" s="33" t="n"/>
      <c r="H2942" s="30" t="inlineStr">
        <is>
          <t>Oui</t>
        </is>
      </c>
    </row>
    <row r="2943">
      <c r="A2943" s="31" t="inlineStr">
        <is>
          <t>Talent</t>
        </is>
      </c>
      <c r="B2943" s="33" t="inlineStr">
        <is>
          <t>Intimidation</t>
        </is>
      </c>
      <c r="C2943" s="33" t="inlineStr">
        <is>
          <t>Chlorophylle</t>
        </is>
      </c>
      <c r="D2943" s="33" t="n"/>
      <c r="E2943" s="33" t="n"/>
      <c r="F2943" s="33" t="n"/>
      <c r="G2943" s="33" t="n"/>
      <c r="H2943" s="30" t="inlineStr">
        <is>
          <t>Oui</t>
        </is>
      </c>
    </row>
    <row r="2944">
      <c r="A2944" s="31" t="inlineStr">
        <is>
          <t>Capacités</t>
        </is>
      </c>
      <c r="B2944" s="34" t="inlineStr">
        <is>
          <t>Psykoud'Boul</t>
        </is>
      </c>
      <c r="C2944" s="34" t="inlineStr">
        <is>
          <t>Lame Feuille</t>
        </is>
      </c>
      <c r="D2944" s="34" t="n"/>
      <c r="E2944" s="34" t="n"/>
      <c r="F2944" s="34" t="n"/>
      <c r="G2944" s="34" t="n"/>
      <c r="H2944" s="30" t="inlineStr">
        <is>
          <t>Oui</t>
        </is>
      </c>
    </row>
    <row r="2945">
      <c r="A2945" s="31" t="n"/>
      <c r="B2945" s="34" t="inlineStr">
        <is>
          <t>Vantardise</t>
        </is>
      </c>
      <c r="C2945" s="34" t="inlineStr">
        <is>
          <t>Suc Digestif</t>
        </is>
      </c>
      <c r="D2945" s="34" t="n"/>
      <c r="E2945" s="34" t="n"/>
      <c r="F2945" s="34" t="n"/>
      <c r="G2945" s="34" t="n"/>
      <c r="H2945" s="30" t="inlineStr">
        <is>
          <t>Oui</t>
        </is>
      </c>
    </row>
    <row r="2946">
      <c r="A2946" s="31" t="n"/>
      <c r="B2946" s="34" t="inlineStr">
        <is>
          <t>Pied Brûleur</t>
        </is>
      </c>
      <c r="C2946" s="34" t="inlineStr">
        <is>
          <t>Tranch'Herbe</t>
        </is>
      </c>
      <c r="D2946" s="34" t="n"/>
      <c r="E2946" s="34" t="n"/>
      <c r="F2946" s="34" t="n"/>
      <c r="G2946" s="34" t="n"/>
      <c r="H2946" s="30" t="inlineStr">
        <is>
          <t>Oui</t>
        </is>
      </c>
    </row>
    <row r="2947">
      <c r="A2947" s="31" t="n"/>
      <c r="B2947" s="34" t="inlineStr">
        <is>
          <t>Mania</t>
        </is>
      </c>
      <c r="C2947" s="34" t="inlineStr">
        <is>
          <t>Direct Toxik</t>
        </is>
      </c>
      <c r="D2947" s="34" t="n"/>
      <c r="E2947" s="34" t="n"/>
      <c r="F2947" s="34" t="n"/>
      <c r="G2947" s="34" t="n"/>
      <c r="H2947" s="30" t="inlineStr">
        <is>
          <t>Oui</t>
        </is>
      </c>
    </row>
    <row r="2948">
      <c r="A2948" s="31" t="inlineStr">
        <is>
          <t>Nom</t>
        </is>
      </c>
      <c r="B2948" s="32" t="inlineStr">
        <is>
          <t>Élève Bilhal</t>
        </is>
      </c>
      <c r="C2948" s="32" t="n"/>
      <c r="D2948" s="32" t="n"/>
      <c r="E2948" s="32" t="n"/>
      <c r="F2948" s="32" t="n"/>
      <c r="G2948" s="32" t="n"/>
      <c r="H2948" s="30" t="inlineStr">
        <is>
          <t>Oui</t>
        </is>
      </c>
    </row>
    <row r="2949">
      <c r="A2949" s="31" t="inlineStr">
        <is>
          <t>Pokémon</t>
        </is>
      </c>
      <c r="B2949" s="33" t="inlineStr">
        <is>
          <t>PARASECT</t>
        </is>
      </c>
      <c r="C2949" s="33" t="inlineStr">
        <is>
          <t>TARTARD</t>
        </is>
      </c>
      <c r="D2949" s="33" t="inlineStr">
        <is>
          <t>METAMORPH</t>
        </is>
      </c>
      <c r="E2949" s="33" t="n"/>
      <c r="F2949" s="33" t="n"/>
      <c r="G2949" s="33" t="n"/>
      <c r="H2949" s="30" t="inlineStr">
        <is>
          <t>Oui</t>
        </is>
      </c>
    </row>
    <row r="2950">
      <c r="A2950" s="31" t="inlineStr">
        <is>
          <t>Niveau</t>
        </is>
      </c>
      <c r="B2950" s="33" t="n">
        <v>57</v>
      </c>
      <c r="C2950" s="33" t="n">
        <v>57</v>
      </c>
      <c r="D2950" s="33" t="n">
        <v>60</v>
      </c>
      <c r="E2950" s="33" t="n"/>
      <c r="F2950" s="33" t="n"/>
      <c r="G2950" s="33" t="n"/>
      <c r="H2950" s="30" t="inlineStr">
        <is>
          <t>Oui</t>
        </is>
      </c>
    </row>
    <row r="2951">
      <c r="A2951" s="31" t="inlineStr">
        <is>
          <t>Objet</t>
        </is>
      </c>
      <c r="B2951" s="33" t="inlineStr">
        <is>
          <t>Aucun</t>
        </is>
      </c>
      <c r="C2951" s="33" t="inlineStr">
        <is>
          <t>Aucun</t>
        </is>
      </c>
      <c r="D2951" s="33" t="inlineStr">
        <is>
          <t>Aucun</t>
        </is>
      </c>
      <c r="E2951" s="33" t="n"/>
      <c r="F2951" s="33" t="n"/>
      <c r="G2951" s="33" t="n"/>
      <c r="H2951" s="30" t="inlineStr">
        <is>
          <t>Oui</t>
        </is>
      </c>
    </row>
    <row r="2952">
      <c r="A2952" s="31" t="inlineStr">
        <is>
          <t>Talent</t>
        </is>
      </c>
      <c r="B2952" s="33" t="inlineStr">
        <is>
          <t>Pose Spore</t>
        </is>
      </c>
      <c r="C2952" s="33" t="inlineStr">
        <is>
          <t>Absorbe-Eau</t>
        </is>
      </c>
      <c r="D2952" s="33" t="inlineStr">
        <is>
          <t>Échauffement</t>
        </is>
      </c>
      <c r="E2952" s="33" t="n"/>
      <c r="F2952" s="33" t="n"/>
      <c r="G2952" s="33" t="n"/>
      <c r="H2952" s="30" t="inlineStr">
        <is>
          <t>Oui</t>
        </is>
      </c>
    </row>
    <row r="2953">
      <c r="A2953" s="31" t="inlineStr">
        <is>
          <t>Capacités</t>
        </is>
      </c>
      <c r="B2953" s="34" t="inlineStr">
        <is>
          <t>Croissance</t>
        </is>
      </c>
      <c r="C2953" s="34" t="inlineStr">
        <is>
          <t>Lire-Esprit</t>
        </is>
      </c>
      <c r="D2953" s="34" t="inlineStr">
        <is>
          <t>Morphing</t>
        </is>
      </c>
      <c r="E2953" s="34" t="n"/>
      <c r="F2953" s="34" t="n"/>
      <c r="G2953" s="34" t="n"/>
      <c r="H2953" s="30" t="inlineStr">
        <is>
          <t>Oui</t>
        </is>
      </c>
    </row>
    <row r="2954">
      <c r="A2954" s="31" t="n"/>
      <c r="B2954" s="34" t="inlineStr">
        <is>
          <t>Giga-Sangsue</t>
        </is>
      </c>
      <c r="C2954" s="34" t="inlineStr">
        <is>
          <t>Cognobidon</t>
        </is>
      </c>
      <c r="D2954" s="34" t="n"/>
      <c r="E2954" s="34" t="n"/>
      <c r="F2954" s="34" t="n"/>
      <c r="G2954" s="34" t="n"/>
      <c r="H2954" s="30" t="inlineStr">
        <is>
          <t>Oui</t>
        </is>
      </c>
    </row>
    <row r="2955">
      <c r="A2955" s="31" t="n"/>
      <c r="B2955" s="34" t="inlineStr">
        <is>
          <t>Aromathérapie</t>
        </is>
      </c>
      <c r="C2955" s="34" t="inlineStr">
        <is>
          <t>Projection</t>
        </is>
      </c>
      <c r="D2955" s="34" t="n"/>
      <c r="E2955" s="34" t="n"/>
      <c r="F2955" s="34" t="n"/>
      <c r="G2955" s="34" t="n"/>
      <c r="H2955" s="30" t="inlineStr">
        <is>
          <t>Oui</t>
        </is>
      </c>
    </row>
    <row r="2956">
      <c r="A2956" s="31" t="n"/>
      <c r="B2956" s="34" t="inlineStr">
        <is>
          <t>Pince-Masse</t>
        </is>
      </c>
      <c r="C2956" s="34" t="inlineStr">
        <is>
          <t>Réveil Forcé</t>
        </is>
      </c>
      <c r="D2956" s="34" t="n"/>
      <c r="E2956" s="34" t="n"/>
      <c r="F2956" s="34" t="n"/>
      <c r="G2956" s="34" t="n"/>
      <c r="H2956" s="30" t="inlineStr">
        <is>
          <t>Oui</t>
        </is>
      </c>
    </row>
    <row r="2957" ht="18" customHeight="1">
      <c r="A2957" s="26" t="inlineStr">
        <is>
          <t>Parmanie — Arène</t>
        </is>
      </c>
      <c r="B2957" s="26" t="n"/>
      <c r="C2957" s="26" t="n"/>
      <c r="D2957" s="26" t="n"/>
      <c r="E2957" s="26" t="n"/>
      <c r="F2957" s="26" t="n"/>
      <c r="G2957" s="26" t="n"/>
      <c r="H2957" s="30" t="inlineStr">
        <is>
          <t>Oui</t>
        </is>
      </c>
    </row>
    <row r="2958">
      <c r="A2958" s="31" t="inlineStr">
        <is>
          <t>Nom</t>
        </is>
      </c>
      <c r="B2958" s="32" t="inlineStr">
        <is>
          <t>Fillette Alice</t>
        </is>
      </c>
      <c r="C2958" s="32" t="n"/>
      <c r="D2958" s="32" t="n"/>
      <c r="E2958" s="32" t="n"/>
      <c r="F2958" s="32" t="n"/>
      <c r="G2958" s="32" t="n"/>
      <c r="H2958" s="30" t="inlineStr">
        <is>
          <t>Oui</t>
        </is>
      </c>
    </row>
    <row r="2959">
      <c r="A2959" s="31" t="inlineStr">
        <is>
          <t>Pokémon</t>
        </is>
      </c>
      <c r="B2959" s="33" t="inlineStr">
        <is>
          <t>RAFFLESIA</t>
        </is>
      </c>
      <c r="C2959" s="33" t="inlineStr">
        <is>
          <t>ARBOK</t>
        </is>
      </c>
      <c r="D2959" s="33" t="inlineStr">
        <is>
          <t>RAFFLESIA</t>
        </is>
      </c>
      <c r="E2959" s="33" t="n"/>
      <c r="F2959" s="33" t="n"/>
      <c r="G2959" s="33" t="n"/>
      <c r="H2959" s="30" t="inlineStr">
        <is>
          <t>Oui</t>
        </is>
      </c>
    </row>
    <row r="2960">
      <c r="A2960" s="31" t="inlineStr">
        <is>
          <t>Niveau</t>
        </is>
      </c>
      <c r="B2960" s="33" t="n">
        <v>58</v>
      </c>
      <c r="C2960" s="33" t="n">
        <v>59</v>
      </c>
      <c r="D2960" s="33" t="n">
        <v>58</v>
      </c>
      <c r="E2960" s="33" t="n"/>
      <c r="F2960" s="33" t="n"/>
      <c r="G2960" s="33" t="n"/>
      <c r="H2960" s="30" t="inlineStr">
        <is>
          <t>Oui</t>
        </is>
      </c>
    </row>
    <row r="2961">
      <c r="A2961" s="31" t="inlineStr">
        <is>
          <t>Objet</t>
        </is>
      </c>
      <c r="B2961" s="33" t="inlineStr">
        <is>
          <t>Aucun</t>
        </is>
      </c>
      <c r="C2961" s="33" t="inlineStr">
        <is>
          <t>Aucun</t>
        </is>
      </c>
      <c r="D2961" s="33" t="inlineStr">
        <is>
          <t>Aucun</t>
        </is>
      </c>
      <c r="E2961" s="33" t="n"/>
      <c r="F2961" s="33" t="n"/>
      <c r="G2961" s="33" t="n"/>
      <c r="H2961" s="30" t="inlineStr">
        <is>
          <t>Oui</t>
        </is>
      </c>
    </row>
    <row r="2962">
      <c r="A2962" s="31" t="inlineStr">
        <is>
          <t>Talent</t>
        </is>
      </c>
      <c r="B2962" s="33" t="inlineStr">
        <is>
          <t>Chlorophylle</t>
        </is>
      </c>
      <c r="C2962" s="33" t="inlineStr">
        <is>
          <t>Intimidation</t>
        </is>
      </c>
      <c r="D2962" s="33" t="inlineStr">
        <is>
          <t>Chlorophylle</t>
        </is>
      </c>
      <c r="E2962" s="33" t="n"/>
      <c r="F2962" s="33" t="n"/>
      <c r="G2962" s="33" t="n"/>
      <c r="H2962" s="30" t="inlineStr">
        <is>
          <t>Oui</t>
        </is>
      </c>
    </row>
    <row r="2963">
      <c r="A2963" s="31" t="inlineStr">
        <is>
          <t>Capacités</t>
        </is>
      </c>
      <c r="B2963" s="34" t="inlineStr">
        <is>
          <t>Giga-Sangsue</t>
        </is>
      </c>
      <c r="C2963" s="34" t="inlineStr">
        <is>
          <t>Suc Digestif</t>
        </is>
      </c>
      <c r="D2963" s="34" t="inlineStr">
        <is>
          <t>Giga-Sangsue</t>
        </is>
      </c>
      <c r="E2963" s="34" t="n"/>
      <c r="F2963" s="34" t="n"/>
      <c r="G2963" s="34" t="n"/>
      <c r="H2963" s="30" t="inlineStr">
        <is>
          <t>Oui</t>
        </is>
      </c>
    </row>
    <row r="2964">
      <c r="A2964" s="31" t="n"/>
      <c r="B2964" s="34" t="inlineStr">
        <is>
          <t>Toxik</t>
        </is>
      </c>
      <c r="C2964" s="34" t="inlineStr">
        <is>
          <t>Éructation</t>
        </is>
      </c>
      <c r="D2964" s="34" t="inlineStr">
        <is>
          <t>Toxik</t>
        </is>
      </c>
      <c r="E2964" s="34" t="n"/>
      <c r="F2964" s="34" t="n"/>
      <c r="G2964" s="34" t="n"/>
      <c r="H2964" s="30" t="inlineStr">
        <is>
          <t>Oui</t>
        </is>
      </c>
    </row>
    <row r="2965">
      <c r="A2965" s="31" t="n"/>
      <c r="B2965" s="34" t="inlineStr">
        <is>
          <t>Don Naturel</t>
        </is>
      </c>
      <c r="C2965" s="34" t="inlineStr">
        <is>
          <t>Buée Noire</t>
        </is>
      </c>
      <c r="D2965" s="34" t="inlineStr">
        <is>
          <t>Don Naturel</t>
        </is>
      </c>
      <c r="E2965" s="34" t="n"/>
      <c r="F2965" s="34" t="n"/>
      <c r="G2965" s="34" t="n"/>
      <c r="H2965" s="30" t="inlineStr">
        <is>
          <t>Oui</t>
        </is>
      </c>
    </row>
    <row r="2966">
      <c r="A2966" s="31" t="n"/>
      <c r="B2966" s="34" t="inlineStr">
        <is>
          <t>Danse Fleurs</t>
        </is>
      </c>
      <c r="C2966" s="34" t="inlineStr">
        <is>
          <t>Enroulement</t>
        </is>
      </c>
      <c r="D2966" s="34" t="inlineStr">
        <is>
          <t>Danse Fleurs</t>
        </is>
      </c>
      <c r="E2966" s="34" t="n"/>
      <c r="F2966" s="34" t="n"/>
      <c r="G2966" s="34" t="n"/>
      <c r="H2966" s="30" t="inlineStr">
        <is>
          <t>Oui</t>
        </is>
      </c>
    </row>
    <row r="2967">
      <c r="A2967" s="31" t="inlineStr">
        <is>
          <t>Nom</t>
        </is>
      </c>
      <c r="B2967" s="32" t="inlineStr">
        <is>
          <t>Fillette Mina</t>
        </is>
      </c>
      <c r="C2967" s="32" t="n"/>
      <c r="D2967" s="32" t="n"/>
      <c r="E2967" s="32" t="n"/>
      <c r="F2967" s="32" t="n"/>
      <c r="G2967" s="32" t="n"/>
      <c r="H2967" s="30" t="inlineStr">
        <is>
          <t>Oui</t>
        </is>
      </c>
    </row>
    <row r="2968">
      <c r="A2968" s="31" t="inlineStr">
        <is>
          <t>Pokémon</t>
        </is>
      </c>
      <c r="B2968" s="33" t="inlineStr">
        <is>
          <t>FLORIZARRE</t>
        </is>
      </c>
      <c r="C2968" s="33" t="inlineStr">
        <is>
          <t>QWILFISH</t>
        </is>
      </c>
      <c r="D2968" s="33" t="inlineStr">
        <is>
          <t>GROTADMORV</t>
        </is>
      </c>
      <c r="E2968" s="33" t="n"/>
      <c r="F2968" s="33" t="n"/>
      <c r="G2968" s="33" t="n"/>
      <c r="H2968" s="30" t="inlineStr">
        <is>
          <t>Oui</t>
        </is>
      </c>
    </row>
    <row r="2969">
      <c r="A2969" s="31" t="inlineStr">
        <is>
          <t>Niveau</t>
        </is>
      </c>
      <c r="B2969" s="33" t="n">
        <v>58</v>
      </c>
      <c r="C2969" s="33" t="n">
        <v>58</v>
      </c>
      <c r="D2969" s="33" t="n">
        <v>58</v>
      </c>
      <c r="E2969" s="33" t="n"/>
      <c r="F2969" s="33" t="n"/>
      <c r="G2969" s="33" t="n"/>
      <c r="H2969" s="30" t="inlineStr">
        <is>
          <t>Oui</t>
        </is>
      </c>
    </row>
    <row r="2970">
      <c r="A2970" s="31" t="inlineStr">
        <is>
          <t>Objet</t>
        </is>
      </c>
      <c r="B2970" s="33" t="inlineStr">
        <is>
          <t>Aucun</t>
        </is>
      </c>
      <c r="C2970" s="33" t="inlineStr">
        <is>
          <t>Aucun</t>
        </is>
      </c>
      <c r="D2970" s="33" t="inlineStr">
        <is>
          <t>Aucun</t>
        </is>
      </c>
      <c r="E2970" s="33" t="n"/>
      <c r="F2970" s="33" t="n"/>
      <c r="G2970" s="33" t="n"/>
      <c r="H2970" s="30" t="inlineStr">
        <is>
          <t>Oui</t>
        </is>
      </c>
    </row>
    <row r="2971">
      <c r="A2971" s="31" t="inlineStr">
        <is>
          <t>Talent</t>
        </is>
      </c>
      <c r="B2971" s="33" t="inlineStr">
        <is>
          <t>Engrais</t>
        </is>
      </c>
      <c r="C2971" s="33" t="inlineStr">
        <is>
          <t>Point Poison</t>
        </is>
      </c>
      <c r="D2971" s="33" t="inlineStr">
        <is>
          <t>Puanteur</t>
        </is>
      </c>
      <c r="E2971" s="33" t="n"/>
      <c r="F2971" s="33" t="n"/>
      <c r="G2971" s="33" t="n"/>
      <c r="H2971" s="30" t="inlineStr">
        <is>
          <t>Oui</t>
        </is>
      </c>
    </row>
    <row r="2972">
      <c r="A2972" s="31" t="inlineStr">
        <is>
          <t>Capacités</t>
        </is>
      </c>
      <c r="B2972" s="34" t="inlineStr">
        <is>
          <t>Soucigraine</t>
        </is>
      </c>
      <c r="C2972" s="34" t="inlineStr">
        <is>
          <t>Hydro-Queue</t>
        </is>
      </c>
      <c r="D2972" s="34" t="inlineStr">
        <is>
          <t>Détricanon</t>
        </is>
      </c>
      <c r="E2972" s="34" t="n"/>
      <c r="F2972" s="34" t="n"/>
      <c r="G2972" s="34" t="n"/>
      <c r="H2972" s="30" t="inlineStr">
        <is>
          <t>Oui</t>
        </is>
      </c>
    </row>
    <row r="2973">
      <c r="A2973" s="31" t="n"/>
      <c r="B2973" s="34" t="inlineStr">
        <is>
          <t>Synthèse</t>
        </is>
      </c>
      <c r="C2973" s="34" t="inlineStr">
        <is>
          <t>Direct Toxik</t>
        </is>
      </c>
      <c r="D2973" s="34" t="inlineStr">
        <is>
          <t>Acidarmure</t>
        </is>
      </c>
      <c r="E2973" s="34" t="n"/>
      <c r="F2973" s="34" t="n"/>
      <c r="G2973" s="34" t="n"/>
      <c r="H2973" s="30" t="inlineStr">
        <is>
          <t>Oui</t>
        </is>
      </c>
    </row>
    <row r="2974">
      <c r="A2974" s="31" t="n"/>
      <c r="B2974" s="34" t="inlineStr">
        <is>
          <t>Tempête Florale</t>
        </is>
      </c>
      <c r="C2974" s="34" t="inlineStr">
        <is>
          <t>Lien du Destin</t>
        </is>
      </c>
      <c r="D2974" s="34" t="inlineStr">
        <is>
          <t>Éructation</t>
        </is>
      </c>
      <c r="E2974" s="34" t="n"/>
      <c r="F2974" s="34" t="n"/>
      <c r="G2974" s="34" t="n"/>
      <c r="H2974" s="30" t="inlineStr">
        <is>
          <t>Oui</t>
        </is>
      </c>
    </row>
    <row r="2975">
      <c r="A2975" s="31" t="n"/>
      <c r="B2975" s="34" t="inlineStr">
        <is>
          <t>Lance-Soleil</t>
        </is>
      </c>
      <c r="C2975" s="34" t="inlineStr">
        <is>
          <t>Hydrocanon</t>
        </is>
      </c>
      <c r="D2975" s="34" t="inlineStr">
        <is>
          <t>Souvenir</t>
        </is>
      </c>
      <c r="E2975" s="34" t="n"/>
      <c r="F2975" s="34" t="n"/>
      <c r="G2975" s="34" t="n"/>
      <c r="H2975" s="30" t="inlineStr">
        <is>
          <t>Oui</t>
        </is>
      </c>
    </row>
    <row r="2976">
      <c r="A2976" s="31" t="inlineStr">
        <is>
          <t>Nom</t>
        </is>
      </c>
      <c r="B2976" s="32" t="inlineStr">
        <is>
          <t>Pique-Nique Sandy</t>
        </is>
      </c>
      <c r="C2976" s="32" t="n"/>
      <c r="D2976" s="32" t="n"/>
      <c r="E2976" s="32" t="n"/>
      <c r="F2976" s="32" t="n"/>
      <c r="G2976" s="32" t="n"/>
      <c r="H2976" s="30" t="inlineStr">
        <is>
          <t>Oui</t>
        </is>
      </c>
    </row>
    <row r="2977">
      <c r="A2977" s="31" t="inlineStr">
        <is>
          <t>Pokémon</t>
        </is>
      </c>
      <c r="B2977" s="33" t="inlineStr">
        <is>
          <t>TENTACRUEL</t>
        </is>
      </c>
      <c r="C2977" s="33" t="inlineStr">
        <is>
          <t>NIDOQUEEN</t>
        </is>
      </c>
      <c r="D2977" s="33" t="n"/>
      <c r="E2977" s="33" t="n"/>
      <c r="F2977" s="33" t="n"/>
      <c r="G2977" s="33" t="n"/>
      <c r="H2977" s="30" t="inlineStr">
        <is>
          <t>Oui</t>
        </is>
      </c>
    </row>
    <row r="2978">
      <c r="A2978" s="31" t="inlineStr">
        <is>
          <t>Niveau</t>
        </is>
      </c>
      <c r="B2978" s="33" t="n">
        <v>57</v>
      </c>
      <c r="C2978" s="33" t="n">
        <v>60</v>
      </c>
      <c r="D2978" s="33" t="n"/>
      <c r="E2978" s="33" t="n"/>
      <c r="F2978" s="33" t="n"/>
      <c r="G2978" s="33" t="n"/>
      <c r="H2978" s="30" t="inlineStr">
        <is>
          <t>Oui</t>
        </is>
      </c>
    </row>
    <row r="2979">
      <c r="A2979" s="31" t="inlineStr">
        <is>
          <t>Objet</t>
        </is>
      </c>
      <c r="B2979" s="33" t="inlineStr">
        <is>
          <t>Aucun</t>
        </is>
      </c>
      <c r="C2979" s="33" t="inlineStr">
        <is>
          <t>Aucun</t>
        </is>
      </c>
      <c r="D2979" s="33" t="n"/>
      <c r="E2979" s="33" t="n"/>
      <c r="F2979" s="33" t="n"/>
      <c r="G2979" s="33" t="n"/>
      <c r="H2979" s="30" t="inlineStr">
        <is>
          <t>Oui</t>
        </is>
      </c>
    </row>
    <row r="2980">
      <c r="A2980" s="31" t="inlineStr">
        <is>
          <t>Talent</t>
        </is>
      </c>
      <c r="B2980" s="33" t="inlineStr">
        <is>
          <t>Corps Sain</t>
        </is>
      </c>
      <c r="C2980" s="33" t="inlineStr">
        <is>
          <t>Point Poison</t>
        </is>
      </c>
      <c r="D2980" s="33" t="n"/>
      <c r="E2980" s="33" t="n"/>
      <c r="F2980" s="33" t="n"/>
      <c r="G2980" s="33" t="n"/>
      <c r="H2980" s="30" t="inlineStr">
        <is>
          <t>Oui</t>
        </is>
      </c>
    </row>
    <row r="2981">
      <c r="A2981" s="31" t="inlineStr">
        <is>
          <t>Capacités</t>
        </is>
      </c>
      <c r="B2981" s="34" t="inlineStr">
        <is>
          <t>Châtiment</t>
        </is>
      </c>
      <c r="C2981" s="34" t="inlineStr">
        <is>
          <t>Poison Croix</t>
        </is>
      </c>
      <c r="D2981" s="34" t="n"/>
      <c r="E2981" s="34" t="n"/>
      <c r="F2981" s="34" t="n"/>
      <c r="G2981" s="34" t="n"/>
      <c r="H2981" s="30" t="inlineStr">
        <is>
          <t>Oui</t>
        </is>
      </c>
    </row>
    <row r="2982">
      <c r="A2982" s="31" t="n"/>
      <c r="B2982" s="34" t="inlineStr">
        <is>
          <t>Cradovague</t>
        </is>
      </c>
      <c r="C2982" s="34" t="inlineStr">
        <is>
          <t>Piétisol</t>
        </is>
      </c>
      <c r="D2982" s="34" t="n"/>
      <c r="E2982" s="34" t="n"/>
      <c r="F2982" s="34" t="n"/>
      <c r="G2982" s="34" t="n"/>
      <c r="H2982" s="30" t="inlineStr">
        <is>
          <t>Oui</t>
        </is>
      </c>
    </row>
    <row r="2983">
      <c r="A2983" s="31" t="n"/>
      <c r="B2983" s="34" t="inlineStr">
        <is>
          <t>Hydrocanon</t>
        </is>
      </c>
      <c r="C2983" s="34" t="inlineStr">
        <is>
          <t>Telluriforce</t>
        </is>
      </c>
      <c r="D2983" s="34" t="n"/>
      <c r="E2983" s="34" t="n"/>
      <c r="F2983" s="34" t="n"/>
      <c r="G2983" s="34" t="n"/>
      <c r="H2983" s="30" t="inlineStr">
        <is>
          <t>Oui</t>
        </is>
      </c>
    </row>
    <row r="2984">
      <c r="A2984" s="31" t="n"/>
      <c r="B2984" s="34" t="inlineStr">
        <is>
          <t>Essorage</t>
        </is>
      </c>
      <c r="C2984" s="34" t="inlineStr">
        <is>
          <t>Surpuissance</t>
        </is>
      </c>
      <c r="D2984" s="34" t="n"/>
      <c r="E2984" s="34" t="n"/>
      <c r="F2984" s="34" t="n"/>
      <c r="G2984" s="34" t="n"/>
      <c r="H2984" s="30" t="inlineStr">
        <is>
          <t>Oui</t>
        </is>
      </c>
    </row>
    <row r="2985">
      <c r="A2985" s="31" t="inlineStr">
        <is>
          <t>Nom</t>
        </is>
      </c>
      <c r="B2985" s="32" t="inlineStr">
        <is>
          <t>Campeur René</t>
        </is>
      </c>
      <c r="C2985" s="32" t="n"/>
      <c r="D2985" s="32" t="n"/>
      <c r="E2985" s="32" t="n"/>
      <c r="F2985" s="32" t="n"/>
      <c r="G2985" s="32" t="n"/>
      <c r="H2985" s="30" t="inlineStr">
        <is>
          <t>Oui</t>
        </is>
      </c>
    </row>
    <row r="2986">
      <c r="A2986" s="31" t="inlineStr">
        <is>
          <t>Pokémon</t>
        </is>
      </c>
      <c r="B2986" s="33" t="inlineStr">
        <is>
          <t>TENTACRUEL</t>
        </is>
      </c>
      <c r="C2986" s="33" t="inlineStr">
        <is>
          <t>NIDOKING</t>
        </is>
      </c>
      <c r="D2986" s="33" t="n"/>
      <c r="E2986" s="33" t="n"/>
      <c r="F2986" s="33" t="n"/>
      <c r="G2986" s="33" t="n"/>
      <c r="H2986" s="30" t="inlineStr">
        <is>
          <t>Oui</t>
        </is>
      </c>
    </row>
    <row r="2987">
      <c r="A2987" s="31" t="inlineStr">
        <is>
          <t>Niveau</t>
        </is>
      </c>
      <c r="B2987" s="33" t="n">
        <v>57</v>
      </c>
      <c r="C2987" s="33" t="n">
        <v>60</v>
      </c>
      <c r="D2987" s="33" t="n"/>
      <c r="E2987" s="33" t="n"/>
      <c r="F2987" s="33" t="n"/>
      <c r="G2987" s="33" t="n"/>
      <c r="H2987" s="30" t="inlineStr">
        <is>
          <t>Oui</t>
        </is>
      </c>
    </row>
    <row r="2988">
      <c r="A2988" s="31" t="inlineStr">
        <is>
          <t>Objet</t>
        </is>
      </c>
      <c r="B2988" s="33" t="inlineStr">
        <is>
          <t>Aucun</t>
        </is>
      </c>
      <c r="C2988" s="33" t="inlineStr">
        <is>
          <t>Aucun</t>
        </is>
      </c>
      <c r="D2988" s="33" t="n"/>
      <c r="E2988" s="33" t="n"/>
      <c r="F2988" s="33" t="n"/>
      <c r="G2988" s="33" t="n"/>
      <c r="H2988" s="30" t="inlineStr">
        <is>
          <t>Oui</t>
        </is>
      </c>
    </row>
    <row r="2989">
      <c r="A2989" s="31" t="inlineStr">
        <is>
          <t>Talent</t>
        </is>
      </c>
      <c r="B2989" s="33" t="inlineStr">
        <is>
          <t>Corps Sain</t>
        </is>
      </c>
      <c r="C2989" s="33" t="inlineStr">
        <is>
          <t>Point Poison</t>
        </is>
      </c>
      <c r="D2989" s="33" t="n"/>
      <c r="E2989" s="33" t="n"/>
      <c r="F2989" s="33" t="n"/>
      <c r="G2989" s="33" t="n"/>
      <c r="H2989" s="30" t="inlineStr">
        <is>
          <t>Oui</t>
        </is>
      </c>
    </row>
    <row r="2990">
      <c r="A2990" s="31" t="inlineStr">
        <is>
          <t>Capacités</t>
        </is>
      </c>
      <c r="B2990" s="34" t="inlineStr">
        <is>
          <t>Châtiment</t>
        </is>
      </c>
      <c r="C2990" s="34" t="inlineStr">
        <is>
          <t>Piétisol</t>
        </is>
      </c>
      <c r="D2990" s="34" t="n"/>
      <c r="E2990" s="34" t="n"/>
      <c r="F2990" s="34" t="n"/>
      <c r="G2990" s="34" t="n"/>
      <c r="H2990" s="30" t="inlineStr">
        <is>
          <t>Oui</t>
        </is>
      </c>
    </row>
    <row r="2991">
      <c r="A2991" s="31" t="n"/>
      <c r="B2991" s="34" t="inlineStr">
        <is>
          <t>Cradovague</t>
        </is>
      </c>
      <c r="C2991" s="34" t="inlineStr">
        <is>
          <t>Telluriforce</t>
        </is>
      </c>
      <c r="D2991" s="34" t="n"/>
      <c r="E2991" s="34" t="n"/>
      <c r="F2991" s="34" t="n"/>
      <c r="G2991" s="34" t="n"/>
      <c r="H2991" s="30" t="inlineStr">
        <is>
          <t>Oui</t>
        </is>
      </c>
    </row>
    <row r="2992">
      <c r="A2992" s="31" t="n"/>
      <c r="B2992" s="34" t="inlineStr">
        <is>
          <t>Hydrocanon</t>
        </is>
      </c>
      <c r="C2992" s="34" t="inlineStr">
        <is>
          <t>Mégacorne</t>
        </is>
      </c>
      <c r="D2992" s="34" t="n"/>
      <c r="E2992" s="34" t="n"/>
      <c r="F2992" s="34" t="n"/>
      <c r="G2992" s="34" t="n"/>
      <c r="H2992" s="30" t="inlineStr">
        <is>
          <t>Oui</t>
        </is>
      </c>
    </row>
    <row r="2993">
      <c r="A2993" s="31" t="n"/>
      <c r="B2993" s="34" t="inlineStr">
        <is>
          <t>Essorage</t>
        </is>
      </c>
      <c r="C2993" s="34" t="inlineStr">
        <is>
          <t>Encornebois</t>
        </is>
      </c>
      <c r="D2993" s="34" t="n"/>
      <c r="E2993" s="34" t="n"/>
      <c r="F2993" s="34" t="n"/>
      <c r="G2993" s="34" t="n"/>
      <c r="H2993" s="30" t="inlineStr">
        <is>
          <t>Oui</t>
        </is>
      </c>
    </row>
    <row r="2994">
      <c r="A2994" s="31" t="inlineStr">
        <is>
          <t>Nom</t>
        </is>
      </c>
      <c r="B2994" s="32" t="inlineStr">
        <is>
          <t>Champion Jeannine</t>
        </is>
      </c>
      <c r="C2994" s="32" t="n"/>
      <c r="D2994" s="32" t="n"/>
      <c r="E2994" s="32" t="n"/>
      <c r="F2994" s="32" t="n"/>
      <c r="G2994" s="32" t="n"/>
      <c r="H2994" s="30" t="inlineStr">
        <is>
          <t>Oui</t>
        </is>
      </c>
    </row>
    <row r="2995">
      <c r="A2995" s="31" t="inlineStr">
        <is>
          <t>Pokémon</t>
        </is>
      </c>
      <c r="B2995" s="33" t="inlineStr">
        <is>
          <t>SMOGOGO</t>
        </is>
      </c>
      <c r="C2995" s="33" t="inlineStr">
        <is>
          <t>GROTADMORV</t>
        </is>
      </c>
      <c r="D2995" s="33" t="inlineStr">
        <is>
          <t>AVALTOUT</t>
        </is>
      </c>
      <c r="E2995" s="33" t="inlineStr">
        <is>
          <t>NIDOQUEEN</t>
        </is>
      </c>
      <c r="F2995" s="33" t="inlineStr">
        <is>
          <t>NOSTENFER</t>
        </is>
      </c>
      <c r="G2995" s="33" t="inlineStr">
        <is>
          <t>AEROMITE</t>
        </is>
      </c>
      <c r="H2995" s="30" t="inlineStr">
        <is>
          <t>Oui</t>
        </is>
      </c>
    </row>
    <row r="2996">
      <c r="A2996" s="31" t="inlineStr">
        <is>
          <t>Niveau</t>
        </is>
      </c>
      <c r="B2996" s="33" t="n">
        <v>63</v>
      </c>
      <c r="C2996" s="33" t="n">
        <v>62</v>
      </c>
      <c r="D2996" s="33" t="n">
        <v>61</v>
      </c>
      <c r="E2996" s="33" t="n">
        <v>62</v>
      </c>
      <c r="F2996" s="33" t="n">
        <v>63</v>
      </c>
      <c r="G2996" s="33" t="n">
        <v>64</v>
      </c>
      <c r="H2996" s="30" t="inlineStr">
        <is>
          <t>Oui</t>
        </is>
      </c>
    </row>
    <row r="2997">
      <c r="A2997" s="31" t="inlineStr">
        <is>
          <t>Objet</t>
        </is>
      </c>
      <c r="B2997" s="33" t="inlineStr">
        <is>
          <t>Restes</t>
        </is>
      </c>
      <c r="C2997" s="33" t="inlineStr">
        <is>
          <t>Aucun</t>
        </is>
      </c>
      <c r="D2997" s="33" t="inlineStr">
        <is>
          <t>Aucun</t>
        </is>
      </c>
      <c r="E2997" s="33" t="inlineStr">
        <is>
          <t>Vive Griffe</t>
        </is>
      </c>
      <c r="F2997" s="33" t="inlineStr">
        <is>
          <t>Aucun</t>
        </is>
      </c>
      <c r="G2997" s="33" t="inlineStr">
        <is>
          <t>Poudre Claire</t>
        </is>
      </c>
      <c r="H2997" s="30" t="inlineStr">
        <is>
          <t>Oui</t>
        </is>
      </c>
    </row>
    <row r="2998">
      <c r="A2998" s="31" t="inlineStr">
        <is>
          <t>Talent</t>
        </is>
      </c>
      <c r="B2998" s="33" t="inlineStr">
        <is>
          <t>Lévitation</t>
        </is>
      </c>
      <c r="C2998" s="33" t="inlineStr">
        <is>
          <t>Puanteur</t>
        </is>
      </c>
      <c r="D2998" s="33" t="inlineStr">
        <is>
          <t>Suintement</t>
        </is>
      </c>
      <c r="E2998" s="33" t="inlineStr">
        <is>
          <t>Point Poison</t>
        </is>
      </c>
      <c r="F2998" s="33" t="inlineStr">
        <is>
          <t>Attention</t>
        </is>
      </c>
      <c r="G2998" s="33" t="inlineStr">
        <is>
          <t>Écran Poudre</t>
        </is>
      </c>
      <c r="H2998" s="30" t="inlineStr">
        <is>
          <t>Oui</t>
        </is>
      </c>
    </row>
    <row r="2999">
      <c r="A2999" s="31" t="inlineStr">
        <is>
          <t>Capacités</t>
        </is>
      </c>
      <c r="B2999" s="34" t="inlineStr">
        <is>
          <t>Bombe Beurk</t>
        </is>
      </c>
      <c r="C2999" s="34" t="inlineStr">
        <is>
          <t>Lilliput</t>
        </is>
      </c>
      <c r="D2999" s="34" t="inlineStr">
        <is>
          <t>Avale</t>
        </is>
      </c>
      <c r="E2999" s="34" t="inlineStr">
        <is>
          <t>Séisme</t>
        </is>
      </c>
      <c r="F2999" s="34" t="inlineStr">
        <is>
          <t>Lame d'Air</t>
        </is>
      </c>
      <c r="G2999" s="34" t="inlineStr">
        <is>
          <t>Rayon Signal</t>
        </is>
      </c>
      <c r="H2999" s="30" t="inlineStr">
        <is>
          <t>Oui</t>
        </is>
      </c>
    </row>
    <row r="3000">
      <c r="A3000" s="31" t="n"/>
      <c r="B3000" s="34" t="inlineStr">
        <is>
          <t>Lance-Flammes</t>
        </is>
      </c>
      <c r="C3000" s="34" t="inlineStr">
        <is>
          <t>Détricanon</t>
        </is>
      </c>
      <c r="D3000" s="34" t="inlineStr">
        <is>
          <t>Stockage</t>
        </is>
      </c>
      <c r="E3000" s="34" t="inlineStr">
        <is>
          <t>Poison Croix</t>
        </is>
      </c>
      <c r="F3000" s="34" t="inlineStr">
        <is>
          <t>Choc Venin</t>
        </is>
      </c>
      <c r="G3000" s="34" t="inlineStr">
        <is>
          <t>Crochet Venin</t>
        </is>
      </c>
      <c r="H3000" s="30" t="inlineStr">
        <is>
          <t>Oui</t>
        </is>
      </c>
    </row>
    <row r="3001">
      <c r="A3001" s="31" t="n"/>
      <c r="B3001" s="34" t="inlineStr">
        <is>
          <t>Éructation</t>
        </is>
      </c>
      <c r="C3001" s="34" t="inlineStr">
        <is>
          <t>Toxik</t>
        </is>
      </c>
      <c r="D3001" s="34" t="inlineStr">
        <is>
          <t>Amnésie</t>
        </is>
      </c>
      <c r="E3001" s="34" t="inlineStr">
        <is>
          <t>Fatal-Foudre</t>
        </is>
      </c>
      <c r="F3001" s="34" t="inlineStr">
        <is>
          <t>Toxik</t>
        </is>
      </c>
      <c r="G3001" s="34" t="inlineStr">
        <is>
          <t>Toxik</t>
        </is>
      </c>
      <c r="H3001" s="30" t="inlineStr">
        <is>
          <t>Oui</t>
        </is>
      </c>
    </row>
    <row r="3002">
      <c r="A3002" s="31" t="n"/>
      <c r="B3002" s="34" t="inlineStr">
        <is>
          <t>Amnésie</t>
        </is>
      </c>
      <c r="C3002" s="34" t="inlineStr">
        <is>
          <t>Acidarmure</t>
        </is>
      </c>
      <c r="D3002" s="34" t="inlineStr">
        <is>
          <t>Relâche</t>
        </is>
      </c>
      <c r="E3002" s="34" t="inlineStr">
        <is>
          <t>Surpuissance</t>
        </is>
      </c>
      <c r="F3002" s="34" t="inlineStr">
        <is>
          <t>Onde Folie</t>
        </is>
      </c>
      <c r="G3002" s="34" t="inlineStr">
        <is>
          <t>Reflet</t>
        </is>
      </c>
      <c r="H3002" s="30" t="inlineStr">
        <is>
          <t>Oui</t>
        </is>
      </c>
    </row>
    <row r="3003" ht="18" customHeight="1">
      <c r="A3003" s="26" t="inlineStr">
        <is>
          <t>Route 18</t>
        </is>
      </c>
      <c r="B3003" s="26" t="n"/>
      <c r="C3003" s="26" t="n"/>
      <c r="D3003" s="26" t="n"/>
      <c r="E3003" s="26" t="n"/>
      <c r="F3003" s="26" t="n"/>
      <c r="G3003" s="26" t="n"/>
      <c r="H3003" s="30" t="inlineStr">
        <is>
          <t>Oui</t>
        </is>
      </c>
    </row>
    <row r="3004">
      <c r="A3004" s="31" t="inlineStr">
        <is>
          <t>Nom</t>
        </is>
      </c>
      <c r="B3004" s="32" t="inlineStr">
        <is>
          <t>Ornithologue Sam</t>
        </is>
      </c>
      <c r="C3004" s="32" t="n"/>
      <c r="D3004" s="32" t="n"/>
      <c r="E3004" s="32" t="n"/>
      <c r="F3004" s="32" t="n"/>
      <c r="G3004" s="32" t="n"/>
      <c r="H3004" s="30" t="inlineStr">
        <is>
          <t>Oui</t>
        </is>
      </c>
    </row>
    <row r="3005">
      <c r="A3005" s="31" t="inlineStr">
        <is>
          <t>Pokémon</t>
        </is>
      </c>
      <c r="B3005" s="33" t="inlineStr">
        <is>
          <t>YANMA</t>
        </is>
      </c>
      <c r="C3005" s="33" t="inlineStr">
        <is>
          <t>CORNEBRE</t>
        </is>
      </c>
      <c r="D3005" s="33" t="inlineStr">
        <is>
          <t>DODRIO</t>
        </is>
      </c>
      <c r="E3005" s="33" t="n"/>
      <c r="F3005" s="33" t="n"/>
      <c r="G3005" s="33" t="n"/>
      <c r="H3005" s="30" t="inlineStr">
        <is>
          <t>Oui</t>
        </is>
      </c>
    </row>
    <row r="3006">
      <c r="A3006" s="31" t="inlineStr">
        <is>
          <t>Niveau</t>
        </is>
      </c>
      <c r="B3006" s="33" t="n">
        <v>60</v>
      </c>
      <c r="C3006" s="33" t="n">
        <v>58</v>
      </c>
      <c r="D3006" s="33" t="n">
        <v>60</v>
      </c>
      <c r="E3006" s="33" t="n"/>
      <c r="F3006" s="33" t="n"/>
      <c r="G3006" s="33" t="n"/>
      <c r="H3006" s="30" t="inlineStr">
        <is>
          <t>Oui</t>
        </is>
      </c>
    </row>
    <row r="3007">
      <c r="A3007" s="31" t="inlineStr">
        <is>
          <t>Objet</t>
        </is>
      </c>
      <c r="B3007" s="33" t="inlineStr">
        <is>
          <t>Aucun</t>
        </is>
      </c>
      <c r="C3007" s="33" t="inlineStr">
        <is>
          <t>Aucun</t>
        </is>
      </c>
      <c r="D3007" s="33" t="inlineStr">
        <is>
          <t>Aucun</t>
        </is>
      </c>
      <c r="E3007" s="33" t="n"/>
      <c r="F3007" s="33" t="n"/>
      <c r="G3007" s="33" t="n"/>
      <c r="H3007" s="30" t="inlineStr">
        <is>
          <t>Oui</t>
        </is>
      </c>
    </row>
    <row r="3008">
      <c r="A3008" s="31" t="inlineStr">
        <is>
          <t>Talent</t>
        </is>
      </c>
      <c r="B3008" s="33" t="inlineStr">
        <is>
          <t>Turbo</t>
        </is>
      </c>
      <c r="C3008" s="33" t="inlineStr">
        <is>
          <t>Insomnia</t>
        </is>
      </c>
      <c r="D3008" s="33" t="inlineStr">
        <is>
          <t>Fuite</t>
        </is>
      </c>
      <c r="E3008" s="33" t="n"/>
      <c r="F3008" s="33" t="n"/>
      <c r="G3008" s="33" t="n"/>
      <c r="H3008" s="30" t="inlineStr">
        <is>
          <t>Oui</t>
        </is>
      </c>
    </row>
    <row r="3009">
      <c r="A3009" s="31" t="inlineStr">
        <is>
          <t>Capacités</t>
        </is>
      </c>
      <c r="B3009" s="34" t="inlineStr">
        <is>
          <t>Grincement</t>
        </is>
      </c>
      <c r="C3009" s="34" t="inlineStr">
        <is>
          <t>Regard Noir</t>
        </is>
      </c>
      <c r="D3009" s="34" t="inlineStr">
        <is>
          <t>Pied Sauté</t>
        </is>
      </c>
      <c r="E3009" s="34" t="n"/>
      <c r="F3009" s="34" t="n"/>
      <c r="G3009" s="34" t="n"/>
      <c r="H3009" s="30" t="inlineStr">
        <is>
          <t>Oui</t>
        </is>
      </c>
    </row>
    <row r="3010">
      <c r="A3010" s="31" t="n"/>
      <c r="B3010" s="34" t="inlineStr">
        <is>
          <t>Demi-Tour</t>
        </is>
      </c>
      <c r="C3010" s="34" t="inlineStr">
        <is>
          <t>Tricherie</t>
        </is>
      </c>
      <c r="D3010" s="34" t="inlineStr">
        <is>
          <t>Bec Vrille</t>
        </is>
      </c>
      <c r="E3010" s="34" t="n"/>
      <c r="F3010" s="34" t="n"/>
      <c r="G3010" s="34" t="n"/>
      <c r="H3010" s="30" t="inlineStr">
        <is>
          <t>Oui</t>
        </is>
      </c>
    </row>
    <row r="3011">
      <c r="A3011" s="31" t="n"/>
      <c r="B3011" s="34" t="inlineStr">
        <is>
          <t>Lame d'Air</t>
        </is>
      </c>
      <c r="C3011" s="34" t="inlineStr">
        <is>
          <t>Vent Arrière</t>
        </is>
      </c>
      <c r="D3011" s="34" t="inlineStr">
        <is>
          <t>Effort</t>
        </is>
      </c>
      <c r="E3011" s="34" t="n"/>
      <c r="F3011" s="34" t="n"/>
      <c r="G3011" s="34" t="n"/>
      <c r="H3011" s="30" t="inlineStr">
        <is>
          <t>Oui</t>
        </is>
      </c>
    </row>
    <row r="3012">
      <c r="A3012" s="31" t="n"/>
      <c r="B3012" s="34" t="inlineStr">
        <is>
          <t>Bourdon</t>
        </is>
      </c>
      <c r="C3012" s="34" t="inlineStr">
        <is>
          <t>Coup Bas</t>
        </is>
      </c>
      <c r="D3012" s="34" t="inlineStr">
        <is>
          <t>Mania</t>
        </is>
      </c>
      <c r="E3012" s="34" t="n"/>
      <c r="F3012" s="34" t="n"/>
      <c r="G3012" s="34" t="n"/>
      <c r="H3012" s="30" t="inlineStr">
        <is>
          <t>Oui</t>
        </is>
      </c>
    </row>
    <row r="3013">
      <c r="A3013" s="31" t="inlineStr">
        <is>
          <t>Nom</t>
        </is>
      </c>
      <c r="B3013" s="32" t="inlineStr">
        <is>
          <t>Ornithologue Bob</t>
        </is>
      </c>
      <c r="C3013" s="32" t="n"/>
      <c r="D3013" s="32" t="n"/>
      <c r="E3013" s="32" t="n"/>
      <c r="F3013" s="32" t="n"/>
      <c r="G3013" s="32" t="n"/>
      <c r="H3013" s="30" t="inlineStr">
        <is>
          <t>Oui</t>
        </is>
      </c>
    </row>
    <row r="3014">
      <c r="A3014" s="31" t="inlineStr">
        <is>
          <t>Pokémon</t>
        </is>
      </c>
      <c r="B3014" s="33" t="inlineStr">
        <is>
          <t>NOARFANG</t>
        </is>
      </c>
      <c r="C3014" s="33" t="n"/>
      <c r="D3014" s="33" t="n"/>
      <c r="E3014" s="33" t="n"/>
      <c r="F3014" s="33" t="n"/>
      <c r="G3014" s="33" t="n"/>
      <c r="H3014" s="30" t="inlineStr">
        <is>
          <t>Oui</t>
        </is>
      </c>
    </row>
    <row r="3015">
      <c r="A3015" s="31" t="inlineStr">
        <is>
          <t>Niveau</t>
        </is>
      </c>
      <c r="B3015" s="33" t="n">
        <v>61</v>
      </c>
      <c r="C3015" s="33" t="n"/>
      <c r="D3015" s="33" t="n"/>
      <c r="E3015" s="33" t="n"/>
      <c r="F3015" s="33" t="n"/>
      <c r="G3015" s="33" t="n"/>
      <c r="H3015" s="30" t="inlineStr">
        <is>
          <t>Oui</t>
        </is>
      </c>
    </row>
    <row r="3016">
      <c r="A3016" s="31" t="inlineStr">
        <is>
          <t>Objet</t>
        </is>
      </c>
      <c r="B3016" s="33" t="inlineStr">
        <is>
          <t>Aucun</t>
        </is>
      </c>
      <c r="C3016" s="33" t="n"/>
      <c r="D3016" s="33" t="n"/>
      <c r="E3016" s="33" t="n"/>
      <c r="F3016" s="33" t="n"/>
      <c r="G3016" s="33" t="n"/>
      <c r="H3016" s="30" t="inlineStr">
        <is>
          <t>Oui</t>
        </is>
      </c>
    </row>
    <row r="3017">
      <c r="A3017" s="31" t="inlineStr">
        <is>
          <t>Talent</t>
        </is>
      </c>
      <c r="B3017" s="33" t="inlineStr">
        <is>
          <t>Insomnia</t>
        </is>
      </c>
      <c r="C3017" s="33" t="n"/>
      <c r="D3017" s="33" t="n"/>
      <c r="E3017" s="33" t="n"/>
      <c r="F3017" s="33" t="n"/>
      <c r="G3017" s="33" t="n"/>
      <c r="H3017" s="30" t="inlineStr">
        <is>
          <t>Oui</t>
        </is>
      </c>
    </row>
    <row r="3018">
      <c r="A3018" s="31" t="inlineStr">
        <is>
          <t>Capacités</t>
        </is>
      </c>
      <c r="B3018" s="34" t="inlineStr">
        <is>
          <t>Atterrissage</t>
        </is>
      </c>
      <c r="C3018" s="34" t="n"/>
      <c r="D3018" s="34" t="n"/>
      <c r="E3018" s="34" t="n"/>
      <c r="F3018" s="34" t="n"/>
      <c r="G3018" s="34" t="n"/>
      <c r="H3018" s="30" t="inlineStr">
        <is>
          <t>Oui</t>
        </is>
      </c>
    </row>
    <row r="3019">
      <c r="A3019" s="31" t="n"/>
      <c r="B3019" s="34" t="inlineStr">
        <is>
          <t>Pouvoir Lunaire</t>
        </is>
      </c>
      <c r="C3019" s="34" t="n"/>
      <c r="D3019" s="34" t="n"/>
      <c r="E3019" s="34" t="n"/>
      <c r="F3019" s="34" t="n"/>
      <c r="G3019" s="34" t="n"/>
      <c r="H3019" s="30" t="inlineStr">
        <is>
          <t>Oui</t>
        </is>
      </c>
    </row>
    <row r="3020">
      <c r="A3020" s="31" t="n"/>
      <c r="B3020" s="34" t="inlineStr">
        <is>
          <t>Synchropeine</t>
        </is>
      </c>
      <c r="C3020" s="34" t="n"/>
      <c r="D3020" s="34" t="n"/>
      <c r="E3020" s="34" t="n"/>
      <c r="F3020" s="34" t="n"/>
      <c r="G3020" s="34" t="n"/>
      <c r="H3020" s="30" t="inlineStr">
        <is>
          <t>Oui</t>
        </is>
      </c>
    </row>
    <row r="3021">
      <c r="A3021" s="31" t="n"/>
      <c r="B3021" s="34" t="inlineStr">
        <is>
          <t>Dévorêve</t>
        </is>
      </c>
      <c r="C3021" s="34" t="n"/>
      <c r="D3021" s="34" t="n"/>
      <c r="E3021" s="34" t="n"/>
      <c r="F3021" s="34" t="n"/>
      <c r="G3021" s="34" t="n"/>
      <c r="H3021" s="30" t="inlineStr">
        <is>
          <t>Oui</t>
        </is>
      </c>
    </row>
    <row r="3022" ht="18" customHeight="1">
      <c r="A3022" s="26" t="inlineStr">
        <is>
          <t>Route 17</t>
        </is>
      </c>
      <c r="B3022" s="26" t="n"/>
      <c r="C3022" s="26" t="n"/>
      <c r="D3022" s="26" t="n"/>
      <c r="E3022" s="26" t="n"/>
      <c r="F3022" s="26" t="n"/>
      <c r="G3022" s="26" t="n"/>
      <c r="H3022" s="30" t="inlineStr">
        <is>
          <t>Oui</t>
        </is>
      </c>
    </row>
    <row r="3023">
      <c r="A3023" s="31" t="inlineStr">
        <is>
          <t>Nom</t>
        </is>
      </c>
      <c r="B3023" s="32" t="inlineStr">
        <is>
          <t>Motard Armand</t>
        </is>
      </c>
      <c r="C3023" s="32" t="n"/>
      <c r="D3023" s="32" t="n"/>
      <c r="E3023" s="32" t="n"/>
      <c r="F3023" s="32" t="n"/>
      <c r="G3023" s="32" t="n"/>
      <c r="H3023" s="30" t="inlineStr">
        <is>
          <t>Oui</t>
        </is>
      </c>
    </row>
    <row r="3024">
      <c r="A3024" s="31" t="inlineStr">
        <is>
          <t>Pokémon</t>
        </is>
      </c>
      <c r="B3024" s="33" t="inlineStr">
        <is>
          <t>SMOGOGO</t>
        </is>
      </c>
      <c r="C3024" s="33" t="n"/>
      <c r="D3024" s="33" t="n"/>
      <c r="E3024" s="33" t="n"/>
      <c r="F3024" s="33" t="n"/>
      <c r="G3024" s="33" t="n"/>
      <c r="H3024" s="30" t="inlineStr">
        <is>
          <t>Oui</t>
        </is>
      </c>
    </row>
    <row r="3025">
      <c r="A3025" s="31" t="inlineStr">
        <is>
          <t>Niveau</t>
        </is>
      </c>
      <c r="B3025" s="33" t="n">
        <v>60</v>
      </c>
      <c r="C3025" s="33" t="n"/>
      <c r="D3025" s="33" t="n"/>
      <c r="E3025" s="33" t="n"/>
      <c r="F3025" s="33" t="n"/>
      <c r="G3025" s="33" t="n"/>
      <c r="H3025" s="30" t="inlineStr">
        <is>
          <t>Oui</t>
        </is>
      </c>
    </row>
    <row r="3026">
      <c r="A3026" s="31" t="inlineStr">
        <is>
          <t>Objet</t>
        </is>
      </c>
      <c r="B3026" s="33" t="inlineStr">
        <is>
          <t>Aucun</t>
        </is>
      </c>
      <c r="C3026" s="33" t="n"/>
      <c r="D3026" s="33" t="n"/>
      <c r="E3026" s="33" t="n"/>
      <c r="F3026" s="33" t="n"/>
      <c r="G3026" s="33" t="n"/>
      <c r="H3026" s="30" t="inlineStr">
        <is>
          <t>Oui</t>
        </is>
      </c>
    </row>
    <row r="3027">
      <c r="A3027" s="31" t="inlineStr">
        <is>
          <t>Talent</t>
        </is>
      </c>
      <c r="B3027" s="33" t="inlineStr">
        <is>
          <t>Lévitation</t>
        </is>
      </c>
      <c r="C3027" s="33" t="n"/>
      <c r="D3027" s="33" t="n"/>
      <c r="E3027" s="33" t="n"/>
      <c r="F3027" s="33" t="n"/>
      <c r="G3027" s="33" t="n"/>
      <c r="H3027" s="30" t="inlineStr">
        <is>
          <t>Oui</t>
        </is>
      </c>
    </row>
    <row r="3028">
      <c r="A3028" s="31" t="inlineStr">
        <is>
          <t>Capacités</t>
        </is>
      </c>
      <c r="B3028" s="34" t="inlineStr">
        <is>
          <t>Explosion</t>
        </is>
      </c>
      <c r="C3028" s="34" t="n"/>
      <c r="D3028" s="34" t="n"/>
      <c r="E3028" s="34" t="n"/>
      <c r="F3028" s="34" t="n"/>
      <c r="G3028" s="34" t="n"/>
      <c r="H3028" s="30" t="inlineStr">
        <is>
          <t>Oui</t>
        </is>
      </c>
    </row>
    <row r="3029">
      <c r="A3029" s="31" t="n"/>
      <c r="B3029" s="34" t="inlineStr">
        <is>
          <t>Lien du Destin</t>
        </is>
      </c>
      <c r="C3029" s="34" t="n"/>
      <c r="D3029" s="34" t="n"/>
      <c r="E3029" s="34" t="n"/>
      <c r="F3029" s="34" t="n"/>
      <c r="G3029" s="34" t="n"/>
      <c r="H3029" s="30" t="inlineStr">
        <is>
          <t>Oui</t>
        </is>
      </c>
    </row>
    <row r="3030">
      <c r="A3030" s="31" t="n"/>
      <c r="B3030" s="34" t="inlineStr">
        <is>
          <t>Éructation</t>
        </is>
      </c>
      <c r="C3030" s="34" t="n"/>
      <c r="D3030" s="34" t="n"/>
      <c r="E3030" s="34" t="n"/>
      <c r="F3030" s="34" t="n"/>
      <c r="G3030" s="34" t="n"/>
      <c r="H3030" s="30" t="inlineStr">
        <is>
          <t>Oui</t>
        </is>
      </c>
    </row>
    <row r="3031">
      <c r="A3031" s="31" t="n"/>
      <c r="B3031" s="34" t="inlineStr">
        <is>
          <t>Souvenir</t>
        </is>
      </c>
      <c r="C3031" s="34" t="n"/>
      <c r="D3031" s="34" t="n"/>
      <c r="E3031" s="34" t="n"/>
      <c r="F3031" s="34" t="n"/>
      <c r="G3031" s="34" t="n"/>
      <c r="H3031" s="30" t="inlineStr">
        <is>
          <t>Oui</t>
        </is>
      </c>
    </row>
    <row r="3032">
      <c r="A3032" s="31" t="inlineStr">
        <is>
          <t>Nom</t>
        </is>
      </c>
      <c r="B3032" s="32" t="inlineStr">
        <is>
          <t>Motard Lorenzo</t>
        </is>
      </c>
      <c r="C3032" s="32" t="n"/>
      <c r="D3032" s="32" t="n"/>
      <c r="E3032" s="32" t="n"/>
      <c r="F3032" s="32" t="n"/>
      <c r="G3032" s="32" t="n"/>
      <c r="H3032" s="30" t="inlineStr">
        <is>
          <t>Oui</t>
        </is>
      </c>
    </row>
    <row r="3033">
      <c r="A3033" s="31" t="inlineStr">
        <is>
          <t>Pokémon</t>
        </is>
      </c>
      <c r="B3033" s="33" t="inlineStr">
        <is>
          <t>MAGMAR</t>
        </is>
      </c>
      <c r="C3033" s="33" t="inlineStr">
        <is>
          <t>ELEKTEK</t>
        </is>
      </c>
      <c r="D3033" s="33" t="n"/>
      <c r="E3033" s="33" t="n"/>
      <c r="F3033" s="33" t="n"/>
      <c r="G3033" s="33" t="n"/>
      <c r="H3033" s="30" t="inlineStr">
        <is>
          <t>Oui</t>
        </is>
      </c>
    </row>
    <row r="3034">
      <c r="A3034" s="31" t="inlineStr">
        <is>
          <t>Niveau</t>
        </is>
      </c>
      <c r="B3034" s="33" t="n">
        <v>58</v>
      </c>
      <c r="C3034" s="33" t="n">
        <v>58</v>
      </c>
      <c r="D3034" s="33" t="n"/>
      <c r="E3034" s="33" t="n"/>
      <c r="F3034" s="33" t="n"/>
      <c r="G3034" s="33" t="n"/>
      <c r="H3034" s="30" t="inlineStr">
        <is>
          <t>Oui</t>
        </is>
      </c>
    </row>
    <row r="3035">
      <c r="A3035" s="31" t="inlineStr">
        <is>
          <t>Objet</t>
        </is>
      </c>
      <c r="B3035" s="33" t="inlineStr">
        <is>
          <t>Aucun</t>
        </is>
      </c>
      <c r="C3035" s="33" t="inlineStr">
        <is>
          <t>Aucun</t>
        </is>
      </c>
      <c r="D3035" s="33" t="n"/>
      <c r="E3035" s="33" t="n"/>
      <c r="F3035" s="33" t="n"/>
      <c r="G3035" s="33" t="n"/>
      <c r="H3035" s="30" t="inlineStr">
        <is>
          <t>Oui</t>
        </is>
      </c>
    </row>
    <row r="3036">
      <c r="A3036" s="31" t="inlineStr">
        <is>
          <t>Talent</t>
        </is>
      </c>
      <c r="B3036" s="33" t="inlineStr">
        <is>
          <t>Corps Ardent</t>
        </is>
      </c>
      <c r="C3036" s="33" t="inlineStr">
        <is>
          <t>Statik</t>
        </is>
      </c>
      <c r="D3036" s="33" t="n"/>
      <c r="E3036" s="33" t="n"/>
      <c r="F3036" s="33" t="n"/>
      <c r="G3036" s="33" t="n"/>
      <c r="H3036" s="30" t="inlineStr">
        <is>
          <t>Oui</t>
        </is>
      </c>
    </row>
    <row r="3037">
      <c r="A3037" s="31" t="inlineStr">
        <is>
          <t>Capacités</t>
        </is>
      </c>
      <c r="B3037" s="34" t="inlineStr">
        <is>
          <t>Ébullilave</t>
        </is>
      </c>
      <c r="C3037" s="34" t="inlineStr">
        <is>
          <t>Coup d'Jus</t>
        </is>
      </c>
      <c r="D3037" s="34" t="n"/>
      <c r="E3037" s="34" t="n"/>
      <c r="F3037" s="34" t="n"/>
      <c r="G3037" s="34" t="n"/>
      <c r="H3037" s="30" t="inlineStr">
        <is>
          <t>Oui</t>
        </is>
      </c>
    </row>
    <row r="3038">
      <c r="A3038" s="31" t="n"/>
      <c r="B3038" s="34" t="inlineStr">
        <is>
          <t>Zénith</t>
        </is>
      </c>
      <c r="C3038" s="34" t="inlineStr">
        <is>
          <t>Grincement</t>
        </is>
      </c>
      <c r="D3038" s="34" t="n"/>
      <c r="E3038" s="34" t="n"/>
      <c r="F3038" s="34" t="n"/>
      <c r="G3038" s="34" t="n"/>
      <c r="H3038" s="30" t="inlineStr">
        <is>
          <t>Oui</t>
        </is>
      </c>
    </row>
    <row r="3039">
      <c r="A3039" s="31" t="n"/>
      <c r="B3039" s="34" t="inlineStr">
        <is>
          <t>Lance-Flammes</t>
        </is>
      </c>
      <c r="C3039" s="34" t="inlineStr">
        <is>
          <t>Tonnerre</t>
        </is>
      </c>
      <c r="D3039" s="34" t="n"/>
      <c r="E3039" s="34" t="n"/>
      <c r="F3039" s="34" t="n"/>
      <c r="G3039" s="34" t="n"/>
      <c r="H3039" s="30" t="inlineStr">
        <is>
          <t>Oui</t>
        </is>
      </c>
    </row>
    <row r="3040">
      <c r="A3040" s="31" t="n"/>
      <c r="B3040" s="34" t="inlineStr">
        <is>
          <t>Déflagration</t>
        </is>
      </c>
      <c r="C3040" s="34" t="inlineStr">
        <is>
          <t>Fatal-Foudre</t>
        </is>
      </c>
      <c r="D3040" s="34" t="n"/>
      <c r="E3040" s="34" t="n"/>
      <c r="F3040" s="34" t="n"/>
      <c r="G3040" s="34" t="n"/>
      <c r="H3040" s="30" t="inlineStr">
        <is>
          <t>Oui</t>
        </is>
      </c>
    </row>
    <row r="3041">
      <c r="A3041" s="31" t="inlineStr">
        <is>
          <t>Nom</t>
        </is>
      </c>
      <c r="B3041" s="32" t="inlineStr">
        <is>
          <t>Motard Jean-Marc</t>
        </is>
      </c>
      <c r="C3041" s="32" t="n"/>
      <c r="D3041" s="32" t="n"/>
      <c r="E3041" s="32" t="n"/>
      <c r="F3041" s="32" t="n"/>
      <c r="G3041" s="32" t="n"/>
      <c r="H3041" s="30" t="inlineStr">
        <is>
          <t>Oui</t>
        </is>
      </c>
    </row>
    <row r="3042">
      <c r="A3042" s="31" t="inlineStr">
        <is>
          <t>Pokémon</t>
        </is>
      </c>
      <c r="B3042" s="33" t="inlineStr">
        <is>
          <t>SMOGO</t>
        </is>
      </c>
      <c r="C3042" s="33" t="inlineStr">
        <is>
          <t>MAGMAR</t>
        </is>
      </c>
      <c r="D3042" s="33" t="inlineStr">
        <is>
          <t>SMOGOGO</t>
        </is>
      </c>
      <c r="E3042" s="33" t="n"/>
      <c r="F3042" s="33" t="n"/>
      <c r="G3042" s="33" t="n"/>
      <c r="H3042" s="30" t="inlineStr">
        <is>
          <t>Oui</t>
        </is>
      </c>
    </row>
    <row r="3043">
      <c r="A3043" s="31" t="inlineStr">
        <is>
          <t>Niveau</t>
        </is>
      </c>
      <c r="B3043" s="33" t="n">
        <v>57</v>
      </c>
      <c r="C3043" s="33" t="n">
        <v>55</v>
      </c>
      <c r="D3043" s="33" t="n">
        <v>58</v>
      </c>
      <c r="E3043" s="33" t="n"/>
      <c r="F3043" s="33" t="n"/>
      <c r="G3043" s="33" t="n"/>
      <c r="H3043" s="30" t="inlineStr">
        <is>
          <t>Oui</t>
        </is>
      </c>
    </row>
    <row r="3044">
      <c r="A3044" s="31" t="inlineStr">
        <is>
          <t>Objet</t>
        </is>
      </c>
      <c r="B3044" s="33" t="inlineStr">
        <is>
          <t>Aucun</t>
        </is>
      </c>
      <c r="C3044" s="33" t="inlineStr">
        <is>
          <t>Aucun</t>
        </is>
      </c>
      <c r="D3044" s="33" t="inlineStr">
        <is>
          <t>Aucun</t>
        </is>
      </c>
      <c r="E3044" s="33" t="n"/>
      <c r="F3044" s="33" t="n"/>
      <c r="G3044" s="33" t="n"/>
      <c r="H3044" s="30" t="inlineStr">
        <is>
          <t>Oui</t>
        </is>
      </c>
    </row>
    <row r="3045">
      <c r="A3045" s="31" t="inlineStr">
        <is>
          <t>Talent</t>
        </is>
      </c>
      <c r="B3045" s="33" t="inlineStr">
        <is>
          <t>Lévitation</t>
        </is>
      </c>
      <c r="C3045" s="33" t="inlineStr">
        <is>
          <t>Corps Ardent</t>
        </is>
      </c>
      <c r="D3045" s="33" t="inlineStr">
        <is>
          <t>Lévitation</t>
        </is>
      </c>
      <c r="E3045" s="33" t="n"/>
      <c r="F3045" s="33" t="n"/>
      <c r="G3045" s="33" t="n"/>
      <c r="H3045" s="30" t="inlineStr">
        <is>
          <t>Oui</t>
        </is>
      </c>
    </row>
    <row r="3046">
      <c r="A3046" s="31" t="inlineStr">
        <is>
          <t>Capacités</t>
        </is>
      </c>
      <c r="B3046" s="34" t="inlineStr">
        <is>
          <t>Explosion</t>
        </is>
      </c>
      <c r="C3046" s="34" t="inlineStr">
        <is>
          <t>Ébullilave</t>
        </is>
      </c>
      <c r="D3046" s="34" t="inlineStr">
        <is>
          <t>Explosion</t>
        </is>
      </c>
      <c r="E3046" s="34" t="n"/>
      <c r="F3046" s="34" t="n"/>
      <c r="G3046" s="34" t="n"/>
      <c r="H3046" s="30" t="inlineStr">
        <is>
          <t>Oui</t>
        </is>
      </c>
    </row>
    <row r="3047">
      <c r="A3047" s="31" t="n"/>
      <c r="B3047" s="34" t="inlineStr">
        <is>
          <t>Lien du Destin</t>
        </is>
      </c>
      <c r="C3047" s="34" t="inlineStr">
        <is>
          <t>Zénith</t>
        </is>
      </c>
      <c r="D3047" s="34" t="inlineStr">
        <is>
          <t>Lien du Destin</t>
        </is>
      </c>
      <c r="E3047" s="34" t="n"/>
      <c r="F3047" s="34" t="n"/>
      <c r="G3047" s="34" t="n"/>
      <c r="H3047" s="30" t="inlineStr">
        <is>
          <t>Oui</t>
        </is>
      </c>
    </row>
    <row r="3048">
      <c r="A3048" s="31" t="n"/>
      <c r="B3048" s="34" t="inlineStr">
        <is>
          <t>Éructation</t>
        </is>
      </c>
      <c r="C3048" s="34" t="inlineStr">
        <is>
          <t>Lance-Flammes</t>
        </is>
      </c>
      <c r="D3048" s="34" t="inlineStr">
        <is>
          <t>Éructation</t>
        </is>
      </c>
      <c r="E3048" s="34" t="n"/>
      <c r="F3048" s="34" t="n"/>
      <c r="G3048" s="34" t="n"/>
      <c r="H3048" s="30" t="inlineStr">
        <is>
          <t>Oui</t>
        </is>
      </c>
    </row>
    <row r="3049">
      <c r="A3049" s="31" t="n"/>
      <c r="B3049" s="34" t="inlineStr">
        <is>
          <t>Souvenir</t>
        </is>
      </c>
      <c r="C3049" s="34" t="inlineStr">
        <is>
          <t>Déflagration</t>
        </is>
      </c>
      <c r="D3049" s="34" t="inlineStr">
        <is>
          <t>Souvenir</t>
        </is>
      </c>
      <c r="E3049" s="34" t="n"/>
      <c r="F3049" s="34" t="n"/>
      <c r="G3049" s="34" t="n"/>
      <c r="H3049" s="30" t="inlineStr">
        <is>
          <t>Oui</t>
        </is>
      </c>
    </row>
    <row r="3050">
      <c r="A3050" s="31" t="inlineStr">
        <is>
          <t>Nom</t>
        </is>
      </c>
      <c r="B3050" s="32" t="inlineStr">
        <is>
          <t>Motard Dick</t>
        </is>
      </c>
      <c r="C3050" s="32" t="n"/>
      <c r="D3050" s="32" t="n"/>
      <c r="E3050" s="32" t="n"/>
      <c r="F3050" s="32" t="n"/>
      <c r="G3050" s="32" t="n"/>
      <c r="H3050" s="30" t="inlineStr">
        <is>
          <t>Oui</t>
        </is>
      </c>
    </row>
    <row r="3051">
      <c r="A3051" s="31" t="inlineStr">
        <is>
          <t>Pokémon</t>
        </is>
      </c>
      <c r="B3051" s="33" t="inlineStr">
        <is>
          <t>TARTARD</t>
        </is>
      </c>
      <c r="C3051" s="33" t="inlineStr">
        <is>
          <t>DRACAUFEU</t>
        </is>
      </c>
      <c r="D3051" s="33" t="inlineStr">
        <is>
          <t>SMOGOGO</t>
        </is>
      </c>
      <c r="E3051" s="33" t="n"/>
      <c r="F3051" s="33" t="n"/>
      <c r="G3051" s="33" t="n"/>
      <c r="H3051" s="30" t="inlineStr">
        <is>
          <t>Oui</t>
        </is>
      </c>
    </row>
    <row r="3052">
      <c r="A3052" s="31" t="inlineStr">
        <is>
          <t>Niveau</t>
        </is>
      </c>
      <c r="B3052" s="33" t="n">
        <v>56</v>
      </c>
      <c r="C3052" s="33" t="n">
        <v>56</v>
      </c>
      <c r="D3052" s="33" t="n">
        <v>56</v>
      </c>
      <c r="E3052" s="33" t="n"/>
      <c r="F3052" s="33" t="n"/>
      <c r="G3052" s="33" t="n"/>
      <c r="H3052" s="30" t="inlineStr">
        <is>
          <t>Oui</t>
        </is>
      </c>
    </row>
    <row r="3053">
      <c r="A3053" s="31" t="inlineStr">
        <is>
          <t>Objet</t>
        </is>
      </c>
      <c r="B3053" s="33" t="inlineStr">
        <is>
          <t>Aucun</t>
        </is>
      </c>
      <c r="C3053" s="33" t="inlineStr">
        <is>
          <t>Aucun</t>
        </is>
      </c>
      <c r="D3053" s="33" t="inlineStr">
        <is>
          <t>Aucun</t>
        </is>
      </c>
      <c r="E3053" s="33" t="n"/>
      <c r="F3053" s="33" t="n"/>
      <c r="G3053" s="33" t="n"/>
      <c r="H3053" s="30" t="inlineStr">
        <is>
          <t>Oui</t>
        </is>
      </c>
    </row>
    <row r="3054">
      <c r="A3054" s="31" t="inlineStr">
        <is>
          <t>Talent</t>
        </is>
      </c>
      <c r="B3054" s="33" t="inlineStr">
        <is>
          <t>Absorbe-Eau</t>
        </is>
      </c>
      <c r="C3054" s="33" t="inlineStr">
        <is>
          <t>Brasier</t>
        </is>
      </c>
      <c r="D3054" s="33" t="inlineStr">
        <is>
          <t>Lévitation</t>
        </is>
      </c>
      <c r="E3054" s="33" t="n"/>
      <c r="F3054" s="33" t="n"/>
      <c r="G3054" s="33" t="n"/>
      <c r="H3054" s="30" t="inlineStr">
        <is>
          <t>Oui</t>
        </is>
      </c>
    </row>
    <row r="3055">
      <c r="A3055" s="31" t="inlineStr">
        <is>
          <t>Capacités</t>
        </is>
      </c>
      <c r="B3055" s="34" t="inlineStr">
        <is>
          <t>Lire-Esprit</t>
        </is>
      </c>
      <c r="C3055" s="34" t="inlineStr">
        <is>
          <t>Rebondifeu</t>
        </is>
      </c>
      <c r="D3055" s="34" t="inlineStr">
        <is>
          <t>Bombe Beurk</t>
        </is>
      </c>
      <c r="E3055" s="34" t="n"/>
      <c r="F3055" s="34" t="n"/>
      <c r="G3055" s="34" t="n"/>
      <c r="H3055" s="30" t="inlineStr">
        <is>
          <t>Oui</t>
        </is>
      </c>
    </row>
    <row r="3056">
      <c r="A3056" s="31" t="n"/>
      <c r="B3056" s="34" t="inlineStr">
        <is>
          <t>Cognobidon</t>
        </is>
      </c>
      <c r="C3056" s="34" t="inlineStr">
        <is>
          <t>Tranche</t>
        </is>
      </c>
      <c r="D3056" s="34" t="inlineStr">
        <is>
          <t>Explosion</t>
        </is>
      </c>
      <c r="E3056" s="34" t="n"/>
      <c r="F3056" s="34" t="n"/>
      <c r="G3056" s="34" t="n"/>
      <c r="H3056" s="30" t="inlineStr">
        <is>
          <t>Oui</t>
        </is>
      </c>
    </row>
    <row r="3057">
      <c r="A3057" s="31" t="n"/>
      <c r="B3057" s="34" t="inlineStr">
        <is>
          <t>Projection</t>
        </is>
      </c>
      <c r="C3057" s="34" t="inlineStr">
        <is>
          <t>Lance-Flammes</t>
        </is>
      </c>
      <c r="D3057" s="34" t="inlineStr">
        <is>
          <t>Lien du Destin</t>
        </is>
      </c>
      <c r="E3057" s="34" t="n"/>
      <c r="F3057" s="34" t="n"/>
      <c r="G3057" s="34" t="n"/>
      <c r="H3057" s="30" t="inlineStr">
        <is>
          <t>Oui</t>
        </is>
      </c>
    </row>
    <row r="3058">
      <c r="A3058" s="31" t="n"/>
      <c r="B3058" s="34" t="inlineStr">
        <is>
          <t>Réveil Forcé</t>
        </is>
      </c>
      <c r="C3058" s="34" t="inlineStr">
        <is>
          <t>Danse Flammes</t>
        </is>
      </c>
      <c r="D3058" s="34" t="inlineStr">
        <is>
          <t>Éructation</t>
        </is>
      </c>
      <c r="E3058" s="34" t="n"/>
      <c r="F3058" s="34" t="n"/>
      <c r="G3058" s="34" t="n"/>
      <c r="H3058" s="30" t="inlineStr">
        <is>
          <t>Oui</t>
        </is>
      </c>
    </row>
    <row r="3059" ht="18" customHeight="1">
      <c r="A3059" s="26" t="inlineStr">
        <is>
          <t>Céladopole — Arène</t>
        </is>
      </c>
      <c r="B3059" s="26" t="n"/>
      <c r="C3059" s="26" t="n"/>
      <c r="D3059" s="26" t="n"/>
      <c r="E3059" s="26" t="n"/>
      <c r="F3059" s="26" t="n"/>
      <c r="G3059" s="26" t="n"/>
      <c r="H3059" s="30" t="inlineStr">
        <is>
          <t>Oui</t>
        </is>
      </c>
    </row>
    <row r="3060">
      <c r="A3060" s="31" t="inlineStr">
        <is>
          <t>Nom</t>
        </is>
      </c>
      <c r="B3060" s="32" t="inlineStr">
        <is>
          <t>Fillette Michelle</t>
        </is>
      </c>
      <c r="C3060" s="32" t="n"/>
      <c r="D3060" s="32" t="n"/>
      <c r="E3060" s="32" t="n"/>
      <c r="F3060" s="32" t="n"/>
      <c r="G3060" s="32" t="n"/>
      <c r="H3060" s="30" t="inlineStr">
        <is>
          <t>Oui</t>
        </is>
      </c>
    </row>
    <row r="3061">
      <c r="A3061" s="31" t="inlineStr">
        <is>
          <t>Pokémon</t>
        </is>
      </c>
      <c r="B3061" s="33" t="inlineStr">
        <is>
          <t>COTOVOL</t>
        </is>
      </c>
      <c r="C3061" s="33" t="inlineStr">
        <is>
          <t>COTOVOL</t>
        </is>
      </c>
      <c r="D3061" s="33" t="inlineStr">
        <is>
          <t>COTOVOL</t>
        </is>
      </c>
      <c r="E3061" s="33" t="n"/>
      <c r="F3061" s="33" t="n"/>
      <c r="G3061" s="33" t="n"/>
      <c r="H3061" s="30" t="inlineStr">
        <is>
          <t>Oui</t>
        </is>
      </c>
    </row>
    <row r="3062">
      <c r="A3062" s="31" t="inlineStr">
        <is>
          <t>Niveau</t>
        </is>
      </c>
      <c r="B3062" s="33" t="n">
        <v>57</v>
      </c>
      <c r="C3062" s="33" t="n">
        <v>58</v>
      </c>
      <c r="D3062" s="33" t="n">
        <v>57</v>
      </c>
      <c r="E3062" s="33" t="n"/>
      <c r="F3062" s="33" t="n"/>
      <c r="G3062" s="33" t="n"/>
      <c r="H3062" s="30" t="inlineStr">
        <is>
          <t>Oui</t>
        </is>
      </c>
    </row>
    <row r="3063">
      <c r="A3063" s="31" t="inlineStr">
        <is>
          <t>Objet</t>
        </is>
      </c>
      <c r="B3063" s="33" t="inlineStr">
        <is>
          <t>Aucun</t>
        </is>
      </c>
      <c r="C3063" s="33" t="inlineStr">
        <is>
          <t>Aucun</t>
        </is>
      </c>
      <c r="D3063" s="33" t="inlineStr">
        <is>
          <t>Aucun</t>
        </is>
      </c>
      <c r="E3063" s="33" t="n"/>
      <c r="F3063" s="33" t="n"/>
      <c r="G3063" s="33" t="n"/>
      <c r="H3063" s="30" t="inlineStr">
        <is>
          <t>Oui</t>
        </is>
      </c>
    </row>
    <row r="3064">
      <c r="A3064" s="31" t="inlineStr">
        <is>
          <t>Talent</t>
        </is>
      </c>
      <c r="B3064" s="33" t="inlineStr">
        <is>
          <t>Chlorophylle</t>
        </is>
      </c>
      <c r="C3064" s="33" t="inlineStr">
        <is>
          <t>Chlorophylle</t>
        </is>
      </c>
      <c r="D3064" s="33" t="inlineStr">
        <is>
          <t>Chlorophylle</t>
        </is>
      </c>
      <c r="E3064" s="33" t="n"/>
      <c r="F3064" s="33" t="n"/>
      <c r="G3064" s="33" t="n"/>
      <c r="H3064" s="30" t="inlineStr">
        <is>
          <t>Oui</t>
        </is>
      </c>
    </row>
    <row r="3065">
      <c r="A3065" s="31" t="inlineStr">
        <is>
          <t>Capacités</t>
        </is>
      </c>
      <c r="B3065" s="34" t="inlineStr">
        <is>
          <t>Poudre Fureur</t>
        </is>
      </c>
      <c r="C3065" s="34" t="inlineStr">
        <is>
          <t>Poudre Fureur</t>
        </is>
      </c>
      <c r="D3065" s="34" t="inlineStr">
        <is>
          <t>Poudre Fureur</t>
        </is>
      </c>
      <c r="E3065" s="34" t="n"/>
      <c r="F3065" s="34" t="n"/>
      <c r="G3065" s="34" t="n"/>
      <c r="H3065" s="30" t="inlineStr">
        <is>
          <t>Oui</t>
        </is>
      </c>
    </row>
    <row r="3066">
      <c r="A3066" s="31" t="n"/>
      <c r="B3066" s="34" t="inlineStr">
        <is>
          <t>Spore Coton</t>
        </is>
      </c>
      <c r="C3066" s="34" t="inlineStr">
        <is>
          <t>Spore Coton</t>
        </is>
      </c>
      <c r="D3066" s="34" t="inlineStr">
        <is>
          <t>Spore Coton</t>
        </is>
      </c>
      <c r="E3066" s="34" t="n"/>
      <c r="F3066" s="34" t="n"/>
      <c r="G3066" s="34" t="n"/>
      <c r="H3066" s="30" t="inlineStr">
        <is>
          <t>Oui</t>
        </is>
      </c>
    </row>
    <row r="3067">
      <c r="A3067" s="31" t="n"/>
      <c r="B3067" s="34" t="inlineStr">
        <is>
          <t>Demi-Tour</t>
        </is>
      </c>
      <c r="C3067" s="34" t="inlineStr">
        <is>
          <t>Demi-Tour</t>
        </is>
      </c>
      <c r="D3067" s="34" t="inlineStr">
        <is>
          <t>Demi-Tour</t>
        </is>
      </c>
      <c r="E3067" s="34" t="n"/>
      <c r="F3067" s="34" t="n"/>
      <c r="G3067" s="34" t="n"/>
      <c r="H3067" s="30" t="inlineStr">
        <is>
          <t>Oui</t>
        </is>
      </c>
    </row>
    <row r="3068">
      <c r="A3068" s="31" t="n"/>
      <c r="B3068" s="34" t="inlineStr">
        <is>
          <t>Soucigraine</t>
        </is>
      </c>
      <c r="C3068" s="34" t="inlineStr">
        <is>
          <t>Soucigraine</t>
        </is>
      </c>
      <c r="D3068" s="34" t="inlineStr">
        <is>
          <t>Soucigraine</t>
        </is>
      </c>
      <c r="E3068" s="34" t="n"/>
      <c r="F3068" s="34" t="n"/>
      <c r="G3068" s="34" t="n"/>
      <c r="H3068" s="30" t="inlineStr">
        <is>
          <t>Oui</t>
        </is>
      </c>
    </row>
    <row r="3069">
      <c r="A3069" s="31" t="inlineStr">
        <is>
          <t>Nom</t>
        </is>
      </c>
      <c r="B3069" s="32" t="inlineStr">
        <is>
          <t>Pique-Nique Lalie</t>
        </is>
      </c>
      <c r="C3069" s="32" t="n"/>
      <c r="D3069" s="32" t="n"/>
      <c r="E3069" s="32" t="n"/>
      <c r="F3069" s="32" t="n"/>
      <c r="G3069" s="32" t="n"/>
      <c r="H3069" s="30" t="inlineStr">
        <is>
          <t>Oui</t>
        </is>
      </c>
    </row>
    <row r="3070">
      <c r="A3070" s="31" t="inlineStr">
        <is>
          <t>Pokémon</t>
        </is>
      </c>
      <c r="B3070" s="33" t="inlineStr">
        <is>
          <t>JOLIFLOR</t>
        </is>
      </c>
      <c r="C3070" s="33" t="inlineStr">
        <is>
          <t>NOADKOKO</t>
        </is>
      </c>
      <c r="D3070" s="33" t="inlineStr">
        <is>
          <t>HELIATRONC</t>
        </is>
      </c>
      <c r="E3070" s="33" t="n"/>
      <c r="F3070" s="33" t="n"/>
      <c r="G3070" s="33" t="n"/>
      <c r="H3070" s="30" t="inlineStr">
        <is>
          <t>Oui</t>
        </is>
      </c>
    </row>
    <row r="3071">
      <c r="A3071" s="31" t="inlineStr">
        <is>
          <t>Niveau</t>
        </is>
      </c>
      <c r="B3071" s="33" t="n">
        <v>57</v>
      </c>
      <c r="C3071" s="33" t="n">
        <v>57</v>
      </c>
      <c r="D3071" s="33" t="n">
        <v>57</v>
      </c>
      <c r="E3071" s="33" t="n"/>
      <c r="F3071" s="33" t="n"/>
      <c r="G3071" s="33" t="n"/>
      <c r="H3071" s="30" t="inlineStr">
        <is>
          <t>Oui</t>
        </is>
      </c>
    </row>
    <row r="3072">
      <c r="A3072" s="31" t="inlineStr">
        <is>
          <t>Objet</t>
        </is>
      </c>
      <c r="B3072" s="33" t="inlineStr">
        <is>
          <t>Aucun</t>
        </is>
      </c>
      <c r="C3072" s="33" t="inlineStr">
        <is>
          <t>Aucun</t>
        </is>
      </c>
      <c r="D3072" s="33" t="inlineStr">
        <is>
          <t>Aucun</t>
        </is>
      </c>
      <c r="E3072" s="33" t="n"/>
      <c r="F3072" s="33" t="n"/>
      <c r="G3072" s="33" t="n"/>
      <c r="H3072" s="30" t="inlineStr">
        <is>
          <t>Oui</t>
        </is>
      </c>
    </row>
    <row r="3073">
      <c r="A3073" s="31" t="inlineStr">
        <is>
          <t>Talent</t>
        </is>
      </c>
      <c r="B3073" s="33" t="inlineStr">
        <is>
          <t>Chlorophylle</t>
        </is>
      </c>
      <c r="C3073" s="33" t="inlineStr">
        <is>
          <t>Chlorophylle</t>
        </is>
      </c>
      <c r="D3073" s="33" t="inlineStr">
        <is>
          <t>Chlorophylle</t>
        </is>
      </c>
      <c r="E3073" s="33" t="n"/>
      <c r="F3073" s="33" t="n"/>
      <c r="G3073" s="33" t="n"/>
      <c r="H3073" s="30" t="inlineStr">
        <is>
          <t>Oui</t>
        </is>
      </c>
    </row>
    <row r="3074">
      <c r="A3074" s="31" t="inlineStr">
        <is>
          <t>Capacités</t>
        </is>
      </c>
      <c r="B3074" s="34" t="inlineStr">
        <is>
          <t>Air Veinard</t>
        </is>
      </c>
      <c r="C3074" s="34" t="inlineStr">
        <is>
          <t>Don Naturel</t>
        </is>
      </c>
      <c r="D3074" s="34" t="inlineStr">
        <is>
          <t>Zénith</t>
        </is>
      </c>
      <c r="E3074" s="34" t="n"/>
      <c r="F3074" s="34" t="n"/>
      <c r="G3074" s="34" t="n"/>
      <c r="H3074" s="30" t="inlineStr">
        <is>
          <t>Oui</t>
        </is>
      </c>
    </row>
    <row r="3075">
      <c r="A3075" s="31" t="n"/>
      <c r="B3075" s="34" t="inlineStr">
        <is>
          <t>Rayon Lune</t>
        </is>
      </c>
      <c r="C3075" s="34" t="inlineStr">
        <is>
          <t>Giga-Sangsue</t>
        </is>
      </c>
      <c r="D3075" s="34" t="inlineStr">
        <is>
          <t>Tempête Verte</t>
        </is>
      </c>
      <c r="E3075" s="34" t="n"/>
      <c r="F3075" s="34" t="n"/>
      <c r="G3075" s="34" t="n"/>
      <c r="H3075" s="30" t="inlineStr">
        <is>
          <t>Oui</t>
        </is>
      </c>
    </row>
    <row r="3076">
      <c r="A3076" s="31" t="n"/>
      <c r="B3076" s="34" t="inlineStr">
        <is>
          <t>Papillodanse</t>
        </is>
      </c>
      <c r="C3076" s="34" t="inlineStr">
        <is>
          <t>Lance-Soleil</t>
        </is>
      </c>
      <c r="D3076" s="34" t="inlineStr">
        <is>
          <t>Lance-Flammes</t>
        </is>
      </c>
      <c r="E3076" s="34" t="n"/>
      <c r="F3076" s="34" t="n"/>
      <c r="G3076" s="34" t="n"/>
      <c r="H3076" s="30" t="inlineStr">
        <is>
          <t>Oui</t>
        </is>
      </c>
    </row>
    <row r="3077">
      <c r="A3077" s="31" t="n"/>
      <c r="B3077" s="34" t="inlineStr">
        <is>
          <t>Giga-Sangsue</t>
        </is>
      </c>
      <c r="C3077" s="34" t="inlineStr">
        <is>
          <t>Extrasenseur</t>
        </is>
      </c>
      <c r="D3077" s="34" t="inlineStr">
        <is>
          <t>Tempête Florale</t>
        </is>
      </c>
      <c r="E3077" s="34" t="n"/>
      <c r="F3077" s="34" t="n"/>
      <c r="G3077" s="34" t="n"/>
      <c r="H3077" s="30" t="inlineStr">
        <is>
          <t>Oui</t>
        </is>
      </c>
    </row>
    <row r="3078">
      <c r="A3078" s="31" t="inlineStr">
        <is>
          <t>Nom</t>
        </is>
      </c>
      <c r="B3078" s="32" t="inlineStr">
        <is>
          <t>Canon Noémie</t>
        </is>
      </c>
      <c r="C3078" s="32" t="n"/>
      <c r="D3078" s="32" t="n"/>
      <c r="E3078" s="32" t="n"/>
      <c r="F3078" s="32" t="n"/>
      <c r="G3078" s="32" t="n"/>
      <c r="H3078" s="30" t="inlineStr">
        <is>
          <t>Oui</t>
        </is>
      </c>
    </row>
    <row r="3079">
      <c r="A3079" s="31" t="inlineStr">
        <is>
          <t>Pokémon</t>
        </is>
      </c>
      <c r="B3079" s="33" t="inlineStr">
        <is>
          <t>PARASECT</t>
        </is>
      </c>
      <c r="C3079" s="33" t="inlineStr">
        <is>
          <t>NOADKOKO</t>
        </is>
      </c>
      <c r="D3079" s="33" t="inlineStr">
        <is>
          <t>HELIATRONC</t>
        </is>
      </c>
      <c r="E3079" s="33" t="n"/>
      <c r="F3079" s="33" t="n"/>
      <c r="G3079" s="33" t="n"/>
      <c r="H3079" s="30" t="inlineStr">
        <is>
          <t>Oui</t>
        </is>
      </c>
    </row>
    <row r="3080">
      <c r="A3080" s="31" t="inlineStr">
        <is>
          <t>Niveau</t>
        </is>
      </c>
      <c r="B3080" s="33" t="n">
        <v>58</v>
      </c>
      <c r="C3080" s="33" t="n">
        <v>56</v>
      </c>
      <c r="D3080" s="33" t="n">
        <v>58</v>
      </c>
      <c r="E3080" s="33" t="n"/>
      <c r="F3080" s="33" t="n"/>
      <c r="G3080" s="33" t="n"/>
      <c r="H3080" s="30" t="inlineStr">
        <is>
          <t>Oui</t>
        </is>
      </c>
    </row>
    <row r="3081">
      <c r="A3081" s="31" t="inlineStr">
        <is>
          <t>Objet</t>
        </is>
      </c>
      <c r="B3081" s="33" t="inlineStr">
        <is>
          <t>Aucun</t>
        </is>
      </c>
      <c r="C3081" s="33" t="inlineStr">
        <is>
          <t>Aucun</t>
        </is>
      </c>
      <c r="D3081" s="33" t="inlineStr">
        <is>
          <t>Aucun</t>
        </is>
      </c>
      <c r="E3081" s="33" t="n"/>
      <c r="F3081" s="33" t="n"/>
      <c r="G3081" s="33" t="n"/>
      <c r="H3081" s="30" t="inlineStr">
        <is>
          <t>Oui</t>
        </is>
      </c>
    </row>
    <row r="3082">
      <c r="A3082" s="31" t="inlineStr">
        <is>
          <t>Talent</t>
        </is>
      </c>
      <c r="B3082" s="33" t="inlineStr">
        <is>
          <t>Pose Spore</t>
        </is>
      </c>
      <c r="C3082" s="33" t="inlineStr">
        <is>
          <t>Chlorophylle</t>
        </is>
      </c>
      <c r="D3082" s="33" t="inlineStr">
        <is>
          <t>Chlorophylle</t>
        </is>
      </c>
      <c r="E3082" s="33" t="n"/>
      <c r="F3082" s="33" t="n"/>
      <c r="G3082" s="33" t="n"/>
      <c r="H3082" s="30" t="inlineStr">
        <is>
          <t>Oui</t>
        </is>
      </c>
    </row>
    <row r="3083">
      <c r="A3083" s="31" t="inlineStr">
        <is>
          <t>Capacités</t>
        </is>
      </c>
      <c r="B3083" s="34" t="inlineStr">
        <is>
          <t>Croissance</t>
        </is>
      </c>
      <c r="C3083" s="34" t="inlineStr">
        <is>
          <t>Tempête Verte</t>
        </is>
      </c>
      <c r="D3083" s="34" t="inlineStr">
        <is>
          <t>Zénith</t>
        </is>
      </c>
      <c r="E3083" s="34" t="n"/>
      <c r="F3083" s="34" t="n"/>
      <c r="G3083" s="34" t="n"/>
      <c r="H3083" s="30" t="inlineStr">
        <is>
          <t>Oui</t>
        </is>
      </c>
    </row>
    <row r="3084">
      <c r="A3084" s="31" t="n"/>
      <c r="B3084" s="34" t="inlineStr">
        <is>
          <t>Giga-Sangsue</t>
        </is>
      </c>
      <c r="C3084" s="34" t="inlineStr">
        <is>
          <t>Don Naturel</t>
        </is>
      </c>
      <c r="D3084" s="34" t="inlineStr">
        <is>
          <t>Tempête Verte</t>
        </is>
      </c>
      <c r="E3084" s="34" t="n"/>
      <c r="F3084" s="34" t="n"/>
      <c r="G3084" s="34" t="n"/>
      <c r="H3084" s="30" t="inlineStr">
        <is>
          <t>Oui</t>
        </is>
      </c>
    </row>
    <row r="3085">
      <c r="A3085" s="31" t="n"/>
      <c r="B3085" s="34" t="inlineStr">
        <is>
          <t>Aromathérapie</t>
        </is>
      </c>
      <c r="C3085" s="34" t="inlineStr">
        <is>
          <t>Giga-Sangsue</t>
        </is>
      </c>
      <c r="D3085" s="34" t="inlineStr">
        <is>
          <t>Lance-Flammes</t>
        </is>
      </c>
      <c r="E3085" s="34" t="n"/>
      <c r="F3085" s="34" t="n"/>
      <c r="G3085" s="34" t="n"/>
      <c r="H3085" s="30" t="inlineStr">
        <is>
          <t>Oui</t>
        </is>
      </c>
    </row>
    <row r="3086">
      <c r="A3086" s="31" t="n"/>
      <c r="B3086" s="34" t="inlineStr">
        <is>
          <t>Pince-Masse</t>
        </is>
      </c>
      <c r="C3086" s="34" t="inlineStr">
        <is>
          <t>Lance-Soleil</t>
        </is>
      </c>
      <c r="D3086" s="34" t="inlineStr">
        <is>
          <t>Tempête Florale</t>
        </is>
      </c>
      <c r="E3086" s="34" t="n"/>
      <c r="F3086" s="34" t="n"/>
      <c r="G3086" s="34" t="n"/>
      <c r="H3086" s="30" t="inlineStr">
        <is>
          <t>Oui</t>
        </is>
      </c>
    </row>
    <row r="3087">
      <c r="A3087" s="31" t="inlineStr">
        <is>
          <t>Nom</t>
        </is>
      </c>
      <c r="B3087" s="32" t="inlineStr">
        <is>
          <t>Jumelles Emi &amp; Emma (combat double)</t>
        </is>
      </c>
      <c r="C3087" s="32" t="n"/>
      <c r="D3087" s="32" t="n"/>
      <c r="E3087" s="32" t="n"/>
      <c r="F3087" s="32" t="n"/>
      <c r="G3087" s="32" t="n"/>
      <c r="H3087" s="30" t="inlineStr">
        <is>
          <t>Oui</t>
        </is>
      </c>
    </row>
    <row r="3088">
      <c r="A3088" s="31" t="inlineStr">
        <is>
          <t>Pokémon</t>
        </is>
      </c>
      <c r="B3088" s="33" t="inlineStr">
        <is>
          <t>EMPIFLOR</t>
        </is>
      </c>
      <c r="C3088" s="33" t="inlineStr">
        <is>
          <t>RAFFLESIA</t>
        </is>
      </c>
      <c r="D3088" s="33" t="n"/>
      <c r="E3088" s="33" t="n"/>
      <c r="F3088" s="33" t="n"/>
      <c r="G3088" s="33" t="n"/>
      <c r="H3088" s="30" t="inlineStr">
        <is>
          <t>Oui</t>
        </is>
      </c>
    </row>
    <row r="3089">
      <c r="A3089" s="31" t="inlineStr">
        <is>
          <t>Niveau</t>
        </is>
      </c>
      <c r="B3089" s="33" t="n">
        <v>58</v>
      </c>
      <c r="C3089" s="33" t="n">
        <v>58</v>
      </c>
      <c r="D3089" s="33" t="n"/>
      <c r="E3089" s="33" t="n"/>
      <c r="F3089" s="33" t="n"/>
      <c r="G3089" s="33" t="n"/>
      <c r="H3089" s="30" t="inlineStr">
        <is>
          <t>Oui</t>
        </is>
      </c>
    </row>
    <row r="3090">
      <c r="A3090" s="31" t="inlineStr">
        <is>
          <t>Objet</t>
        </is>
      </c>
      <c r="B3090" s="33" t="inlineStr">
        <is>
          <t>Aucun</t>
        </is>
      </c>
      <c r="C3090" s="33" t="inlineStr">
        <is>
          <t>Aucun</t>
        </is>
      </c>
      <c r="D3090" s="33" t="n"/>
      <c r="E3090" s="33" t="n"/>
      <c r="F3090" s="33" t="n"/>
      <c r="G3090" s="33" t="n"/>
      <c r="H3090" s="30" t="inlineStr">
        <is>
          <t>Oui</t>
        </is>
      </c>
    </row>
    <row r="3091">
      <c r="A3091" s="31" t="inlineStr">
        <is>
          <t>Talent</t>
        </is>
      </c>
      <c r="B3091" s="33" t="inlineStr">
        <is>
          <t>Chlorophylle</t>
        </is>
      </c>
      <c r="C3091" s="33" t="inlineStr">
        <is>
          <t>Chlorophylle</t>
        </is>
      </c>
      <c r="D3091" s="33" t="n"/>
      <c r="E3091" s="33" t="n"/>
      <c r="F3091" s="33" t="n"/>
      <c r="G3091" s="33" t="n"/>
      <c r="H3091" s="30" t="inlineStr">
        <is>
          <t>Oui</t>
        </is>
      </c>
    </row>
    <row r="3092">
      <c r="A3092" s="31" t="inlineStr">
        <is>
          <t>Capacités</t>
        </is>
      </c>
      <c r="B3092" s="34" t="inlineStr">
        <is>
          <t>Lame Feuille</t>
        </is>
      </c>
      <c r="C3092" s="34" t="inlineStr">
        <is>
          <t>Giga-Sangsue</t>
        </is>
      </c>
      <c r="D3092" s="34" t="n"/>
      <c r="E3092" s="34" t="n"/>
      <c r="F3092" s="34" t="n"/>
      <c r="G3092" s="34" t="n"/>
      <c r="H3092" s="30" t="inlineStr">
        <is>
          <t>Oui</t>
        </is>
      </c>
    </row>
    <row r="3093">
      <c r="A3093" s="31" t="n"/>
      <c r="B3093" s="34" t="inlineStr">
        <is>
          <t>Suc Digestif</t>
        </is>
      </c>
      <c r="C3093" s="34" t="inlineStr">
        <is>
          <t>Toxik</t>
        </is>
      </c>
      <c r="D3093" s="34" t="n"/>
      <c r="E3093" s="34" t="n"/>
      <c r="F3093" s="34" t="n"/>
      <c r="G3093" s="34" t="n"/>
      <c r="H3093" s="30" t="inlineStr">
        <is>
          <t>Oui</t>
        </is>
      </c>
    </row>
    <row r="3094">
      <c r="A3094" s="31" t="n"/>
      <c r="B3094" s="34" t="inlineStr">
        <is>
          <t>Tranch'Herbe</t>
        </is>
      </c>
      <c r="C3094" s="34" t="inlineStr">
        <is>
          <t>Don Naturel</t>
        </is>
      </c>
      <c r="D3094" s="34" t="n"/>
      <c r="E3094" s="34" t="n"/>
      <c r="F3094" s="34" t="n"/>
      <c r="G3094" s="34" t="n"/>
      <c r="H3094" s="30" t="inlineStr">
        <is>
          <t>Oui</t>
        </is>
      </c>
    </row>
    <row r="3095">
      <c r="A3095" s="31" t="n"/>
      <c r="B3095" s="34" t="inlineStr">
        <is>
          <t>Direct Toxik</t>
        </is>
      </c>
      <c r="C3095" s="34" t="inlineStr">
        <is>
          <t>Danse Fleurs</t>
        </is>
      </c>
      <c r="D3095" s="34" t="n"/>
      <c r="E3095" s="34" t="n"/>
      <c r="F3095" s="34" t="n"/>
      <c r="G3095" s="34" t="n"/>
      <c r="H3095" s="30" t="inlineStr">
        <is>
          <t>Oui</t>
        </is>
      </c>
    </row>
    <row r="3096">
      <c r="A3096" s="31" t="inlineStr">
        <is>
          <t>Nom</t>
        </is>
      </c>
      <c r="B3096" s="32" t="inlineStr">
        <is>
          <t>Champion Erika</t>
        </is>
      </c>
      <c r="C3096" s="32" t="n"/>
      <c r="D3096" s="32" t="n"/>
      <c r="E3096" s="32" t="n"/>
      <c r="F3096" s="32" t="n"/>
      <c r="G3096" s="32" t="n"/>
      <c r="H3096" s="30" t="inlineStr">
        <is>
          <t>Oui</t>
        </is>
      </c>
    </row>
    <row r="3097">
      <c r="A3097" s="31" t="inlineStr">
        <is>
          <t>Pokémon</t>
        </is>
      </c>
      <c r="B3097" s="33" t="inlineStr">
        <is>
          <t>COTOVOL</t>
        </is>
      </c>
      <c r="C3097" s="33" t="inlineStr">
        <is>
          <t>ROSERADE</t>
        </is>
      </c>
      <c r="D3097" s="33" t="inlineStr">
        <is>
          <t>BOULDENEU</t>
        </is>
      </c>
      <c r="E3097" s="33" t="inlineStr">
        <is>
          <t>FLORIZARRE</t>
        </is>
      </c>
      <c r="F3097" s="33" t="inlineStr">
        <is>
          <t>EMPIFLOR</t>
        </is>
      </c>
      <c r="G3097" s="33" t="inlineStr">
        <is>
          <t>JOLIFLOR</t>
        </is>
      </c>
      <c r="H3097" s="30" t="inlineStr">
        <is>
          <t>Oui</t>
        </is>
      </c>
    </row>
    <row r="3098">
      <c r="A3098" s="31" t="inlineStr">
        <is>
          <t>Niveau</t>
        </is>
      </c>
      <c r="B3098" s="33" t="n">
        <v>61</v>
      </c>
      <c r="C3098" s="33" t="n">
        <v>60</v>
      </c>
      <c r="D3098" s="33" t="n">
        <v>60</v>
      </c>
      <c r="E3098" s="33" t="n">
        <v>61</v>
      </c>
      <c r="F3098" s="33" t="n">
        <v>62</v>
      </c>
      <c r="G3098" s="33" t="n">
        <v>62</v>
      </c>
      <c r="H3098" s="30" t="inlineStr">
        <is>
          <t>Oui</t>
        </is>
      </c>
    </row>
    <row r="3099">
      <c r="A3099" s="31" t="inlineStr">
        <is>
          <t>Objet</t>
        </is>
      </c>
      <c r="B3099" s="33" t="inlineStr">
        <is>
          <t>Bandeau</t>
        </is>
      </c>
      <c r="C3099" s="33" t="inlineStr">
        <is>
          <t>Aucun</t>
        </is>
      </c>
      <c r="D3099" s="33" t="inlineStr">
        <is>
          <t>Aucun</t>
        </is>
      </c>
      <c r="E3099" s="33" t="inlineStr">
        <is>
          <t>Restes</t>
        </is>
      </c>
      <c r="F3099" s="33" t="inlineStr">
        <is>
          <t>Pic Venin</t>
        </is>
      </c>
      <c r="G3099" s="33" t="inlineStr">
        <is>
          <t>Graine Miracle</t>
        </is>
      </c>
      <c r="H3099" s="30" t="inlineStr">
        <is>
          <t>Oui</t>
        </is>
      </c>
    </row>
    <row r="3100">
      <c r="A3100" s="31" t="inlineStr">
        <is>
          <t>Talent</t>
        </is>
      </c>
      <c r="B3100" s="33" t="inlineStr">
        <is>
          <t>Chlorophylle</t>
        </is>
      </c>
      <c r="C3100" s="33" t="inlineStr">
        <is>
          <t>Médic Nature</t>
        </is>
      </c>
      <c r="D3100" s="33" t="inlineStr">
        <is>
          <t>Chlorophylle</t>
        </is>
      </c>
      <c r="E3100" s="33" t="inlineStr">
        <is>
          <t>Engrais</t>
        </is>
      </c>
      <c r="F3100" s="33" t="inlineStr">
        <is>
          <t>Chlorophylle</t>
        </is>
      </c>
      <c r="G3100" s="33" t="inlineStr">
        <is>
          <t>Chlorophylle</t>
        </is>
      </c>
      <c r="H3100" s="30" t="inlineStr">
        <is>
          <t>Oui</t>
        </is>
      </c>
    </row>
    <row r="3101">
      <c r="A3101" s="31" t="inlineStr">
        <is>
          <t>Capacités</t>
        </is>
      </c>
      <c r="B3101" s="34" t="inlineStr">
        <is>
          <t>Acrobatie</t>
        </is>
      </c>
      <c r="C3101" s="34" t="inlineStr">
        <is>
          <t>Synthèse</t>
        </is>
      </c>
      <c r="D3101" s="34" t="inlineStr">
        <is>
          <t>Mégafouet</t>
        </is>
      </c>
      <c r="E3101" s="34" t="inlineStr">
        <is>
          <t>Zénith</t>
        </is>
      </c>
      <c r="F3101" s="34" t="inlineStr">
        <is>
          <t>Bombe Beurk</t>
        </is>
      </c>
      <c r="G3101" s="34" t="inlineStr">
        <is>
          <t>Tempête Florale</t>
        </is>
      </c>
      <c r="H3101" s="30" t="inlineStr">
        <is>
          <t>Oui</t>
        </is>
      </c>
    </row>
    <row r="3102">
      <c r="A3102" s="31" t="n"/>
      <c r="B3102" s="34" t="inlineStr">
        <is>
          <t>Demi-Tour</t>
        </is>
      </c>
      <c r="C3102" s="34" t="inlineStr">
        <is>
          <t>Siffl'Herbe</t>
        </is>
      </c>
      <c r="D3102" s="34" t="inlineStr">
        <is>
          <t>Essorage</t>
        </is>
      </c>
      <c r="E3102" s="34" t="inlineStr">
        <is>
          <t>Lance-Soleil</t>
        </is>
      </c>
      <c r="F3102" s="34" t="inlineStr">
        <is>
          <t>Lame Feuille</t>
        </is>
      </c>
      <c r="G3102" s="34" t="inlineStr">
        <is>
          <t>Papillodanse</t>
        </is>
      </c>
      <c r="H3102" s="30" t="inlineStr">
        <is>
          <t>Oui</t>
        </is>
      </c>
    </row>
    <row r="3103">
      <c r="A3103" s="31" t="n"/>
      <c r="B3103" s="34" t="inlineStr">
        <is>
          <t>Poudre Dodo</t>
        </is>
      </c>
      <c r="C3103" s="34" t="inlineStr">
        <is>
          <t>Toxik</t>
        </is>
      </c>
      <c r="D3103" s="34" t="inlineStr">
        <is>
          <t>Champ Herbu</t>
        </is>
      </c>
      <c r="E3103" s="34" t="inlineStr">
        <is>
          <t>Bombe Beurk</t>
        </is>
      </c>
      <c r="F3103" s="34" t="inlineStr">
        <is>
          <t>Danse Lames</t>
        </is>
      </c>
      <c r="G3103" s="34" t="inlineStr">
        <is>
          <t>Para-Spore</t>
        </is>
      </c>
      <c r="H3103" s="30" t="inlineStr">
        <is>
          <t>Oui</t>
        </is>
      </c>
    </row>
    <row r="3104">
      <c r="A3104" s="31" t="n"/>
      <c r="B3104" s="34" t="inlineStr">
        <is>
          <t>Vampigraine</t>
        </is>
      </c>
      <c r="C3104" s="34" t="inlineStr">
        <is>
          <t>Danse Fleurs</t>
        </is>
      </c>
      <c r="D3104" s="34" t="inlineStr">
        <is>
          <t>Chatouille</t>
        </is>
      </c>
      <c r="E3104" s="34" t="inlineStr">
        <is>
          <t>Poudre Dodo</t>
        </is>
      </c>
      <c r="F3104" s="34" t="inlineStr">
        <is>
          <t>Poudre Dodo</t>
        </is>
      </c>
      <c r="G3104" s="34" t="inlineStr">
        <is>
          <t>Attraction</t>
        </is>
      </c>
      <c r="H3104" s="30" t="inlineStr">
        <is>
          <t>Oui</t>
        </is>
      </c>
    </row>
    <row r="3105" ht="18" customHeight="1">
      <c r="A3105" s="26" t="inlineStr">
        <is>
          <t>Safrania — Arène</t>
        </is>
      </c>
      <c r="B3105" s="26" t="n"/>
      <c r="C3105" s="26" t="n"/>
      <c r="D3105" s="26" t="n"/>
      <c r="E3105" s="26" t="n"/>
      <c r="F3105" s="26" t="n"/>
      <c r="G3105" s="26" t="n"/>
      <c r="H3105" s="30" t="inlineStr">
        <is>
          <t>Oui</t>
        </is>
      </c>
    </row>
    <row r="3106">
      <c r="A3106" s="31" t="inlineStr">
        <is>
          <t>Nom</t>
        </is>
      </c>
      <c r="B3106" s="32" t="inlineStr">
        <is>
          <t>Mystimaniac Lola</t>
        </is>
      </c>
      <c r="C3106" s="32" t="n"/>
      <c r="D3106" s="32" t="n"/>
      <c r="E3106" s="32" t="n"/>
      <c r="F3106" s="32" t="n"/>
      <c r="G3106" s="32" t="n"/>
      <c r="H3106" s="30" t="inlineStr">
        <is>
          <t>Oui</t>
        </is>
      </c>
    </row>
    <row r="3107">
      <c r="A3107" s="31" t="inlineStr">
        <is>
          <t>Pokémon</t>
        </is>
      </c>
      <c r="B3107" s="33" t="inlineStr">
        <is>
          <t>HYPNOMADE</t>
        </is>
      </c>
      <c r="C3107" s="33" t="inlineStr">
        <is>
          <t>LIPPOUTOU</t>
        </is>
      </c>
      <c r="D3107" s="33" t="inlineStr">
        <is>
          <t>HYPNOMADE</t>
        </is>
      </c>
      <c r="E3107" s="33" t="n"/>
      <c r="F3107" s="33" t="n"/>
      <c r="G3107" s="33" t="n"/>
      <c r="H3107" s="30" t="inlineStr">
        <is>
          <t>Oui</t>
        </is>
      </c>
    </row>
    <row r="3108">
      <c r="A3108" s="31" t="inlineStr">
        <is>
          <t>Niveau</t>
        </is>
      </c>
      <c r="B3108" s="33" t="n">
        <v>58</v>
      </c>
      <c r="C3108" s="33" t="n">
        <v>58</v>
      </c>
      <c r="D3108" s="33" t="n">
        <v>58</v>
      </c>
      <c r="E3108" s="33" t="n"/>
      <c r="F3108" s="33" t="n"/>
      <c r="G3108" s="33" t="n"/>
      <c r="H3108" s="30" t="inlineStr">
        <is>
          <t>Oui</t>
        </is>
      </c>
    </row>
    <row r="3109">
      <c r="A3109" s="31" t="inlineStr">
        <is>
          <t>Objet</t>
        </is>
      </c>
      <c r="B3109" s="33" t="inlineStr">
        <is>
          <t>Aucun</t>
        </is>
      </c>
      <c r="C3109" s="33" t="inlineStr">
        <is>
          <t>Aucun</t>
        </is>
      </c>
      <c r="D3109" s="33" t="inlineStr">
        <is>
          <t>Aucun</t>
        </is>
      </c>
      <c r="E3109" s="33" t="n"/>
      <c r="F3109" s="33" t="n"/>
      <c r="G3109" s="33" t="n"/>
      <c r="H3109" s="30" t="inlineStr">
        <is>
          <t>Oui</t>
        </is>
      </c>
    </row>
    <row r="3110">
      <c r="A3110" s="31" t="inlineStr">
        <is>
          <t>Talent</t>
        </is>
      </c>
      <c r="B3110" s="33" t="inlineStr">
        <is>
          <t>Insomnia</t>
        </is>
      </c>
      <c r="C3110" s="33" t="inlineStr">
        <is>
          <t>Benêt</t>
        </is>
      </c>
      <c r="D3110" s="33" t="inlineStr">
        <is>
          <t>Insomnia</t>
        </is>
      </c>
      <c r="E3110" s="33" t="n"/>
      <c r="F3110" s="33" t="n"/>
      <c r="G3110" s="33" t="n"/>
      <c r="H3110" s="30" t="inlineStr">
        <is>
          <t>Oui</t>
        </is>
      </c>
    </row>
    <row r="3111">
      <c r="A3111" s="31" t="inlineStr">
        <is>
          <t>Capacités</t>
        </is>
      </c>
      <c r="B3111" s="34" t="inlineStr">
        <is>
          <t>Vantardise</t>
        </is>
      </c>
      <c r="C3111" s="34" t="inlineStr">
        <is>
          <t>Avalanche</t>
        </is>
      </c>
      <c r="D3111" s="34" t="inlineStr">
        <is>
          <t>Vantardise</t>
        </is>
      </c>
      <c r="E3111" s="34" t="n"/>
      <c r="F3111" s="34" t="n"/>
      <c r="G3111" s="34" t="n"/>
      <c r="H3111" s="30" t="inlineStr">
        <is>
          <t>Oui</t>
        </is>
      </c>
    </row>
    <row r="3112">
      <c r="A3112" s="31" t="n"/>
      <c r="B3112" s="34" t="inlineStr">
        <is>
          <t>Psyko</t>
        </is>
      </c>
      <c r="C3112" s="34" t="inlineStr">
        <is>
          <t>Plaquage</t>
        </is>
      </c>
      <c r="D3112" s="34" t="inlineStr">
        <is>
          <t>Psyko</t>
        </is>
      </c>
      <c r="E3112" s="34" t="n"/>
      <c r="F3112" s="34" t="n"/>
      <c r="G3112" s="34" t="n"/>
      <c r="H3112" s="30" t="inlineStr">
        <is>
          <t>Oui</t>
        </is>
      </c>
    </row>
    <row r="3113">
      <c r="A3113" s="31" t="n"/>
      <c r="B3113" s="34" t="inlineStr">
        <is>
          <t>Machination</t>
        </is>
      </c>
      <c r="C3113" s="34" t="inlineStr">
        <is>
          <t>Essorage</t>
        </is>
      </c>
      <c r="D3113" s="34" t="inlineStr">
        <is>
          <t>Machination</t>
        </is>
      </c>
      <c r="E3113" s="34" t="n"/>
      <c r="F3113" s="34" t="n"/>
      <c r="G3113" s="34" t="n"/>
      <c r="H3113" s="30" t="inlineStr">
        <is>
          <t>Oui</t>
        </is>
      </c>
    </row>
    <row r="3114">
      <c r="A3114" s="31" t="n"/>
      <c r="B3114" s="34" t="inlineStr">
        <is>
          <t>Choc Psy</t>
        </is>
      </c>
      <c r="C3114" s="34" t="inlineStr">
        <is>
          <t>Requiem</t>
        </is>
      </c>
      <c r="D3114" s="34" t="inlineStr">
        <is>
          <t>Choc Psy</t>
        </is>
      </c>
      <c r="E3114" s="34" t="n"/>
      <c r="F3114" s="34" t="n"/>
      <c r="G3114" s="34" t="n"/>
      <c r="H3114" s="30" t="inlineStr">
        <is>
          <t>Oui</t>
        </is>
      </c>
    </row>
    <row r="3115">
      <c r="A3115" s="31" t="inlineStr">
        <is>
          <t>Nom</t>
        </is>
      </c>
      <c r="B3115" s="32" t="inlineStr">
        <is>
          <t>Kinésiste Norbert</t>
        </is>
      </c>
      <c r="C3115" s="32" t="n"/>
      <c r="D3115" s="32" t="n"/>
      <c r="E3115" s="32" t="n"/>
      <c r="F3115" s="32" t="n"/>
      <c r="G3115" s="32" t="n"/>
      <c r="H3115" s="30" t="inlineStr">
        <is>
          <t>Oui</t>
        </is>
      </c>
    </row>
    <row r="3116">
      <c r="A3116" s="31" t="inlineStr">
        <is>
          <t>Pokémon</t>
        </is>
      </c>
      <c r="B3116" s="33" t="inlineStr">
        <is>
          <t>ALAKAZAM</t>
        </is>
      </c>
      <c r="C3116" s="33" t="n"/>
      <c r="D3116" s="33" t="n"/>
      <c r="E3116" s="33" t="n"/>
      <c r="F3116" s="33" t="n"/>
      <c r="G3116" s="33" t="n"/>
      <c r="H3116" s="30" t="inlineStr">
        <is>
          <t>Oui</t>
        </is>
      </c>
    </row>
    <row r="3117">
      <c r="A3117" s="31" t="inlineStr">
        <is>
          <t>Niveau</t>
        </is>
      </c>
      <c r="B3117" s="33" t="n">
        <v>60</v>
      </c>
      <c r="C3117" s="33" t="n"/>
      <c r="D3117" s="33" t="n"/>
      <c r="E3117" s="33" t="n"/>
      <c r="F3117" s="33" t="n"/>
      <c r="G3117" s="33" t="n"/>
      <c r="H3117" s="30" t="inlineStr">
        <is>
          <t>Oui</t>
        </is>
      </c>
    </row>
    <row r="3118">
      <c r="A3118" s="31" t="inlineStr">
        <is>
          <t>Objet</t>
        </is>
      </c>
      <c r="B3118" s="33" t="inlineStr">
        <is>
          <t>Aucun</t>
        </is>
      </c>
      <c r="C3118" s="33" t="n"/>
      <c r="D3118" s="33" t="n"/>
      <c r="E3118" s="33" t="n"/>
      <c r="F3118" s="33" t="n"/>
      <c r="G3118" s="33" t="n"/>
      <c r="H3118" s="30" t="inlineStr">
        <is>
          <t>Oui</t>
        </is>
      </c>
    </row>
    <row r="3119">
      <c r="A3119" s="31" t="inlineStr">
        <is>
          <t>Talent</t>
        </is>
      </c>
      <c r="B3119" s="33" t="inlineStr">
        <is>
          <t>Synchro</t>
        </is>
      </c>
      <c r="C3119" s="33" t="n"/>
      <c r="D3119" s="33" t="n"/>
      <c r="E3119" s="33" t="n"/>
      <c r="F3119" s="33" t="n"/>
      <c r="G3119" s="33" t="n"/>
      <c r="H3119" s="30" t="inlineStr">
        <is>
          <t>Oui</t>
        </is>
      </c>
    </row>
    <row r="3120">
      <c r="A3120" s="31" t="inlineStr">
        <is>
          <t>Capacités</t>
        </is>
      </c>
      <c r="B3120" s="34" t="inlineStr">
        <is>
          <t>Psyko</t>
        </is>
      </c>
      <c r="C3120" s="34" t="n"/>
      <c r="D3120" s="34" t="n"/>
      <c r="E3120" s="34" t="n"/>
      <c r="F3120" s="34" t="n"/>
      <c r="G3120" s="34" t="n"/>
      <c r="H3120" s="30" t="inlineStr">
        <is>
          <t>Oui</t>
        </is>
      </c>
    </row>
    <row r="3121">
      <c r="A3121" s="31" t="n"/>
      <c r="B3121" s="34" t="inlineStr">
        <is>
          <t>Plénitude</t>
        </is>
      </c>
      <c r="C3121" s="34" t="n"/>
      <c r="D3121" s="34" t="n"/>
      <c r="E3121" s="34" t="n"/>
      <c r="F3121" s="34" t="n"/>
      <c r="G3121" s="34" t="n"/>
      <c r="H3121" s="30" t="inlineStr">
        <is>
          <t>Oui</t>
        </is>
      </c>
    </row>
    <row r="3122">
      <c r="A3122" s="31" t="n"/>
      <c r="B3122" s="34" t="inlineStr">
        <is>
          <t>Prescience</t>
        </is>
      </c>
      <c r="C3122" s="34" t="n"/>
      <c r="D3122" s="34" t="n"/>
      <c r="E3122" s="34" t="n"/>
      <c r="F3122" s="34" t="n"/>
      <c r="G3122" s="34" t="n"/>
      <c r="H3122" s="30" t="inlineStr">
        <is>
          <t>Oui</t>
        </is>
      </c>
    </row>
    <row r="3123">
      <c r="A3123" s="31" t="n"/>
      <c r="B3123" s="34" t="inlineStr">
        <is>
          <t>Tour de Magie</t>
        </is>
      </c>
      <c r="C3123" s="34" t="n"/>
      <c r="D3123" s="34" t="n"/>
      <c r="E3123" s="34" t="n"/>
      <c r="F3123" s="34" t="n"/>
      <c r="G3123" s="34" t="n"/>
      <c r="H3123" s="30" t="inlineStr">
        <is>
          <t>Oui</t>
        </is>
      </c>
    </row>
    <row r="3124">
      <c r="A3124" s="31" t="inlineStr">
        <is>
          <t>Nom</t>
        </is>
      </c>
      <c r="B3124" s="32" t="inlineStr">
        <is>
          <t>Kinésiste Doris</t>
        </is>
      </c>
      <c r="C3124" s="32" t="n"/>
      <c r="D3124" s="32" t="n"/>
      <c r="E3124" s="32" t="n"/>
      <c r="F3124" s="32" t="n"/>
      <c r="G3124" s="32" t="n"/>
      <c r="H3124" s="30" t="inlineStr">
        <is>
          <t>Oui</t>
        </is>
      </c>
    </row>
    <row r="3125">
      <c r="A3125" s="31" t="inlineStr">
        <is>
          <t>Pokémon</t>
        </is>
      </c>
      <c r="B3125" s="33" t="inlineStr">
        <is>
          <t>NOARFANG</t>
        </is>
      </c>
      <c r="C3125" s="33" t="inlineStr">
        <is>
          <t>FLAGADOSS</t>
        </is>
      </c>
      <c r="D3125" s="33" t="inlineStr">
        <is>
          <t>XATU</t>
        </is>
      </c>
      <c r="E3125" s="33" t="n"/>
      <c r="F3125" s="33" t="n"/>
      <c r="G3125" s="33" t="n"/>
      <c r="H3125" s="30" t="inlineStr">
        <is>
          <t>Oui</t>
        </is>
      </c>
    </row>
    <row r="3126">
      <c r="A3126" s="31" t="inlineStr">
        <is>
          <t>Niveau</t>
        </is>
      </c>
      <c r="B3126" s="33" t="n">
        <v>58</v>
      </c>
      <c r="C3126" s="33" t="n">
        <v>59</v>
      </c>
      <c r="D3126" s="33" t="n">
        <v>58</v>
      </c>
      <c r="E3126" s="33" t="n"/>
      <c r="F3126" s="33" t="n"/>
      <c r="G3126" s="33" t="n"/>
      <c r="H3126" s="30" t="inlineStr">
        <is>
          <t>Oui</t>
        </is>
      </c>
    </row>
    <row r="3127">
      <c r="A3127" s="31" t="inlineStr">
        <is>
          <t>Objet</t>
        </is>
      </c>
      <c r="B3127" s="33" t="inlineStr">
        <is>
          <t>Aucun</t>
        </is>
      </c>
      <c r="C3127" s="33" t="inlineStr">
        <is>
          <t>Aucun</t>
        </is>
      </c>
      <c r="D3127" s="33" t="inlineStr">
        <is>
          <t>Aucun</t>
        </is>
      </c>
      <c r="E3127" s="33" t="n"/>
      <c r="F3127" s="33" t="n"/>
      <c r="G3127" s="33" t="n"/>
      <c r="H3127" s="30" t="inlineStr">
        <is>
          <t>Oui</t>
        </is>
      </c>
    </row>
    <row r="3128">
      <c r="A3128" s="31" t="inlineStr">
        <is>
          <t>Talent</t>
        </is>
      </c>
      <c r="B3128" s="33" t="inlineStr">
        <is>
          <t>Insomnia</t>
        </is>
      </c>
      <c r="C3128" s="33" t="inlineStr">
        <is>
          <t>Benêt</t>
        </is>
      </c>
      <c r="D3128" s="33" t="inlineStr">
        <is>
          <t>Synchro</t>
        </is>
      </c>
      <c r="E3128" s="33" t="n"/>
      <c r="F3128" s="33" t="n"/>
      <c r="G3128" s="33" t="n"/>
      <c r="H3128" s="30" t="inlineStr">
        <is>
          <t>Oui</t>
        </is>
      </c>
    </row>
    <row r="3129">
      <c r="A3129" s="31" t="inlineStr">
        <is>
          <t>Capacités</t>
        </is>
      </c>
      <c r="B3129" s="34" t="inlineStr">
        <is>
          <t>Atterrissage</t>
        </is>
      </c>
      <c r="C3129" s="34" t="inlineStr">
        <is>
          <t>Paresse</t>
        </is>
      </c>
      <c r="D3129" s="34" t="inlineStr">
        <is>
          <t>Prescience</t>
        </is>
      </c>
      <c r="E3129" s="34" t="n"/>
      <c r="F3129" s="34" t="n"/>
      <c r="G3129" s="34" t="n"/>
      <c r="H3129" s="30" t="inlineStr">
        <is>
          <t>Oui</t>
        </is>
      </c>
    </row>
    <row r="3130">
      <c r="A3130" s="31" t="n"/>
      <c r="B3130" s="34" t="inlineStr">
        <is>
          <t>Pouvoir Lunaire</t>
        </is>
      </c>
      <c r="C3130" s="34" t="inlineStr">
        <is>
          <t>Amnésie</t>
        </is>
      </c>
      <c r="D3130" s="34" t="inlineStr">
        <is>
          <t>Permuforce</t>
        </is>
      </c>
      <c r="E3130" s="34" t="n"/>
      <c r="F3130" s="34" t="n"/>
      <c r="G3130" s="34" t="n"/>
      <c r="H3130" s="30" t="inlineStr">
        <is>
          <t>Oui</t>
        </is>
      </c>
    </row>
    <row r="3131">
      <c r="A3131" s="31" t="n"/>
      <c r="B3131" s="34" t="inlineStr">
        <is>
          <t>Synchropeine</t>
        </is>
      </c>
      <c r="C3131" s="34" t="inlineStr">
        <is>
          <t>Psyko</t>
        </is>
      </c>
      <c r="D3131" s="34" t="inlineStr">
        <is>
          <t>Permugarde</t>
        </is>
      </c>
      <c r="E3131" s="34" t="n"/>
      <c r="F3131" s="34" t="n"/>
      <c r="G3131" s="34" t="n"/>
      <c r="H3131" s="30" t="inlineStr">
        <is>
          <t>Oui</t>
        </is>
      </c>
    </row>
    <row r="3132">
      <c r="A3132" s="31" t="n"/>
      <c r="B3132" s="34" t="inlineStr">
        <is>
          <t>Dévorêve</t>
        </is>
      </c>
      <c r="C3132" s="34" t="inlineStr">
        <is>
          <t>Danse Pluie</t>
        </is>
      </c>
      <c r="D3132" s="34" t="inlineStr">
        <is>
          <t>Moi d'Abord</t>
        </is>
      </c>
      <c r="E3132" s="34" t="n"/>
      <c r="F3132" s="34" t="n"/>
      <c r="G3132" s="34" t="n"/>
      <c r="H3132" s="30" t="inlineStr">
        <is>
          <t>Oui</t>
        </is>
      </c>
    </row>
    <row r="3133">
      <c r="A3133" s="31" t="inlineStr">
        <is>
          <t>Nom</t>
        </is>
      </c>
      <c r="B3133" s="32" t="inlineStr">
        <is>
          <t>Kinésiste Honoré</t>
        </is>
      </c>
      <c r="C3133" s="32" t="n"/>
      <c r="D3133" s="32" t="n"/>
      <c r="E3133" s="32" t="n"/>
      <c r="F3133" s="32" t="n"/>
      <c r="G3133" s="32" t="n"/>
      <c r="H3133" s="30" t="inlineStr">
        <is>
          <t>Oui</t>
        </is>
      </c>
    </row>
    <row r="3134">
      <c r="A3134" s="31" t="inlineStr">
        <is>
          <t>Pokémon</t>
        </is>
      </c>
      <c r="B3134" s="33" t="inlineStr">
        <is>
          <t>ZARBI</t>
        </is>
      </c>
      <c r="C3134" s="33" t="inlineStr">
        <is>
          <t>M. MIME</t>
        </is>
      </c>
      <c r="D3134" s="33" t="inlineStr">
        <is>
          <t>NOADKOKO</t>
        </is>
      </c>
      <c r="E3134" s="33" t="n"/>
      <c r="F3134" s="33" t="n"/>
      <c r="G3134" s="33" t="n"/>
      <c r="H3134" s="30" t="inlineStr">
        <is>
          <t>Oui</t>
        </is>
      </c>
    </row>
    <row r="3135">
      <c r="A3135" s="31" t="inlineStr">
        <is>
          <t>Niveau</t>
        </is>
      </c>
      <c r="B3135" s="33" t="n">
        <v>58</v>
      </c>
      <c r="C3135" s="33" t="n">
        <v>58</v>
      </c>
      <c r="D3135" s="33" t="n">
        <v>58</v>
      </c>
      <c r="E3135" s="33" t="n"/>
      <c r="F3135" s="33" t="n"/>
      <c r="G3135" s="33" t="n"/>
      <c r="H3135" s="30" t="inlineStr">
        <is>
          <t>Oui</t>
        </is>
      </c>
    </row>
    <row r="3136">
      <c r="A3136" s="31" t="inlineStr">
        <is>
          <t>Objet</t>
        </is>
      </c>
      <c r="B3136" s="33" t="inlineStr">
        <is>
          <t>Aucun</t>
        </is>
      </c>
      <c r="C3136" s="33" t="inlineStr">
        <is>
          <t>Aucun</t>
        </is>
      </c>
      <c r="D3136" s="33" t="inlineStr">
        <is>
          <t>Aucun</t>
        </is>
      </c>
      <c r="E3136" s="33" t="n"/>
      <c r="F3136" s="33" t="n"/>
      <c r="G3136" s="33" t="n"/>
      <c r="H3136" s="30" t="inlineStr">
        <is>
          <t>Oui</t>
        </is>
      </c>
    </row>
    <row r="3137">
      <c r="A3137" s="31" t="inlineStr">
        <is>
          <t>Talent</t>
        </is>
      </c>
      <c r="B3137" s="33" t="inlineStr">
        <is>
          <t>Lévitation</t>
        </is>
      </c>
      <c r="C3137" s="33" t="inlineStr">
        <is>
          <t>Anti-Bruit</t>
        </is>
      </c>
      <c r="D3137" s="33" t="inlineStr">
        <is>
          <t>Chlorophylle</t>
        </is>
      </c>
      <c r="E3137" s="33" t="n"/>
      <c r="F3137" s="33" t="n"/>
      <c r="G3137" s="33" t="n"/>
      <c r="H3137" s="30" t="inlineStr">
        <is>
          <t>Oui</t>
        </is>
      </c>
    </row>
    <row r="3138">
      <c r="A3138" s="31" t="inlineStr">
        <is>
          <t>Capacités</t>
        </is>
      </c>
      <c r="B3138" s="34" t="inlineStr">
        <is>
          <t>Puissance Cachée</t>
        </is>
      </c>
      <c r="C3138" s="34" t="inlineStr">
        <is>
          <t>Imitation</t>
        </is>
      </c>
      <c r="D3138" s="34" t="inlineStr">
        <is>
          <t>Don Naturel</t>
        </is>
      </c>
      <c r="E3138" s="34" t="n"/>
      <c r="F3138" s="34" t="n"/>
      <c r="G3138" s="34" t="n"/>
      <c r="H3138" s="30" t="inlineStr">
        <is>
          <t>Oui</t>
        </is>
      </c>
    </row>
    <row r="3139">
      <c r="A3139" s="31" t="n"/>
      <c r="B3139" s="34" t="n"/>
      <c r="C3139" s="34" t="inlineStr">
        <is>
          <t>Relais</t>
        </is>
      </c>
      <c r="D3139" s="34" t="inlineStr">
        <is>
          <t>Giga-Sangsue</t>
        </is>
      </c>
      <c r="E3139" s="34" t="n"/>
      <c r="F3139" s="34" t="n"/>
      <c r="G3139" s="34" t="n"/>
      <c r="H3139" s="30" t="inlineStr">
        <is>
          <t>Oui</t>
        </is>
      </c>
    </row>
    <row r="3140">
      <c r="A3140" s="31" t="n"/>
      <c r="B3140" s="34" t="n"/>
      <c r="C3140" s="34" t="inlineStr">
        <is>
          <t>Rune Protect</t>
        </is>
      </c>
      <c r="D3140" s="34" t="inlineStr">
        <is>
          <t>Lance-Soleil</t>
        </is>
      </c>
      <c r="E3140" s="34" t="n"/>
      <c r="F3140" s="34" t="n"/>
      <c r="G3140" s="34" t="n"/>
      <c r="H3140" s="30" t="inlineStr">
        <is>
          <t>Oui</t>
        </is>
      </c>
    </row>
    <row r="3141">
      <c r="A3141" s="31" t="n"/>
      <c r="B3141" s="34" t="n"/>
      <c r="C3141" s="34" t="inlineStr">
        <is>
          <t>Vigilance</t>
        </is>
      </c>
      <c r="D3141" s="34" t="inlineStr">
        <is>
          <t>Extrasenseur</t>
        </is>
      </c>
      <c r="E3141" s="34" t="n"/>
      <c r="F3141" s="34" t="n"/>
      <c r="G3141" s="34" t="n"/>
      <c r="H3141" s="30" t="inlineStr">
        <is>
          <t>Oui</t>
        </is>
      </c>
    </row>
    <row r="3142">
      <c r="A3142" s="31" t="inlineStr">
        <is>
          <t>Nom</t>
        </is>
      </c>
      <c r="B3142" s="32" t="inlineStr">
        <is>
          <t>Champion Morgane</t>
        </is>
      </c>
      <c r="C3142" s="32" t="n"/>
      <c r="D3142" s="32" t="n"/>
      <c r="E3142" s="32" t="n"/>
      <c r="F3142" s="32" t="n"/>
      <c r="G3142" s="32" t="n"/>
      <c r="H3142" s="30" t="inlineStr">
        <is>
          <t>Oui</t>
        </is>
      </c>
    </row>
    <row r="3143">
      <c r="A3143" s="31" t="inlineStr">
        <is>
          <t>Pokémon</t>
        </is>
      </c>
      <c r="B3143" s="33" t="inlineStr">
        <is>
          <t>M. MIME</t>
        </is>
      </c>
      <c r="C3143" s="33" t="inlineStr">
        <is>
          <t>LIPPOUTOU</t>
        </is>
      </c>
      <c r="D3143" s="33" t="inlineStr">
        <is>
          <t>FLAGADOSS</t>
        </is>
      </c>
      <c r="E3143" s="33" t="inlineStr">
        <is>
          <t>QULBUTOKE</t>
        </is>
      </c>
      <c r="F3143" s="33" t="inlineStr">
        <is>
          <t>MENTALI</t>
        </is>
      </c>
      <c r="G3143" s="33" t="inlineStr">
        <is>
          <t>ALAKAZAM</t>
        </is>
      </c>
      <c r="H3143" s="30" t="inlineStr">
        <is>
          <t>Oui</t>
        </is>
      </c>
    </row>
    <row r="3144">
      <c r="A3144" s="31" t="inlineStr">
        <is>
          <t>Niveau</t>
        </is>
      </c>
      <c r="B3144" s="33" t="n">
        <v>65</v>
      </c>
      <c r="C3144" s="33" t="n">
        <v>64</v>
      </c>
      <c r="D3144" s="33" t="n">
        <v>64</v>
      </c>
      <c r="E3144" s="33" t="n">
        <v>64</v>
      </c>
      <c r="F3144" s="33" t="n">
        <v>65</v>
      </c>
      <c r="G3144" s="33" t="n">
        <v>66</v>
      </c>
      <c r="H3144" s="30" t="inlineStr">
        <is>
          <t>Oui</t>
        </is>
      </c>
    </row>
    <row r="3145">
      <c r="A3145" s="31" t="inlineStr">
        <is>
          <t>Objet</t>
        </is>
      </c>
      <c r="B3145" s="33" t="inlineStr">
        <is>
          <t>Vive Griffe</t>
        </is>
      </c>
      <c r="C3145" s="33" t="inlineStr">
        <is>
          <t>Aucun</t>
        </is>
      </c>
      <c r="D3145" s="33" t="inlineStr">
        <is>
          <t>Baie Maron</t>
        </is>
      </c>
      <c r="E3145" s="33" t="inlineStr">
        <is>
          <t>Restes</t>
        </is>
      </c>
      <c r="F3145" s="33" t="inlineStr">
        <is>
          <t>Aucun</t>
        </is>
      </c>
      <c r="G3145" s="33" t="inlineStr">
        <is>
          <t>Cuillère Tordue</t>
        </is>
      </c>
      <c r="H3145" s="30" t="inlineStr">
        <is>
          <t>Oui</t>
        </is>
      </c>
    </row>
    <row r="3146">
      <c r="A3146" s="31" t="inlineStr">
        <is>
          <t>Talent</t>
        </is>
      </c>
      <c r="B3146" s="33" t="inlineStr">
        <is>
          <t>Anti-Bruit</t>
        </is>
      </c>
      <c r="C3146" s="33" t="inlineStr">
        <is>
          <t>Benêt</t>
        </is>
      </c>
      <c r="D3146" s="33" t="inlineStr">
        <is>
          <t>Benêt</t>
        </is>
      </c>
      <c r="E3146" s="33" t="inlineStr">
        <is>
          <t>Marque Ombre</t>
        </is>
      </c>
      <c r="F3146" s="33" t="inlineStr">
        <is>
          <t>Synchro</t>
        </is>
      </c>
      <c r="G3146" s="33" t="inlineStr">
        <is>
          <t>Synchro</t>
        </is>
      </c>
      <c r="H3146" s="30" t="inlineStr">
        <is>
          <t>Oui</t>
        </is>
      </c>
    </row>
    <row r="3147">
      <c r="A3147" s="31" t="inlineStr">
        <is>
          <t>Capacités</t>
        </is>
      </c>
      <c r="B3147" s="34" t="inlineStr">
        <is>
          <t>Feuille Magik</t>
        </is>
      </c>
      <c r="C3147" s="34" t="inlineStr">
        <is>
          <t>Psyko</t>
        </is>
      </c>
      <c r="D3147" s="34" t="inlineStr">
        <is>
          <t>Repos</t>
        </is>
      </c>
      <c r="E3147" s="34" t="inlineStr">
        <is>
          <t>Voile Miroir</t>
        </is>
      </c>
      <c r="F3147" s="34" t="inlineStr">
        <is>
          <t>Psyko</t>
        </is>
      </c>
      <c r="G3147" s="34" t="inlineStr">
        <is>
          <t>Ball'Ombre</t>
        </is>
      </c>
      <c r="H3147" s="30" t="inlineStr">
        <is>
          <t>Oui</t>
        </is>
      </c>
    </row>
    <row r="3148">
      <c r="A3148" s="31" t="n"/>
      <c r="B3148" s="34" t="inlineStr">
        <is>
          <t>Psyko</t>
        </is>
      </c>
      <c r="C3148" s="34" t="inlineStr">
        <is>
          <t>Laser Glace</t>
        </is>
      </c>
      <c r="D3148" s="34" t="inlineStr">
        <is>
          <t>Blabla Dodo</t>
        </is>
      </c>
      <c r="E3148" s="34" t="inlineStr">
        <is>
          <t>Riposte</t>
        </is>
      </c>
      <c r="F3148" s="34" t="inlineStr">
        <is>
          <t>Aurore</t>
        </is>
      </c>
      <c r="G3148" s="34" t="inlineStr">
        <is>
          <t>Psyko</t>
        </is>
      </c>
      <c r="H3148" s="30" t="inlineStr">
        <is>
          <t>Oui</t>
        </is>
      </c>
    </row>
    <row r="3149">
      <c r="A3149" s="31" t="n"/>
      <c r="B3149" s="34" t="inlineStr">
        <is>
          <t>Clonage</t>
        </is>
      </c>
      <c r="C3149" s="34" t="inlineStr">
        <is>
          <t>Grobisou</t>
        </is>
      </c>
      <c r="D3149" s="34" t="inlineStr">
        <is>
          <t>Sacrifice</t>
        </is>
      </c>
      <c r="E3149" s="34" t="inlineStr">
        <is>
          <t>Rune Protect</t>
        </is>
      </c>
      <c r="F3149" s="34" t="inlineStr">
        <is>
          <t>Prescience</t>
        </is>
      </c>
      <c r="G3149" s="34" t="inlineStr">
        <is>
          <t>Soin</t>
        </is>
      </c>
      <c r="H3149" s="30" t="inlineStr">
        <is>
          <t>Oui</t>
        </is>
      </c>
    </row>
    <row r="3150">
      <c r="A3150" s="31" t="n"/>
      <c r="B3150" s="34" t="inlineStr">
        <is>
          <t>Protection</t>
        </is>
      </c>
      <c r="C3150" s="34" t="inlineStr">
        <is>
          <t>Nœud Herbe</t>
        </is>
      </c>
      <c r="D3150" s="34" t="inlineStr">
        <is>
          <t>Surf</t>
        </is>
      </c>
      <c r="E3150" s="34" t="inlineStr">
        <is>
          <t>Lien du Destin</t>
        </is>
      </c>
      <c r="F3150" s="34" t="inlineStr">
        <is>
          <t>Rayon Gemme</t>
        </is>
      </c>
      <c r="G3150" s="34" t="inlineStr">
        <is>
          <t>Plénitude</t>
        </is>
      </c>
      <c r="H3150" s="30" t="inlineStr">
        <is>
          <t>Oui</t>
        </is>
      </c>
    </row>
    <row r="3151" ht="18" customHeight="1">
      <c r="A3151" s="26" t="inlineStr">
        <is>
          <t>Route 8</t>
        </is>
      </c>
      <c r="B3151" s="26" t="n"/>
      <c r="C3151" s="26" t="n"/>
      <c r="D3151" s="26" t="n"/>
      <c r="E3151" s="26" t="n"/>
      <c r="F3151" s="26" t="n"/>
      <c r="G3151" s="26" t="n"/>
      <c r="H3151" s="30" t="inlineStr">
        <is>
          <t>Oui</t>
        </is>
      </c>
    </row>
    <row r="3152">
      <c r="A3152" s="31" t="inlineStr">
        <is>
          <t>Nom</t>
        </is>
      </c>
      <c r="B3152" s="32" t="inlineStr">
        <is>
          <t>Motard Bruno</t>
        </is>
      </c>
      <c r="C3152" s="32" t="n"/>
      <c r="D3152" s="32" t="n"/>
      <c r="E3152" s="32" t="n"/>
      <c r="F3152" s="32" t="n"/>
      <c r="G3152" s="32" t="n"/>
      <c r="H3152" s="30" t="inlineStr">
        <is>
          <t>Oui</t>
        </is>
      </c>
    </row>
    <row r="3153">
      <c r="A3153" s="31" t="inlineStr">
        <is>
          <t>Pokémon</t>
        </is>
      </c>
      <c r="B3153" s="33" t="inlineStr">
        <is>
          <t>SMOGO</t>
        </is>
      </c>
      <c r="C3153" s="33" t="inlineStr">
        <is>
          <t>SMOGO</t>
        </is>
      </c>
      <c r="D3153" s="33" t="inlineStr">
        <is>
          <t>SMOGO</t>
        </is>
      </c>
      <c r="E3153" s="33" t="inlineStr">
        <is>
          <t>SMOGO</t>
        </is>
      </c>
      <c r="F3153" s="33" t="n"/>
      <c r="G3153" s="33" t="n"/>
      <c r="H3153" s="30" t="inlineStr">
        <is>
          <t>Oui</t>
        </is>
      </c>
    </row>
    <row r="3154">
      <c r="A3154" s="31" t="inlineStr">
        <is>
          <t>Niveau</t>
        </is>
      </c>
      <c r="B3154" s="33" t="n">
        <v>57</v>
      </c>
      <c r="C3154" s="33" t="n">
        <v>58</v>
      </c>
      <c r="D3154" s="33" t="n">
        <v>59</v>
      </c>
      <c r="E3154" s="33" t="n">
        <v>60</v>
      </c>
      <c r="F3154" s="33" t="n"/>
      <c r="G3154" s="33" t="n"/>
      <c r="H3154" s="30" t="inlineStr">
        <is>
          <t>Oui</t>
        </is>
      </c>
    </row>
    <row r="3155">
      <c r="A3155" s="31" t="inlineStr">
        <is>
          <t>Objet</t>
        </is>
      </c>
      <c r="B3155" s="33" t="inlineStr">
        <is>
          <t>Aucun</t>
        </is>
      </c>
      <c r="C3155" s="33" t="inlineStr">
        <is>
          <t>Aucun</t>
        </is>
      </c>
      <c r="D3155" s="33" t="inlineStr">
        <is>
          <t>Aucun</t>
        </is>
      </c>
      <c r="E3155" s="33" t="inlineStr">
        <is>
          <t>Aucun</t>
        </is>
      </c>
      <c r="F3155" s="33" t="n"/>
      <c r="G3155" s="33" t="n"/>
      <c r="H3155" s="30" t="inlineStr">
        <is>
          <t>Oui</t>
        </is>
      </c>
    </row>
    <row r="3156">
      <c r="A3156" s="31" t="inlineStr">
        <is>
          <t>Talent</t>
        </is>
      </c>
      <c r="B3156" s="33" t="inlineStr">
        <is>
          <t>Lévitation</t>
        </is>
      </c>
      <c r="C3156" s="33" t="inlineStr">
        <is>
          <t>Lévitation</t>
        </is>
      </c>
      <c r="D3156" s="33" t="inlineStr">
        <is>
          <t>Lévitation</t>
        </is>
      </c>
      <c r="E3156" s="33" t="inlineStr">
        <is>
          <t>Lévitation</t>
        </is>
      </c>
      <c r="F3156" s="33" t="n"/>
      <c r="G3156" s="33" t="n"/>
      <c r="H3156" s="30" t="inlineStr">
        <is>
          <t>Oui</t>
        </is>
      </c>
    </row>
    <row r="3157">
      <c r="A3157" s="31" t="inlineStr">
        <is>
          <t>Capacités</t>
        </is>
      </c>
      <c r="B3157" s="34" t="inlineStr">
        <is>
          <t>Explosion</t>
        </is>
      </c>
      <c r="C3157" s="34" t="inlineStr">
        <is>
          <t>Explosion</t>
        </is>
      </c>
      <c r="D3157" s="34" t="inlineStr">
        <is>
          <t>Explosion</t>
        </is>
      </c>
      <c r="E3157" s="34" t="inlineStr">
        <is>
          <t>Explosion</t>
        </is>
      </c>
      <c r="F3157" s="34" t="n"/>
      <c r="G3157" s="34" t="n"/>
      <c r="H3157" s="30" t="inlineStr">
        <is>
          <t>Oui</t>
        </is>
      </c>
    </row>
    <row r="3158">
      <c r="A3158" s="31" t="n"/>
      <c r="B3158" s="34" t="inlineStr">
        <is>
          <t>Lien du Destin</t>
        </is>
      </c>
      <c r="C3158" s="34" t="inlineStr">
        <is>
          <t>Lien du Destin</t>
        </is>
      </c>
      <c r="D3158" s="34" t="inlineStr">
        <is>
          <t>Lien du Destin</t>
        </is>
      </c>
      <c r="E3158" s="34" t="inlineStr">
        <is>
          <t>Lien du Destin</t>
        </is>
      </c>
      <c r="F3158" s="34" t="n"/>
      <c r="G3158" s="34" t="n"/>
      <c r="H3158" s="30" t="inlineStr">
        <is>
          <t>Oui</t>
        </is>
      </c>
    </row>
    <row r="3159">
      <c r="A3159" s="31" t="n"/>
      <c r="B3159" s="34" t="inlineStr">
        <is>
          <t>Éructation</t>
        </is>
      </c>
      <c r="C3159" s="34" t="inlineStr">
        <is>
          <t>Éructation</t>
        </is>
      </c>
      <c r="D3159" s="34" t="inlineStr">
        <is>
          <t>Éructation</t>
        </is>
      </c>
      <c r="E3159" s="34" t="inlineStr">
        <is>
          <t>Éructation</t>
        </is>
      </c>
      <c r="F3159" s="34" t="n"/>
      <c r="G3159" s="34" t="n"/>
      <c r="H3159" s="30" t="inlineStr">
        <is>
          <t>Oui</t>
        </is>
      </c>
    </row>
    <row r="3160">
      <c r="A3160" s="31" t="n"/>
      <c r="B3160" s="34" t="inlineStr">
        <is>
          <t>Souvenir</t>
        </is>
      </c>
      <c r="C3160" s="34" t="inlineStr">
        <is>
          <t>Souvenir</t>
        </is>
      </c>
      <c r="D3160" s="34" t="inlineStr">
        <is>
          <t>Souvenir</t>
        </is>
      </c>
      <c r="E3160" s="34" t="inlineStr">
        <is>
          <t>Souvenir</t>
        </is>
      </c>
      <c r="F3160" s="34" t="n"/>
      <c r="G3160" s="34" t="n"/>
      <c r="H3160" s="30" t="inlineStr">
        <is>
          <t>Oui</t>
        </is>
      </c>
    </row>
    <row r="3161">
      <c r="A3161" s="31" t="inlineStr">
        <is>
          <t>Nom</t>
        </is>
      </c>
      <c r="B3161" s="32" t="inlineStr">
        <is>
          <t>Motard Christophe</t>
        </is>
      </c>
      <c r="C3161" s="32" t="n"/>
      <c r="D3161" s="32" t="n"/>
      <c r="E3161" s="32" t="n"/>
      <c r="F3161" s="32" t="n"/>
      <c r="G3161" s="32" t="n"/>
      <c r="H3161" s="30" t="inlineStr">
        <is>
          <t>Oui</t>
        </is>
      </c>
    </row>
    <row r="3162">
      <c r="A3162" s="31" t="inlineStr">
        <is>
          <t>Pokémon</t>
        </is>
      </c>
      <c r="B3162" s="33" t="inlineStr">
        <is>
          <t>PYROLI</t>
        </is>
      </c>
      <c r="C3162" s="33" t="n"/>
      <c r="D3162" s="33" t="n"/>
      <c r="E3162" s="33" t="n"/>
      <c r="F3162" s="33" t="n"/>
      <c r="G3162" s="33" t="n"/>
      <c r="H3162" s="30" t="inlineStr">
        <is>
          <t>Oui</t>
        </is>
      </c>
    </row>
    <row r="3163">
      <c r="A3163" s="31" t="inlineStr">
        <is>
          <t>Niveau</t>
        </is>
      </c>
      <c r="B3163" s="33" t="n">
        <v>59</v>
      </c>
      <c r="C3163" s="33" t="n"/>
      <c r="D3163" s="33" t="n"/>
      <c r="E3163" s="33" t="n"/>
      <c r="F3163" s="33" t="n"/>
      <c r="G3163" s="33" t="n"/>
      <c r="H3163" s="30" t="inlineStr">
        <is>
          <t>Oui</t>
        </is>
      </c>
    </row>
    <row r="3164">
      <c r="A3164" s="31" t="inlineStr">
        <is>
          <t>Objet</t>
        </is>
      </c>
      <c r="B3164" s="33" t="inlineStr">
        <is>
          <t>Aucun</t>
        </is>
      </c>
      <c r="C3164" s="33" t="n"/>
      <c r="D3164" s="33" t="n"/>
      <c r="E3164" s="33" t="n"/>
      <c r="F3164" s="33" t="n"/>
      <c r="G3164" s="33" t="n"/>
      <c r="H3164" s="30" t="inlineStr">
        <is>
          <t>Oui</t>
        </is>
      </c>
    </row>
    <row r="3165">
      <c r="A3165" s="31" t="inlineStr">
        <is>
          <t>Talent</t>
        </is>
      </c>
      <c r="B3165" s="33" t="inlineStr">
        <is>
          <t>Torche</t>
        </is>
      </c>
      <c r="C3165" s="33" t="n"/>
      <c r="D3165" s="33" t="n"/>
      <c r="E3165" s="33" t="n"/>
      <c r="F3165" s="33" t="n"/>
      <c r="G3165" s="33" t="n"/>
      <c r="H3165" s="30" t="inlineStr">
        <is>
          <t>Oui</t>
        </is>
      </c>
    </row>
    <row r="3166">
      <c r="A3166" s="31" t="inlineStr">
        <is>
          <t>Capacités</t>
        </is>
      </c>
      <c r="B3166" s="34" t="inlineStr">
        <is>
          <t>Purédpois</t>
        </is>
      </c>
      <c r="C3166" s="34" t="n"/>
      <c r="D3166" s="34" t="n"/>
      <c r="E3166" s="34" t="n"/>
      <c r="F3166" s="34" t="n"/>
      <c r="G3166" s="34" t="n"/>
      <c r="H3166" s="30" t="inlineStr">
        <is>
          <t>Oui</t>
        </is>
      </c>
    </row>
    <row r="3167">
      <c r="A3167" s="31" t="n"/>
      <c r="B3167" s="34" t="inlineStr">
        <is>
          <t>Ébullilave</t>
        </is>
      </c>
      <c r="C3167" s="34" t="n"/>
      <c r="D3167" s="34" t="n"/>
      <c r="E3167" s="34" t="n"/>
      <c r="F3167" s="34" t="n"/>
      <c r="G3167" s="34" t="n"/>
      <c r="H3167" s="30" t="inlineStr">
        <is>
          <t>Oui</t>
        </is>
      </c>
    </row>
    <row r="3168">
      <c r="A3168" s="31" t="n"/>
      <c r="B3168" s="34" t="inlineStr">
        <is>
          <t>Dernier Recours</t>
        </is>
      </c>
      <c r="C3168" s="34" t="n"/>
      <c r="D3168" s="34" t="n"/>
      <c r="E3168" s="34" t="n"/>
      <c r="F3168" s="34" t="n"/>
      <c r="G3168" s="34" t="n"/>
      <c r="H3168" s="30" t="inlineStr">
        <is>
          <t>Oui</t>
        </is>
      </c>
    </row>
    <row r="3169">
      <c r="A3169" s="31" t="n"/>
      <c r="B3169" s="34" t="inlineStr">
        <is>
          <t>Boutefeu</t>
        </is>
      </c>
      <c r="C3169" s="34" t="n"/>
      <c r="D3169" s="34" t="n"/>
      <c r="E3169" s="34" t="n"/>
      <c r="F3169" s="34" t="n"/>
      <c r="G3169" s="34" t="n"/>
      <c r="H3169" s="30" t="inlineStr">
        <is>
          <t>Oui</t>
        </is>
      </c>
    </row>
    <row r="3170">
      <c r="A3170" s="31" t="inlineStr">
        <is>
          <t>Nom</t>
        </is>
      </c>
      <c r="B3170" s="32" t="inlineStr">
        <is>
          <t>Motard Johnny</t>
        </is>
      </c>
      <c r="C3170" s="32" t="n"/>
      <c r="D3170" s="32" t="n"/>
      <c r="E3170" s="32" t="n"/>
      <c r="F3170" s="32" t="n"/>
      <c r="G3170" s="32" t="n"/>
      <c r="H3170" s="30" t="inlineStr">
        <is>
          <t>Oui</t>
        </is>
      </c>
    </row>
    <row r="3171">
      <c r="A3171" s="31" t="inlineStr">
        <is>
          <t>Pokémon</t>
        </is>
      </c>
      <c r="B3171" s="33" t="inlineStr">
        <is>
          <t>NOSTENFER</t>
        </is>
      </c>
      <c r="C3171" s="33" t="inlineStr">
        <is>
          <t>GROTADMORV</t>
        </is>
      </c>
      <c r="D3171" s="33" t="n"/>
      <c r="E3171" s="33" t="n"/>
      <c r="F3171" s="33" t="n"/>
      <c r="G3171" s="33" t="n"/>
      <c r="H3171" s="30" t="inlineStr">
        <is>
          <t>Oui</t>
        </is>
      </c>
    </row>
    <row r="3172">
      <c r="A3172" s="31" t="inlineStr">
        <is>
          <t>Niveau</t>
        </is>
      </c>
      <c r="B3172" s="33" t="n">
        <v>58</v>
      </c>
      <c r="C3172" s="33" t="n">
        <v>56</v>
      </c>
      <c r="D3172" s="33" t="n"/>
      <c r="E3172" s="33" t="n"/>
      <c r="F3172" s="33" t="n"/>
      <c r="G3172" s="33" t="n"/>
      <c r="H3172" s="30" t="inlineStr">
        <is>
          <t>Oui</t>
        </is>
      </c>
    </row>
    <row r="3173">
      <c r="A3173" s="31" t="inlineStr">
        <is>
          <t>Objet</t>
        </is>
      </c>
      <c r="B3173" s="33" t="inlineStr">
        <is>
          <t>Aucun</t>
        </is>
      </c>
      <c r="C3173" s="33" t="inlineStr">
        <is>
          <t>Aucun</t>
        </is>
      </c>
      <c r="D3173" s="33" t="n"/>
      <c r="E3173" s="33" t="n"/>
      <c r="F3173" s="33" t="n"/>
      <c r="G3173" s="33" t="n"/>
      <c r="H3173" s="30" t="inlineStr">
        <is>
          <t>Oui</t>
        </is>
      </c>
    </row>
    <row r="3174">
      <c r="A3174" s="31" t="inlineStr">
        <is>
          <t>Talent</t>
        </is>
      </c>
      <c r="B3174" s="33" t="inlineStr">
        <is>
          <t>Attention</t>
        </is>
      </c>
      <c r="C3174" s="33" t="inlineStr">
        <is>
          <t>Puanteur</t>
        </is>
      </c>
      <c r="D3174" s="33" t="n"/>
      <c r="E3174" s="33" t="n"/>
      <c r="F3174" s="33" t="n"/>
      <c r="G3174" s="33" t="n"/>
      <c r="H3174" s="30" t="inlineStr">
        <is>
          <t>Oui</t>
        </is>
      </c>
    </row>
    <row r="3175">
      <c r="A3175" s="31" t="inlineStr">
        <is>
          <t>Capacités</t>
        </is>
      </c>
      <c r="B3175" s="34" t="inlineStr">
        <is>
          <t>Buée Noire</t>
        </is>
      </c>
      <c r="C3175" s="34" t="inlineStr">
        <is>
          <t>Grincement</t>
        </is>
      </c>
      <c r="D3175" s="34" t="n"/>
      <c r="E3175" s="34" t="n"/>
      <c r="F3175" s="34" t="n"/>
      <c r="G3175" s="34" t="n"/>
      <c r="H3175" s="30" t="inlineStr">
        <is>
          <t>Oui</t>
        </is>
      </c>
    </row>
    <row r="3176">
      <c r="A3176" s="31" t="n"/>
      <c r="B3176" s="34" t="inlineStr">
        <is>
          <t>Choc Venin</t>
        </is>
      </c>
      <c r="C3176" s="34" t="inlineStr">
        <is>
          <t>Détricanon</t>
        </is>
      </c>
      <c r="D3176" s="34" t="n"/>
      <c r="E3176" s="34" t="n"/>
      <c r="F3176" s="34" t="n"/>
      <c r="G3176" s="34" t="n"/>
      <c r="H3176" s="30" t="inlineStr">
        <is>
          <t>Oui</t>
        </is>
      </c>
    </row>
    <row r="3177">
      <c r="A3177" s="31" t="n"/>
      <c r="B3177" s="34" t="inlineStr">
        <is>
          <t>Lame d'Air</t>
        </is>
      </c>
      <c r="C3177" s="34" t="inlineStr">
        <is>
          <t>Acidarmure</t>
        </is>
      </c>
      <c r="D3177" s="34" t="n"/>
      <c r="E3177" s="34" t="n"/>
      <c r="F3177" s="34" t="n"/>
      <c r="G3177" s="34" t="n"/>
      <c r="H3177" s="30" t="inlineStr">
        <is>
          <t>Oui</t>
        </is>
      </c>
    </row>
    <row r="3178">
      <c r="A3178" s="31" t="n"/>
      <c r="B3178" s="34" t="inlineStr">
        <is>
          <t>Prévention</t>
        </is>
      </c>
      <c r="C3178" s="34" t="inlineStr">
        <is>
          <t>Éructation</t>
        </is>
      </c>
      <c r="D3178" s="34" t="n"/>
      <c r="E3178" s="34" t="n"/>
      <c r="F3178" s="34" t="n"/>
      <c r="G3178" s="34" t="n"/>
      <c r="H3178" s="30" t="inlineStr">
        <is>
          <t>Oui</t>
        </is>
      </c>
    </row>
    <row r="3179">
      <c r="A3179" s="31" t="inlineStr">
        <is>
          <t>Nom</t>
        </is>
      </c>
      <c r="B3179" s="32" t="inlineStr">
        <is>
          <t>Intello Edouard</t>
        </is>
      </c>
      <c r="C3179" s="32" t="n"/>
      <c r="D3179" s="32" t="n"/>
      <c r="E3179" s="32" t="n"/>
      <c r="F3179" s="32" t="n"/>
      <c r="G3179" s="32" t="n"/>
      <c r="H3179" s="30" t="inlineStr">
        <is>
          <t>Oui</t>
        </is>
      </c>
    </row>
    <row r="3180">
      <c r="A3180" s="31" t="inlineStr">
        <is>
          <t>Pokémon</t>
        </is>
      </c>
      <c r="B3180" s="33" t="inlineStr">
        <is>
          <t>PORYGON2</t>
        </is>
      </c>
      <c r="C3180" s="33" t="n"/>
      <c r="D3180" s="33" t="n"/>
      <c r="E3180" s="33" t="n"/>
      <c r="F3180" s="33" t="n"/>
      <c r="G3180" s="33" t="n"/>
      <c r="H3180" s="30" t="inlineStr">
        <is>
          <t>Oui</t>
        </is>
      </c>
    </row>
    <row r="3181">
      <c r="A3181" s="31" t="inlineStr">
        <is>
          <t>Niveau</t>
        </is>
      </c>
      <c r="B3181" s="33" t="n">
        <v>62</v>
      </c>
      <c r="C3181" s="33" t="n"/>
      <c r="D3181" s="33" t="n"/>
      <c r="E3181" s="33" t="n"/>
      <c r="F3181" s="33" t="n"/>
      <c r="G3181" s="33" t="n"/>
      <c r="H3181" s="30" t="inlineStr">
        <is>
          <t>Oui</t>
        </is>
      </c>
    </row>
    <row r="3182">
      <c r="A3182" s="31" t="inlineStr">
        <is>
          <t>Objet</t>
        </is>
      </c>
      <c r="B3182" s="33" t="inlineStr">
        <is>
          <t>Aucun</t>
        </is>
      </c>
      <c r="C3182" s="33" t="n"/>
      <c r="D3182" s="33" t="n"/>
      <c r="E3182" s="33" t="n"/>
      <c r="F3182" s="33" t="n"/>
      <c r="G3182" s="33" t="n"/>
      <c r="H3182" s="30" t="inlineStr">
        <is>
          <t>Oui</t>
        </is>
      </c>
    </row>
    <row r="3183">
      <c r="A3183" s="31" t="inlineStr">
        <is>
          <t>Talent</t>
        </is>
      </c>
      <c r="B3183" s="33" t="inlineStr">
        <is>
          <t>Calque</t>
        </is>
      </c>
      <c r="C3183" s="33" t="n"/>
      <c r="D3183" s="33" t="n"/>
      <c r="E3183" s="33" t="n"/>
      <c r="F3183" s="33" t="n"/>
      <c r="G3183" s="33" t="n"/>
      <c r="H3183" s="30" t="inlineStr">
        <is>
          <t>Oui</t>
        </is>
      </c>
    </row>
    <row r="3184">
      <c r="A3184" s="31" t="inlineStr">
        <is>
          <t>Capacités</t>
        </is>
      </c>
      <c r="B3184" s="34" t="inlineStr">
        <is>
          <t>Verrouillage</t>
        </is>
      </c>
      <c r="C3184" s="34" t="n"/>
      <c r="D3184" s="34" t="n"/>
      <c r="E3184" s="34" t="n"/>
      <c r="F3184" s="34" t="n"/>
      <c r="G3184" s="34" t="n"/>
      <c r="H3184" s="30" t="inlineStr">
        <is>
          <t>Oui</t>
        </is>
      </c>
    </row>
    <row r="3185">
      <c r="A3185" s="31" t="n"/>
      <c r="B3185" s="34" t="inlineStr">
        <is>
          <t>Triplattaque</t>
        </is>
      </c>
      <c r="C3185" s="34" t="n"/>
      <c r="D3185" s="34" t="n"/>
      <c r="E3185" s="34" t="n"/>
      <c r="F3185" s="34" t="n"/>
      <c r="G3185" s="34" t="n"/>
      <c r="H3185" s="30" t="inlineStr">
        <is>
          <t>Oui</t>
        </is>
      </c>
    </row>
    <row r="3186">
      <c r="A3186" s="31" t="n"/>
      <c r="B3186" s="34" t="inlineStr">
        <is>
          <t>Reflet Magik</t>
        </is>
      </c>
      <c r="C3186" s="34" t="n"/>
      <c r="D3186" s="34" t="n"/>
      <c r="E3186" s="34" t="n"/>
      <c r="F3186" s="34" t="n"/>
      <c r="G3186" s="34" t="n"/>
      <c r="H3186" s="30" t="inlineStr">
        <is>
          <t>Oui</t>
        </is>
      </c>
    </row>
    <row r="3187">
      <c r="A3187" s="31" t="n"/>
      <c r="B3187" s="34" t="inlineStr">
        <is>
          <t>Élecanon</t>
        </is>
      </c>
      <c r="C3187" s="34" t="n"/>
      <c r="D3187" s="34" t="n"/>
      <c r="E3187" s="34" t="n"/>
      <c r="F3187" s="34" t="n"/>
      <c r="G3187" s="34" t="n"/>
      <c r="H3187" s="30" t="inlineStr">
        <is>
          <t>Oui</t>
        </is>
      </c>
    </row>
    <row r="3188">
      <c r="A3188" s="31" t="inlineStr">
        <is>
          <t>Nom</t>
        </is>
      </c>
      <c r="B3188" s="32" t="inlineStr">
        <is>
          <t>Intello Adrien</t>
        </is>
      </c>
      <c r="C3188" s="32" t="n"/>
      <c r="D3188" s="32" t="n"/>
      <c r="E3188" s="32" t="n"/>
      <c r="F3188" s="32" t="n"/>
      <c r="G3188" s="32" t="n"/>
      <c r="H3188" s="30" t="inlineStr">
        <is>
          <t>Oui</t>
        </is>
      </c>
    </row>
    <row r="3189">
      <c r="A3189" s="31" t="inlineStr">
        <is>
          <t>Pokémon</t>
        </is>
      </c>
      <c r="B3189" s="33" t="inlineStr">
        <is>
          <t>MAGNETI</t>
        </is>
      </c>
      <c r="C3189" s="33" t="inlineStr">
        <is>
          <t>MAGNETI</t>
        </is>
      </c>
      <c r="D3189" s="33" t="inlineStr">
        <is>
          <t>STEELIX</t>
        </is>
      </c>
      <c r="E3189" s="33" t="n"/>
      <c r="F3189" s="33" t="n"/>
      <c r="G3189" s="33" t="n"/>
      <c r="H3189" s="30" t="inlineStr">
        <is>
          <t>Oui</t>
        </is>
      </c>
    </row>
    <row r="3190">
      <c r="A3190" s="31" t="inlineStr">
        <is>
          <t>Niveau</t>
        </is>
      </c>
      <c r="B3190" s="33" t="n">
        <v>56</v>
      </c>
      <c r="C3190" s="33" t="n">
        <v>56</v>
      </c>
      <c r="D3190" s="33" t="n">
        <v>56</v>
      </c>
      <c r="E3190" s="33" t="n"/>
      <c r="F3190" s="33" t="n"/>
      <c r="G3190" s="33" t="n"/>
      <c r="H3190" s="30" t="inlineStr">
        <is>
          <t>Oui</t>
        </is>
      </c>
    </row>
    <row r="3191">
      <c r="A3191" s="31" t="inlineStr">
        <is>
          <t>Objet</t>
        </is>
      </c>
      <c r="B3191" s="33" t="inlineStr">
        <is>
          <t>Aucun</t>
        </is>
      </c>
      <c r="C3191" s="33" t="inlineStr">
        <is>
          <t>Aucun</t>
        </is>
      </c>
      <c r="D3191" s="33" t="inlineStr">
        <is>
          <t>Aucun</t>
        </is>
      </c>
      <c r="E3191" s="33" t="n"/>
      <c r="F3191" s="33" t="n"/>
      <c r="G3191" s="33" t="n"/>
      <c r="H3191" s="30" t="inlineStr">
        <is>
          <t>Oui</t>
        </is>
      </c>
    </row>
    <row r="3192">
      <c r="A3192" s="31" t="inlineStr">
        <is>
          <t>Talent</t>
        </is>
      </c>
      <c r="B3192" s="33" t="inlineStr">
        <is>
          <t>Magnépiège</t>
        </is>
      </c>
      <c r="C3192" s="33" t="inlineStr">
        <is>
          <t>Magnépiège</t>
        </is>
      </c>
      <c r="D3192" s="33" t="inlineStr">
        <is>
          <t>Tête de Roc</t>
        </is>
      </c>
      <c r="E3192" s="33" t="n"/>
      <c r="F3192" s="33" t="n"/>
      <c r="G3192" s="33" t="n"/>
      <c r="H3192" s="30" t="inlineStr">
        <is>
          <t>Oui</t>
        </is>
      </c>
    </row>
    <row r="3193">
      <c r="A3193" s="31" t="inlineStr">
        <is>
          <t>Capacités</t>
        </is>
      </c>
      <c r="B3193" s="34" t="inlineStr">
        <is>
          <t>Verrouillage</t>
        </is>
      </c>
      <c r="C3193" s="34" t="inlineStr">
        <is>
          <t>Verrouillage</t>
        </is>
      </c>
      <c r="D3193" s="34" t="inlineStr">
        <is>
          <t>Lame de Roc</t>
        </is>
      </c>
      <c r="E3193" s="34" t="n"/>
      <c r="F3193" s="34" t="n"/>
      <c r="G3193" s="34" t="n"/>
      <c r="H3193" s="30" t="inlineStr">
        <is>
          <t>Oui</t>
        </is>
      </c>
    </row>
    <row r="3194">
      <c r="A3194" s="31" t="n"/>
      <c r="B3194" s="34" t="inlineStr">
        <is>
          <t>Vol Magnétik</t>
        </is>
      </c>
      <c r="C3194" s="34" t="inlineStr">
        <is>
          <t>Vol Magnétik</t>
        </is>
      </c>
      <c r="D3194" s="34" t="inlineStr">
        <is>
          <t>Damoclès</t>
        </is>
      </c>
      <c r="E3194" s="34" t="n"/>
      <c r="F3194" s="34" t="n"/>
      <c r="G3194" s="34" t="n"/>
      <c r="H3194" s="30" t="inlineStr">
        <is>
          <t>Oui</t>
        </is>
      </c>
    </row>
    <row r="3195">
      <c r="A3195" s="31" t="n"/>
      <c r="B3195" s="34" t="inlineStr">
        <is>
          <t>Gyroballe</t>
        </is>
      </c>
      <c r="C3195" s="34" t="inlineStr">
        <is>
          <t>Gyroballe</t>
        </is>
      </c>
      <c r="D3195" s="34" t="inlineStr">
        <is>
          <t>Tempête de Sable</t>
        </is>
      </c>
      <c r="E3195" s="34" t="n"/>
      <c r="F3195" s="34" t="n"/>
      <c r="G3195" s="34" t="n"/>
      <c r="H3195" s="30" t="inlineStr">
        <is>
          <t>Oui</t>
        </is>
      </c>
    </row>
    <row r="3196">
      <c r="A3196" s="31" t="n"/>
      <c r="B3196" s="34" t="inlineStr">
        <is>
          <t>Élecanon</t>
        </is>
      </c>
      <c r="C3196" s="34" t="inlineStr">
        <is>
          <t>Élecanon</t>
        </is>
      </c>
      <c r="D3196" s="34" t="inlineStr">
        <is>
          <t>Tête de Fer</t>
        </is>
      </c>
      <c r="E3196" s="34" t="n"/>
      <c r="F3196" s="34" t="n"/>
      <c r="G3196" s="34" t="n"/>
      <c r="H3196" s="30" t="inlineStr">
        <is>
          <t>Oui</t>
        </is>
      </c>
    </row>
    <row r="3197" ht="18" customHeight="1">
      <c r="A3197" s="26" t="inlineStr">
        <is>
          <t>Route 10</t>
        </is>
      </c>
      <c r="B3197" s="26" t="n"/>
      <c r="C3197" s="26" t="n"/>
      <c r="D3197" s="26" t="n"/>
      <c r="E3197" s="26" t="n"/>
      <c r="F3197" s="26" t="n"/>
      <c r="G3197" s="26" t="n"/>
      <c r="H3197" s="30" t="inlineStr">
        <is>
          <t>Oui</t>
        </is>
      </c>
    </row>
    <row r="3198">
      <c r="A3198" s="31" t="inlineStr">
        <is>
          <t>Nom</t>
        </is>
      </c>
      <c r="B3198" s="32" t="inlineStr">
        <is>
          <t>Montagnard Albin</t>
        </is>
      </c>
      <c r="C3198" s="32" t="n"/>
      <c r="D3198" s="32" t="n"/>
      <c r="E3198" s="32" t="n"/>
      <c r="F3198" s="32" t="n"/>
      <c r="G3198" s="32" t="n"/>
      <c r="H3198" s="30" t="inlineStr">
        <is>
          <t>Oui</t>
        </is>
      </c>
    </row>
    <row r="3199">
      <c r="A3199" s="31" t="inlineStr">
        <is>
          <t>Pokémon</t>
        </is>
      </c>
      <c r="B3199" s="33" t="inlineStr">
        <is>
          <t>MACKOGNEUR</t>
        </is>
      </c>
      <c r="C3199" s="33" t="n"/>
      <c r="D3199" s="33" t="n"/>
      <c r="E3199" s="33" t="n"/>
      <c r="F3199" s="33" t="n"/>
      <c r="G3199" s="33" t="n"/>
      <c r="H3199" s="30" t="inlineStr">
        <is>
          <t>Oui</t>
        </is>
      </c>
    </row>
    <row r="3200">
      <c r="A3200" s="31" t="inlineStr">
        <is>
          <t>Niveau</t>
        </is>
      </c>
      <c r="B3200" s="33" t="n">
        <v>58</v>
      </c>
      <c r="C3200" s="33" t="n"/>
      <c r="D3200" s="33" t="n"/>
      <c r="E3200" s="33" t="n"/>
      <c r="F3200" s="33" t="n"/>
      <c r="G3200" s="33" t="n"/>
      <c r="H3200" s="30" t="inlineStr">
        <is>
          <t>Oui</t>
        </is>
      </c>
    </row>
    <row r="3201">
      <c r="A3201" s="31" t="inlineStr">
        <is>
          <t>Objet</t>
        </is>
      </c>
      <c r="B3201" s="33" t="inlineStr">
        <is>
          <t>Aucun</t>
        </is>
      </c>
      <c r="C3201" s="33" t="n"/>
      <c r="D3201" s="33" t="n"/>
      <c r="E3201" s="33" t="n"/>
      <c r="F3201" s="33" t="n"/>
      <c r="G3201" s="33" t="n"/>
      <c r="H3201" s="30" t="inlineStr">
        <is>
          <t>Oui</t>
        </is>
      </c>
    </row>
    <row r="3202">
      <c r="A3202" s="31" t="inlineStr">
        <is>
          <t>Talent</t>
        </is>
      </c>
      <c r="B3202" s="33" t="inlineStr">
        <is>
          <t>Cran</t>
        </is>
      </c>
      <c r="C3202" s="33" t="n"/>
      <c r="D3202" s="33" t="n"/>
      <c r="E3202" s="33" t="n"/>
      <c r="F3202" s="33" t="n"/>
      <c r="G3202" s="33" t="n"/>
      <c r="H3202" s="30" t="inlineStr">
        <is>
          <t>Oui</t>
        </is>
      </c>
    </row>
    <row r="3203">
      <c r="A3203" s="31" t="inlineStr">
        <is>
          <t>Capacités</t>
        </is>
      </c>
      <c r="B3203" s="34" t="inlineStr">
        <is>
          <t>Gonflette</t>
        </is>
      </c>
      <c r="C3203" s="34" t="n"/>
      <c r="D3203" s="34" t="n"/>
      <c r="E3203" s="34" t="n"/>
      <c r="F3203" s="34" t="n"/>
      <c r="G3203" s="34" t="n"/>
      <c r="H3203" s="30" t="inlineStr">
        <is>
          <t>Oui</t>
        </is>
      </c>
    </row>
    <row r="3204">
      <c r="A3204" s="31" t="n"/>
      <c r="B3204" s="34" t="inlineStr">
        <is>
          <t>Coup Croix</t>
        </is>
      </c>
      <c r="C3204" s="34" t="n"/>
      <c r="D3204" s="34" t="n"/>
      <c r="E3204" s="34" t="n"/>
      <c r="F3204" s="34" t="n"/>
      <c r="G3204" s="34" t="n"/>
      <c r="H3204" s="30" t="inlineStr">
        <is>
          <t>Oui</t>
        </is>
      </c>
    </row>
    <row r="3205">
      <c r="A3205" s="31" t="n"/>
      <c r="B3205" s="34" t="inlineStr">
        <is>
          <t>Grimace</t>
        </is>
      </c>
      <c r="C3205" s="34" t="n"/>
      <c r="D3205" s="34" t="n"/>
      <c r="E3205" s="34" t="n"/>
      <c r="F3205" s="34" t="n"/>
      <c r="G3205" s="34" t="n"/>
      <c r="H3205" s="30" t="inlineStr">
        <is>
          <t>Oui</t>
        </is>
      </c>
    </row>
    <row r="3206">
      <c r="A3206" s="31" t="n"/>
      <c r="B3206" s="34" t="inlineStr">
        <is>
          <t>Dynamo-Poing</t>
        </is>
      </c>
      <c r="C3206" s="34" t="n"/>
      <c r="D3206" s="34" t="n"/>
      <c r="E3206" s="34" t="n"/>
      <c r="F3206" s="34" t="n"/>
      <c r="G3206" s="34" t="n"/>
      <c r="H3206" s="30" t="inlineStr">
        <is>
          <t>Oui</t>
        </is>
      </c>
    </row>
    <row r="3207">
      <c r="A3207" s="31" t="inlineStr">
        <is>
          <t>Nom</t>
        </is>
      </c>
      <c r="B3207" s="32" t="inlineStr">
        <is>
          <t>Pokéfan Rob</t>
        </is>
      </c>
      <c r="C3207" s="32" t="n"/>
      <c r="D3207" s="32" t="n"/>
      <c r="E3207" s="32" t="n"/>
      <c r="F3207" s="32" t="n"/>
      <c r="G3207" s="32" t="n"/>
      <c r="H3207" s="30" t="inlineStr">
        <is>
          <t>Oui</t>
        </is>
      </c>
    </row>
    <row r="3208">
      <c r="A3208" s="31" t="inlineStr">
        <is>
          <t>Pokémon</t>
        </is>
      </c>
      <c r="B3208" s="33" t="inlineStr">
        <is>
          <t>KANGOUREX</t>
        </is>
      </c>
      <c r="C3208" s="33" t="n"/>
      <c r="D3208" s="33" t="n"/>
      <c r="E3208" s="33" t="n"/>
      <c r="F3208" s="33" t="n"/>
      <c r="G3208" s="33" t="n"/>
      <c r="H3208" s="30" t="inlineStr">
        <is>
          <t>Oui</t>
        </is>
      </c>
    </row>
    <row r="3209">
      <c r="A3209" s="31" t="inlineStr">
        <is>
          <t>Niveau</t>
        </is>
      </c>
      <c r="B3209" s="33" t="n">
        <v>60</v>
      </c>
      <c r="C3209" s="33" t="n"/>
      <c r="D3209" s="33" t="n"/>
      <c r="E3209" s="33" t="n"/>
      <c r="F3209" s="33" t="n"/>
      <c r="G3209" s="33" t="n"/>
      <c r="H3209" s="30" t="inlineStr">
        <is>
          <t>Oui</t>
        </is>
      </c>
    </row>
    <row r="3210">
      <c r="A3210" s="31" t="inlineStr">
        <is>
          <t>Objet</t>
        </is>
      </c>
      <c r="B3210" s="33" t="inlineStr">
        <is>
          <t>Aucun</t>
        </is>
      </c>
      <c r="C3210" s="33" t="n"/>
      <c r="D3210" s="33" t="n"/>
      <c r="E3210" s="33" t="n"/>
      <c r="F3210" s="33" t="n"/>
      <c r="G3210" s="33" t="n"/>
      <c r="H3210" s="30" t="inlineStr">
        <is>
          <t>Oui</t>
        </is>
      </c>
    </row>
    <row r="3211">
      <c r="A3211" s="31" t="inlineStr">
        <is>
          <t>Talent</t>
        </is>
      </c>
      <c r="B3211" s="33" t="inlineStr">
        <is>
          <t>Matinal</t>
        </is>
      </c>
      <c r="C3211" s="33" t="n"/>
      <c r="D3211" s="33" t="n"/>
      <c r="E3211" s="33" t="n"/>
      <c r="F3211" s="33" t="n"/>
      <c r="G3211" s="33" t="n"/>
      <c r="H3211" s="30" t="inlineStr">
        <is>
          <t>Oui</t>
        </is>
      </c>
    </row>
    <row r="3212">
      <c r="A3212" s="31" t="inlineStr">
        <is>
          <t>Capacités</t>
        </is>
      </c>
      <c r="B3212" s="34" t="inlineStr">
        <is>
          <t>Ténacité</t>
        </is>
      </c>
      <c r="C3212" s="34" t="n"/>
      <c r="D3212" s="34" t="n"/>
      <c r="E3212" s="34" t="n"/>
      <c r="F3212" s="34" t="n"/>
      <c r="G3212" s="34" t="n"/>
      <c r="H3212" s="30" t="inlineStr">
        <is>
          <t>Oui</t>
        </is>
      </c>
    </row>
    <row r="3213">
      <c r="A3213" s="31" t="n"/>
      <c r="B3213" s="34" t="inlineStr">
        <is>
          <t>Colère</t>
        </is>
      </c>
      <c r="C3213" s="34" t="n"/>
      <c r="D3213" s="34" t="n"/>
      <c r="E3213" s="34" t="n"/>
      <c r="F3213" s="34" t="n"/>
      <c r="G3213" s="34" t="n"/>
      <c r="H3213" s="30" t="inlineStr">
        <is>
          <t>Oui</t>
        </is>
      </c>
    </row>
    <row r="3214">
      <c r="A3214" s="31" t="n"/>
      <c r="B3214" s="34" t="inlineStr">
        <is>
          <t>Coup Bas</t>
        </is>
      </c>
      <c r="C3214" s="34" t="n"/>
      <c r="D3214" s="34" t="n"/>
      <c r="E3214" s="34" t="n"/>
      <c r="F3214" s="34" t="n"/>
      <c r="G3214" s="34" t="n"/>
      <c r="H3214" s="30" t="inlineStr">
        <is>
          <t>Oui</t>
        </is>
      </c>
    </row>
    <row r="3215">
      <c r="A3215" s="31" t="n"/>
      <c r="B3215" s="34" t="inlineStr">
        <is>
          <t>Contre</t>
        </is>
      </c>
      <c r="C3215" s="34" t="n"/>
      <c r="D3215" s="34" t="n"/>
      <c r="E3215" s="34" t="n"/>
      <c r="F3215" s="34" t="n"/>
      <c r="G3215" s="34" t="n"/>
      <c r="H3215" s="30" t="inlineStr">
        <is>
          <t>Oui</t>
        </is>
      </c>
    </row>
    <row r="3216" ht="18" customHeight="1">
      <c r="A3216" s="26" t="inlineStr">
        <is>
          <t>Route 9</t>
        </is>
      </c>
      <c r="B3216" s="26" t="n"/>
      <c r="C3216" s="26" t="n"/>
      <c r="D3216" s="26" t="n"/>
      <c r="E3216" s="26" t="n"/>
      <c r="F3216" s="26" t="n"/>
      <c r="G3216" s="26" t="n"/>
      <c r="H3216" s="30" t="inlineStr">
        <is>
          <t>Oui</t>
        </is>
      </c>
    </row>
    <row r="3217">
      <c r="A3217" s="31" t="inlineStr">
        <is>
          <t>Nom</t>
        </is>
      </c>
      <c r="B3217" s="32" t="inlineStr">
        <is>
          <t>Campeur Jeannot</t>
        </is>
      </c>
      <c r="C3217" s="32" t="n"/>
      <c r="D3217" s="32" t="n"/>
      <c r="E3217" s="32" t="n"/>
      <c r="F3217" s="32" t="n"/>
      <c r="G3217" s="32" t="n"/>
      <c r="H3217" s="30" t="inlineStr">
        <is>
          <t>Oui</t>
        </is>
      </c>
    </row>
    <row r="3218">
      <c r="A3218" s="31" t="inlineStr">
        <is>
          <t>Pokémon</t>
        </is>
      </c>
      <c r="B3218" s="33" t="inlineStr">
        <is>
          <t>SCARHINO</t>
        </is>
      </c>
      <c r="C3218" s="33" t="inlineStr">
        <is>
          <t>KANGOUREX</t>
        </is>
      </c>
      <c r="D3218" s="33" t="n"/>
      <c r="E3218" s="33" t="n"/>
      <c r="F3218" s="33" t="n"/>
      <c r="G3218" s="33" t="n"/>
      <c r="H3218" s="30" t="inlineStr">
        <is>
          <t>Oui</t>
        </is>
      </c>
    </row>
    <row r="3219">
      <c r="A3219" s="31" t="inlineStr">
        <is>
          <t>Niveau</t>
        </is>
      </c>
      <c r="B3219" s="33" t="n">
        <v>56</v>
      </c>
      <c r="C3219" s="33" t="n">
        <v>57</v>
      </c>
      <c r="D3219" s="33" t="n"/>
      <c r="E3219" s="33" t="n"/>
      <c r="F3219" s="33" t="n"/>
      <c r="G3219" s="33" t="n"/>
      <c r="H3219" s="30" t="inlineStr">
        <is>
          <t>Oui</t>
        </is>
      </c>
    </row>
    <row r="3220">
      <c r="A3220" s="31" t="inlineStr">
        <is>
          <t>Objet</t>
        </is>
      </c>
      <c r="B3220" s="33" t="inlineStr">
        <is>
          <t>Aucun</t>
        </is>
      </c>
      <c r="C3220" s="33" t="inlineStr">
        <is>
          <t>Aucun</t>
        </is>
      </c>
      <c r="D3220" s="33" t="n"/>
      <c r="E3220" s="33" t="n"/>
      <c r="F3220" s="33" t="n"/>
      <c r="G3220" s="33" t="n"/>
      <c r="H3220" s="30" t="inlineStr">
        <is>
          <t>Oui</t>
        </is>
      </c>
    </row>
    <row r="3221">
      <c r="A3221" s="31" t="inlineStr">
        <is>
          <t>Talent</t>
        </is>
      </c>
      <c r="B3221" s="33" t="inlineStr">
        <is>
          <t>Essaim</t>
        </is>
      </c>
      <c r="C3221" s="33" t="inlineStr">
        <is>
          <t>Matinal</t>
        </is>
      </c>
      <c r="D3221" s="33" t="n"/>
      <c r="E3221" s="33" t="n"/>
      <c r="F3221" s="33" t="n"/>
      <c r="G3221" s="33" t="n"/>
      <c r="H3221" s="30" t="inlineStr">
        <is>
          <t>Oui</t>
        </is>
      </c>
    </row>
    <row r="3222">
      <c r="A3222" s="31" t="inlineStr">
        <is>
          <t>Capacités</t>
        </is>
      </c>
      <c r="B3222" s="34" t="inlineStr">
        <is>
          <t>Bélier</t>
        </is>
      </c>
      <c r="C3222" s="34" t="inlineStr">
        <is>
          <t>Ténacité</t>
        </is>
      </c>
      <c r="D3222" s="34" t="n"/>
      <c r="E3222" s="34" t="n"/>
      <c r="F3222" s="34" t="n"/>
      <c r="G3222" s="34" t="n"/>
      <c r="H3222" s="30" t="inlineStr">
        <is>
          <t>Oui</t>
        </is>
      </c>
    </row>
    <row r="3223">
      <c r="A3223" s="31" t="n"/>
      <c r="B3223" s="34" t="inlineStr">
        <is>
          <t>Mégacorne</t>
        </is>
      </c>
      <c r="C3223" s="34" t="inlineStr">
        <is>
          <t>Colère</t>
        </is>
      </c>
      <c r="D3223" s="34" t="n"/>
      <c r="E3223" s="34" t="n"/>
      <c r="F3223" s="34" t="n"/>
      <c r="G3223" s="34" t="n"/>
      <c r="H3223" s="30" t="inlineStr">
        <is>
          <t>Oui</t>
        </is>
      </c>
    </row>
    <row r="3224">
      <c r="A3224" s="31" t="n"/>
      <c r="B3224" s="34" t="inlineStr">
        <is>
          <t>Close Combat</t>
        </is>
      </c>
      <c r="C3224" s="34" t="inlineStr">
        <is>
          <t>Coup Bas</t>
        </is>
      </c>
      <c r="D3224" s="34" t="n"/>
      <c r="E3224" s="34" t="n"/>
      <c r="F3224" s="34" t="n"/>
      <c r="G3224" s="34" t="n"/>
      <c r="H3224" s="30" t="inlineStr">
        <is>
          <t>Oui</t>
        </is>
      </c>
    </row>
    <row r="3225">
      <c r="A3225" s="31" t="n"/>
      <c r="B3225" s="34" t="inlineStr">
        <is>
          <t>Contre</t>
        </is>
      </c>
      <c r="C3225" s="34" t="inlineStr">
        <is>
          <t>Contre</t>
        </is>
      </c>
      <c r="D3225" s="34" t="n"/>
      <c r="E3225" s="34" t="n"/>
      <c r="F3225" s="34" t="n"/>
      <c r="G3225" s="34" t="n"/>
      <c r="H3225" s="30" t="inlineStr">
        <is>
          <t>Oui</t>
        </is>
      </c>
    </row>
    <row r="3226">
      <c r="A3226" s="31" t="inlineStr">
        <is>
          <t>Nom</t>
        </is>
      </c>
      <c r="B3226" s="32" t="inlineStr">
        <is>
          <t>Pique-Nique Paule</t>
        </is>
      </c>
      <c r="C3226" s="32" t="n"/>
      <c r="D3226" s="32" t="n"/>
      <c r="E3226" s="32" t="n"/>
      <c r="F3226" s="32" t="n"/>
      <c r="G3226" s="32" t="n"/>
      <c r="H3226" s="30" t="inlineStr">
        <is>
          <t>Oui</t>
        </is>
      </c>
    </row>
    <row r="3227">
      <c r="A3227" s="31" t="inlineStr">
        <is>
          <t>Pokémon</t>
        </is>
      </c>
      <c r="B3227" s="33" t="inlineStr">
        <is>
          <t>COTOVOL</t>
        </is>
      </c>
      <c r="C3227" s="33" t="inlineStr">
        <is>
          <t>HYPOCEAN</t>
        </is>
      </c>
      <c r="D3227" s="33" t="n"/>
      <c r="E3227" s="33" t="n"/>
      <c r="F3227" s="33" t="n"/>
      <c r="G3227" s="33" t="n"/>
      <c r="H3227" s="30" t="inlineStr">
        <is>
          <t>Oui</t>
        </is>
      </c>
    </row>
    <row r="3228">
      <c r="A3228" s="31" t="inlineStr">
        <is>
          <t>Niveau</t>
        </is>
      </c>
      <c r="B3228" s="33" t="n">
        <v>56</v>
      </c>
      <c r="C3228" s="33" t="n">
        <v>58</v>
      </c>
      <c r="D3228" s="33" t="n"/>
      <c r="E3228" s="33" t="n"/>
      <c r="F3228" s="33" t="n"/>
      <c r="G3228" s="33" t="n"/>
      <c r="H3228" s="30" t="inlineStr">
        <is>
          <t>Oui</t>
        </is>
      </c>
    </row>
    <row r="3229">
      <c r="A3229" s="31" t="inlineStr">
        <is>
          <t>Objet</t>
        </is>
      </c>
      <c r="B3229" s="33" t="inlineStr">
        <is>
          <t>Aucun</t>
        </is>
      </c>
      <c r="C3229" s="33" t="inlineStr">
        <is>
          <t>Aucun</t>
        </is>
      </c>
      <c r="D3229" s="33" t="n"/>
      <c r="E3229" s="33" t="n"/>
      <c r="F3229" s="33" t="n"/>
      <c r="G3229" s="33" t="n"/>
      <c r="H3229" s="30" t="inlineStr">
        <is>
          <t>Oui</t>
        </is>
      </c>
    </row>
    <row r="3230">
      <c r="A3230" s="31" t="inlineStr">
        <is>
          <t>Talent</t>
        </is>
      </c>
      <c r="B3230" s="33" t="inlineStr">
        <is>
          <t>Chlorophylle</t>
        </is>
      </c>
      <c r="C3230" s="33" t="inlineStr">
        <is>
          <t>Point Poison</t>
        </is>
      </c>
      <c r="D3230" s="33" t="n"/>
      <c r="E3230" s="33" t="n"/>
      <c r="F3230" s="33" t="n"/>
      <c r="G3230" s="33" t="n"/>
      <c r="H3230" s="30" t="inlineStr">
        <is>
          <t>Oui</t>
        </is>
      </c>
    </row>
    <row r="3231">
      <c r="A3231" s="31" t="inlineStr">
        <is>
          <t>Capacités</t>
        </is>
      </c>
      <c r="B3231" s="34" t="inlineStr">
        <is>
          <t>Poudre Fureur</t>
        </is>
      </c>
      <c r="C3231" s="34" t="inlineStr">
        <is>
          <t>Saumure</t>
        </is>
      </c>
      <c r="D3231" s="34" t="n"/>
      <c r="E3231" s="34" t="n"/>
      <c r="F3231" s="34" t="n"/>
      <c r="G3231" s="34" t="n"/>
      <c r="H3231" s="30" t="inlineStr">
        <is>
          <t>Oui</t>
        </is>
      </c>
    </row>
    <row r="3232">
      <c r="A3232" s="31" t="n"/>
      <c r="B3232" s="34" t="inlineStr">
        <is>
          <t>Spore Coton</t>
        </is>
      </c>
      <c r="C3232" s="34" t="inlineStr">
        <is>
          <t>Hâte</t>
        </is>
      </c>
      <c r="D3232" s="34" t="n"/>
      <c r="E3232" s="34" t="n"/>
      <c r="F3232" s="34" t="n"/>
      <c r="G3232" s="34" t="n"/>
      <c r="H3232" s="30" t="inlineStr">
        <is>
          <t>Oui</t>
        </is>
      </c>
    </row>
    <row r="3233">
      <c r="A3233" s="31" t="n"/>
      <c r="B3233" s="34" t="inlineStr">
        <is>
          <t>Demi-Tour</t>
        </is>
      </c>
      <c r="C3233" s="34" t="inlineStr">
        <is>
          <t>Draco-Choc</t>
        </is>
      </c>
      <c r="D3233" s="34" t="n"/>
      <c r="E3233" s="34" t="n"/>
      <c r="F3233" s="34" t="n"/>
      <c r="G3233" s="34" t="n"/>
      <c r="H3233" s="30" t="inlineStr">
        <is>
          <t>Oui</t>
        </is>
      </c>
    </row>
    <row r="3234">
      <c r="A3234" s="31" t="n"/>
      <c r="B3234" s="34" t="inlineStr">
        <is>
          <t>Soucigraine</t>
        </is>
      </c>
      <c r="C3234" s="34" t="inlineStr">
        <is>
          <t>Danse Draco</t>
        </is>
      </c>
      <c r="D3234" s="34" t="n"/>
      <c r="E3234" s="34" t="n"/>
      <c r="F3234" s="34" t="n"/>
      <c r="G3234" s="34" t="n"/>
      <c r="H3234" s="30" t="inlineStr">
        <is>
          <t>Oui</t>
        </is>
      </c>
    </row>
    <row r="3235">
      <c r="A3235" s="31" t="inlineStr">
        <is>
          <t>Nom</t>
        </is>
      </c>
      <c r="B3235" s="32" t="inlineStr">
        <is>
          <t>Pique-Nique Edna</t>
        </is>
      </c>
      <c r="C3235" s="32" t="n"/>
      <c r="D3235" s="32" t="n"/>
      <c r="E3235" s="32" t="n"/>
      <c r="F3235" s="32" t="n"/>
      <c r="G3235" s="32" t="n"/>
      <c r="H3235" s="30" t="inlineStr">
        <is>
          <t>Oui</t>
        </is>
      </c>
    </row>
    <row r="3236">
      <c r="A3236" s="31" t="inlineStr">
        <is>
          <t>Pokémon</t>
        </is>
      </c>
      <c r="B3236" s="33" t="inlineStr">
        <is>
          <t>NIDOQUEEN</t>
        </is>
      </c>
      <c r="C3236" s="33" t="inlineStr">
        <is>
          <t>RAICHU</t>
        </is>
      </c>
      <c r="D3236" s="33" t="n"/>
      <c r="E3236" s="33" t="n"/>
      <c r="F3236" s="33" t="n"/>
      <c r="G3236" s="33" t="n"/>
      <c r="H3236" s="30" t="inlineStr">
        <is>
          <t>Oui</t>
        </is>
      </c>
    </row>
    <row r="3237">
      <c r="A3237" s="31" t="inlineStr">
        <is>
          <t>Niveau</t>
        </is>
      </c>
      <c r="B3237" s="33" t="n">
        <v>56</v>
      </c>
      <c r="C3237" s="33" t="n">
        <v>56</v>
      </c>
      <c r="D3237" s="33" t="n"/>
      <c r="E3237" s="33" t="n"/>
      <c r="F3237" s="33" t="n"/>
      <c r="G3237" s="33" t="n"/>
      <c r="H3237" s="30" t="inlineStr">
        <is>
          <t>Oui</t>
        </is>
      </c>
    </row>
    <row r="3238">
      <c r="A3238" s="31" t="inlineStr">
        <is>
          <t>Objet</t>
        </is>
      </c>
      <c r="B3238" s="33" t="inlineStr">
        <is>
          <t>Aucun</t>
        </is>
      </c>
      <c r="C3238" s="33" t="inlineStr">
        <is>
          <t>Aucun</t>
        </is>
      </c>
      <c r="D3238" s="33" t="n"/>
      <c r="E3238" s="33" t="n"/>
      <c r="F3238" s="33" t="n"/>
      <c r="G3238" s="33" t="n"/>
      <c r="H3238" s="30" t="inlineStr">
        <is>
          <t>Oui</t>
        </is>
      </c>
    </row>
    <row r="3239">
      <c r="A3239" s="31" t="inlineStr">
        <is>
          <t>Talent</t>
        </is>
      </c>
      <c r="B3239" s="33" t="inlineStr">
        <is>
          <t>Point Poison</t>
        </is>
      </c>
      <c r="C3239" s="33" t="inlineStr">
        <is>
          <t>Statik</t>
        </is>
      </c>
      <c r="D3239" s="33" t="n"/>
      <c r="E3239" s="33" t="n"/>
      <c r="F3239" s="33" t="n"/>
      <c r="G3239" s="33" t="n"/>
      <c r="H3239" s="30" t="inlineStr">
        <is>
          <t>Oui</t>
        </is>
      </c>
    </row>
    <row r="3240">
      <c r="A3240" s="31" t="inlineStr">
        <is>
          <t>Capacités</t>
        </is>
      </c>
      <c r="B3240" s="34" t="inlineStr">
        <is>
          <t>Plaquage</t>
        </is>
      </c>
      <c r="C3240" s="34" t="inlineStr">
        <is>
          <t>Souplesse</t>
        </is>
      </c>
      <c r="D3240" s="34" t="n"/>
      <c r="E3240" s="34" t="n"/>
      <c r="F3240" s="34" t="n"/>
      <c r="G3240" s="34" t="n"/>
      <c r="H3240" s="30" t="inlineStr">
        <is>
          <t>Oui</t>
        </is>
      </c>
    </row>
    <row r="3241">
      <c r="A3241" s="31" t="n"/>
      <c r="B3241" s="34" t="inlineStr">
        <is>
          <t>Poison Croix</t>
        </is>
      </c>
      <c r="C3241" s="34" t="inlineStr">
        <is>
          <t>Queue de Fer</t>
        </is>
      </c>
      <c r="D3241" s="34" t="n"/>
      <c r="E3241" s="34" t="n"/>
      <c r="F3241" s="34" t="n"/>
      <c r="G3241" s="34" t="n"/>
      <c r="H3241" s="30" t="inlineStr">
        <is>
          <t>Oui</t>
        </is>
      </c>
    </row>
    <row r="3242">
      <c r="A3242" s="31" t="n"/>
      <c r="B3242" s="34" t="inlineStr">
        <is>
          <t>Piétisol</t>
        </is>
      </c>
      <c r="C3242" s="34" t="inlineStr">
        <is>
          <t>Tonnerre</t>
        </is>
      </c>
      <c r="D3242" s="34" t="n"/>
      <c r="E3242" s="34" t="n"/>
      <c r="F3242" s="34" t="n"/>
      <c r="G3242" s="34" t="n"/>
      <c r="H3242" s="30" t="inlineStr">
        <is>
          <t>Oui</t>
        </is>
      </c>
    </row>
    <row r="3243">
      <c r="A3243" s="31" t="n"/>
      <c r="B3243" s="34" t="inlineStr">
        <is>
          <t>Telluriforce</t>
        </is>
      </c>
      <c r="C3243" s="34" t="inlineStr">
        <is>
          <t>Hâte</t>
        </is>
      </c>
      <c r="D3243" s="34" t="n"/>
      <c r="E3243" s="34" t="n"/>
      <c r="F3243" s="34" t="n"/>
      <c r="G3243" s="34" t="n"/>
      <c r="H3243" s="30" t="inlineStr">
        <is>
          <t>Oui</t>
        </is>
      </c>
    </row>
    <row r="3244">
      <c r="A3244" s="31" t="inlineStr">
        <is>
          <t>Nom</t>
        </is>
      </c>
      <c r="B3244" s="32" t="inlineStr">
        <is>
          <t>Campeur Claude</t>
        </is>
      </c>
      <c r="C3244" s="32" t="n"/>
      <c r="D3244" s="32" t="n"/>
      <c r="E3244" s="32" t="n"/>
      <c r="F3244" s="32" t="n"/>
      <c r="G3244" s="32" t="n"/>
      <c r="H3244" s="30" t="inlineStr">
        <is>
          <t>Oui</t>
        </is>
      </c>
    </row>
    <row r="3245">
      <c r="A3245" s="31" t="inlineStr">
        <is>
          <t>Pokémon</t>
        </is>
      </c>
      <c r="B3245" s="33" t="inlineStr">
        <is>
          <t>TRIOPIKEUR</t>
        </is>
      </c>
      <c r="C3245" s="33" t="inlineStr">
        <is>
          <t>COLOSSINGE</t>
        </is>
      </c>
      <c r="D3245" s="33" t="inlineStr">
        <is>
          <t>TARTARD</t>
        </is>
      </c>
      <c r="E3245" s="33" t="n"/>
      <c r="F3245" s="33" t="n"/>
      <c r="G3245" s="33" t="n"/>
      <c r="H3245" s="30" t="inlineStr">
        <is>
          <t>Oui</t>
        </is>
      </c>
    </row>
    <row r="3246">
      <c r="A3246" s="31" t="inlineStr">
        <is>
          <t>Niveau</t>
        </is>
      </c>
      <c r="B3246" s="33" t="n">
        <v>56</v>
      </c>
      <c r="C3246" s="33" t="n">
        <v>55</v>
      </c>
      <c r="D3246" s="33" t="n">
        <v>56</v>
      </c>
      <c r="E3246" s="33" t="n"/>
      <c r="F3246" s="33" t="n"/>
      <c r="G3246" s="33" t="n"/>
      <c r="H3246" s="30" t="inlineStr">
        <is>
          <t>Oui</t>
        </is>
      </c>
    </row>
    <row r="3247">
      <c r="A3247" s="31" t="inlineStr">
        <is>
          <t>Objet</t>
        </is>
      </c>
      <c r="B3247" s="33" t="inlineStr">
        <is>
          <t>Aucun</t>
        </is>
      </c>
      <c r="C3247" s="33" t="inlineStr">
        <is>
          <t>Aucun</t>
        </is>
      </c>
      <c r="D3247" s="33" t="inlineStr">
        <is>
          <t>Aucun</t>
        </is>
      </c>
      <c r="E3247" s="33" t="n"/>
      <c r="F3247" s="33" t="n"/>
      <c r="G3247" s="33" t="n"/>
      <c r="H3247" s="30" t="inlineStr">
        <is>
          <t>Oui</t>
        </is>
      </c>
    </row>
    <row r="3248">
      <c r="A3248" s="31" t="inlineStr">
        <is>
          <t>Talent</t>
        </is>
      </c>
      <c r="B3248" s="33" t="inlineStr">
        <is>
          <t>Voile Sable</t>
        </is>
      </c>
      <c r="C3248" s="33" t="inlineStr">
        <is>
          <t>Esprit Vital</t>
        </is>
      </c>
      <c r="D3248" s="33" t="inlineStr">
        <is>
          <t>Absorbe-Eau</t>
        </is>
      </c>
      <c r="E3248" s="33" t="n"/>
      <c r="F3248" s="33" t="n"/>
      <c r="G3248" s="33" t="n"/>
      <c r="H3248" s="30" t="inlineStr">
        <is>
          <t>Oui</t>
        </is>
      </c>
    </row>
    <row r="3249">
      <c r="A3249" s="31" t="inlineStr">
        <is>
          <t>Capacités</t>
        </is>
      </c>
      <c r="B3249" s="34" t="inlineStr">
        <is>
          <t>Tunnel</t>
        </is>
      </c>
      <c r="C3249" s="34" t="inlineStr">
        <is>
          <t>Close Combat</t>
        </is>
      </c>
      <c r="D3249" s="34" t="inlineStr">
        <is>
          <t>Lire-Esprit</t>
        </is>
      </c>
      <c r="E3249" s="34" t="n"/>
      <c r="F3249" s="34" t="n"/>
      <c r="G3249" s="34" t="n"/>
      <c r="H3249" s="30" t="inlineStr">
        <is>
          <t>Oui</t>
        </is>
      </c>
    </row>
    <row r="3250">
      <c r="A3250" s="31" t="n"/>
      <c r="B3250" s="34" t="inlineStr">
        <is>
          <t>Tranche</t>
        </is>
      </c>
      <c r="C3250" s="34" t="inlineStr">
        <is>
          <t>Grincement</t>
        </is>
      </c>
      <c r="D3250" s="34" t="inlineStr">
        <is>
          <t>Cognobidon</t>
        </is>
      </c>
      <c r="E3250" s="34" t="n"/>
      <c r="F3250" s="34" t="n"/>
      <c r="G3250" s="34" t="n"/>
      <c r="H3250" s="30" t="inlineStr">
        <is>
          <t>Oui</t>
        </is>
      </c>
    </row>
    <row r="3251">
      <c r="A3251" s="31" t="n"/>
      <c r="B3251" s="34" t="inlineStr">
        <is>
          <t>Séisme</t>
        </is>
      </c>
      <c r="C3251" s="34" t="inlineStr">
        <is>
          <t>Trépignement</t>
        </is>
      </c>
      <c r="D3251" s="34" t="inlineStr">
        <is>
          <t>Projection</t>
        </is>
      </c>
      <c r="E3251" s="34" t="n"/>
      <c r="F3251" s="34" t="n"/>
      <c r="G3251" s="34" t="n"/>
      <c r="H3251" s="30" t="inlineStr">
        <is>
          <t>Oui</t>
        </is>
      </c>
    </row>
    <row r="3252">
      <c r="A3252" s="31" t="n"/>
      <c r="B3252" s="34" t="inlineStr">
        <is>
          <t>Abîme</t>
        </is>
      </c>
      <c r="C3252" s="34" t="inlineStr">
        <is>
          <t>Colère</t>
        </is>
      </c>
      <c r="D3252" s="34" t="inlineStr">
        <is>
          <t>Réveil Forcé</t>
        </is>
      </c>
      <c r="E3252" s="34" t="n"/>
      <c r="F3252" s="34" t="n"/>
      <c r="G3252" s="34" t="n"/>
      <c r="H3252" s="30" t="inlineStr">
        <is>
          <t>Oui</t>
        </is>
      </c>
    </row>
    <row r="3253">
      <c r="A3253" s="31" t="inlineStr">
        <is>
          <t>Nom</t>
        </is>
      </c>
      <c r="B3253" s="32" t="inlineStr">
        <is>
          <t>Montagnard Urbain</t>
        </is>
      </c>
      <c r="C3253" s="32" t="n"/>
      <c r="D3253" s="32" t="n"/>
      <c r="E3253" s="32" t="n"/>
      <c r="F3253" s="32" t="n"/>
      <c r="G3253" s="32" t="n"/>
      <c r="H3253" s="30" t="inlineStr">
        <is>
          <t>Oui</t>
        </is>
      </c>
    </row>
    <row r="3254">
      <c r="A3254" s="31" t="inlineStr">
        <is>
          <t>Pokémon</t>
        </is>
      </c>
      <c r="B3254" s="33" t="inlineStr">
        <is>
          <t>GROLEM</t>
        </is>
      </c>
      <c r="C3254" s="33" t="inlineStr">
        <is>
          <t>KABUTOPS</t>
        </is>
      </c>
      <c r="D3254" s="33" t="inlineStr">
        <is>
          <t>MARAISTE</t>
        </is>
      </c>
      <c r="E3254" s="33" t="n"/>
      <c r="F3254" s="33" t="n"/>
      <c r="G3254" s="33" t="n"/>
      <c r="H3254" s="30" t="inlineStr">
        <is>
          <t>Oui</t>
        </is>
      </c>
    </row>
    <row r="3255">
      <c r="A3255" s="31" t="inlineStr">
        <is>
          <t>Niveau</t>
        </is>
      </c>
      <c r="B3255" s="33" t="n">
        <v>55</v>
      </c>
      <c r="C3255" s="33" t="n">
        <v>55</v>
      </c>
      <c r="D3255" s="33" t="n">
        <v>55</v>
      </c>
      <c r="E3255" s="33" t="n"/>
      <c r="F3255" s="33" t="n"/>
      <c r="G3255" s="33" t="n"/>
      <c r="H3255" s="30" t="inlineStr">
        <is>
          <t>Oui</t>
        </is>
      </c>
    </row>
    <row r="3256">
      <c r="A3256" s="31" t="inlineStr">
        <is>
          <t>Objet</t>
        </is>
      </c>
      <c r="B3256" s="33" t="inlineStr">
        <is>
          <t>Aucun</t>
        </is>
      </c>
      <c r="C3256" s="33" t="inlineStr">
        <is>
          <t>Aucun</t>
        </is>
      </c>
      <c r="D3256" s="33" t="inlineStr">
        <is>
          <t>Aucun</t>
        </is>
      </c>
      <c r="E3256" s="33" t="n"/>
      <c r="F3256" s="33" t="n"/>
      <c r="G3256" s="33" t="n"/>
      <c r="H3256" s="30" t="inlineStr">
        <is>
          <t>Oui</t>
        </is>
      </c>
    </row>
    <row r="3257">
      <c r="A3257" s="31" t="inlineStr">
        <is>
          <t>Talent</t>
        </is>
      </c>
      <c r="B3257" s="33" t="inlineStr">
        <is>
          <t>Tête de Roc</t>
        </is>
      </c>
      <c r="C3257" s="33" t="inlineStr">
        <is>
          <t>Glissade</t>
        </is>
      </c>
      <c r="D3257" s="33" t="inlineStr">
        <is>
          <t>Moiteur</t>
        </is>
      </c>
      <c r="E3257" s="33" t="n"/>
      <c r="F3257" s="33" t="n"/>
      <c r="G3257" s="33" t="n"/>
      <c r="H3257" s="30" t="inlineStr">
        <is>
          <t>Oui</t>
        </is>
      </c>
    </row>
    <row r="3258">
      <c r="A3258" s="31" t="inlineStr">
        <is>
          <t>Capacités</t>
        </is>
      </c>
      <c r="B3258" s="34" t="inlineStr">
        <is>
          <t>Séisme</t>
        </is>
      </c>
      <c r="C3258" s="34" t="inlineStr">
        <is>
          <t>Strido-Son</t>
        </is>
      </c>
      <c r="D3258" s="34" t="inlineStr">
        <is>
          <t>Danse Pluie</t>
        </is>
      </c>
      <c r="E3258" s="34" t="n"/>
      <c r="F3258" s="34" t="n"/>
      <c r="G3258" s="34" t="n"/>
      <c r="H3258" s="30" t="inlineStr">
        <is>
          <t>Oui</t>
        </is>
      </c>
    </row>
    <row r="3259">
      <c r="A3259" s="31" t="n"/>
      <c r="B3259" s="34" t="inlineStr">
        <is>
          <t>Explosion</t>
        </is>
      </c>
      <c r="C3259" s="34" t="inlineStr">
        <is>
          <t>Vampigraine</t>
        </is>
      </c>
      <c r="D3259" s="34" t="inlineStr">
        <is>
          <t>Brume</t>
        </is>
      </c>
      <c r="E3259" s="34" t="n"/>
      <c r="F3259" s="34" t="n"/>
      <c r="G3259" s="34" t="n"/>
      <c r="H3259" s="30" t="inlineStr">
        <is>
          <t>Oui</t>
        </is>
      </c>
    </row>
    <row r="3260">
      <c r="A3260" s="31" t="n"/>
      <c r="B3260" s="34" t="inlineStr">
        <is>
          <t>Damoclès</t>
        </is>
      </c>
      <c r="C3260" s="34" t="inlineStr">
        <is>
          <t>Aqua-Brèche</t>
        </is>
      </c>
      <c r="D3260" s="34" t="inlineStr">
        <is>
          <t>Buée Noire</t>
        </is>
      </c>
      <c r="E3260" s="34" t="n"/>
      <c r="F3260" s="34" t="n"/>
      <c r="G3260" s="34" t="n"/>
      <c r="H3260" s="30" t="inlineStr">
        <is>
          <t>Oui</t>
        </is>
      </c>
    </row>
    <row r="3261">
      <c r="A3261" s="31" t="n"/>
      <c r="B3261" s="34" t="inlineStr">
        <is>
          <t>Lame de Roc</t>
        </is>
      </c>
      <c r="C3261" s="34" t="inlineStr">
        <is>
          <t>Pouvoir Antique</t>
        </is>
      </c>
      <c r="D3261" s="34" t="inlineStr">
        <is>
          <t>Ocroupi</t>
        </is>
      </c>
      <c r="E3261" s="34" t="n"/>
      <c r="F3261" s="34" t="n"/>
      <c r="G3261" s="34" t="n"/>
      <c r="H3261" s="30" t="inlineStr">
        <is>
          <t>Oui</t>
        </is>
      </c>
    </row>
    <row r="3262">
      <c r="A3262" s="31" t="inlineStr">
        <is>
          <t>Nom</t>
        </is>
      </c>
      <c r="B3262" s="32" t="inlineStr">
        <is>
          <t>Montagnard Hervé</t>
        </is>
      </c>
      <c r="C3262" s="32" t="n"/>
      <c r="D3262" s="32" t="n"/>
      <c r="E3262" s="32" t="n"/>
      <c r="F3262" s="32" t="n"/>
      <c r="G3262" s="32" t="n"/>
      <c r="H3262" s="30" t="inlineStr">
        <is>
          <t>Oui</t>
        </is>
      </c>
    </row>
    <row r="3263">
      <c r="A3263" s="31" t="inlineStr">
        <is>
          <t>Pokémon</t>
        </is>
      </c>
      <c r="B3263" s="33" t="inlineStr">
        <is>
          <t>TRIOPIKEUR</t>
        </is>
      </c>
      <c r="C3263" s="33" t="inlineStr">
        <is>
          <t>STEELIX</t>
        </is>
      </c>
      <c r="D3263" s="33" t="n"/>
      <c r="E3263" s="33" t="n"/>
      <c r="F3263" s="33" t="n"/>
      <c r="G3263" s="33" t="n"/>
      <c r="H3263" s="30" t="inlineStr">
        <is>
          <t>Oui</t>
        </is>
      </c>
    </row>
    <row r="3264">
      <c r="A3264" s="31" t="inlineStr">
        <is>
          <t>Niveau</t>
        </is>
      </c>
      <c r="B3264" s="33" t="n">
        <v>56</v>
      </c>
      <c r="C3264" s="33" t="n">
        <v>56</v>
      </c>
      <c r="D3264" s="33" t="n"/>
      <c r="E3264" s="33" t="n"/>
      <c r="F3264" s="33" t="n"/>
      <c r="G3264" s="33" t="n"/>
      <c r="H3264" s="30" t="inlineStr">
        <is>
          <t>Oui</t>
        </is>
      </c>
    </row>
    <row r="3265">
      <c r="A3265" s="31" t="inlineStr">
        <is>
          <t>Objet</t>
        </is>
      </c>
      <c r="B3265" s="33" t="inlineStr">
        <is>
          <t>Aucun</t>
        </is>
      </c>
      <c r="C3265" s="33" t="inlineStr">
        <is>
          <t>Aucun</t>
        </is>
      </c>
      <c r="D3265" s="33" t="n"/>
      <c r="E3265" s="33" t="n"/>
      <c r="F3265" s="33" t="n"/>
      <c r="G3265" s="33" t="n"/>
      <c r="H3265" s="30" t="inlineStr">
        <is>
          <t>Oui</t>
        </is>
      </c>
    </row>
    <row r="3266">
      <c r="A3266" s="31" t="inlineStr">
        <is>
          <t>Talent</t>
        </is>
      </c>
      <c r="B3266" s="33" t="inlineStr">
        <is>
          <t>Voile Sable</t>
        </is>
      </c>
      <c r="C3266" s="33" t="inlineStr">
        <is>
          <t>Tête de Roc</t>
        </is>
      </c>
      <c r="D3266" s="33" t="n"/>
      <c r="E3266" s="33" t="n"/>
      <c r="F3266" s="33" t="n"/>
      <c r="G3266" s="33" t="n"/>
      <c r="H3266" s="30" t="inlineStr">
        <is>
          <t>Oui</t>
        </is>
      </c>
    </row>
    <row r="3267">
      <c r="A3267" s="31" t="inlineStr">
        <is>
          <t>Capacités</t>
        </is>
      </c>
      <c r="B3267" s="34" t="inlineStr">
        <is>
          <t>Tunnel</t>
        </is>
      </c>
      <c r="C3267" s="34" t="inlineStr">
        <is>
          <t>Lame de Roc</t>
        </is>
      </c>
      <c r="D3267" s="34" t="n"/>
      <c r="E3267" s="34" t="n"/>
      <c r="F3267" s="34" t="n"/>
      <c r="G3267" s="34" t="n"/>
      <c r="H3267" s="30" t="inlineStr">
        <is>
          <t>Oui</t>
        </is>
      </c>
    </row>
    <row r="3268">
      <c r="A3268" s="31" t="n"/>
      <c r="B3268" s="34" t="inlineStr">
        <is>
          <t>Tranche</t>
        </is>
      </c>
      <c r="C3268" s="34" t="inlineStr">
        <is>
          <t>Damoclès</t>
        </is>
      </c>
      <c r="D3268" s="34" t="n"/>
      <c r="E3268" s="34" t="n"/>
      <c r="F3268" s="34" t="n"/>
      <c r="G3268" s="34" t="n"/>
      <c r="H3268" s="30" t="inlineStr">
        <is>
          <t>Oui</t>
        </is>
      </c>
    </row>
    <row r="3269">
      <c r="A3269" s="31" t="n"/>
      <c r="B3269" s="34" t="inlineStr">
        <is>
          <t>Séisme</t>
        </is>
      </c>
      <c r="C3269" s="34" t="inlineStr">
        <is>
          <t>Tempête de Sable</t>
        </is>
      </c>
      <c r="D3269" s="34" t="n"/>
      <c r="E3269" s="34" t="n"/>
      <c r="F3269" s="34" t="n"/>
      <c r="G3269" s="34" t="n"/>
      <c r="H3269" s="30" t="inlineStr">
        <is>
          <t>Oui</t>
        </is>
      </c>
    </row>
    <row r="3270">
      <c r="A3270" s="31" t="n"/>
      <c r="B3270" s="34" t="inlineStr">
        <is>
          <t>Abîme</t>
        </is>
      </c>
      <c r="C3270" s="34" t="inlineStr">
        <is>
          <t>Tête de Fer</t>
        </is>
      </c>
      <c r="D3270" s="34" t="n"/>
      <c r="E3270" s="34" t="n"/>
      <c r="F3270" s="34" t="n"/>
      <c r="G3270" s="34" t="n"/>
      <c r="H3270" s="30" t="inlineStr">
        <is>
          <t>Oui</t>
        </is>
      </c>
    </row>
    <row r="3271" ht="18" customHeight="1">
      <c r="A3271" s="26" t="inlineStr">
        <is>
          <t>Azuria — Arène</t>
        </is>
      </c>
      <c r="B3271" s="26" t="n"/>
      <c r="C3271" s="26" t="n"/>
      <c r="D3271" s="26" t="n"/>
      <c r="E3271" s="26" t="n"/>
      <c r="F3271" s="26" t="n"/>
      <c r="G3271" s="26" t="n"/>
      <c r="H3271" s="30" t="inlineStr">
        <is>
          <t>Oui</t>
        </is>
      </c>
    </row>
    <row r="3272">
      <c r="A3272" s="31" t="inlineStr">
        <is>
          <t>Nom</t>
        </is>
      </c>
      <c r="B3272" s="32" t="inlineStr">
        <is>
          <t>Nageuse Diana</t>
        </is>
      </c>
      <c r="C3272" s="32" t="n"/>
      <c r="D3272" s="32" t="n"/>
      <c r="E3272" s="32" t="n"/>
      <c r="F3272" s="32" t="n"/>
      <c r="G3272" s="32" t="n"/>
      <c r="H3272" s="30" t="inlineStr">
        <is>
          <t>Oui</t>
        </is>
      </c>
    </row>
    <row r="3273">
      <c r="A3273" s="31" t="inlineStr">
        <is>
          <t>Pokémon</t>
        </is>
      </c>
      <c r="B3273" s="33" t="inlineStr">
        <is>
          <t>AKWAKWAK</t>
        </is>
      </c>
      <c r="C3273" s="33" t="inlineStr">
        <is>
          <t>CRUSTABRI</t>
        </is>
      </c>
      <c r="D3273" s="33" t="inlineStr">
        <is>
          <t>CORAYON</t>
        </is>
      </c>
      <c r="E3273" s="33" t="n"/>
      <c r="F3273" s="33" t="n"/>
      <c r="G3273" s="33" t="n"/>
      <c r="H3273" s="30" t="inlineStr">
        <is>
          <t>Oui</t>
        </is>
      </c>
    </row>
    <row r="3274">
      <c r="A3274" s="31" t="inlineStr">
        <is>
          <t>Niveau</t>
        </is>
      </c>
      <c r="B3274" s="33" t="n">
        <v>57</v>
      </c>
      <c r="C3274" s="33" t="n">
        <v>57</v>
      </c>
      <c r="D3274" s="33" t="n">
        <v>57</v>
      </c>
      <c r="E3274" s="33" t="n"/>
      <c r="F3274" s="33" t="n"/>
      <c r="G3274" s="33" t="n"/>
      <c r="H3274" s="30" t="inlineStr">
        <is>
          <t>Oui</t>
        </is>
      </c>
    </row>
    <row r="3275">
      <c r="A3275" s="31" t="inlineStr">
        <is>
          <t>Objet</t>
        </is>
      </c>
      <c r="B3275" s="33" t="inlineStr">
        <is>
          <t>Aucun</t>
        </is>
      </c>
      <c r="C3275" s="33" t="inlineStr">
        <is>
          <t>Aucun</t>
        </is>
      </c>
      <c r="D3275" s="33" t="inlineStr">
        <is>
          <t>Aucun</t>
        </is>
      </c>
      <c r="E3275" s="33" t="n"/>
      <c r="F3275" s="33" t="n"/>
      <c r="G3275" s="33" t="n"/>
      <c r="H3275" s="30" t="inlineStr">
        <is>
          <t>Oui</t>
        </is>
      </c>
    </row>
    <row r="3276">
      <c r="A3276" s="31" t="inlineStr">
        <is>
          <t>Talent</t>
        </is>
      </c>
      <c r="B3276" s="33" t="inlineStr">
        <is>
          <t>Moiteur</t>
        </is>
      </c>
      <c r="C3276" s="33" t="inlineStr">
        <is>
          <t>Coque Armure</t>
        </is>
      </c>
      <c r="D3276" s="33" t="inlineStr">
        <is>
          <t>Agitation</t>
        </is>
      </c>
      <c r="E3276" s="33" t="n"/>
      <c r="F3276" s="33" t="n"/>
      <c r="G3276" s="33" t="n"/>
      <c r="H3276" s="30" t="inlineStr">
        <is>
          <t>Oui</t>
        </is>
      </c>
    </row>
    <row r="3277">
      <c r="A3277" s="31" t="inlineStr">
        <is>
          <t>Capacités</t>
        </is>
      </c>
      <c r="B3277" s="34" t="inlineStr">
        <is>
          <t>Boost</t>
        </is>
      </c>
      <c r="C3277" s="34" t="inlineStr">
        <is>
          <t>Picots</t>
        </is>
      </c>
      <c r="D3277" s="34" t="inlineStr">
        <is>
          <t>Rayon Gemme</t>
        </is>
      </c>
      <c r="E3277" s="34" t="n"/>
      <c r="F3277" s="34" t="n"/>
      <c r="G3277" s="34" t="n"/>
      <c r="H3277" s="30" t="inlineStr">
        <is>
          <t>Oui</t>
        </is>
      </c>
    </row>
    <row r="3278">
      <c r="A3278" s="31" t="n"/>
      <c r="B3278" s="34" t="inlineStr">
        <is>
          <t>Amnésie</t>
        </is>
      </c>
      <c r="C3278" s="34" t="inlineStr">
        <is>
          <t>Coqui-Lame</t>
        </is>
      </c>
      <c r="D3278" s="34" t="inlineStr">
        <is>
          <t>Voile Miroir</t>
        </is>
      </c>
      <c r="E3278" s="34" t="n"/>
      <c r="F3278" s="34" t="n"/>
      <c r="G3278" s="34" t="n"/>
      <c r="H3278" s="30" t="inlineStr">
        <is>
          <t>Oui</t>
        </is>
      </c>
    </row>
    <row r="3279">
      <c r="A3279" s="31" t="n"/>
      <c r="B3279" s="34" t="inlineStr">
        <is>
          <t>Hydrocanon</t>
        </is>
      </c>
      <c r="C3279" s="34" t="inlineStr">
        <is>
          <t>Chute Glace</t>
        </is>
      </c>
      <c r="D3279" s="34" t="inlineStr">
        <is>
          <t>Telluriforce</t>
        </is>
      </c>
      <c r="E3279" s="34" t="n"/>
      <c r="F3279" s="34" t="n"/>
      <c r="G3279" s="34" t="n"/>
      <c r="H3279" s="30" t="inlineStr">
        <is>
          <t>Oui</t>
        </is>
      </c>
    </row>
    <row r="3280">
      <c r="A3280" s="31" t="n"/>
      <c r="B3280" s="34" t="inlineStr">
        <is>
          <t>Zone Étrange</t>
        </is>
      </c>
      <c r="C3280" s="34" t="inlineStr">
        <is>
          <t>Saumure</t>
        </is>
      </c>
      <c r="D3280" s="34" t="inlineStr">
        <is>
          <t>Gigotage</t>
        </is>
      </c>
      <c r="E3280" s="34" t="n"/>
      <c r="F3280" s="34" t="n"/>
      <c r="G3280" s="34" t="n"/>
      <c r="H3280" s="30" t="inlineStr">
        <is>
          <t>Oui</t>
        </is>
      </c>
    </row>
    <row r="3281">
      <c r="A3281" s="31" t="inlineStr">
        <is>
          <t>Nom</t>
        </is>
      </c>
      <c r="B3281" s="32" t="inlineStr">
        <is>
          <t>Nageuse Briana</t>
        </is>
      </c>
      <c r="C3281" s="32" t="n"/>
      <c r="D3281" s="32" t="n"/>
      <c r="E3281" s="32" t="n"/>
      <c r="F3281" s="32" t="n"/>
      <c r="G3281" s="32" t="n"/>
      <c r="H3281" s="30" t="inlineStr">
        <is>
          <t>Oui</t>
        </is>
      </c>
    </row>
    <row r="3282">
      <c r="A3282" s="31" t="inlineStr">
        <is>
          <t>Pokémon</t>
        </is>
      </c>
      <c r="B3282" s="33" t="inlineStr">
        <is>
          <t>POISSOROY</t>
        </is>
      </c>
      <c r="C3282" s="33" t="inlineStr">
        <is>
          <t>AZUMARILL</t>
        </is>
      </c>
      <c r="D3282" s="33" t="inlineStr">
        <is>
          <t>POISSOROY</t>
        </is>
      </c>
      <c r="E3282" s="33" t="n"/>
      <c r="F3282" s="33" t="n"/>
      <c r="G3282" s="33" t="n"/>
      <c r="H3282" s="30" t="inlineStr">
        <is>
          <t>Oui</t>
        </is>
      </c>
    </row>
    <row r="3283">
      <c r="A3283" s="31" t="inlineStr">
        <is>
          <t>Niveau</t>
        </is>
      </c>
      <c r="B3283" s="33" t="n">
        <v>58</v>
      </c>
      <c r="C3283" s="33" t="n">
        <v>58</v>
      </c>
      <c r="D3283" s="33" t="n">
        <v>58</v>
      </c>
      <c r="E3283" s="33" t="n"/>
      <c r="F3283" s="33" t="n"/>
      <c r="G3283" s="33" t="n"/>
      <c r="H3283" s="30" t="inlineStr">
        <is>
          <t>Oui</t>
        </is>
      </c>
    </row>
    <row r="3284">
      <c r="A3284" s="31" t="inlineStr">
        <is>
          <t>Objet</t>
        </is>
      </c>
      <c r="B3284" s="33" t="inlineStr">
        <is>
          <t>Aucun</t>
        </is>
      </c>
      <c r="C3284" s="33" t="inlineStr">
        <is>
          <t>Aucun</t>
        </is>
      </c>
      <c r="D3284" s="33" t="inlineStr">
        <is>
          <t>Aucun</t>
        </is>
      </c>
      <c r="E3284" s="33" t="n"/>
      <c r="F3284" s="33" t="n"/>
      <c r="G3284" s="33" t="n"/>
      <c r="H3284" s="30" t="inlineStr">
        <is>
          <t>Oui</t>
        </is>
      </c>
    </row>
    <row r="3285">
      <c r="A3285" s="31" t="inlineStr">
        <is>
          <t>Talent</t>
        </is>
      </c>
      <c r="B3285" s="33" t="inlineStr">
        <is>
          <t>Glissade</t>
        </is>
      </c>
      <c r="C3285" s="33" t="inlineStr">
        <is>
          <t>Isograisse</t>
        </is>
      </c>
      <c r="D3285" s="33" t="inlineStr">
        <is>
          <t>Glissade</t>
        </is>
      </c>
      <c r="E3285" s="33" t="n"/>
      <c r="F3285" s="33" t="n"/>
      <c r="G3285" s="33" t="n"/>
      <c r="H3285" s="30" t="inlineStr">
        <is>
          <t>Oui</t>
        </is>
      </c>
    </row>
    <row r="3286">
      <c r="A3286" s="31" t="inlineStr">
        <is>
          <t>Capacités</t>
        </is>
      </c>
      <c r="B3286" s="34" t="inlineStr">
        <is>
          <t>Empal'Korne</t>
        </is>
      </c>
      <c r="C3286" s="34" t="inlineStr">
        <is>
          <t>Danse Pluie</t>
        </is>
      </c>
      <c r="D3286" s="34" t="inlineStr">
        <is>
          <t>Empal'Korne</t>
        </is>
      </c>
      <c r="E3286" s="34" t="n"/>
      <c r="F3286" s="34" t="n"/>
      <c r="G3286" s="34" t="n"/>
      <c r="H3286" s="30" t="inlineStr">
        <is>
          <t>Oui</t>
        </is>
      </c>
    </row>
    <row r="3287">
      <c r="A3287" s="31" t="n"/>
      <c r="B3287" s="34" t="inlineStr">
        <is>
          <t>Eau Revoir</t>
        </is>
      </c>
      <c r="C3287" s="34" t="inlineStr">
        <is>
          <t>Damoclès</t>
        </is>
      </c>
      <c r="D3287" s="34" t="inlineStr">
        <is>
          <t>Eau Revoir</t>
        </is>
      </c>
      <c r="E3287" s="34" t="n"/>
      <c r="F3287" s="34" t="n"/>
      <c r="G3287" s="34" t="n"/>
      <c r="H3287" s="30" t="inlineStr">
        <is>
          <t>Oui</t>
        </is>
      </c>
    </row>
    <row r="3288">
      <c r="A3288" s="31" t="n"/>
      <c r="B3288" s="34" t="inlineStr">
        <is>
          <t>Détrempage</t>
        </is>
      </c>
      <c r="C3288" s="34" t="inlineStr">
        <is>
          <t>Surpuissance</t>
        </is>
      </c>
      <c r="D3288" s="34" t="inlineStr">
        <is>
          <t>Détrempage</t>
        </is>
      </c>
      <c r="E3288" s="34" t="n"/>
      <c r="F3288" s="34" t="n"/>
      <c r="G3288" s="34" t="n"/>
      <c r="H3288" s="30" t="inlineStr">
        <is>
          <t>Oui</t>
        </is>
      </c>
    </row>
    <row r="3289">
      <c r="A3289" s="31" t="n"/>
      <c r="B3289" s="34" t="inlineStr">
        <is>
          <t>Mégacorne</t>
        </is>
      </c>
      <c r="C3289" s="34" t="inlineStr">
        <is>
          <t>Hydrocanon</t>
        </is>
      </c>
      <c r="D3289" s="34" t="inlineStr">
        <is>
          <t>Mégacorne</t>
        </is>
      </c>
      <c r="E3289" s="34" t="n"/>
      <c r="F3289" s="34" t="n"/>
      <c r="G3289" s="34" t="n"/>
      <c r="H3289" s="30" t="inlineStr">
        <is>
          <t>Oui</t>
        </is>
      </c>
    </row>
    <row r="3290">
      <c r="A3290" s="31" t="inlineStr">
        <is>
          <t>Nom</t>
        </is>
      </c>
      <c r="B3290" s="32" t="inlineStr">
        <is>
          <t>Nageur Sigfried</t>
        </is>
      </c>
      <c r="C3290" s="32" t="n"/>
      <c r="D3290" s="32" t="n"/>
      <c r="E3290" s="32" t="n"/>
      <c r="F3290" s="32" t="n"/>
      <c r="G3290" s="32" t="n"/>
      <c r="H3290" s="30" t="inlineStr">
        <is>
          <t>Oui</t>
        </is>
      </c>
    </row>
    <row r="3291">
      <c r="A3291" s="31" t="inlineStr">
        <is>
          <t>Pokémon</t>
        </is>
      </c>
      <c r="B3291" s="33" t="inlineStr">
        <is>
          <t>HYPOCEAN</t>
        </is>
      </c>
      <c r="C3291" s="33" t="inlineStr">
        <is>
          <t>LEVIATOR</t>
        </is>
      </c>
      <c r="D3291" s="33" t="inlineStr">
        <is>
          <t>HYPOCEAN</t>
        </is>
      </c>
      <c r="E3291" s="33" t="n"/>
      <c r="F3291" s="33" t="n"/>
      <c r="G3291" s="33" t="n"/>
      <c r="H3291" s="30" t="inlineStr">
        <is>
          <t>Oui</t>
        </is>
      </c>
    </row>
    <row r="3292">
      <c r="A3292" s="31" t="inlineStr">
        <is>
          <t>Niveau</t>
        </is>
      </c>
      <c r="B3292" s="33" t="n">
        <v>57</v>
      </c>
      <c r="C3292" s="33" t="n">
        <v>57</v>
      </c>
      <c r="D3292" s="33" t="n">
        <v>57</v>
      </c>
      <c r="E3292" s="33" t="n"/>
      <c r="F3292" s="33" t="n"/>
      <c r="G3292" s="33" t="n"/>
      <c r="H3292" s="30" t="inlineStr">
        <is>
          <t>Oui</t>
        </is>
      </c>
    </row>
    <row r="3293">
      <c r="A3293" s="31" t="inlineStr">
        <is>
          <t>Objet</t>
        </is>
      </c>
      <c r="B3293" s="33" t="inlineStr">
        <is>
          <t>Aucun</t>
        </is>
      </c>
      <c r="C3293" s="33" t="inlineStr">
        <is>
          <t>Aucun</t>
        </is>
      </c>
      <c r="D3293" s="33" t="inlineStr">
        <is>
          <t>Aucun</t>
        </is>
      </c>
      <c r="E3293" s="33" t="n"/>
      <c r="F3293" s="33" t="n"/>
      <c r="G3293" s="33" t="n"/>
      <c r="H3293" s="30" t="inlineStr">
        <is>
          <t>Oui</t>
        </is>
      </c>
    </row>
    <row r="3294">
      <c r="A3294" s="31" t="inlineStr">
        <is>
          <t>Talent</t>
        </is>
      </c>
      <c r="B3294" s="33" t="inlineStr">
        <is>
          <t>Point Poison</t>
        </is>
      </c>
      <c r="C3294" s="33" t="inlineStr">
        <is>
          <t>Intimidation</t>
        </is>
      </c>
      <c r="D3294" s="33" t="inlineStr">
        <is>
          <t>Point Poison</t>
        </is>
      </c>
      <c r="E3294" s="33" t="n"/>
      <c r="F3294" s="33" t="n"/>
      <c r="G3294" s="33" t="n"/>
      <c r="H3294" s="30" t="inlineStr">
        <is>
          <t>Oui</t>
        </is>
      </c>
    </row>
    <row r="3295">
      <c r="A3295" s="31" t="inlineStr">
        <is>
          <t>Capacités</t>
        </is>
      </c>
      <c r="B3295" s="34" t="inlineStr">
        <is>
          <t>Saumure</t>
        </is>
      </c>
      <c r="C3295" s="34" t="inlineStr">
        <is>
          <t>Danse Draco</t>
        </is>
      </c>
      <c r="D3295" s="34" t="inlineStr">
        <is>
          <t>Saumure</t>
        </is>
      </c>
      <c r="E3295" s="34" t="n"/>
      <c r="F3295" s="34" t="n"/>
      <c r="G3295" s="34" t="n"/>
      <c r="H3295" s="30" t="inlineStr">
        <is>
          <t>Oui</t>
        </is>
      </c>
    </row>
    <row r="3296">
      <c r="A3296" s="31" t="n"/>
      <c r="B3296" s="34" t="inlineStr">
        <is>
          <t>Hâte</t>
        </is>
      </c>
      <c r="C3296" s="34" t="inlineStr">
        <is>
          <t>Vent Violent</t>
        </is>
      </c>
      <c r="D3296" s="34" t="inlineStr">
        <is>
          <t>Hâte</t>
        </is>
      </c>
      <c r="E3296" s="34" t="n"/>
      <c r="F3296" s="34" t="n"/>
      <c r="G3296" s="34" t="n"/>
      <c r="H3296" s="30" t="inlineStr">
        <is>
          <t>Oui</t>
        </is>
      </c>
    </row>
    <row r="3297">
      <c r="A3297" s="31" t="n"/>
      <c r="B3297" s="34" t="inlineStr">
        <is>
          <t>Draco-Choc</t>
        </is>
      </c>
      <c r="C3297" s="34" t="inlineStr">
        <is>
          <t>Danse Pluie</t>
        </is>
      </c>
      <c r="D3297" s="34" t="inlineStr">
        <is>
          <t>Draco-Choc</t>
        </is>
      </c>
      <c r="E3297" s="34" t="n"/>
      <c r="F3297" s="34" t="n"/>
      <c r="G3297" s="34" t="n"/>
      <c r="H3297" s="30" t="inlineStr">
        <is>
          <t>Oui</t>
        </is>
      </c>
    </row>
    <row r="3298">
      <c r="A3298" s="31" t="n"/>
      <c r="B3298" s="34" t="inlineStr">
        <is>
          <t>Danse Draco</t>
        </is>
      </c>
      <c r="C3298" s="34" t="inlineStr">
        <is>
          <t>Ultralaser</t>
        </is>
      </c>
      <c r="D3298" s="34" t="inlineStr">
        <is>
          <t>Danse Draco</t>
        </is>
      </c>
      <c r="E3298" s="34" t="n"/>
      <c r="F3298" s="34" t="n"/>
      <c r="G3298" s="34" t="n"/>
      <c r="H3298" s="30" t="inlineStr">
        <is>
          <t>Oui</t>
        </is>
      </c>
    </row>
    <row r="3299">
      <c r="A3299" s="31" t="inlineStr">
        <is>
          <t>Nom</t>
        </is>
      </c>
      <c r="B3299" s="32" t="inlineStr">
        <is>
          <t>Champion Ondine</t>
        </is>
      </c>
      <c r="C3299" s="32" t="n"/>
      <c r="D3299" s="32" t="n"/>
      <c r="E3299" s="32" t="n"/>
      <c r="F3299" s="32" t="n"/>
      <c r="G3299" s="32" t="n"/>
      <c r="H3299" s="30" t="inlineStr">
        <is>
          <t>Oui</t>
        </is>
      </c>
    </row>
    <row r="3300">
      <c r="A3300" s="31" t="inlineStr">
        <is>
          <t>Pokémon</t>
        </is>
      </c>
      <c r="B3300" s="33" t="inlineStr">
        <is>
          <t>AKWAKWAK</t>
        </is>
      </c>
      <c r="C3300" s="33" t="inlineStr">
        <is>
          <t>MARAISTE</t>
        </is>
      </c>
      <c r="D3300" s="33" t="inlineStr">
        <is>
          <t>AQUALI</t>
        </is>
      </c>
      <c r="E3300" s="33" t="inlineStr">
        <is>
          <t>MILOBELLUS</t>
        </is>
      </c>
      <c r="F3300" s="33" t="inlineStr">
        <is>
          <t>LOKHLASS</t>
        </is>
      </c>
      <c r="G3300" s="33" t="inlineStr">
        <is>
          <t>STAROSS</t>
        </is>
      </c>
      <c r="H3300" s="30" t="inlineStr">
        <is>
          <t>Oui</t>
        </is>
      </c>
    </row>
    <row r="3301">
      <c r="A3301" s="31" t="inlineStr">
        <is>
          <t>Niveau</t>
        </is>
      </c>
      <c r="B3301" s="33" t="n">
        <v>62</v>
      </c>
      <c r="C3301" s="33" t="n">
        <v>62</v>
      </c>
      <c r="D3301" s="33" t="n">
        <v>61</v>
      </c>
      <c r="E3301" s="33" t="n">
        <v>61</v>
      </c>
      <c r="F3301" s="33" t="n">
        <v>62</v>
      </c>
      <c r="G3301" s="33" t="n">
        <v>63</v>
      </c>
      <c r="H3301" s="30" t="inlineStr">
        <is>
          <t>Oui</t>
        </is>
      </c>
    </row>
    <row r="3302">
      <c r="A3302" s="31" t="inlineStr">
        <is>
          <t>Objet</t>
        </is>
      </c>
      <c r="B3302" s="33" t="inlineStr">
        <is>
          <t>Aucun</t>
        </is>
      </c>
      <c r="C3302" s="33" t="inlineStr">
        <is>
          <t>Vive Griffe</t>
        </is>
      </c>
      <c r="D3302" s="33" t="inlineStr">
        <is>
          <t>Restes</t>
        </is>
      </c>
      <c r="E3302" s="33" t="inlineStr">
        <is>
          <t>Aucun</t>
        </is>
      </c>
      <c r="F3302" s="33" t="inlineStr">
        <is>
          <t>Glace Éternelle</t>
        </is>
      </c>
      <c r="G3302" s="33" t="inlineStr">
        <is>
          <t>Eau Mystique</t>
        </is>
      </c>
      <c r="H3302" s="30" t="inlineStr">
        <is>
          <t>Oui</t>
        </is>
      </c>
    </row>
    <row r="3303">
      <c r="A3303" s="31" t="inlineStr">
        <is>
          <t>Talent</t>
        </is>
      </c>
      <c r="B3303" s="33" t="inlineStr">
        <is>
          <t>Moiteur</t>
        </is>
      </c>
      <c r="C3303" s="33" t="inlineStr">
        <is>
          <t>Moiteur</t>
        </is>
      </c>
      <c r="D3303" s="33" t="inlineStr">
        <is>
          <t>Absorbe-Eau</t>
        </is>
      </c>
      <c r="E3303" s="33" t="inlineStr">
        <is>
          <t>Écaille Spéciale</t>
        </is>
      </c>
      <c r="F3303" s="33" t="inlineStr">
        <is>
          <t>Absorbe-Eau</t>
        </is>
      </c>
      <c r="G3303" s="33" t="inlineStr">
        <is>
          <t>Lumiattirance</t>
        </is>
      </c>
      <c r="H3303" s="30" t="inlineStr">
        <is>
          <t>Oui</t>
        </is>
      </c>
    </row>
    <row r="3304">
      <c r="A3304" s="31" t="inlineStr">
        <is>
          <t>Capacités</t>
        </is>
      </c>
      <c r="B3304" s="34" t="inlineStr">
        <is>
          <t>Hydro-Queue</t>
        </is>
      </c>
      <c r="C3304" s="34" t="inlineStr">
        <is>
          <t>Ocroupi</t>
        </is>
      </c>
      <c r="D3304" s="34" t="inlineStr">
        <is>
          <t>Hydrocanon</t>
        </is>
      </c>
      <c r="E3304" s="34" t="inlineStr">
        <is>
          <t>Hydrocanon</t>
        </is>
      </c>
      <c r="F3304" s="34" t="inlineStr">
        <is>
          <t>Hydrocanon</t>
        </is>
      </c>
      <c r="G3304" s="34" t="inlineStr">
        <is>
          <t>Surf</t>
        </is>
      </c>
      <c r="H3304" s="30" t="inlineStr">
        <is>
          <t>Oui</t>
        </is>
      </c>
    </row>
    <row r="3305">
      <c r="A3305" s="31" t="n"/>
      <c r="B3305" s="34" t="inlineStr">
        <is>
          <t>Psyko</t>
        </is>
      </c>
      <c r="C3305" s="34" t="inlineStr">
        <is>
          <t>Amnésie</t>
        </is>
      </c>
      <c r="D3305" s="34" t="inlineStr">
        <is>
          <t>Laser Glace</t>
        </is>
      </c>
      <c r="E3305" s="34" t="inlineStr">
        <is>
          <t>Laser Glace</t>
        </is>
      </c>
      <c r="F3305" s="34" t="inlineStr">
        <is>
          <t>Laser Glace</t>
        </is>
      </c>
      <c r="G3305" s="34" t="inlineStr">
        <is>
          <t>Psyko</t>
        </is>
      </c>
      <c r="H3305" s="30" t="inlineStr">
        <is>
          <t>Oui</t>
        </is>
      </c>
    </row>
    <row r="3306">
      <c r="A3306" s="31" t="n"/>
      <c r="B3306" s="34" t="inlineStr">
        <is>
          <t>Zone Étrange</t>
        </is>
      </c>
      <c r="C3306" s="34" t="inlineStr">
        <is>
          <t>Séisme</t>
        </is>
      </c>
      <c r="D3306" s="34" t="inlineStr">
        <is>
          <t>Acidarmure</t>
        </is>
      </c>
      <c r="E3306" s="34" t="inlineStr">
        <is>
          <t>Repos</t>
        </is>
      </c>
      <c r="F3306" s="34" t="inlineStr">
        <is>
          <t>Danse Pluie</t>
        </is>
      </c>
      <c r="G3306" s="34" t="inlineStr">
        <is>
          <t>Soin</t>
        </is>
      </c>
      <c r="H3306" s="30" t="inlineStr">
        <is>
          <t>Oui</t>
        </is>
      </c>
    </row>
    <row r="3307">
      <c r="A3307" s="31" t="n"/>
      <c r="B3307" s="34" t="inlineStr">
        <is>
          <t>Coup Croix</t>
        </is>
      </c>
      <c r="C3307" s="34" t="inlineStr">
        <is>
          <t>Danse Pluie</t>
        </is>
      </c>
      <c r="D3307" s="34" t="inlineStr">
        <is>
          <t>Ball'Ombre</t>
        </is>
      </c>
      <c r="E3307" s="34" t="inlineStr">
        <is>
          <t>Blabla Dodo</t>
        </is>
      </c>
      <c r="F3307" s="34" t="inlineStr">
        <is>
          <t>Protection</t>
        </is>
      </c>
      <c r="G3307" s="34" t="inlineStr">
        <is>
          <t>Tonnerre</t>
        </is>
      </c>
      <c r="H3307" s="30" t="inlineStr">
        <is>
          <t>Oui</t>
        </is>
      </c>
    </row>
    <row r="3308" ht="18" customHeight="1">
      <c r="A3308" s="26" t="inlineStr">
        <is>
          <t>Route 24</t>
        </is>
      </c>
      <c r="B3308" s="26" t="n"/>
      <c r="C3308" s="26" t="n"/>
      <c r="D3308" s="26" t="n"/>
      <c r="E3308" s="26" t="n"/>
      <c r="F3308" s="26" t="n"/>
      <c r="G3308" s="26" t="n"/>
      <c r="H3308" s="30" t="inlineStr">
        <is>
          <t>Oui</t>
        </is>
      </c>
    </row>
    <row r="3309">
      <c r="A3309" s="31" t="inlineStr">
        <is>
          <t>Nom</t>
        </is>
      </c>
      <c r="B3309" s="32" t="inlineStr">
        <is>
          <t>Rocket Sbire</t>
        </is>
      </c>
      <c r="C3309" s="32" t="n"/>
      <c r="D3309" s="32" t="n"/>
      <c r="E3309" s="32" t="n"/>
      <c r="F3309" s="32" t="n"/>
      <c r="G3309" s="32" t="n"/>
      <c r="H3309" s="30" t="inlineStr">
        <is>
          <t>Oui</t>
        </is>
      </c>
    </row>
    <row r="3310">
      <c r="A3310" s="31" t="inlineStr">
        <is>
          <t>Pokémon</t>
        </is>
      </c>
      <c r="B3310" s="33" t="inlineStr">
        <is>
          <t>SMOGO</t>
        </is>
      </c>
      <c r="C3310" s="33" t="n"/>
      <c r="D3310" s="33" t="n"/>
      <c r="E3310" s="33" t="n"/>
      <c r="F3310" s="33" t="n"/>
      <c r="G3310" s="33" t="n"/>
      <c r="H3310" s="30" t="inlineStr">
        <is>
          <t>Oui</t>
        </is>
      </c>
    </row>
    <row r="3311">
      <c r="A3311" s="31" t="inlineStr">
        <is>
          <t>Niveau</t>
        </is>
      </c>
      <c r="B3311" s="33" t="n">
        <v>30</v>
      </c>
      <c r="C3311" s="33" t="n"/>
      <c r="D3311" s="33" t="n"/>
      <c r="E3311" s="33" t="n"/>
      <c r="F3311" s="33" t="n"/>
      <c r="G3311" s="33" t="n"/>
      <c r="H3311" s="30" t="inlineStr">
        <is>
          <t>Oui</t>
        </is>
      </c>
    </row>
    <row r="3312">
      <c r="A3312" s="31" t="inlineStr">
        <is>
          <t>Objet</t>
        </is>
      </c>
      <c r="B3312" s="33" t="inlineStr">
        <is>
          <t>Aucun</t>
        </is>
      </c>
      <c r="C3312" s="33" t="n"/>
      <c r="D3312" s="33" t="n"/>
      <c r="E3312" s="33" t="n"/>
      <c r="F3312" s="33" t="n"/>
      <c r="G3312" s="33" t="n"/>
      <c r="H3312" s="30" t="inlineStr">
        <is>
          <t>Oui</t>
        </is>
      </c>
    </row>
    <row r="3313">
      <c r="A3313" s="31" t="inlineStr">
        <is>
          <t>Talent</t>
        </is>
      </c>
      <c r="B3313" s="33" t="inlineStr">
        <is>
          <t>Lévitation</t>
        </is>
      </c>
      <c r="C3313" s="33" t="n"/>
      <c r="D3313" s="33" t="n"/>
      <c r="E3313" s="33" t="n"/>
      <c r="F3313" s="33" t="n"/>
      <c r="G3313" s="33" t="n"/>
      <c r="H3313" s="30" t="inlineStr">
        <is>
          <t>Oui</t>
        </is>
      </c>
    </row>
    <row r="3314">
      <c r="A3314" s="31" t="inlineStr">
        <is>
          <t>Capacités</t>
        </is>
      </c>
      <c r="B3314" s="34" t="inlineStr">
        <is>
          <t>Détritus</t>
        </is>
      </c>
      <c r="C3314" s="34" t="n"/>
      <c r="D3314" s="34" t="n"/>
      <c r="E3314" s="34" t="n"/>
      <c r="F3314" s="34" t="n"/>
      <c r="G3314" s="34" t="n"/>
      <c r="H3314" s="30" t="inlineStr">
        <is>
          <t>Oui</t>
        </is>
      </c>
    </row>
    <row r="3315">
      <c r="A3315" s="31" t="n"/>
      <c r="B3315" s="34" t="inlineStr">
        <is>
          <t>Destruction</t>
        </is>
      </c>
      <c r="C3315" s="34" t="n"/>
      <c r="D3315" s="34" t="n"/>
      <c r="E3315" s="34" t="n"/>
      <c r="F3315" s="34" t="n"/>
      <c r="G3315" s="34" t="n"/>
      <c r="H3315" s="30" t="inlineStr">
        <is>
          <t>Oui</t>
        </is>
      </c>
    </row>
    <row r="3316">
      <c r="A3316" s="31" t="n"/>
      <c r="B3316" s="34" t="inlineStr">
        <is>
          <t>Buée Noire</t>
        </is>
      </c>
      <c r="C3316" s="34" t="n"/>
      <c r="D3316" s="34" t="n"/>
      <c r="E3316" s="34" t="n"/>
      <c r="F3316" s="34" t="n"/>
      <c r="G3316" s="34" t="n"/>
      <c r="H3316" s="30" t="inlineStr">
        <is>
          <t>Oui</t>
        </is>
      </c>
    </row>
    <row r="3317">
      <c r="A3317" s="31" t="n"/>
      <c r="B3317" s="34" t="inlineStr">
        <is>
          <t>Gyroballe</t>
        </is>
      </c>
      <c r="C3317" s="34" t="n"/>
      <c r="D3317" s="34" t="n"/>
      <c r="E3317" s="34" t="n"/>
      <c r="F3317" s="34" t="n"/>
      <c r="G3317" s="34" t="n"/>
      <c r="H3317" s="30" t="inlineStr">
        <is>
          <t>Oui</t>
        </is>
      </c>
    </row>
    <row r="3318" ht="18" customHeight="1">
      <c r="A3318" s="26" t="inlineStr">
        <is>
          <t>Route 25</t>
        </is>
      </c>
      <c r="B3318" s="26" t="n"/>
      <c r="C3318" s="26" t="n"/>
      <c r="D3318" s="26" t="n"/>
      <c r="E3318" s="26" t="n"/>
      <c r="F3318" s="26" t="n"/>
      <c r="G3318" s="26" t="n"/>
      <c r="H3318" s="30" t="inlineStr">
        <is>
          <t>Oui</t>
        </is>
      </c>
    </row>
    <row r="3319">
      <c r="A3319" s="31" t="inlineStr">
        <is>
          <t>Nom</t>
        </is>
      </c>
      <c r="B3319" s="32" t="inlineStr">
        <is>
          <t>Élève Benoit</t>
        </is>
      </c>
      <c r="C3319" s="32" t="n"/>
      <c r="D3319" s="32" t="n"/>
      <c r="E3319" s="32" t="n"/>
      <c r="F3319" s="32" t="n"/>
      <c r="G3319" s="32" t="n"/>
      <c r="H3319" s="30" t="inlineStr">
        <is>
          <t>Oui</t>
        </is>
      </c>
    </row>
    <row r="3320">
      <c r="A3320" s="31" t="inlineStr">
        <is>
          <t>Pokémon</t>
        </is>
      </c>
      <c r="B3320" s="33" t="inlineStr">
        <is>
          <t>RAFFLESIA</t>
        </is>
      </c>
      <c r="C3320" s="33" t="n"/>
      <c r="D3320" s="33" t="n"/>
      <c r="E3320" s="33" t="n"/>
      <c r="F3320" s="33" t="n"/>
      <c r="G3320" s="33" t="n"/>
      <c r="H3320" s="30" t="inlineStr">
        <is>
          <t>Oui</t>
        </is>
      </c>
    </row>
    <row r="3321">
      <c r="A3321" s="31" t="inlineStr">
        <is>
          <t>Niveau</t>
        </is>
      </c>
      <c r="B3321" s="33" t="n">
        <v>56</v>
      </c>
      <c r="C3321" s="33" t="n"/>
      <c r="D3321" s="33" t="n"/>
      <c r="E3321" s="33" t="n"/>
      <c r="F3321" s="33" t="n"/>
      <c r="G3321" s="33" t="n"/>
      <c r="H3321" s="30" t="inlineStr">
        <is>
          <t>Oui</t>
        </is>
      </c>
    </row>
    <row r="3322">
      <c r="A3322" s="31" t="inlineStr">
        <is>
          <t>Objet</t>
        </is>
      </c>
      <c r="B3322" s="33" t="inlineStr">
        <is>
          <t>Aucun</t>
        </is>
      </c>
      <c r="C3322" s="33" t="n"/>
      <c r="D3322" s="33" t="n"/>
      <c r="E3322" s="33" t="n"/>
      <c r="F3322" s="33" t="n"/>
      <c r="G3322" s="33" t="n"/>
      <c r="H3322" s="30" t="inlineStr">
        <is>
          <t>Oui</t>
        </is>
      </c>
    </row>
    <row r="3323">
      <c r="A3323" s="31" t="inlineStr">
        <is>
          <t>Talent</t>
        </is>
      </c>
      <c r="B3323" s="33" t="inlineStr">
        <is>
          <t>Chlorophylle</t>
        </is>
      </c>
      <c r="C3323" s="33" t="n"/>
      <c r="D3323" s="33" t="n"/>
      <c r="E3323" s="33" t="n"/>
      <c r="F3323" s="33" t="n"/>
      <c r="G3323" s="33" t="n"/>
      <c r="H3323" s="30" t="inlineStr">
        <is>
          <t>Oui</t>
        </is>
      </c>
    </row>
    <row r="3324">
      <c r="A3324" s="31" t="inlineStr">
        <is>
          <t>Capacités</t>
        </is>
      </c>
      <c r="B3324" s="34" t="inlineStr">
        <is>
          <t>Rayon Lune</t>
        </is>
      </c>
      <c r="C3324" s="34" t="n"/>
      <c r="D3324" s="34" t="n"/>
      <c r="E3324" s="34" t="n"/>
      <c r="F3324" s="34" t="n"/>
      <c r="G3324" s="34" t="n"/>
      <c r="H3324" s="30" t="inlineStr">
        <is>
          <t>Oui</t>
        </is>
      </c>
    </row>
    <row r="3325">
      <c r="A3325" s="31" t="n"/>
      <c r="B3325" s="34" t="inlineStr">
        <is>
          <t>Giga-Sangsue</t>
        </is>
      </c>
      <c r="C3325" s="34" t="n"/>
      <c r="D3325" s="34" t="n"/>
      <c r="E3325" s="34" t="n"/>
      <c r="F3325" s="34" t="n"/>
      <c r="G3325" s="34" t="n"/>
      <c r="H3325" s="30" t="inlineStr">
        <is>
          <t>Oui</t>
        </is>
      </c>
    </row>
    <row r="3326">
      <c r="A3326" s="31" t="n"/>
      <c r="B3326" s="34" t="inlineStr">
        <is>
          <t>Toxik</t>
        </is>
      </c>
      <c r="C3326" s="34" t="n"/>
      <c r="D3326" s="34" t="n"/>
      <c r="E3326" s="34" t="n"/>
      <c r="F3326" s="34" t="n"/>
      <c r="G3326" s="34" t="n"/>
      <c r="H3326" s="30" t="inlineStr">
        <is>
          <t>Oui</t>
        </is>
      </c>
    </row>
    <row r="3327">
      <c r="A3327" s="31" t="n"/>
      <c r="B3327" s="34" t="inlineStr">
        <is>
          <t>Don Naturel</t>
        </is>
      </c>
      <c r="C3327" s="34" t="n"/>
      <c r="D3327" s="34" t="n"/>
      <c r="E3327" s="34" t="n"/>
      <c r="F3327" s="34" t="n"/>
      <c r="G3327" s="34" t="n"/>
      <c r="H3327" s="30" t="inlineStr">
        <is>
          <t>Oui</t>
        </is>
      </c>
    </row>
    <row r="3328">
      <c r="A3328" s="31" t="inlineStr">
        <is>
          <t>Nom</t>
        </is>
      </c>
      <c r="B3328" s="32" t="inlineStr">
        <is>
          <t>Fillette Gaëlle</t>
        </is>
      </c>
      <c r="C3328" s="32" t="n"/>
      <c r="D3328" s="32" t="n"/>
      <c r="E3328" s="32" t="n"/>
      <c r="F3328" s="32" t="n"/>
      <c r="G3328" s="32" t="n"/>
      <c r="H3328" s="30" t="inlineStr">
        <is>
          <t>Oui</t>
        </is>
      </c>
    </row>
    <row r="3329">
      <c r="A3329" s="31" t="inlineStr">
        <is>
          <t>Pokémon</t>
        </is>
      </c>
      <c r="B3329" s="33" t="inlineStr">
        <is>
          <t>GRODOUDOU</t>
        </is>
      </c>
      <c r="C3329" s="33" t="inlineStr">
        <is>
          <t>GRANBULL</t>
        </is>
      </c>
      <c r="D3329" s="33" t="n"/>
      <c r="E3329" s="33" t="n"/>
      <c r="F3329" s="33" t="n"/>
      <c r="G3329" s="33" t="n"/>
      <c r="H3329" s="30" t="inlineStr">
        <is>
          <t>Oui</t>
        </is>
      </c>
    </row>
    <row r="3330">
      <c r="A3330" s="31" t="inlineStr">
        <is>
          <t>Niveau</t>
        </is>
      </c>
      <c r="B3330" s="33" t="n">
        <v>55</v>
      </c>
      <c r="C3330" s="33" t="n">
        <v>55</v>
      </c>
      <c r="D3330" s="33" t="n"/>
      <c r="E3330" s="33" t="n"/>
      <c r="F3330" s="33" t="n"/>
      <c r="G3330" s="33" t="n"/>
      <c r="H3330" s="30" t="inlineStr">
        <is>
          <t>Oui</t>
        </is>
      </c>
    </row>
    <row r="3331">
      <c r="A3331" s="31" t="inlineStr">
        <is>
          <t>Objet</t>
        </is>
      </c>
      <c r="B3331" s="33" t="inlineStr">
        <is>
          <t>Aucun</t>
        </is>
      </c>
      <c r="C3331" s="33" t="inlineStr">
        <is>
          <t>Aucun</t>
        </is>
      </c>
      <c r="D3331" s="33" t="n"/>
      <c r="E3331" s="33" t="n"/>
      <c r="F3331" s="33" t="n"/>
      <c r="G3331" s="33" t="n"/>
      <c r="H3331" s="30" t="inlineStr">
        <is>
          <t>Oui</t>
        </is>
      </c>
    </row>
    <row r="3332">
      <c r="A3332" s="31" t="inlineStr">
        <is>
          <t>Talent</t>
        </is>
      </c>
      <c r="B3332" s="33" t="inlineStr">
        <is>
          <t>Joli Sourire</t>
        </is>
      </c>
      <c r="C3332" s="33" t="inlineStr">
        <is>
          <t>Intimidation</t>
        </is>
      </c>
      <c r="D3332" s="33" t="n"/>
      <c r="E3332" s="33" t="n"/>
      <c r="F3332" s="33" t="n"/>
      <c r="G3332" s="33" t="n"/>
      <c r="H3332" s="30" t="inlineStr">
        <is>
          <t>Oui</t>
        </is>
      </c>
    </row>
    <row r="3333">
      <c r="A3333" s="31" t="inlineStr">
        <is>
          <t>Capacités</t>
        </is>
      </c>
      <c r="B3333" s="34" t="inlineStr">
        <is>
          <t>Gyroballe</t>
        </is>
      </c>
      <c r="C3333" s="34" t="inlineStr">
        <is>
          <t>Hurlement</t>
        </is>
      </c>
      <c r="D3333" s="34" t="n"/>
      <c r="E3333" s="34" t="n"/>
      <c r="F3333" s="34" t="n"/>
      <c r="G3333" s="34" t="n"/>
      <c r="H3333" s="30" t="inlineStr">
        <is>
          <t>Oui</t>
        </is>
      </c>
    </row>
    <row r="3334">
      <c r="A3334" s="31" t="n"/>
      <c r="B3334" s="34" t="inlineStr">
        <is>
          <t>Copie</t>
        </is>
      </c>
      <c r="C3334" s="34" t="inlineStr">
        <is>
          <t>Frénésie</t>
        </is>
      </c>
      <c r="D3334" s="34" t="n"/>
      <c r="E3334" s="34" t="n"/>
      <c r="F3334" s="34" t="n"/>
      <c r="G3334" s="34" t="n"/>
      <c r="H3334" s="30" t="inlineStr">
        <is>
          <t>Oui</t>
        </is>
      </c>
    </row>
    <row r="3335">
      <c r="A3335" s="31" t="n"/>
      <c r="B3335" s="34" t="inlineStr">
        <is>
          <t>Mégaphone</t>
        </is>
      </c>
      <c r="C3335" s="34" t="inlineStr">
        <is>
          <t>Câlinerie</t>
        </is>
      </c>
      <c r="D3335" s="34" t="n"/>
      <c r="E3335" s="34" t="n"/>
      <c r="F3335" s="34" t="n"/>
      <c r="G3335" s="34" t="n"/>
      <c r="H3335" s="30" t="inlineStr">
        <is>
          <t>Oui</t>
        </is>
      </c>
    </row>
    <row r="3336">
      <c r="A3336" s="31" t="n"/>
      <c r="B3336" s="34" t="inlineStr">
        <is>
          <t>Damoclès</t>
        </is>
      </c>
      <c r="C3336" s="34" t="inlineStr">
        <is>
          <t>Représailles</t>
        </is>
      </c>
      <c r="D3336" s="34" t="n"/>
      <c r="E3336" s="34" t="n"/>
      <c r="F3336" s="34" t="n"/>
      <c r="G3336" s="34" t="n"/>
      <c r="H3336" s="30" t="inlineStr">
        <is>
          <t>Oui</t>
        </is>
      </c>
    </row>
    <row r="3337">
      <c r="A3337" s="31" t="inlineStr">
        <is>
          <t>Nom</t>
        </is>
      </c>
      <c r="B3337" s="32" t="inlineStr">
        <is>
          <t>Élève Joël</t>
        </is>
      </c>
      <c r="C3337" s="32" t="n"/>
      <c r="D3337" s="32" t="n"/>
      <c r="E3337" s="32" t="n"/>
      <c r="F3337" s="32" t="n"/>
      <c r="G3337" s="32" t="n"/>
      <c r="H3337" s="30" t="inlineStr">
        <is>
          <t>Oui</t>
        </is>
      </c>
    </row>
    <row r="3338">
      <c r="A3338" s="31" t="inlineStr">
        <is>
          <t>Pokémon</t>
        </is>
      </c>
      <c r="B3338" s="33" t="inlineStr">
        <is>
          <t>SAQUEDENEU</t>
        </is>
      </c>
      <c r="C3338" s="33" t="inlineStr">
        <is>
          <t>AQUALI</t>
        </is>
      </c>
      <c r="D3338" s="33" t="n"/>
      <c r="E3338" s="33" t="n"/>
      <c r="F3338" s="33" t="n"/>
      <c r="G3338" s="33" t="n"/>
      <c r="H3338" s="30" t="inlineStr">
        <is>
          <t>Oui</t>
        </is>
      </c>
    </row>
    <row r="3339">
      <c r="A3339" s="31" t="inlineStr">
        <is>
          <t>Niveau</t>
        </is>
      </c>
      <c r="B3339" s="33" t="n">
        <v>56</v>
      </c>
      <c r="C3339" s="33" t="n">
        <v>56</v>
      </c>
      <c r="D3339" s="33" t="n"/>
      <c r="E3339" s="33" t="n"/>
      <c r="F3339" s="33" t="n"/>
      <c r="G3339" s="33" t="n"/>
      <c r="H3339" s="30" t="inlineStr">
        <is>
          <t>Oui</t>
        </is>
      </c>
    </row>
    <row r="3340">
      <c r="A3340" s="31" t="inlineStr">
        <is>
          <t>Objet</t>
        </is>
      </c>
      <c r="B3340" s="33" t="inlineStr">
        <is>
          <t>Aucun</t>
        </is>
      </c>
      <c r="C3340" s="33" t="inlineStr">
        <is>
          <t>Aucun</t>
        </is>
      </c>
      <c r="D3340" s="33" t="n"/>
      <c r="E3340" s="33" t="n"/>
      <c r="F3340" s="33" t="n"/>
      <c r="G3340" s="33" t="n"/>
      <c r="H3340" s="30" t="inlineStr">
        <is>
          <t>Oui</t>
        </is>
      </c>
    </row>
    <row r="3341">
      <c r="A3341" s="31" t="inlineStr">
        <is>
          <t>Talent</t>
        </is>
      </c>
      <c r="B3341" s="33" t="inlineStr">
        <is>
          <t>Chlorophylle</t>
        </is>
      </c>
      <c r="C3341" s="33" t="inlineStr">
        <is>
          <t>Absorbe-Eau</t>
        </is>
      </c>
      <c r="D3341" s="33" t="n"/>
      <c r="E3341" s="33" t="n"/>
      <c r="F3341" s="33" t="n"/>
      <c r="G3341" s="33" t="n"/>
      <c r="H3341" s="30" t="inlineStr">
        <is>
          <t>Oui</t>
        </is>
      </c>
    </row>
    <row r="3342">
      <c r="A3342" s="31" t="inlineStr">
        <is>
          <t>Capacités</t>
        </is>
      </c>
      <c r="B3342" s="34" t="inlineStr">
        <is>
          <t>Chatouille</t>
        </is>
      </c>
      <c r="C3342" s="34" t="inlineStr">
        <is>
          <t>Buée Noire</t>
        </is>
      </c>
      <c r="D3342" s="34" t="n"/>
      <c r="E3342" s="34" t="n"/>
      <c r="F3342" s="34" t="n"/>
      <c r="G3342" s="34" t="n"/>
      <c r="H3342" s="30" t="inlineStr">
        <is>
          <t>Oui</t>
        </is>
      </c>
    </row>
    <row r="3343">
      <c r="A3343" s="31" t="n"/>
      <c r="B3343" s="34" t="inlineStr">
        <is>
          <t>Essorage</t>
        </is>
      </c>
      <c r="C3343" s="34" t="inlineStr">
        <is>
          <t>Ocroupi</t>
        </is>
      </c>
      <c r="D3343" s="34" t="n"/>
      <c r="E3343" s="34" t="n"/>
      <c r="F3343" s="34" t="n"/>
      <c r="G3343" s="34" t="n"/>
      <c r="H3343" s="30" t="inlineStr">
        <is>
          <t>Oui</t>
        </is>
      </c>
    </row>
    <row r="3344">
      <c r="A3344" s="31" t="n"/>
      <c r="B3344" s="34" t="inlineStr">
        <is>
          <t>Champ Herbu</t>
        </is>
      </c>
      <c r="C3344" s="34" t="inlineStr">
        <is>
          <t>Dernier Recours</t>
        </is>
      </c>
      <c r="D3344" s="34" t="n"/>
      <c r="E3344" s="34" t="n"/>
      <c r="F3344" s="34" t="n"/>
      <c r="G3344" s="34" t="n"/>
      <c r="H3344" s="30" t="inlineStr">
        <is>
          <t>Oui</t>
        </is>
      </c>
    </row>
    <row r="3345">
      <c r="A3345" s="31" t="n"/>
      <c r="B3345" s="34" t="inlineStr">
        <is>
          <t>Mégafouet</t>
        </is>
      </c>
      <c r="C3345" s="34" t="inlineStr">
        <is>
          <t>Hydrocanon</t>
        </is>
      </c>
      <c r="D3345" s="34" t="n"/>
      <c r="E3345" s="34" t="n"/>
      <c r="F3345" s="34" t="n"/>
      <c r="G3345" s="34" t="n"/>
      <c r="H3345" s="30" t="inlineStr">
        <is>
          <t>Oui</t>
        </is>
      </c>
    </row>
    <row r="3346">
      <c r="A3346" s="31" t="inlineStr">
        <is>
          <t>Nom</t>
        </is>
      </c>
      <c r="B3346" s="32" t="inlineStr">
        <is>
          <t>Fillette Laura</t>
        </is>
      </c>
      <c r="C3346" s="32" t="n"/>
      <c r="D3346" s="32" t="n"/>
      <c r="E3346" s="32" t="n"/>
      <c r="F3346" s="32" t="n"/>
      <c r="G3346" s="32" t="n"/>
      <c r="H3346" s="30" t="inlineStr">
        <is>
          <t>Oui</t>
        </is>
      </c>
    </row>
    <row r="3347">
      <c r="A3347" s="31" t="inlineStr">
        <is>
          <t>Pokémon</t>
        </is>
      </c>
      <c r="B3347" s="33" t="inlineStr">
        <is>
          <t>JOLIFLOR</t>
        </is>
      </c>
      <c r="C3347" s="33" t="inlineStr">
        <is>
          <t>ROUCARNAGE</t>
        </is>
      </c>
      <c r="D3347" s="33" t="inlineStr">
        <is>
          <t>TARPAUD</t>
        </is>
      </c>
      <c r="E3347" s="33" t="n"/>
      <c r="F3347" s="33" t="n"/>
      <c r="G3347" s="33" t="n"/>
      <c r="H3347" s="30" t="inlineStr">
        <is>
          <t>Oui</t>
        </is>
      </c>
    </row>
    <row r="3348">
      <c r="A3348" s="31" t="inlineStr">
        <is>
          <t>Niveau</t>
        </is>
      </c>
      <c r="B3348" s="33" t="n">
        <v>55</v>
      </c>
      <c r="C3348" s="33" t="n">
        <v>55</v>
      </c>
      <c r="D3348" s="33" t="n">
        <v>55</v>
      </c>
      <c r="E3348" s="33" t="n"/>
      <c r="F3348" s="33" t="n"/>
      <c r="G3348" s="33" t="n"/>
      <c r="H3348" s="30" t="inlineStr">
        <is>
          <t>Oui</t>
        </is>
      </c>
    </row>
    <row r="3349">
      <c r="A3349" s="31" t="inlineStr">
        <is>
          <t>Objet</t>
        </is>
      </c>
      <c r="B3349" s="33" t="inlineStr">
        <is>
          <t>Aucun</t>
        </is>
      </c>
      <c r="C3349" s="33" t="inlineStr">
        <is>
          <t>Aucun</t>
        </is>
      </c>
      <c r="D3349" s="33" t="inlineStr">
        <is>
          <t>Aucun</t>
        </is>
      </c>
      <c r="E3349" s="33" t="n"/>
      <c r="F3349" s="33" t="n"/>
      <c r="G3349" s="33" t="n"/>
      <c r="H3349" s="30" t="inlineStr">
        <is>
          <t>Oui</t>
        </is>
      </c>
    </row>
    <row r="3350">
      <c r="A3350" s="31" t="inlineStr">
        <is>
          <t>Talent</t>
        </is>
      </c>
      <c r="B3350" s="33" t="inlineStr">
        <is>
          <t>Chlorophylle</t>
        </is>
      </c>
      <c r="C3350" s="33" t="inlineStr">
        <is>
          <t>Regard Vif</t>
        </is>
      </c>
      <c r="D3350" s="33" t="inlineStr">
        <is>
          <t>Absorbe-Eau</t>
        </is>
      </c>
      <c r="E3350" s="33" t="n"/>
      <c r="F3350" s="33" t="n"/>
      <c r="G3350" s="33" t="n"/>
      <c r="H3350" s="30" t="inlineStr">
        <is>
          <t>Oui</t>
        </is>
      </c>
    </row>
    <row r="3351">
      <c r="A3351" s="31" t="inlineStr">
        <is>
          <t>Capacités</t>
        </is>
      </c>
      <c r="B3351" s="34" t="inlineStr">
        <is>
          <t>Air Veinard</t>
        </is>
      </c>
      <c r="C3351" s="34" t="inlineStr">
        <is>
          <t>Aéropique</t>
        </is>
      </c>
      <c r="D3351" s="34" t="inlineStr">
        <is>
          <t>Bulles d'O</t>
        </is>
      </c>
      <c r="E3351" s="34" t="n"/>
      <c r="F3351" s="34" t="n"/>
      <c r="G3351" s="34" t="n"/>
      <c r="H3351" s="30" t="inlineStr">
        <is>
          <t>Oui</t>
        </is>
      </c>
    </row>
    <row r="3352">
      <c r="A3352" s="31" t="n"/>
      <c r="B3352" s="34" t="inlineStr">
        <is>
          <t>Rayon Lune</t>
        </is>
      </c>
      <c r="C3352" s="34" t="inlineStr">
        <is>
          <t>Chute Libre</t>
        </is>
      </c>
      <c r="D3352" s="34" t="inlineStr">
        <is>
          <t>Mégaphone</t>
        </is>
      </c>
      <c r="E3352" s="34" t="n"/>
      <c r="F3352" s="34" t="n"/>
      <c r="G3352" s="34" t="n"/>
      <c r="H3352" s="30" t="inlineStr">
        <is>
          <t>Oui</t>
        </is>
      </c>
    </row>
    <row r="3353">
      <c r="A3353" s="31" t="n"/>
      <c r="B3353" s="34" t="inlineStr">
        <is>
          <t>Papillodanse</t>
        </is>
      </c>
      <c r="C3353" s="34" t="inlineStr">
        <is>
          <t>Atterrissage</t>
        </is>
      </c>
      <c r="D3353" s="34" t="inlineStr">
        <is>
          <t>Tir de Boue</t>
        </is>
      </c>
      <c r="E3353" s="34" t="n"/>
      <c r="F3353" s="34" t="n"/>
      <c r="G3353" s="34" t="n"/>
      <c r="H3353" s="30" t="inlineStr">
        <is>
          <t>Oui</t>
        </is>
      </c>
    </row>
    <row r="3354">
      <c r="A3354" s="31" t="n"/>
      <c r="B3354" s="34" t="inlineStr">
        <is>
          <t>Giga-Sangsue</t>
        </is>
      </c>
      <c r="C3354" s="34" t="inlineStr">
        <is>
          <t>Vent Arrière</t>
        </is>
      </c>
      <c r="D3354" s="34" t="inlineStr">
        <is>
          <t>Lire-Esprit</t>
        </is>
      </c>
      <c r="E3354" s="34" t="n"/>
      <c r="F3354" s="34" t="n"/>
      <c r="G3354" s="34" t="n"/>
      <c r="H3354" s="30" t="inlineStr">
        <is>
          <t>Oui</t>
        </is>
      </c>
    </row>
    <row r="3355">
      <c r="A3355" s="31" t="inlineStr">
        <is>
          <t>Nom</t>
        </is>
      </c>
      <c r="B3355" s="32" t="inlineStr">
        <is>
          <t>Campeur Stéphane</t>
        </is>
      </c>
      <c r="C3355" s="32" t="n"/>
      <c r="D3355" s="32" t="n"/>
      <c r="E3355" s="32" t="n"/>
      <c r="F3355" s="32" t="n"/>
      <c r="G3355" s="32" t="n"/>
      <c r="H3355" s="30" t="inlineStr">
        <is>
          <t>Oui</t>
        </is>
      </c>
    </row>
    <row r="3356">
      <c r="A3356" s="31" t="inlineStr">
        <is>
          <t>Pokémon</t>
        </is>
      </c>
      <c r="B3356" s="33" t="inlineStr">
        <is>
          <t>NIDOKING</t>
        </is>
      </c>
      <c r="C3356" s="33" t="n"/>
      <c r="D3356" s="33" t="n"/>
      <c r="E3356" s="33" t="n"/>
      <c r="F3356" s="33" t="n"/>
      <c r="G3356" s="33" t="n"/>
      <c r="H3356" s="30" t="inlineStr">
        <is>
          <t>Oui</t>
        </is>
      </c>
    </row>
    <row r="3357">
      <c r="A3357" s="31" t="inlineStr">
        <is>
          <t>Niveau</t>
        </is>
      </c>
      <c r="B3357" s="33" t="n">
        <v>57</v>
      </c>
      <c r="C3357" s="33" t="n"/>
      <c r="D3357" s="33" t="n"/>
      <c r="E3357" s="33" t="n"/>
      <c r="F3357" s="33" t="n"/>
      <c r="G3357" s="33" t="n"/>
      <c r="H3357" s="30" t="inlineStr">
        <is>
          <t>Oui</t>
        </is>
      </c>
    </row>
    <row r="3358">
      <c r="A3358" s="31" t="inlineStr">
        <is>
          <t>Objet</t>
        </is>
      </c>
      <c r="B3358" s="33" t="inlineStr">
        <is>
          <t>Aucun</t>
        </is>
      </c>
      <c r="C3358" s="33" t="n"/>
      <c r="D3358" s="33" t="n"/>
      <c r="E3358" s="33" t="n"/>
      <c r="F3358" s="33" t="n"/>
      <c r="G3358" s="33" t="n"/>
      <c r="H3358" s="30" t="inlineStr">
        <is>
          <t>Oui</t>
        </is>
      </c>
    </row>
    <row r="3359">
      <c r="A3359" s="31" t="inlineStr">
        <is>
          <t>Talent</t>
        </is>
      </c>
      <c r="B3359" s="33" t="inlineStr">
        <is>
          <t>Point Poison</t>
        </is>
      </c>
      <c r="C3359" s="33" t="n"/>
      <c r="D3359" s="33" t="n"/>
      <c r="E3359" s="33" t="n"/>
      <c r="F3359" s="33" t="n"/>
      <c r="G3359" s="33" t="n"/>
      <c r="H3359" s="30" t="inlineStr">
        <is>
          <t>Oui</t>
        </is>
      </c>
    </row>
    <row r="3360">
      <c r="A3360" s="31" t="inlineStr">
        <is>
          <t>Capacités</t>
        </is>
      </c>
      <c r="B3360" s="34" t="inlineStr">
        <is>
          <t>Mania</t>
        </is>
      </c>
      <c r="C3360" s="34" t="n"/>
      <c r="D3360" s="34" t="n"/>
      <c r="E3360" s="34" t="n"/>
      <c r="F3360" s="34" t="n"/>
      <c r="G3360" s="34" t="n"/>
      <c r="H3360" s="30" t="inlineStr">
        <is>
          <t>Oui</t>
        </is>
      </c>
    </row>
    <row r="3361">
      <c r="A3361" s="31" t="n"/>
      <c r="B3361" s="34" t="inlineStr">
        <is>
          <t>Poison Croix</t>
        </is>
      </c>
      <c r="C3361" s="34" t="n"/>
      <c r="D3361" s="34" t="n"/>
      <c r="E3361" s="34" t="n"/>
      <c r="F3361" s="34" t="n"/>
      <c r="G3361" s="34" t="n"/>
      <c r="H3361" s="30" t="inlineStr">
        <is>
          <t>Oui</t>
        </is>
      </c>
    </row>
    <row r="3362">
      <c r="A3362" s="31" t="n"/>
      <c r="B3362" s="34" t="inlineStr">
        <is>
          <t>Piétisol</t>
        </is>
      </c>
      <c r="C3362" s="34" t="n"/>
      <c r="D3362" s="34" t="n"/>
      <c r="E3362" s="34" t="n"/>
      <c r="F3362" s="34" t="n"/>
      <c r="G3362" s="34" t="n"/>
      <c r="H3362" s="30" t="inlineStr">
        <is>
          <t>Oui</t>
        </is>
      </c>
    </row>
    <row r="3363">
      <c r="A3363" s="31" t="n"/>
      <c r="B3363" s="34" t="inlineStr">
        <is>
          <t>Telluriforce</t>
        </is>
      </c>
      <c r="C3363" s="34" t="n"/>
      <c r="D3363" s="34" t="n"/>
      <c r="E3363" s="34" t="n"/>
      <c r="F3363" s="34" t="n"/>
      <c r="G3363" s="34" t="n"/>
      <c r="H3363" s="30" t="inlineStr">
        <is>
          <t>Oui</t>
        </is>
      </c>
    </row>
    <row r="3364">
      <c r="A3364" s="31" t="inlineStr">
        <is>
          <t>Nom</t>
        </is>
      </c>
      <c r="B3364" s="32" t="inlineStr">
        <is>
          <t>Fillette Diane</t>
        </is>
      </c>
      <c r="C3364" s="32" t="n"/>
      <c r="D3364" s="32" t="n"/>
      <c r="E3364" s="32" t="n"/>
      <c r="F3364" s="32" t="n"/>
      <c r="G3364" s="32" t="n"/>
      <c r="H3364" s="30" t="inlineStr">
        <is>
          <t>Oui</t>
        </is>
      </c>
    </row>
    <row r="3365">
      <c r="A3365" s="31" t="inlineStr">
        <is>
          <t>Pokémon</t>
        </is>
      </c>
      <c r="B3365" s="33" t="inlineStr">
        <is>
          <t>PARASECT</t>
        </is>
      </c>
      <c r="C3365" s="33" t="inlineStr">
        <is>
          <t>SAQUEDENEU</t>
        </is>
      </c>
      <c r="D3365" s="33" t="inlineStr">
        <is>
          <t>PARASECT</t>
        </is>
      </c>
      <c r="E3365" s="33" t="n"/>
      <c r="F3365" s="33" t="n"/>
      <c r="G3365" s="33" t="n"/>
      <c r="H3365" s="30" t="inlineStr">
        <is>
          <t>Oui</t>
        </is>
      </c>
    </row>
    <row r="3366">
      <c r="A3366" s="31" t="inlineStr">
        <is>
          <t>Niveau</t>
        </is>
      </c>
      <c r="B3366" s="33" t="n">
        <v>56</v>
      </c>
      <c r="C3366" s="33" t="n">
        <v>55</v>
      </c>
      <c r="D3366" s="33" t="n">
        <v>56</v>
      </c>
      <c r="E3366" s="33" t="n"/>
      <c r="F3366" s="33" t="n"/>
      <c r="G3366" s="33" t="n"/>
      <c r="H3366" s="30" t="inlineStr">
        <is>
          <t>Oui</t>
        </is>
      </c>
    </row>
    <row r="3367">
      <c r="A3367" s="31" t="inlineStr">
        <is>
          <t>Objet</t>
        </is>
      </c>
      <c r="B3367" s="33" t="inlineStr">
        <is>
          <t>Aucun</t>
        </is>
      </c>
      <c r="C3367" s="33" t="inlineStr">
        <is>
          <t>Aucun</t>
        </is>
      </c>
      <c r="D3367" s="33" t="inlineStr">
        <is>
          <t>Aucun</t>
        </is>
      </c>
      <c r="E3367" s="33" t="n"/>
      <c r="F3367" s="33" t="n"/>
      <c r="G3367" s="33" t="n"/>
      <c r="H3367" s="30" t="inlineStr">
        <is>
          <t>Oui</t>
        </is>
      </c>
    </row>
    <row r="3368">
      <c r="A3368" s="31" t="inlineStr">
        <is>
          <t>Talent</t>
        </is>
      </c>
      <c r="B3368" s="33" t="inlineStr">
        <is>
          <t>Pose Spore</t>
        </is>
      </c>
      <c r="C3368" s="33" t="inlineStr">
        <is>
          <t>Chlorophylle</t>
        </is>
      </c>
      <c r="D3368" s="33" t="inlineStr">
        <is>
          <t>Pose Spore</t>
        </is>
      </c>
      <c r="E3368" s="33" t="n"/>
      <c r="F3368" s="33" t="n"/>
      <c r="G3368" s="33" t="n"/>
      <c r="H3368" s="30" t="inlineStr">
        <is>
          <t>Oui</t>
        </is>
      </c>
    </row>
    <row r="3369">
      <c r="A3369" s="31" t="inlineStr">
        <is>
          <t>Capacités</t>
        </is>
      </c>
      <c r="B3369" s="34" t="inlineStr">
        <is>
          <t>Croissance</t>
        </is>
      </c>
      <c r="C3369" s="34" t="inlineStr">
        <is>
          <t>Chatouille</t>
        </is>
      </c>
      <c r="D3369" s="34" t="inlineStr">
        <is>
          <t>Croissance</t>
        </is>
      </c>
      <c r="E3369" s="34" t="n"/>
      <c r="F3369" s="34" t="n"/>
      <c r="G3369" s="34" t="n"/>
      <c r="H3369" s="30" t="inlineStr">
        <is>
          <t>Oui</t>
        </is>
      </c>
    </row>
    <row r="3370">
      <c r="A3370" s="31" t="n"/>
      <c r="B3370" s="34" t="inlineStr">
        <is>
          <t>Giga-Sangsue</t>
        </is>
      </c>
      <c r="C3370" s="34" t="inlineStr">
        <is>
          <t>Essorage</t>
        </is>
      </c>
      <c r="D3370" s="34" t="inlineStr">
        <is>
          <t>Giga-Sangsue</t>
        </is>
      </c>
      <c r="E3370" s="34" t="n"/>
      <c r="F3370" s="34" t="n"/>
      <c r="G3370" s="34" t="n"/>
      <c r="H3370" s="30" t="inlineStr">
        <is>
          <t>Oui</t>
        </is>
      </c>
    </row>
    <row r="3371">
      <c r="A3371" s="31" t="n"/>
      <c r="B3371" s="34" t="inlineStr">
        <is>
          <t>Aromathérapie</t>
        </is>
      </c>
      <c r="C3371" s="34" t="inlineStr">
        <is>
          <t>Champ Herbu</t>
        </is>
      </c>
      <c r="D3371" s="34" t="inlineStr">
        <is>
          <t>Aromathérapie</t>
        </is>
      </c>
      <c r="E3371" s="34" t="n"/>
      <c r="F3371" s="34" t="n"/>
      <c r="G3371" s="34" t="n"/>
      <c r="H3371" s="30" t="inlineStr">
        <is>
          <t>Oui</t>
        </is>
      </c>
    </row>
    <row r="3372">
      <c r="A3372" s="31" t="n"/>
      <c r="B3372" s="34" t="inlineStr">
        <is>
          <t>Pince-Masse</t>
        </is>
      </c>
      <c r="C3372" s="34" t="inlineStr">
        <is>
          <t>Mégafouet</t>
        </is>
      </c>
      <c r="D3372" s="34" t="inlineStr">
        <is>
          <t>Pince-Masse</t>
        </is>
      </c>
      <c r="E3372" s="34" t="n"/>
      <c r="F3372" s="34" t="n"/>
      <c r="G3372" s="34" t="n"/>
      <c r="H3372" s="30" t="inlineStr">
        <is>
          <t>Oui</t>
        </is>
      </c>
    </row>
    <row r="3373">
      <c r="A3373" s="31" t="inlineStr">
        <is>
          <t>Nom</t>
        </is>
      </c>
      <c r="B3373" s="32" t="inlineStr">
        <is>
          <t>Intello Arthus</t>
        </is>
      </c>
      <c r="C3373" s="32" t="n"/>
      <c r="D3373" s="32" t="n"/>
      <c r="E3373" s="32" t="n"/>
      <c r="F3373" s="32" t="n"/>
      <c r="G3373" s="32" t="n"/>
      <c r="H3373" s="30" t="inlineStr">
        <is>
          <t>Oui</t>
        </is>
      </c>
    </row>
    <row r="3374">
      <c r="A3374" s="31" t="inlineStr">
        <is>
          <t>Pokémon</t>
        </is>
      </c>
      <c r="B3374" s="33" t="inlineStr">
        <is>
          <t>PORYGON</t>
        </is>
      </c>
      <c r="C3374" s="33" t="inlineStr">
        <is>
          <t>MAGNETON</t>
        </is>
      </c>
      <c r="D3374" s="33" t="inlineStr">
        <is>
          <t>PORYGON2</t>
        </is>
      </c>
      <c r="E3374" s="33" t="n"/>
      <c r="F3374" s="33" t="n"/>
      <c r="G3374" s="33" t="n"/>
      <c r="H3374" s="30" t="inlineStr">
        <is>
          <t>Oui</t>
        </is>
      </c>
    </row>
    <row r="3375">
      <c r="A3375" s="31" t="inlineStr">
        <is>
          <t>Niveau</t>
        </is>
      </c>
      <c r="B3375" s="33" t="n">
        <v>56</v>
      </c>
      <c r="C3375" s="33" t="n">
        <v>56</v>
      </c>
      <c r="D3375" s="33" t="n">
        <v>56</v>
      </c>
      <c r="E3375" s="33" t="n"/>
      <c r="F3375" s="33" t="n"/>
      <c r="G3375" s="33" t="n"/>
      <c r="H3375" s="30" t="inlineStr">
        <is>
          <t>Oui</t>
        </is>
      </c>
    </row>
    <row r="3376">
      <c r="A3376" s="31" t="inlineStr">
        <is>
          <t>Objet</t>
        </is>
      </c>
      <c r="B3376" s="33" t="inlineStr">
        <is>
          <t>Aucun</t>
        </is>
      </c>
      <c r="C3376" s="33" t="inlineStr">
        <is>
          <t>Aucun</t>
        </is>
      </c>
      <c r="D3376" s="33" t="inlineStr">
        <is>
          <t>Aucun</t>
        </is>
      </c>
      <c r="E3376" s="33" t="n"/>
      <c r="F3376" s="33" t="n"/>
      <c r="G3376" s="33" t="n"/>
      <c r="H3376" s="30" t="inlineStr">
        <is>
          <t>Oui</t>
        </is>
      </c>
    </row>
    <row r="3377">
      <c r="A3377" s="31" t="inlineStr">
        <is>
          <t>Talent</t>
        </is>
      </c>
      <c r="B3377" s="33" t="inlineStr">
        <is>
          <t>Calque</t>
        </is>
      </c>
      <c r="C3377" s="33" t="inlineStr">
        <is>
          <t>Magnépiège</t>
        </is>
      </c>
      <c r="D3377" s="33" t="inlineStr">
        <is>
          <t>Calque</t>
        </is>
      </c>
      <c r="E3377" s="33" t="n"/>
      <c r="F3377" s="33" t="n"/>
      <c r="G3377" s="33" t="n"/>
      <c r="H3377" s="30" t="inlineStr">
        <is>
          <t>Oui</t>
        </is>
      </c>
    </row>
    <row r="3378">
      <c r="A3378" s="31" t="inlineStr">
        <is>
          <t>Capacités</t>
        </is>
      </c>
      <c r="B3378" s="34" t="inlineStr">
        <is>
          <t>Coup d'Jus</t>
        </is>
      </c>
      <c r="C3378" s="34" t="inlineStr">
        <is>
          <t>Grincement</t>
        </is>
      </c>
      <c r="D3378" s="34" t="inlineStr">
        <is>
          <t>Coup d'Jus</t>
        </is>
      </c>
      <c r="E3378" s="34" t="n"/>
      <c r="F3378" s="34" t="n"/>
      <c r="G3378" s="34" t="n"/>
      <c r="H3378" s="30" t="inlineStr">
        <is>
          <t>Oui</t>
        </is>
      </c>
    </row>
    <row r="3379">
      <c r="A3379" s="31" t="n"/>
      <c r="B3379" s="34" t="inlineStr">
        <is>
          <t>Verrouillage</t>
        </is>
      </c>
      <c r="C3379" s="34" t="inlineStr">
        <is>
          <t>Coup d'Jus</t>
        </is>
      </c>
      <c r="D3379" s="34" t="inlineStr">
        <is>
          <t>Verrouillage</t>
        </is>
      </c>
      <c r="E3379" s="34" t="n"/>
      <c r="F3379" s="34" t="n"/>
      <c r="G3379" s="34" t="n"/>
      <c r="H3379" s="30" t="inlineStr">
        <is>
          <t>Oui</t>
        </is>
      </c>
    </row>
    <row r="3380">
      <c r="A3380" s="31" t="n"/>
      <c r="B3380" s="34" t="inlineStr">
        <is>
          <t>Triplattaque</t>
        </is>
      </c>
      <c r="C3380" s="34" t="inlineStr">
        <is>
          <t>Verrouillage</t>
        </is>
      </c>
      <c r="D3380" s="34" t="inlineStr">
        <is>
          <t>Triplattaque</t>
        </is>
      </c>
      <c r="E3380" s="34" t="n"/>
      <c r="F3380" s="34" t="n"/>
      <c r="G3380" s="34" t="n"/>
      <c r="H3380" s="30" t="inlineStr">
        <is>
          <t>Oui</t>
        </is>
      </c>
    </row>
    <row r="3381">
      <c r="A3381" s="31" t="n"/>
      <c r="B3381" s="34" t="inlineStr">
        <is>
          <t>Reflet Magik</t>
        </is>
      </c>
      <c r="C3381" s="34" t="inlineStr">
        <is>
          <t>Vol Magnétik</t>
        </is>
      </c>
      <c r="D3381" s="34" t="inlineStr">
        <is>
          <t>Reflet Magik</t>
        </is>
      </c>
      <c r="E3381" s="34" t="n"/>
      <c r="F3381" s="34" t="n"/>
      <c r="G3381" s="34" t="n"/>
      <c r="H3381" s="30" t="inlineStr">
        <is>
          <t>Oui</t>
        </is>
      </c>
    </row>
    <row r="3382">
      <c r="A3382" s="31" t="inlineStr">
        <is>
          <t>Nom</t>
        </is>
      </c>
      <c r="B3382" s="32" t="inlineStr">
        <is>
          <t>Topdresseur Kevin</t>
        </is>
      </c>
      <c r="C3382" s="32" t="n"/>
      <c r="D3382" s="32" t="n"/>
      <c r="E3382" s="32" t="n"/>
      <c r="F3382" s="32" t="n"/>
      <c r="G3382" s="32" t="n"/>
      <c r="H3382" s="30" t="inlineStr">
        <is>
          <t>Oui</t>
        </is>
      </c>
    </row>
    <row r="3383">
      <c r="A3383" s="31" t="inlineStr">
        <is>
          <t>Pokémon</t>
        </is>
      </c>
      <c r="B3383" s="33" t="inlineStr">
        <is>
          <t>RHINOCORNE</t>
        </is>
      </c>
      <c r="C3383" s="33" t="inlineStr">
        <is>
          <t>LANTURN</t>
        </is>
      </c>
      <c r="D3383" s="33" t="inlineStr">
        <is>
          <t>MENTALI</t>
        </is>
      </c>
      <c r="E3383" s="33" t="inlineStr">
        <is>
          <t>DRACAUFEU</t>
        </is>
      </c>
      <c r="F3383" s="33" t="n"/>
      <c r="G3383" s="33" t="n"/>
      <c r="H3383" s="30" t="inlineStr">
        <is>
          <t>Oui</t>
        </is>
      </c>
    </row>
    <row r="3384">
      <c r="A3384" s="31" t="inlineStr">
        <is>
          <t>Niveau</t>
        </is>
      </c>
      <c r="B3384" s="33" t="n">
        <v>58</v>
      </c>
      <c r="C3384" s="33" t="n">
        <v>57</v>
      </c>
      <c r="D3384" s="33" t="n">
        <v>57</v>
      </c>
      <c r="E3384" s="33" t="n">
        <v>58</v>
      </c>
      <c r="F3384" s="33" t="n"/>
      <c r="G3384" s="33" t="n"/>
      <c r="H3384" s="30" t="inlineStr">
        <is>
          <t>Oui</t>
        </is>
      </c>
    </row>
    <row r="3385">
      <c r="A3385" s="31" t="inlineStr">
        <is>
          <t>Objet</t>
        </is>
      </c>
      <c r="B3385" s="33" t="inlineStr">
        <is>
          <t>Aucun</t>
        </is>
      </c>
      <c r="C3385" s="33" t="inlineStr">
        <is>
          <t>Aucun</t>
        </is>
      </c>
      <c r="D3385" s="33" t="inlineStr">
        <is>
          <t>Aucun</t>
        </is>
      </c>
      <c r="E3385" s="33" t="inlineStr">
        <is>
          <t>Aucun</t>
        </is>
      </c>
      <c r="F3385" s="33" t="n"/>
      <c r="G3385" s="33" t="n"/>
      <c r="H3385" s="30" t="inlineStr">
        <is>
          <t>Oui</t>
        </is>
      </c>
    </row>
    <row r="3386">
      <c r="A3386" s="31" t="inlineStr">
        <is>
          <t>Talent</t>
        </is>
      </c>
      <c r="B3386" s="33" t="inlineStr">
        <is>
          <t>Paratonnerre</t>
        </is>
      </c>
      <c r="C3386" s="33" t="inlineStr">
        <is>
          <t>Absorbe-Volt</t>
        </is>
      </c>
      <c r="D3386" s="33" t="inlineStr">
        <is>
          <t>Synchro</t>
        </is>
      </c>
      <c r="E3386" s="33" t="inlineStr">
        <is>
          <t>Brasier</t>
        </is>
      </c>
      <c r="F3386" s="33" t="n"/>
      <c r="G3386" s="33" t="n"/>
      <c r="H3386" s="30" t="inlineStr">
        <is>
          <t>Oui</t>
        </is>
      </c>
    </row>
    <row r="3387">
      <c r="A3387" s="31" t="inlineStr">
        <is>
          <t>Capacités</t>
        </is>
      </c>
      <c r="B3387" s="34" t="inlineStr">
        <is>
          <t>Lame de Roc</t>
        </is>
      </c>
      <c r="C3387" s="34" t="inlineStr">
        <is>
          <t>Bélier</t>
        </is>
      </c>
      <c r="D3387" s="34" t="inlineStr">
        <is>
          <t>Aurore</t>
        </is>
      </c>
      <c r="E3387" s="34" t="inlineStr">
        <is>
          <t>Rebondifeu</t>
        </is>
      </c>
      <c r="F3387" s="34" t="n"/>
      <c r="G3387" s="34" t="n"/>
      <c r="H3387" s="30" t="inlineStr">
        <is>
          <t>Oui</t>
        </is>
      </c>
    </row>
    <row r="3388">
      <c r="A3388" s="31" t="n"/>
      <c r="B3388" s="34" t="inlineStr">
        <is>
          <t>Séisme</t>
        </is>
      </c>
      <c r="C3388" s="34" t="inlineStr">
        <is>
          <t>Anneau Hydro</t>
        </is>
      </c>
      <c r="D3388" s="34" t="inlineStr">
        <is>
          <t>Psyko</t>
        </is>
      </c>
      <c r="E3388" s="34" t="inlineStr">
        <is>
          <t>Tranche</t>
        </is>
      </c>
      <c r="F3388" s="34" t="n"/>
      <c r="G3388" s="34" t="n"/>
      <c r="H3388" s="30" t="inlineStr">
        <is>
          <t>Oui</t>
        </is>
      </c>
    </row>
    <row r="3389">
      <c r="A3389" s="31" t="n"/>
      <c r="B3389" s="34" t="inlineStr">
        <is>
          <t>Mégacorne</t>
        </is>
      </c>
      <c r="C3389" s="34" t="inlineStr">
        <is>
          <t>Hydrocanon</t>
        </is>
      </c>
      <c r="D3389" s="34" t="inlineStr">
        <is>
          <t>Dernier Recours</t>
        </is>
      </c>
      <c r="E3389" s="34" t="inlineStr">
        <is>
          <t>Lance-Flammes</t>
        </is>
      </c>
      <c r="F3389" s="34" t="n"/>
      <c r="G3389" s="34" t="n"/>
      <c r="H3389" s="30" t="inlineStr">
        <is>
          <t>Oui</t>
        </is>
      </c>
    </row>
    <row r="3390">
      <c r="A3390" s="31" t="n"/>
      <c r="B3390" s="34" t="inlineStr">
        <is>
          <t>Empal'Korne</t>
        </is>
      </c>
      <c r="C3390" s="34" t="inlineStr">
        <is>
          <t>Déluge Plasmique</t>
        </is>
      </c>
      <c r="D3390" s="34" t="inlineStr">
        <is>
          <t>Permuforce</t>
        </is>
      </c>
      <c r="E3390" s="34" t="inlineStr">
        <is>
          <t>Danse Flammes</t>
        </is>
      </c>
      <c r="F3390" s="34" t="n"/>
      <c r="G3390" s="34" t="n"/>
      <c r="H3390" s="30" t="inlineStr">
        <is>
          <t>Oui</t>
        </is>
      </c>
    </row>
    <row r="3391" ht="18" customHeight="1">
      <c r="A3391" s="26" t="inlineStr">
        <is>
          <t>Route 4</t>
        </is>
      </c>
      <c r="B3391" s="26" t="n"/>
      <c r="C3391" s="26" t="n"/>
      <c r="D3391" s="26" t="n"/>
      <c r="E3391" s="26" t="n"/>
      <c r="F3391" s="26" t="n"/>
      <c r="G3391" s="26" t="n"/>
      <c r="H3391" s="30" t="inlineStr">
        <is>
          <t>Oui</t>
        </is>
      </c>
    </row>
    <row r="3392">
      <c r="A3392" s="31" t="inlineStr">
        <is>
          <t>Nom</t>
        </is>
      </c>
      <c r="B3392" s="32" t="inlineStr">
        <is>
          <t>Ornithologue Phil</t>
        </is>
      </c>
      <c r="C3392" s="32" t="n"/>
      <c r="D3392" s="32" t="n"/>
      <c r="E3392" s="32" t="n"/>
      <c r="F3392" s="32" t="n"/>
      <c r="G3392" s="32" t="n"/>
      <c r="H3392" s="30" t="inlineStr">
        <is>
          <t>Oui</t>
        </is>
      </c>
    </row>
    <row r="3393">
      <c r="A3393" s="31" t="inlineStr">
        <is>
          <t>Pokémon</t>
        </is>
      </c>
      <c r="B3393" s="33" t="inlineStr">
        <is>
          <t>CORNEBRE</t>
        </is>
      </c>
      <c r="C3393" s="33" t="inlineStr">
        <is>
          <t>ROUCARNAGE</t>
        </is>
      </c>
      <c r="D3393" s="33" t="n"/>
      <c r="E3393" s="33" t="n"/>
      <c r="F3393" s="33" t="n"/>
      <c r="G3393" s="33" t="n"/>
      <c r="H3393" s="30" t="inlineStr">
        <is>
          <t>Oui</t>
        </is>
      </c>
    </row>
    <row r="3394">
      <c r="A3394" s="31" t="inlineStr">
        <is>
          <t>Niveau</t>
        </is>
      </c>
      <c r="B3394" s="33" t="n">
        <v>59</v>
      </c>
      <c r="C3394" s="33" t="n">
        <v>59</v>
      </c>
      <c r="D3394" s="33" t="n"/>
      <c r="E3394" s="33" t="n"/>
      <c r="F3394" s="33" t="n"/>
      <c r="G3394" s="33" t="n"/>
      <c r="H3394" s="30" t="inlineStr">
        <is>
          <t>Oui</t>
        </is>
      </c>
    </row>
    <row r="3395">
      <c r="A3395" s="31" t="inlineStr">
        <is>
          <t>Objet</t>
        </is>
      </c>
      <c r="B3395" s="33" t="inlineStr">
        <is>
          <t>Aucun</t>
        </is>
      </c>
      <c r="C3395" s="33" t="inlineStr">
        <is>
          <t>Aucun</t>
        </is>
      </c>
      <c r="D3395" s="33" t="n"/>
      <c r="E3395" s="33" t="n"/>
      <c r="F3395" s="33" t="n"/>
      <c r="G3395" s="33" t="n"/>
      <c r="H3395" s="30" t="inlineStr">
        <is>
          <t>Oui</t>
        </is>
      </c>
    </row>
    <row r="3396">
      <c r="A3396" s="31" t="inlineStr">
        <is>
          <t>Talent</t>
        </is>
      </c>
      <c r="B3396" s="33" t="inlineStr">
        <is>
          <t>Insomnia</t>
        </is>
      </c>
      <c r="C3396" s="33" t="inlineStr">
        <is>
          <t>Regard Vif</t>
        </is>
      </c>
      <c r="D3396" s="33" t="n"/>
      <c r="E3396" s="33" t="n"/>
      <c r="F3396" s="33" t="n"/>
      <c r="G3396" s="33" t="n"/>
      <c r="H3396" s="30" t="inlineStr">
        <is>
          <t>Oui</t>
        </is>
      </c>
    </row>
    <row r="3397">
      <c r="A3397" s="31" t="inlineStr">
        <is>
          <t>Capacités</t>
        </is>
      </c>
      <c r="B3397" s="34" t="inlineStr">
        <is>
          <t>Regard Noir</t>
        </is>
      </c>
      <c r="C3397" s="34" t="inlineStr">
        <is>
          <t>Chute Libre</t>
        </is>
      </c>
      <c r="D3397" s="34" t="n"/>
      <c r="E3397" s="34" t="n"/>
      <c r="F3397" s="34" t="n"/>
      <c r="G3397" s="34" t="n"/>
      <c r="H3397" s="30" t="inlineStr">
        <is>
          <t>Oui</t>
        </is>
      </c>
    </row>
    <row r="3398">
      <c r="A3398" s="31" t="n"/>
      <c r="B3398" s="34" t="inlineStr">
        <is>
          <t>Tricherie</t>
        </is>
      </c>
      <c r="C3398" s="34" t="inlineStr">
        <is>
          <t>Atterrissage</t>
        </is>
      </c>
      <c r="D3398" s="34" t="n"/>
      <c r="E3398" s="34" t="n"/>
      <c r="F3398" s="34" t="n"/>
      <c r="G3398" s="34" t="n"/>
      <c r="H3398" s="30" t="inlineStr">
        <is>
          <t>Oui</t>
        </is>
      </c>
    </row>
    <row r="3399">
      <c r="A3399" s="31" t="n"/>
      <c r="B3399" s="34" t="inlineStr">
        <is>
          <t>Vent Arrière</t>
        </is>
      </c>
      <c r="C3399" s="34" t="inlineStr">
        <is>
          <t>Vent Arrière</t>
        </is>
      </c>
      <c r="D3399" s="34" t="n"/>
      <c r="E3399" s="34" t="n"/>
      <c r="F3399" s="34" t="n"/>
      <c r="G3399" s="34" t="n"/>
      <c r="H3399" s="30" t="inlineStr">
        <is>
          <t>Oui</t>
        </is>
      </c>
    </row>
    <row r="3400">
      <c r="A3400" s="31" t="n"/>
      <c r="B3400" s="34" t="inlineStr">
        <is>
          <t>Coup Bas</t>
        </is>
      </c>
      <c r="C3400" s="34" t="inlineStr">
        <is>
          <t>Mimique</t>
        </is>
      </c>
      <c r="D3400" s="34" t="n"/>
      <c r="E3400" s="34" t="n"/>
      <c r="F3400" s="34" t="n"/>
      <c r="G3400" s="34" t="n"/>
      <c r="H3400" s="30" t="inlineStr">
        <is>
          <t>Oui</t>
        </is>
      </c>
    </row>
    <row r="3401">
      <c r="A3401" s="31" t="inlineStr">
        <is>
          <t>Nom</t>
        </is>
      </c>
      <c r="B3401" s="32" t="inlineStr">
        <is>
          <t>Pique-Nique Suza</t>
        </is>
      </c>
      <c r="C3401" s="32" t="n"/>
      <c r="D3401" s="32" t="n"/>
      <c r="E3401" s="32" t="n"/>
      <c r="F3401" s="32" t="n"/>
      <c r="G3401" s="32" t="n"/>
      <c r="H3401" s="30" t="inlineStr">
        <is>
          <t>Oui</t>
        </is>
      </c>
    </row>
    <row r="3402">
      <c r="A3402" s="31" t="inlineStr">
        <is>
          <t>Pokémon</t>
        </is>
      </c>
      <c r="B3402" s="33" t="inlineStr">
        <is>
          <t>PHARAMP</t>
        </is>
      </c>
      <c r="C3402" s="33" t="n"/>
      <c r="D3402" s="33" t="n"/>
      <c r="E3402" s="33" t="n"/>
      <c r="F3402" s="33" t="n"/>
      <c r="G3402" s="33" t="n"/>
      <c r="H3402" s="30" t="inlineStr">
        <is>
          <t>Oui</t>
        </is>
      </c>
    </row>
    <row r="3403">
      <c r="A3403" s="31" t="inlineStr">
        <is>
          <t>Niveau</t>
        </is>
      </c>
      <c r="B3403" s="33" t="n">
        <v>61</v>
      </c>
      <c r="C3403" s="33" t="n"/>
      <c r="D3403" s="33" t="n"/>
      <c r="E3403" s="33" t="n"/>
      <c r="F3403" s="33" t="n"/>
      <c r="G3403" s="33" t="n"/>
      <c r="H3403" s="30" t="inlineStr">
        <is>
          <t>Oui</t>
        </is>
      </c>
    </row>
    <row r="3404">
      <c r="A3404" s="31" t="inlineStr">
        <is>
          <t>Objet</t>
        </is>
      </c>
      <c r="B3404" s="33" t="inlineStr">
        <is>
          <t>Aucun</t>
        </is>
      </c>
      <c r="C3404" s="33" t="n"/>
      <c r="D3404" s="33" t="n"/>
      <c r="E3404" s="33" t="n"/>
      <c r="F3404" s="33" t="n"/>
      <c r="G3404" s="33" t="n"/>
      <c r="H3404" s="30" t="inlineStr">
        <is>
          <t>Oui</t>
        </is>
      </c>
    </row>
    <row r="3405">
      <c r="A3405" s="31" t="inlineStr">
        <is>
          <t>Talent</t>
        </is>
      </c>
      <c r="B3405" s="33" t="inlineStr">
        <is>
          <t>Statik</t>
        </is>
      </c>
      <c r="C3405" s="33" t="n"/>
      <c r="D3405" s="33" t="n"/>
      <c r="E3405" s="33" t="n"/>
      <c r="F3405" s="33" t="n"/>
      <c r="G3405" s="33" t="n"/>
      <c r="H3405" s="30" t="inlineStr">
        <is>
          <t>Oui</t>
        </is>
      </c>
    </row>
    <row r="3406">
      <c r="A3406" s="31" t="inlineStr">
        <is>
          <t>Capacités</t>
        </is>
      </c>
      <c r="B3406" s="34" t="inlineStr">
        <is>
          <t>Coup d'Jus</t>
        </is>
      </c>
      <c r="C3406" s="34" t="n"/>
      <c r="D3406" s="34" t="n"/>
      <c r="E3406" s="34" t="n"/>
      <c r="F3406" s="34" t="n"/>
      <c r="G3406" s="34" t="n"/>
      <c r="H3406" s="30" t="inlineStr">
        <is>
          <t>Oui</t>
        </is>
      </c>
    </row>
    <row r="3407">
      <c r="A3407" s="31" t="n"/>
      <c r="B3407" s="34" t="inlineStr">
        <is>
          <t>Cotogarde</t>
        </is>
      </c>
      <c r="C3407" s="34" t="n"/>
      <c r="D3407" s="34" t="n"/>
      <c r="E3407" s="34" t="n"/>
      <c r="F3407" s="34" t="n"/>
      <c r="G3407" s="34" t="n"/>
      <c r="H3407" s="30" t="inlineStr">
        <is>
          <t>Oui</t>
        </is>
      </c>
    </row>
    <row r="3408">
      <c r="A3408" s="31" t="n"/>
      <c r="B3408" s="34" t="inlineStr">
        <is>
          <t>Rayon Signal</t>
        </is>
      </c>
      <c r="C3408" s="34" t="n"/>
      <c r="D3408" s="34" t="n"/>
      <c r="E3408" s="34" t="n"/>
      <c r="F3408" s="34" t="n"/>
      <c r="G3408" s="34" t="n"/>
      <c r="H3408" s="30" t="inlineStr">
        <is>
          <t>Oui</t>
        </is>
      </c>
    </row>
    <row r="3409">
      <c r="A3409" s="31" t="n"/>
      <c r="B3409" s="34" t="inlineStr">
        <is>
          <t>Mur Lumière</t>
        </is>
      </c>
      <c r="C3409" s="34" t="n"/>
      <c r="D3409" s="34" t="n"/>
      <c r="E3409" s="34" t="n"/>
      <c r="F3409" s="34" t="n"/>
      <c r="G3409" s="34" t="n"/>
      <c r="H3409" s="30" t="inlineStr">
        <is>
          <t>Oui</t>
        </is>
      </c>
    </row>
    <row r="3410">
      <c r="A3410" s="31" t="inlineStr">
        <is>
          <t>Nom</t>
        </is>
      </c>
      <c r="B3410" s="32" t="inlineStr">
        <is>
          <t>Pique-Nique Tara</t>
        </is>
      </c>
      <c r="C3410" s="32" t="n"/>
      <c r="D3410" s="32" t="n"/>
      <c r="E3410" s="32" t="n"/>
      <c r="F3410" s="32" t="n"/>
      <c r="G3410" s="32" t="n"/>
      <c r="H3410" s="30" t="inlineStr">
        <is>
          <t>Oui</t>
        </is>
      </c>
    </row>
    <row r="3411">
      <c r="A3411" s="31" t="inlineStr">
        <is>
          <t>Pokémon</t>
        </is>
      </c>
      <c r="B3411" s="33" t="inlineStr">
        <is>
          <t>FOUINAR</t>
        </is>
      </c>
      <c r="C3411" s="33" t="inlineStr">
        <is>
          <t>GALOPA</t>
        </is>
      </c>
      <c r="D3411" s="33" t="n"/>
      <c r="E3411" s="33" t="n"/>
      <c r="F3411" s="33" t="n"/>
      <c r="G3411" s="33" t="n"/>
      <c r="H3411" s="30" t="inlineStr">
        <is>
          <t>Oui</t>
        </is>
      </c>
    </row>
    <row r="3412">
      <c r="A3412" s="31" t="inlineStr">
        <is>
          <t>Niveau</t>
        </is>
      </c>
      <c r="B3412" s="33" t="n">
        <v>61</v>
      </c>
      <c r="C3412" s="33" t="n">
        <v>58</v>
      </c>
      <c r="D3412" s="33" t="n"/>
      <c r="E3412" s="33" t="n"/>
      <c r="F3412" s="33" t="n"/>
      <c r="G3412" s="33" t="n"/>
      <c r="H3412" s="30" t="inlineStr">
        <is>
          <t>Oui</t>
        </is>
      </c>
    </row>
    <row r="3413">
      <c r="A3413" s="31" t="inlineStr">
        <is>
          <t>Objet</t>
        </is>
      </c>
      <c r="B3413" s="33" t="inlineStr">
        <is>
          <t>Aucun</t>
        </is>
      </c>
      <c r="C3413" s="33" t="inlineStr">
        <is>
          <t>Aucun</t>
        </is>
      </c>
      <c r="D3413" s="33" t="n"/>
      <c r="E3413" s="33" t="n"/>
      <c r="F3413" s="33" t="n"/>
      <c r="G3413" s="33" t="n"/>
      <c r="H3413" s="30" t="inlineStr">
        <is>
          <t>Oui</t>
        </is>
      </c>
    </row>
    <row r="3414">
      <c r="A3414" s="31" t="inlineStr">
        <is>
          <t>Talent</t>
        </is>
      </c>
      <c r="B3414" s="33" t="inlineStr">
        <is>
          <t>Fuite</t>
        </is>
      </c>
      <c r="C3414" s="33" t="inlineStr">
        <is>
          <t>Fuite</t>
        </is>
      </c>
      <c r="D3414" s="33" t="n"/>
      <c r="E3414" s="33" t="n"/>
      <c r="F3414" s="33" t="n"/>
      <c r="G3414" s="33" t="n"/>
      <c r="H3414" s="30" t="inlineStr">
        <is>
          <t>Oui</t>
        </is>
      </c>
    </row>
    <row r="3415">
      <c r="A3415" s="31" t="inlineStr">
        <is>
          <t>Capacités</t>
        </is>
      </c>
      <c r="B3415" s="34" t="inlineStr">
        <is>
          <t>Câlinerie</t>
        </is>
      </c>
      <c r="C3415" s="34" t="inlineStr">
        <is>
          <t>Hâte</t>
        </is>
      </c>
      <c r="D3415" s="34" t="n"/>
      <c r="E3415" s="34" t="n"/>
      <c r="F3415" s="34" t="n"/>
      <c r="G3415" s="34" t="n"/>
      <c r="H3415" s="30" t="inlineStr">
        <is>
          <t>Oui</t>
        </is>
      </c>
    </row>
    <row r="3416">
      <c r="A3416" s="31" t="n"/>
      <c r="B3416" s="34" t="inlineStr">
        <is>
          <t>Relais</t>
        </is>
      </c>
      <c r="C3416" s="34" t="inlineStr">
        <is>
          <t>Déflagration</t>
        </is>
      </c>
      <c r="D3416" s="34" t="n"/>
      <c r="E3416" s="34" t="n"/>
      <c r="F3416" s="34" t="n"/>
      <c r="G3416" s="34" t="n"/>
      <c r="H3416" s="30" t="inlineStr">
        <is>
          <t>Oui</t>
        </is>
      </c>
    </row>
    <row r="3417">
      <c r="A3417" s="31" t="n"/>
      <c r="B3417" s="34" t="inlineStr">
        <is>
          <t>Moi d'Abord</t>
        </is>
      </c>
      <c r="C3417" s="34" t="inlineStr">
        <is>
          <t>Rebond</t>
        </is>
      </c>
      <c r="D3417" s="34" t="n"/>
      <c r="E3417" s="34" t="n"/>
      <c r="F3417" s="34" t="n"/>
      <c r="G3417" s="34" t="n"/>
      <c r="H3417" s="30" t="inlineStr">
        <is>
          <t>Oui</t>
        </is>
      </c>
    </row>
    <row r="3418">
      <c r="A3418" s="31" t="n"/>
      <c r="B3418" s="34" t="inlineStr">
        <is>
          <t>Mégaphone</t>
        </is>
      </c>
      <c r="C3418" s="34" t="inlineStr">
        <is>
          <t>Boutefeu</t>
        </is>
      </c>
      <c r="D3418" s="34" t="n"/>
      <c r="E3418" s="34" t="n"/>
      <c r="F3418" s="34" t="n"/>
      <c r="G3418" s="34" t="n"/>
      <c r="H3418" s="30" t="inlineStr">
        <is>
          <t>Oui</t>
        </is>
      </c>
    </row>
    <row r="3419" ht="18" customHeight="1">
      <c r="A3419" s="26" t="inlineStr">
        <is>
          <t>Mont Sélénite</t>
        </is>
      </c>
      <c r="B3419" s="26" t="n"/>
      <c r="C3419" s="26" t="n"/>
      <c r="D3419" s="26" t="n"/>
      <c r="E3419" s="26" t="n"/>
      <c r="F3419" s="26" t="n"/>
      <c r="G3419" s="26" t="n"/>
      <c r="H3419" s="30" t="inlineStr">
        <is>
          <t>Oui</t>
        </is>
      </c>
    </row>
    <row r="3420">
      <c r="A3420" s="31" t="inlineStr">
        <is>
          <t>Nom</t>
        </is>
      </c>
      <c r="B3420" s="32" t="inlineStr">
        <is>
          <t>Rival (si vous avez choisi GERMIGNON)</t>
        </is>
      </c>
      <c r="C3420" s="32" t="n"/>
      <c r="D3420" s="32" t="n"/>
      <c r="E3420" s="32" t="n"/>
      <c r="F3420" s="32" t="n"/>
      <c r="G3420" s="32" t="n"/>
      <c r="H3420" s="30">
        <f>IF(OR($B$1="Tous",$B$1="GERMIGNON"),"Oui","Non")</f>
        <v/>
      </c>
    </row>
    <row r="3421">
      <c r="A3421" s="31" t="inlineStr">
        <is>
          <t>Pokémon</t>
        </is>
      </c>
      <c r="B3421" s="33" t="inlineStr">
        <is>
          <t>URSAKING</t>
        </is>
      </c>
      <c r="C3421" s="33" t="inlineStr">
        <is>
          <t>NOSTENFER</t>
        </is>
      </c>
      <c r="D3421" s="33" t="inlineStr">
        <is>
          <t>OCTILLERY</t>
        </is>
      </c>
      <c r="E3421" s="33" t="inlineStr">
        <is>
          <t>EMPIFLOR</t>
        </is>
      </c>
      <c r="F3421" s="33" t="inlineStr">
        <is>
          <t>TYPHLOSION</t>
        </is>
      </c>
      <c r="G3421" s="33" t="inlineStr">
        <is>
          <t>TYRANOCIF</t>
        </is>
      </c>
      <c r="H3421" s="30">
        <f>IF(OR($B$1="Tous",$B$1="GERMIGNON"),"Oui","Non")</f>
        <v/>
      </c>
    </row>
    <row r="3422">
      <c r="A3422" s="31" t="inlineStr">
        <is>
          <t>Niveau</t>
        </is>
      </c>
      <c r="B3422" s="33" t="n">
        <v>64</v>
      </c>
      <c r="C3422" s="33" t="n">
        <v>64</v>
      </c>
      <c r="D3422" s="33" t="n">
        <v>64</v>
      </c>
      <c r="E3422" s="33" t="n">
        <v>64</v>
      </c>
      <c r="F3422" s="33" t="n">
        <v>64</v>
      </c>
      <c r="G3422" s="33" t="n">
        <v>64</v>
      </c>
      <c r="H3422" s="30">
        <f>IF(OR($B$1="Tous",$B$1="GERMIGNON"),"Oui","Non")</f>
        <v/>
      </c>
    </row>
    <row r="3423">
      <c r="A3423" s="31" t="inlineStr">
        <is>
          <t>Objet</t>
        </is>
      </c>
      <c r="B3423" s="33" t="inlineStr">
        <is>
          <t>Baie Maron</t>
        </is>
      </c>
      <c r="C3423" s="33" t="inlineStr">
        <is>
          <t>Restes</t>
        </is>
      </c>
      <c r="D3423" s="33" t="inlineStr">
        <is>
          <t>Glace Éternelle</t>
        </is>
      </c>
      <c r="E3423" s="33" t="inlineStr">
        <is>
          <t>Lentilscope</t>
        </is>
      </c>
      <c r="F3423" s="33" t="inlineStr">
        <is>
          <t>Charbon</t>
        </is>
      </c>
      <c r="G3423" s="33" t="inlineStr">
        <is>
          <t>Vive Griffe</t>
        </is>
      </c>
      <c r="H3423" s="30">
        <f>IF(OR($B$1="Tous",$B$1="GERMIGNON"),"Oui","Non")</f>
        <v/>
      </c>
    </row>
    <row r="3424">
      <c r="A3424" s="31" t="inlineStr">
        <is>
          <t>Talent</t>
        </is>
      </c>
      <c r="B3424" s="33" t="inlineStr">
        <is>
          <t>Œil Révélateur</t>
        </is>
      </c>
      <c r="C3424" s="33" t="inlineStr">
        <is>
          <t>Attention</t>
        </is>
      </c>
      <c r="D3424" s="33" t="inlineStr">
        <is>
          <t>Ventouse</t>
        </is>
      </c>
      <c r="E3424" s="33" t="inlineStr">
        <is>
          <t>Chlorophylle</t>
        </is>
      </c>
      <c r="F3424" s="33" t="inlineStr">
        <is>
          <t>Brasier</t>
        </is>
      </c>
      <c r="G3424" s="33" t="inlineStr">
        <is>
          <t>Sable Volant</t>
        </is>
      </c>
      <c r="H3424" s="30">
        <f>IF(OR($B$1="Tous",$B$1="GERMIGNON"),"Oui","Non")</f>
        <v/>
      </c>
    </row>
    <row r="3425">
      <c r="A3425" s="31" t="inlineStr">
        <is>
          <t>Capacités</t>
        </is>
      </c>
      <c r="B3425" s="34" t="inlineStr">
        <is>
          <t>Marto-Poing</t>
        </is>
      </c>
      <c r="C3425" s="34" t="inlineStr">
        <is>
          <t>Lame d'Air</t>
        </is>
      </c>
      <c r="D3425" s="34" t="inlineStr">
        <is>
          <t>Surf</t>
        </is>
      </c>
      <c r="E3425" s="34" t="inlineStr">
        <is>
          <t>Bombe Beurk</t>
        </is>
      </c>
      <c r="F3425" s="34" t="inlineStr">
        <is>
          <t>Déflagration</t>
        </is>
      </c>
      <c r="G3425" s="34" t="inlineStr">
        <is>
          <t>Mâchouille</t>
        </is>
      </c>
      <c r="H3425" s="30">
        <f>IF(OR($B$1="Tous",$B$1="GERMIGNON"),"Oui","Non")</f>
        <v/>
      </c>
    </row>
    <row r="3426">
      <c r="A3426" s="31" t="n"/>
      <c r="B3426" s="34" t="inlineStr">
        <is>
          <t>Pouvoir Lunaire</t>
        </is>
      </c>
      <c r="C3426" s="34" t="inlineStr">
        <is>
          <t>Choc Venin</t>
        </is>
      </c>
      <c r="D3426" s="34" t="inlineStr">
        <is>
          <t>Laser Glace</t>
        </is>
      </c>
      <c r="E3426" s="34" t="inlineStr">
        <is>
          <t>Tranch'Herbe</t>
        </is>
      </c>
      <c r="F3426" s="34" t="inlineStr">
        <is>
          <t>Séisme</t>
        </is>
      </c>
      <c r="G3426" s="34" t="inlineStr">
        <is>
          <t>Séisme</t>
        </is>
      </c>
      <c r="H3426" s="30">
        <f>IF(OR($B$1="Tous",$B$1="GERMIGNON"),"Oui","Non")</f>
        <v/>
      </c>
    </row>
    <row r="3427">
      <c r="A3427" s="31" t="n"/>
      <c r="B3427" s="34" t="inlineStr">
        <is>
          <t>Pouvoir Antique</t>
        </is>
      </c>
      <c r="C3427" s="34" t="inlineStr">
        <is>
          <t>Vibrobscur</t>
        </is>
      </c>
      <c r="D3427" s="34" t="inlineStr">
        <is>
          <t>Rafale Psy</t>
        </is>
      </c>
      <c r="E3427" s="34" t="inlineStr">
        <is>
          <t>Poudre Dodo</t>
        </is>
      </c>
      <c r="F3427" s="34" t="inlineStr">
        <is>
          <t>Queue de Fer</t>
        </is>
      </c>
      <c r="G3427" s="34" t="inlineStr">
        <is>
          <t>Lame de Roc</t>
        </is>
      </c>
      <c r="H3427" s="30">
        <f>IF(OR($B$1="Tous",$B$1="GERMIGNON"),"Oui","Non")</f>
        <v/>
      </c>
    </row>
    <row r="3428">
      <c r="A3428" s="31" t="n"/>
      <c r="B3428" s="34" t="inlineStr">
        <is>
          <t>Repos</t>
        </is>
      </c>
      <c r="C3428" s="34" t="inlineStr">
        <is>
          <t>Façade</t>
        </is>
      </c>
      <c r="D3428" s="34" t="inlineStr">
        <is>
          <t>Rayon Signal</t>
        </is>
      </c>
      <c r="E3428" s="34" t="inlineStr">
        <is>
          <t>Croissance</t>
        </is>
      </c>
      <c r="F3428" s="34" t="inlineStr">
        <is>
          <t>Poing Éclair</t>
        </is>
      </c>
      <c r="G3428" s="34" t="inlineStr">
        <is>
          <t>Crocs Feu</t>
        </is>
      </c>
      <c r="H3428" s="30">
        <f>IF(OR($B$1="Tous",$B$1="GERMIGNON"),"Oui","Non")</f>
        <v/>
      </c>
    </row>
    <row r="3429">
      <c r="A3429" s="31" t="inlineStr">
        <is>
          <t>Nom</t>
        </is>
      </c>
      <c r="B3429" s="32" t="inlineStr">
        <is>
          <t>Rival (si vous avez choisi HERICENDRE)</t>
        </is>
      </c>
      <c r="C3429" s="32" t="n"/>
      <c r="D3429" s="32" t="n"/>
      <c r="E3429" s="32" t="n"/>
      <c r="F3429" s="32" t="n"/>
      <c r="G3429" s="32" t="n"/>
      <c r="H3429" s="30">
        <f>IF(OR($B$1="Tous",$B$1="HERICENDRE"),"Oui","Non")</f>
        <v/>
      </c>
    </row>
    <row r="3430">
      <c r="A3430" s="31" t="inlineStr">
        <is>
          <t>Pokémon</t>
        </is>
      </c>
      <c r="B3430" s="33" t="inlineStr">
        <is>
          <t>URSAKING</t>
        </is>
      </c>
      <c r="C3430" s="33" t="inlineStr">
        <is>
          <t>NOSTENFER</t>
        </is>
      </c>
      <c r="D3430" s="33" t="inlineStr">
        <is>
          <t>EMPIFLOR</t>
        </is>
      </c>
      <c r="E3430" s="33" t="inlineStr">
        <is>
          <t>DEMOLOSSE</t>
        </is>
      </c>
      <c r="F3430" s="33" t="inlineStr">
        <is>
          <t>ALIGATUEUR</t>
        </is>
      </c>
      <c r="G3430" s="33" t="inlineStr">
        <is>
          <t>TYRANOCIF</t>
        </is>
      </c>
      <c r="H3430" s="30">
        <f>IF(OR($B$1="Tous",$B$1="HERICENDRE"),"Oui","Non")</f>
        <v/>
      </c>
    </row>
    <row r="3431">
      <c r="A3431" s="31" t="inlineStr">
        <is>
          <t>Niveau</t>
        </is>
      </c>
      <c r="B3431" s="33" t="n">
        <v>64</v>
      </c>
      <c r="C3431" s="33" t="n">
        <v>64</v>
      </c>
      <c r="D3431" s="33" t="n">
        <v>64</v>
      </c>
      <c r="E3431" s="33" t="n">
        <v>64</v>
      </c>
      <c r="F3431" s="33" t="n">
        <v>64</v>
      </c>
      <c r="G3431" s="33" t="n">
        <v>64</v>
      </c>
      <c r="H3431" s="30">
        <f>IF(OR($B$1="Tous",$B$1="HERICENDRE"),"Oui","Non")</f>
        <v/>
      </c>
    </row>
    <row r="3432">
      <c r="A3432" s="31" t="inlineStr">
        <is>
          <t>Objet</t>
        </is>
      </c>
      <c r="B3432" s="33" t="inlineStr">
        <is>
          <t>Baie Maron</t>
        </is>
      </c>
      <c r="C3432" s="33" t="inlineStr">
        <is>
          <t>Restes</t>
        </is>
      </c>
      <c r="D3432" s="33" t="inlineStr">
        <is>
          <t>Lentilscope</t>
        </is>
      </c>
      <c r="E3432" s="33" t="inlineStr">
        <is>
          <t>Charbon</t>
        </is>
      </c>
      <c r="F3432" s="33" t="inlineStr">
        <is>
          <t>Lentilscope</t>
        </is>
      </c>
      <c r="G3432" s="33" t="inlineStr">
        <is>
          <t>Vive Griffe</t>
        </is>
      </c>
      <c r="H3432" s="30">
        <f>IF(OR($B$1="Tous",$B$1="HERICENDRE"),"Oui","Non")</f>
        <v/>
      </c>
    </row>
    <row r="3433">
      <c r="A3433" s="31" t="inlineStr">
        <is>
          <t>Talent</t>
        </is>
      </c>
      <c r="B3433" s="33" t="inlineStr">
        <is>
          <t>Œil Révélateur</t>
        </is>
      </c>
      <c r="C3433" s="33" t="inlineStr">
        <is>
          <t>Attention</t>
        </is>
      </c>
      <c r="D3433" s="33" t="inlineStr">
        <is>
          <t>Chlorophylle</t>
        </is>
      </c>
      <c r="E3433" s="33" t="inlineStr">
        <is>
          <t>Matinal</t>
        </is>
      </c>
      <c r="F3433" s="33" t="inlineStr">
        <is>
          <t>Torrent</t>
        </is>
      </c>
      <c r="G3433" s="33" t="inlineStr">
        <is>
          <t>Sable Volant</t>
        </is>
      </c>
      <c r="H3433" s="30">
        <f>IF(OR($B$1="Tous",$B$1="HERICENDRE"),"Oui","Non")</f>
        <v/>
      </c>
    </row>
    <row r="3434">
      <c r="A3434" s="31" t="inlineStr">
        <is>
          <t>Capacités</t>
        </is>
      </c>
      <c r="B3434" s="34" t="inlineStr">
        <is>
          <t>Marto-Poing</t>
        </is>
      </c>
      <c r="C3434" s="34" t="inlineStr">
        <is>
          <t>Lame d'Air</t>
        </is>
      </c>
      <c r="D3434" s="34" t="inlineStr">
        <is>
          <t>Bombe Beurk</t>
        </is>
      </c>
      <c r="E3434" s="34" t="inlineStr">
        <is>
          <t>Déflagration</t>
        </is>
      </c>
      <c r="F3434" s="34" t="inlineStr">
        <is>
          <t>Laser Glace</t>
        </is>
      </c>
      <c r="G3434" s="34" t="inlineStr">
        <is>
          <t>Mâchouille</t>
        </is>
      </c>
      <c r="H3434" s="30">
        <f>IF(OR($B$1="Tous",$B$1="HERICENDRE"),"Oui","Non")</f>
        <v/>
      </c>
    </row>
    <row r="3435">
      <c r="A3435" s="31" t="n"/>
      <c r="B3435" s="34" t="inlineStr">
        <is>
          <t>Pouvoir Lunaire</t>
        </is>
      </c>
      <c r="C3435" s="34" t="inlineStr">
        <is>
          <t>Choc Venin</t>
        </is>
      </c>
      <c r="D3435" s="34" t="inlineStr">
        <is>
          <t>Tranch'Herbe</t>
        </is>
      </c>
      <c r="E3435" s="34" t="inlineStr">
        <is>
          <t>Queue de Fer</t>
        </is>
      </c>
      <c r="F3435" s="34" t="inlineStr">
        <is>
          <t>Surf</t>
        </is>
      </c>
      <c r="G3435" s="34" t="inlineStr">
        <is>
          <t>Séisme</t>
        </is>
      </c>
      <c r="H3435" s="30">
        <f>IF(OR($B$1="Tous",$B$1="HERICENDRE"),"Oui","Non")</f>
        <v/>
      </c>
    </row>
    <row r="3436">
      <c r="A3436" s="31" t="n"/>
      <c r="B3436" s="34" t="inlineStr">
        <is>
          <t>Pouvoir Antique</t>
        </is>
      </c>
      <c r="C3436" s="34" t="inlineStr">
        <is>
          <t>Vibrobscur</t>
        </is>
      </c>
      <c r="D3436" s="34" t="inlineStr">
        <is>
          <t>Poudre Dodo</t>
        </is>
      </c>
      <c r="E3436" s="34" t="inlineStr">
        <is>
          <t>Mâchouille</t>
        </is>
      </c>
      <c r="F3436" s="34" t="inlineStr">
        <is>
          <t>Tranche</t>
        </is>
      </c>
      <c r="G3436" s="34" t="inlineStr">
        <is>
          <t>Lame de Roc</t>
        </is>
      </c>
      <c r="H3436" s="30">
        <f>IF(OR($B$1="Tous",$B$1="HERICENDRE"),"Oui","Non")</f>
        <v/>
      </c>
    </row>
    <row r="3437">
      <c r="A3437" s="31" t="n"/>
      <c r="B3437" s="34" t="inlineStr">
        <is>
          <t>Repos</t>
        </is>
      </c>
      <c r="C3437" s="34" t="inlineStr">
        <is>
          <t>Façade</t>
        </is>
      </c>
      <c r="D3437" s="34" t="inlineStr">
        <is>
          <t>Croissance</t>
        </is>
      </c>
      <c r="E3437" s="34" t="inlineStr">
        <is>
          <t>Reflet</t>
        </is>
      </c>
      <c r="F3437" s="34" t="inlineStr">
        <is>
          <t>Séisme</t>
        </is>
      </c>
      <c r="G3437" s="34" t="inlineStr">
        <is>
          <t>Crocs Feu</t>
        </is>
      </c>
      <c r="H3437" s="30">
        <f>IF(OR($B$1="Tous",$B$1="HERICENDRE"),"Oui","Non")</f>
        <v/>
      </c>
    </row>
    <row r="3438">
      <c r="A3438" s="31" t="inlineStr">
        <is>
          <t>Nom</t>
        </is>
      </c>
      <c r="B3438" s="32" t="inlineStr">
        <is>
          <t>Rival (si vous avez choisi KAIMINUS)</t>
        </is>
      </c>
      <c r="C3438" s="32" t="n"/>
      <c r="D3438" s="32" t="n"/>
      <c r="E3438" s="32" t="n"/>
      <c r="F3438" s="32" t="n"/>
      <c r="G3438" s="32" t="n"/>
      <c r="H3438" s="30">
        <f>IF(OR($B$1="Tous",$B$1="KAIMINUS"),"Oui","Non")</f>
        <v/>
      </c>
    </row>
    <row r="3439">
      <c r="A3439" s="31" t="inlineStr">
        <is>
          <t>Pokémon</t>
        </is>
      </c>
      <c r="B3439" s="33" t="inlineStr">
        <is>
          <t>URSAKING</t>
        </is>
      </c>
      <c r="C3439" s="33" t="inlineStr">
        <is>
          <t>NOSTENFER</t>
        </is>
      </c>
      <c r="D3439" s="33" t="inlineStr">
        <is>
          <t>OCTILLERY</t>
        </is>
      </c>
      <c r="E3439" s="33" t="inlineStr">
        <is>
          <t>DEMOLOSSE</t>
        </is>
      </c>
      <c r="F3439" s="33" t="inlineStr">
        <is>
          <t>MEGANIUM</t>
        </is>
      </c>
      <c r="G3439" s="33" t="inlineStr">
        <is>
          <t>TYRANOCIF</t>
        </is>
      </c>
      <c r="H3439" s="30">
        <f>IF(OR($B$1="Tous",$B$1="KAIMINUS"),"Oui","Non")</f>
        <v/>
      </c>
    </row>
    <row r="3440">
      <c r="A3440" s="31" t="inlineStr">
        <is>
          <t>Niveau</t>
        </is>
      </c>
      <c r="B3440" s="33" t="n">
        <v>64</v>
      </c>
      <c r="C3440" s="33" t="n">
        <v>64</v>
      </c>
      <c r="D3440" s="33" t="n">
        <v>64</v>
      </c>
      <c r="E3440" s="33" t="n">
        <v>64</v>
      </c>
      <c r="F3440" s="33" t="n">
        <v>64</v>
      </c>
      <c r="G3440" s="33" t="n">
        <v>64</v>
      </c>
      <c r="H3440" s="30">
        <f>IF(OR($B$1="Tous",$B$1="KAIMINUS"),"Oui","Non")</f>
        <v/>
      </c>
    </row>
    <row r="3441">
      <c r="A3441" s="31" t="inlineStr">
        <is>
          <t>Objet</t>
        </is>
      </c>
      <c r="B3441" s="33" t="inlineStr">
        <is>
          <t>Baie Maron</t>
        </is>
      </c>
      <c r="C3441" s="33" t="inlineStr">
        <is>
          <t>Restes</t>
        </is>
      </c>
      <c r="D3441" s="33" t="inlineStr">
        <is>
          <t>Glace Éternelle</t>
        </is>
      </c>
      <c r="E3441" s="33" t="inlineStr">
        <is>
          <t>Charbon</t>
        </is>
      </c>
      <c r="F3441" s="33" t="inlineStr">
        <is>
          <t>Graine Miracle</t>
        </is>
      </c>
      <c r="G3441" s="33" t="inlineStr">
        <is>
          <t>Vive Griffe</t>
        </is>
      </c>
      <c r="H3441" s="30">
        <f>IF(OR($B$1="Tous",$B$1="KAIMINUS"),"Oui","Non")</f>
        <v/>
      </c>
    </row>
    <row r="3442">
      <c r="A3442" s="31" t="inlineStr">
        <is>
          <t>Talent</t>
        </is>
      </c>
      <c r="B3442" s="33" t="inlineStr">
        <is>
          <t>Œil Révélateur</t>
        </is>
      </c>
      <c r="C3442" s="33" t="inlineStr">
        <is>
          <t>Attention</t>
        </is>
      </c>
      <c r="D3442" s="33" t="inlineStr">
        <is>
          <t>Ventouse</t>
        </is>
      </c>
      <c r="E3442" s="33" t="inlineStr">
        <is>
          <t>Matinal</t>
        </is>
      </c>
      <c r="F3442" s="33" t="inlineStr">
        <is>
          <t>Engrais</t>
        </is>
      </c>
      <c r="G3442" s="33" t="inlineStr">
        <is>
          <t>Sable Volant</t>
        </is>
      </c>
      <c r="H3442" s="30">
        <f>IF(OR($B$1="Tous",$B$1="KAIMINUS"),"Oui","Non")</f>
        <v/>
      </c>
    </row>
    <row r="3443">
      <c r="A3443" s="31" t="inlineStr">
        <is>
          <t>Capacités</t>
        </is>
      </c>
      <c r="B3443" s="34" t="inlineStr">
        <is>
          <t>Marto-Poing</t>
        </is>
      </c>
      <c r="C3443" s="34" t="inlineStr">
        <is>
          <t>Lame d'Air</t>
        </is>
      </c>
      <c r="D3443" s="34" t="inlineStr">
        <is>
          <t>Surf</t>
        </is>
      </c>
      <c r="E3443" s="34" t="inlineStr">
        <is>
          <t>Déflagration</t>
        </is>
      </c>
      <c r="F3443" s="34" t="inlineStr">
        <is>
          <t>Synthèse</t>
        </is>
      </c>
      <c r="G3443" s="34" t="inlineStr">
        <is>
          <t>Mâchouille</t>
        </is>
      </c>
      <c r="H3443" s="30">
        <f>IF(OR($B$1="Tous",$B$1="KAIMINUS"),"Oui","Non")</f>
        <v/>
      </c>
    </row>
    <row r="3444">
      <c r="A3444" s="31" t="n"/>
      <c r="B3444" s="34" t="inlineStr">
        <is>
          <t>Pouvoir Lunaire</t>
        </is>
      </c>
      <c r="C3444" s="34" t="inlineStr">
        <is>
          <t>Choc Venin</t>
        </is>
      </c>
      <c r="D3444" s="34" t="inlineStr">
        <is>
          <t>Laser Glace</t>
        </is>
      </c>
      <c r="E3444" s="34" t="inlineStr">
        <is>
          <t>Queue de Fer</t>
        </is>
      </c>
      <c r="F3444" s="34" t="inlineStr">
        <is>
          <t>Pouvoir Lunaire</t>
        </is>
      </c>
      <c r="G3444" s="34" t="inlineStr">
        <is>
          <t>Séisme</t>
        </is>
      </c>
      <c r="H3444" s="30">
        <f>IF(OR($B$1="Tous",$B$1="KAIMINUS"),"Oui","Non")</f>
        <v/>
      </c>
    </row>
    <row r="3445">
      <c r="A3445" s="31" t="n"/>
      <c r="B3445" s="34" t="inlineStr">
        <is>
          <t>Pouvoir Antique</t>
        </is>
      </c>
      <c r="C3445" s="34" t="inlineStr">
        <is>
          <t>Vibrobscur</t>
        </is>
      </c>
      <c r="D3445" s="34" t="inlineStr">
        <is>
          <t>Rafale Psy</t>
        </is>
      </c>
      <c r="E3445" s="34" t="inlineStr">
        <is>
          <t>Mâchouille</t>
        </is>
      </c>
      <c r="F3445" s="34" t="inlineStr">
        <is>
          <t>Tempête Florale</t>
        </is>
      </c>
      <c r="G3445" s="34" t="inlineStr">
        <is>
          <t>Lame de Roc</t>
        </is>
      </c>
      <c r="H3445" s="30">
        <f>IF(OR($B$1="Tous",$B$1="KAIMINUS"),"Oui","Non")</f>
        <v/>
      </c>
    </row>
    <row r="3446">
      <c r="A3446" s="31" t="n"/>
      <c r="B3446" s="34" t="inlineStr">
        <is>
          <t>Repos</t>
        </is>
      </c>
      <c r="C3446" s="34" t="inlineStr">
        <is>
          <t>Façade</t>
        </is>
      </c>
      <c r="D3446" s="34" t="inlineStr">
        <is>
          <t>Rayon Signal</t>
        </is>
      </c>
      <c r="E3446" s="34" t="inlineStr">
        <is>
          <t>Zénith</t>
        </is>
      </c>
      <c r="F3446" s="34" t="inlineStr">
        <is>
          <t>Plaquage</t>
        </is>
      </c>
      <c r="G3446" s="34" t="inlineStr">
        <is>
          <t>Crocs Feu</t>
        </is>
      </c>
      <c r="H3446" s="30">
        <f>IF(OR($B$1="Tous",$B$1="KAIMINUS"),"Oui","Non")</f>
        <v/>
      </c>
    </row>
    <row r="3447" ht="18" customHeight="1">
      <c r="A3447" s="26" t="inlineStr">
        <is>
          <t>Route 3</t>
        </is>
      </c>
      <c r="B3447" s="26" t="n"/>
      <c r="C3447" s="26" t="n"/>
      <c r="D3447" s="26" t="n"/>
      <c r="E3447" s="26" t="n"/>
      <c r="F3447" s="26" t="n"/>
      <c r="G3447" s="26" t="n"/>
      <c r="H3447" s="30" t="inlineStr">
        <is>
          <t>Oui</t>
        </is>
      </c>
    </row>
    <row r="3448">
      <c r="A3448" s="31" t="inlineStr">
        <is>
          <t>Nom</t>
        </is>
      </c>
      <c r="B3448" s="32" t="inlineStr">
        <is>
          <t>Crache-Feu Otis</t>
        </is>
      </c>
      <c r="C3448" s="32" t="n"/>
      <c r="D3448" s="32" t="n"/>
      <c r="E3448" s="32" t="n"/>
      <c r="F3448" s="32" t="n"/>
      <c r="G3448" s="32" t="n"/>
      <c r="H3448" s="30" t="inlineStr">
        <is>
          <t>Oui</t>
        </is>
      </c>
    </row>
    <row r="3449">
      <c r="A3449" s="31" t="inlineStr">
        <is>
          <t>Pokémon</t>
        </is>
      </c>
      <c r="B3449" s="33" t="inlineStr">
        <is>
          <t>MAGMAR</t>
        </is>
      </c>
      <c r="C3449" s="33" t="inlineStr">
        <is>
          <t>SMOGOGO</t>
        </is>
      </c>
      <c r="D3449" s="33" t="inlineStr">
        <is>
          <t>MAGMAR</t>
        </is>
      </c>
      <c r="E3449" s="33" t="n"/>
      <c r="F3449" s="33" t="n"/>
      <c r="G3449" s="33" t="n"/>
      <c r="H3449" s="30" t="inlineStr">
        <is>
          <t>Oui</t>
        </is>
      </c>
    </row>
    <row r="3450">
      <c r="A3450" s="31" t="inlineStr">
        <is>
          <t>Niveau</t>
        </is>
      </c>
      <c r="B3450" s="33" t="n">
        <v>58</v>
      </c>
      <c r="C3450" s="33" t="n">
        <v>60</v>
      </c>
      <c r="D3450" s="33" t="n">
        <v>58</v>
      </c>
      <c r="E3450" s="33" t="n"/>
      <c r="F3450" s="33" t="n"/>
      <c r="G3450" s="33" t="n"/>
      <c r="H3450" s="30" t="inlineStr">
        <is>
          <t>Oui</t>
        </is>
      </c>
    </row>
    <row r="3451">
      <c r="A3451" s="31" t="inlineStr">
        <is>
          <t>Objet</t>
        </is>
      </c>
      <c r="B3451" s="33" t="inlineStr">
        <is>
          <t>Aucun</t>
        </is>
      </c>
      <c r="C3451" s="33" t="inlineStr">
        <is>
          <t>Aucun</t>
        </is>
      </c>
      <c r="D3451" s="33" t="inlineStr">
        <is>
          <t>Aucun</t>
        </is>
      </c>
      <c r="E3451" s="33" t="n"/>
      <c r="F3451" s="33" t="n"/>
      <c r="G3451" s="33" t="n"/>
      <c r="H3451" s="30" t="inlineStr">
        <is>
          <t>Oui</t>
        </is>
      </c>
    </row>
    <row r="3452">
      <c r="A3452" s="31" t="inlineStr">
        <is>
          <t>Talent</t>
        </is>
      </c>
      <c r="B3452" s="33" t="inlineStr">
        <is>
          <t>Corps Ardent</t>
        </is>
      </c>
      <c r="C3452" s="33" t="inlineStr">
        <is>
          <t>Lévitation</t>
        </is>
      </c>
      <c r="D3452" s="33" t="inlineStr">
        <is>
          <t>Corps Ardent</t>
        </is>
      </c>
      <c r="E3452" s="33" t="n"/>
      <c r="F3452" s="33" t="n"/>
      <c r="G3452" s="33" t="n"/>
      <c r="H3452" s="30" t="inlineStr">
        <is>
          <t>Oui</t>
        </is>
      </c>
    </row>
    <row r="3453">
      <c r="A3453" s="31" t="inlineStr">
        <is>
          <t>Capacités</t>
        </is>
      </c>
      <c r="B3453" s="34" t="inlineStr">
        <is>
          <t>Ébullilave</t>
        </is>
      </c>
      <c r="C3453" s="34" t="inlineStr">
        <is>
          <t>Explosion</t>
        </is>
      </c>
      <c r="D3453" s="34" t="inlineStr">
        <is>
          <t>Ébullilave</t>
        </is>
      </c>
      <c r="E3453" s="34" t="n"/>
      <c r="F3453" s="34" t="n"/>
      <c r="G3453" s="34" t="n"/>
      <c r="H3453" s="30" t="inlineStr">
        <is>
          <t>Oui</t>
        </is>
      </c>
    </row>
    <row r="3454">
      <c r="A3454" s="31" t="n"/>
      <c r="B3454" s="34" t="inlineStr">
        <is>
          <t>Zénith</t>
        </is>
      </c>
      <c r="C3454" s="34" t="inlineStr">
        <is>
          <t>Lien du Destin</t>
        </is>
      </c>
      <c r="D3454" s="34" t="inlineStr">
        <is>
          <t>Zénith</t>
        </is>
      </c>
      <c r="E3454" s="34" t="n"/>
      <c r="F3454" s="34" t="n"/>
      <c r="G3454" s="34" t="n"/>
      <c r="H3454" s="30" t="inlineStr">
        <is>
          <t>Oui</t>
        </is>
      </c>
    </row>
    <row r="3455">
      <c r="A3455" s="31" t="n"/>
      <c r="B3455" s="34" t="inlineStr">
        <is>
          <t>Lance-Flammes</t>
        </is>
      </c>
      <c r="C3455" s="34" t="inlineStr">
        <is>
          <t>Éructation</t>
        </is>
      </c>
      <c r="D3455" s="34" t="inlineStr">
        <is>
          <t>Lance-Flammes</t>
        </is>
      </c>
      <c r="E3455" s="34" t="n"/>
      <c r="F3455" s="34" t="n"/>
      <c r="G3455" s="34" t="n"/>
      <c r="H3455" s="30" t="inlineStr">
        <is>
          <t>Oui</t>
        </is>
      </c>
    </row>
    <row r="3456">
      <c r="A3456" s="31" t="n"/>
      <c r="B3456" s="34" t="inlineStr">
        <is>
          <t>Déflagration</t>
        </is>
      </c>
      <c r="C3456" s="34" t="inlineStr">
        <is>
          <t>Souvenir</t>
        </is>
      </c>
      <c r="D3456" s="34" t="inlineStr">
        <is>
          <t>Déflagration</t>
        </is>
      </c>
      <c r="E3456" s="34" t="n"/>
      <c r="F3456" s="34" t="n"/>
      <c r="G3456" s="34" t="n"/>
      <c r="H3456" s="30" t="inlineStr">
        <is>
          <t>Oui</t>
        </is>
      </c>
    </row>
    <row r="3457">
      <c r="A3457" s="31" t="inlineStr">
        <is>
          <t>Nom</t>
        </is>
      </c>
      <c r="B3457" s="32" t="inlineStr">
        <is>
          <t>Gamin Romain</t>
        </is>
      </c>
      <c r="C3457" s="32" t="n"/>
      <c r="D3457" s="32" t="n"/>
      <c r="E3457" s="32" t="n"/>
      <c r="F3457" s="32" t="n"/>
      <c r="G3457" s="32" t="n"/>
      <c r="H3457" s="30" t="inlineStr">
        <is>
          <t>Oui</t>
        </is>
      </c>
    </row>
    <row r="3458">
      <c r="A3458" s="31" t="inlineStr">
        <is>
          <t>Pokémon</t>
        </is>
      </c>
      <c r="B3458" s="33" t="inlineStr">
        <is>
          <t>RAPASDEPIC</t>
        </is>
      </c>
      <c r="C3458" s="33" t="n"/>
      <c r="D3458" s="33" t="n"/>
      <c r="E3458" s="33" t="n"/>
      <c r="F3458" s="33" t="n"/>
      <c r="G3458" s="33" t="n"/>
      <c r="H3458" s="30" t="inlineStr">
        <is>
          <t>Oui</t>
        </is>
      </c>
    </row>
    <row r="3459">
      <c r="A3459" s="31" t="inlineStr">
        <is>
          <t>Niveau</t>
        </is>
      </c>
      <c r="B3459" s="33" t="n">
        <v>60</v>
      </c>
      <c r="C3459" s="33" t="n"/>
      <c r="D3459" s="33" t="n"/>
      <c r="E3459" s="33" t="n"/>
      <c r="F3459" s="33" t="n"/>
      <c r="G3459" s="33" t="n"/>
      <c r="H3459" s="30" t="inlineStr">
        <is>
          <t>Oui</t>
        </is>
      </c>
    </row>
    <row r="3460">
      <c r="A3460" s="31" t="inlineStr">
        <is>
          <t>Objet</t>
        </is>
      </c>
      <c r="B3460" s="33" t="inlineStr">
        <is>
          <t>Aucun</t>
        </is>
      </c>
      <c r="C3460" s="33" t="n"/>
      <c r="D3460" s="33" t="n"/>
      <c r="E3460" s="33" t="n"/>
      <c r="F3460" s="33" t="n"/>
      <c r="G3460" s="33" t="n"/>
      <c r="H3460" s="30" t="inlineStr">
        <is>
          <t>Oui</t>
        </is>
      </c>
    </row>
    <row r="3461">
      <c r="A3461" s="31" t="inlineStr">
        <is>
          <t>Talent</t>
        </is>
      </c>
      <c r="B3461" s="33" t="inlineStr">
        <is>
          <t>Regard Vif</t>
        </is>
      </c>
      <c r="C3461" s="33" t="n"/>
      <c r="D3461" s="33" t="n"/>
      <c r="E3461" s="33" t="n"/>
      <c r="F3461" s="33" t="n"/>
      <c r="G3461" s="33" t="n"/>
      <c r="H3461" s="30" t="inlineStr">
        <is>
          <t>Oui</t>
        </is>
      </c>
    </row>
    <row r="3462">
      <c r="A3462" s="31" t="inlineStr">
        <is>
          <t>Capacités</t>
        </is>
      </c>
      <c r="B3462" s="34" t="inlineStr">
        <is>
          <t>Puissance</t>
        </is>
      </c>
      <c r="C3462" s="34" t="n"/>
      <c r="D3462" s="34" t="n"/>
      <c r="E3462" s="34" t="n"/>
      <c r="F3462" s="34" t="n"/>
      <c r="G3462" s="34" t="n"/>
      <c r="H3462" s="30" t="inlineStr">
        <is>
          <t>Oui</t>
        </is>
      </c>
    </row>
    <row r="3463">
      <c r="A3463" s="31" t="n"/>
      <c r="B3463" s="34" t="inlineStr">
        <is>
          <t>Atterrissage</t>
        </is>
      </c>
      <c r="C3463" s="34" t="n"/>
      <c r="D3463" s="34" t="n"/>
      <c r="E3463" s="34" t="n"/>
      <c r="F3463" s="34" t="n"/>
      <c r="G3463" s="34" t="n"/>
      <c r="H3463" s="30" t="inlineStr">
        <is>
          <t>Oui</t>
        </is>
      </c>
    </row>
    <row r="3464">
      <c r="A3464" s="31" t="n"/>
      <c r="B3464" s="34" t="inlineStr">
        <is>
          <t>Bec Vrille</t>
        </is>
      </c>
      <c r="C3464" s="34" t="n"/>
      <c r="D3464" s="34" t="n"/>
      <c r="E3464" s="34" t="n"/>
      <c r="F3464" s="34" t="n"/>
      <c r="G3464" s="34" t="n"/>
      <c r="H3464" s="30" t="inlineStr">
        <is>
          <t>Oui</t>
        </is>
      </c>
    </row>
    <row r="3465">
      <c r="A3465" s="31" t="n"/>
      <c r="B3465" s="34" t="inlineStr">
        <is>
          <t>Tunnelier</t>
        </is>
      </c>
      <c r="C3465" s="34" t="n"/>
      <c r="D3465" s="34" t="n"/>
      <c r="E3465" s="34" t="n"/>
      <c r="F3465" s="34" t="n"/>
      <c r="G3465" s="34" t="n"/>
      <c r="H3465" s="30" t="inlineStr">
        <is>
          <t>Oui</t>
        </is>
      </c>
    </row>
    <row r="3466">
      <c r="A3466" s="31" t="inlineStr">
        <is>
          <t>Nom</t>
        </is>
      </c>
      <c r="B3466" s="32" t="inlineStr">
        <is>
          <t>Gamin Eusèbe</t>
        </is>
      </c>
      <c r="C3466" s="32" t="n"/>
      <c r="D3466" s="32" t="n"/>
      <c r="E3466" s="32" t="n"/>
      <c r="F3466" s="32" t="n"/>
      <c r="G3466" s="32" t="n"/>
      <c r="H3466" s="30" t="inlineStr">
        <is>
          <t>Oui</t>
        </is>
      </c>
    </row>
    <row r="3467">
      <c r="A3467" s="31" t="inlineStr">
        <is>
          <t>Pokémon</t>
        </is>
      </c>
      <c r="B3467" s="33" t="inlineStr">
        <is>
          <t>RATTATAC</t>
        </is>
      </c>
      <c r="C3467" s="33" t="inlineStr">
        <is>
          <t>ARBOK</t>
        </is>
      </c>
      <c r="D3467" s="33" t="n"/>
      <c r="E3467" s="33" t="n"/>
      <c r="F3467" s="33" t="n"/>
      <c r="G3467" s="33" t="n"/>
      <c r="H3467" s="30" t="inlineStr">
        <is>
          <t>Oui</t>
        </is>
      </c>
    </row>
    <row r="3468">
      <c r="A3468" s="31" t="inlineStr">
        <is>
          <t>Niveau</t>
        </is>
      </c>
      <c r="B3468" s="33" t="n">
        <v>59</v>
      </c>
      <c r="C3468" s="33" t="n">
        <v>59</v>
      </c>
      <c r="D3468" s="33" t="n"/>
      <c r="E3468" s="33" t="n"/>
      <c r="F3468" s="33" t="n"/>
      <c r="G3468" s="33" t="n"/>
      <c r="H3468" s="30" t="inlineStr">
        <is>
          <t>Oui</t>
        </is>
      </c>
    </row>
    <row r="3469">
      <c r="A3469" s="31" t="inlineStr">
        <is>
          <t>Objet</t>
        </is>
      </c>
      <c r="B3469" s="33" t="inlineStr">
        <is>
          <t>Aucun</t>
        </is>
      </c>
      <c r="C3469" s="33" t="inlineStr">
        <is>
          <t>Aucun</t>
        </is>
      </c>
      <c r="D3469" s="33" t="n"/>
      <c r="E3469" s="33" t="n"/>
      <c r="F3469" s="33" t="n"/>
      <c r="G3469" s="33" t="n"/>
      <c r="H3469" s="30" t="inlineStr">
        <is>
          <t>Oui</t>
        </is>
      </c>
    </row>
    <row r="3470">
      <c r="A3470" s="31" t="inlineStr">
        <is>
          <t>Talent</t>
        </is>
      </c>
      <c r="B3470" s="33" t="inlineStr">
        <is>
          <t>Fuite</t>
        </is>
      </c>
      <c r="C3470" s="33" t="inlineStr">
        <is>
          <t>Intimidation</t>
        </is>
      </c>
      <c r="D3470" s="33" t="n"/>
      <c r="E3470" s="33" t="n"/>
      <c r="F3470" s="33" t="n"/>
      <c r="G3470" s="33" t="n"/>
      <c r="H3470" s="30" t="inlineStr">
        <is>
          <t>Oui</t>
        </is>
      </c>
    </row>
    <row r="3471">
      <c r="A3471" s="31" t="inlineStr">
        <is>
          <t>Capacités</t>
        </is>
      </c>
      <c r="B3471" s="34" t="inlineStr">
        <is>
          <t>Coup Bas</t>
        </is>
      </c>
      <c r="C3471" s="34" t="inlineStr">
        <is>
          <t>Suc Digestif</t>
        </is>
      </c>
      <c r="D3471" s="34" t="n"/>
      <c r="E3471" s="34" t="n"/>
      <c r="F3471" s="34" t="n"/>
      <c r="G3471" s="34" t="n"/>
      <c r="H3471" s="30" t="inlineStr">
        <is>
          <t>Oui</t>
        </is>
      </c>
    </row>
    <row r="3472">
      <c r="A3472" s="31" t="n"/>
      <c r="B3472" s="34" t="inlineStr">
        <is>
          <t>Croc Fatal</t>
        </is>
      </c>
      <c r="C3472" s="34" t="inlineStr">
        <is>
          <t>Éructation</t>
        </is>
      </c>
      <c r="D3472" s="34" t="n"/>
      <c r="E3472" s="34" t="n"/>
      <c r="F3472" s="34" t="n"/>
      <c r="G3472" s="34" t="n"/>
      <c r="H3472" s="30" t="inlineStr">
        <is>
          <t>Oui</t>
        </is>
      </c>
    </row>
    <row r="3473">
      <c r="A3473" s="31" t="n"/>
      <c r="B3473" s="34" t="inlineStr">
        <is>
          <t>Damoclès</t>
        </is>
      </c>
      <c r="C3473" s="34" t="inlineStr">
        <is>
          <t>Buée Noire</t>
        </is>
      </c>
      <c r="D3473" s="34" t="n"/>
      <c r="E3473" s="34" t="n"/>
      <c r="F3473" s="34" t="n"/>
      <c r="G3473" s="34" t="n"/>
      <c r="H3473" s="30" t="inlineStr">
        <is>
          <t>Oui</t>
        </is>
      </c>
    </row>
    <row r="3474">
      <c r="A3474" s="31" t="n"/>
      <c r="B3474" s="34" t="inlineStr">
        <is>
          <t>Effort</t>
        </is>
      </c>
      <c r="C3474" s="34" t="inlineStr">
        <is>
          <t>Enroulement</t>
        </is>
      </c>
      <c r="D3474" s="34" t="n"/>
      <c r="E3474" s="34" t="n"/>
      <c r="F3474" s="34" t="n"/>
      <c r="G3474" s="34" t="n"/>
      <c r="H3474" s="30" t="inlineStr">
        <is>
          <t>Oui</t>
        </is>
      </c>
    </row>
    <row r="3475">
      <c r="A3475" s="31" t="inlineStr">
        <is>
          <t>Nom</t>
        </is>
      </c>
      <c r="B3475" s="32" t="inlineStr">
        <is>
          <t>Crache-Feu Akim</t>
        </is>
      </c>
      <c r="C3475" s="32" t="n"/>
      <c r="D3475" s="32" t="n"/>
      <c r="E3475" s="32" t="n"/>
      <c r="F3475" s="32" t="n"/>
      <c r="G3475" s="32" t="n"/>
      <c r="H3475" s="30" t="inlineStr">
        <is>
          <t>Oui</t>
        </is>
      </c>
    </row>
    <row r="3476">
      <c r="A3476" s="31" t="inlineStr">
        <is>
          <t>Pokémon</t>
        </is>
      </c>
      <c r="B3476" s="33" t="inlineStr">
        <is>
          <t>SMOGOGO</t>
        </is>
      </c>
      <c r="C3476" s="33" t="inlineStr">
        <is>
          <t>VOLCAROPOD</t>
        </is>
      </c>
      <c r="D3476" s="33" t="n"/>
      <c r="E3476" s="33" t="n"/>
      <c r="F3476" s="33" t="n"/>
      <c r="G3476" s="33" t="n"/>
      <c r="H3476" s="30" t="inlineStr">
        <is>
          <t>Oui</t>
        </is>
      </c>
    </row>
    <row r="3477">
      <c r="A3477" s="31" t="inlineStr">
        <is>
          <t>Niveau</t>
        </is>
      </c>
      <c r="B3477" s="33" t="n">
        <v>60</v>
      </c>
      <c r="C3477" s="33" t="n">
        <v>60</v>
      </c>
      <c r="D3477" s="33" t="n"/>
      <c r="E3477" s="33" t="n"/>
      <c r="F3477" s="33" t="n"/>
      <c r="G3477" s="33" t="n"/>
      <c r="H3477" s="30" t="inlineStr">
        <is>
          <t>Oui</t>
        </is>
      </c>
    </row>
    <row r="3478">
      <c r="A3478" s="31" t="inlineStr">
        <is>
          <t>Objet</t>
        </is>
      </c>
      <c r="B3478" s="33" t="inlineStr">
        <is>
          <t>Aucun</t>
        </is>
      </c>
      <c r="C3478" s="33" t="inlineStr">
        <is>
          <t>Aucun</t>
        </is>
      </c>
      <c r="D3478" s="33" t="n"/>
      <c r="E3478" s="33" t="n"/>
      <c r="F3478" s="33" t="n"/>
      <c r="G3478" s="33" t="n"/>
      <c r="H3478" s="30" t="inlineStr">
        <is>
          <t>Oui</t>
        </is>
      </c>
    </row>
    <row r="3479">
      <c r="A3479" s="31" t="inlineStr">
        <is>
          <t>Talent</t>
        </is>
      </c>
      <c r="B3479" s="33" t="inlineStr">
        <is>
          <t>Lévitation</t>
        </is>
      </c>
      <c r="C3479" s="33" t="inlineStr">
        <is>
          <t>Armumagma</t>
        </is>
      </c>
      <c r="D3479" s="33" t="n"/>
      <c r="E3479" s="33" t="n"/>
      <c r="F3479" s="33" t="n"/>
      <c r="G3479" s="33" t="n"/>
      <c r="H3479" s="30" t="inlineStr">
        <is>
          <t>Oui</t>
        </is>
      </c>
    </row>
    <row r="3480">
      <c r="A3480" s="31" t="inlineStr">
        <is>
          <t>Capacités</t>
        </is>
      </c>
      <c r="B3480" s="34" t="inlineStr">
        <is>
          <t>Explosion</t>
        </is>
      </c>
      <c r="C3480" s="34" t="inlineStr">
        <is>
          <t>Plaquage</t>
        </is>
      </c>
      <c r="D3480" s="34" t="n"/>
      <c r="E3480" s="34" t="n"/>
      <c r="F3480" s="34" t="n"/>
      <c r="G3480" s="34" t="n"/>
      <c r="H3480" s="30" t="inlineStr">
        <is>
          <t>Oui</t>
        </is>
      </c>
    </row>
    <row r="3481">
      <c r="A3481" s="31" t="n"/>
      <c r="B3481" s="34" t="inlineStr">
        <is>
          <t>Lien du Destin</t>
        </is>
      </c>
      <c r="C3481" s="34" t="inlineStr">
        <is>
          <t>Soin</t>
        </is>
      </c>
      <c r="D3481" s="34" t="n"/>
      <c r="E3481" s="34" t="n"/>
      <c r="F3481" s="34" t="n"/>
      <c r="G3481" s="34" t="n"/>
      <c r="H3481" s="30" t="inlineStr">
        <is>
          <t>Oui</t>
        </is>
      </c>
    </row>
    <row r="3482">
      <c r="A3482" s="31" t="n"/>
      <c r="B3482" s="34" t="inlineStr">
        <is>
          <t>Éructation</t>
        </is>
      </c>
      <c r="C3482" s="34" t="inlineStr">
        <is>
          <t>Lance-Flammes</t>
        </is>
      </c>
      <c r="D3482" s="34" t="n"/>
      <c r="E3482" s="34" t="n"/>
      <c r="F3482" s="34" t="n"/>
      <c r="G3482" s="34" t="n"/>
      <c r="H3482" s="30" t="inlineStr">
        <is>
          <t>Oui</t>
        </is>
      </c>
    </row>
    <row r="3483">
      <c r="A3483" s="31" t="n"/>
      <c r="B3483" s="34" t="inlineStr">
        <is>
          <t>Souvenir</t>
        </is>
      </c>
      <c r="C3483" s="34" t="inlineStr">
        <is>
          <t>Telluriforce</t>
        </is>
      </c>
      <c r="D3483" s="34" t="n"/>
      <c r="E3483" s="34" t="n"/>
      <c r="F3483" s="34" t="n"/>
      <c r="G3483" s="34" t="n"/>
      <c r="H3483" s="30" t="inlineStr">
        <is>
          <t>Oui</t>
        </is>
      </c>
    </row>
    <row r="3484" ht="18" customHeight="1">
      <c r="A3484" s="26" t="inlineStr">
        <is>
          <t>Argenta — Arène</t>
        </is>
      </c>
      <c r="B3484" s="26" t="n"/>
      <c r="C3484" s="26" t="n"/>
      <c r="D3484" s="26" t="n"/>
      <c r="E3484" s="26" t="n"/>
      <c r="F3484" s="26" t="n"/>
      <c r="G3484" s="26" t="n"/>
      <c r="H3484" s="30" t="inlineStr">
        <is>
          <t>Oui</t>
        </is>
      </c>
    </row>
    <row r="3485">
      <c r="A3485" s="31" t="inlineStr">
        <is>
          <t>Nom</t>
        </is>
      </c>
      <c r="B3485" s="32" t="inlineStr">
        <is>
          <t>Campeur Scotty</t>
        </is>
      </c>
      <c r="C3485" s="32" t="n"/>
      <c r="D3485" s="32" t="n"/>
      <c r="E3485" s="32" t="n"/>
      <c r="F3485" s="32" t="n"/>
      <c r="G3485" s="32" t="n"/>
      <c r="H3485" s="30" t="inlineStr">
        <is>
          <t>Oui</t>
        </is>
      </c>
    </row>
    <row r="3486">
      <c r="A3486" s="31" t="inlineStr">
        <is>
          <t>Pokémon</t>
        </is>
      </c>
      <c r="B3486" s="33" t="inlineStr">
        <is>
          <t>TRIOPIKEUR</t>
        </is>
      </c>
      <c r="C3486" s="33" t="inlineStr">
        <is>
          <t>SABLAIREAU</t>
        </is>
      </c>
      <c r="D3486" s="33" t="inlineStr">
        <is>
          <t>DONPHAN</t>
        </is>
      </c>
      <c r="E3486" s="33" t="n"/>
      <c r="F3486" s="33" t="n"/>
      <c r="G3486" s="33" t="n"/>
      <c r="H3486" s="30" t="inlineStr">
        <is>
          <t>Oui</t>
        </is>
      </c>
    </row>
    <row r="3487">
      <c r="A3487" s="31" t="inlineStr">
        <is>
          <t>Niveau</t>
        </is>
      </c>
      <c r="B3487" s="33" t="n">
        <v>60</v>
      </c>
      <c r="C3487" s="33" t="n">
        <v>58</v>
      </c>
      <c r="D3487" s="33" t="n">
        <v>60</v>
      </c>
      <c r="E3487" s="33" t="n"/>
      <c r="F3487" s="33" t="n"/>
      <c r="G3487" s="33" t="n"/>
      <c r="H3487" s="30" t="inlineStr">
        <is>
          <t>Oui</t>
        </is>
      </c>
    </row>
    <row r="3488">
      <c r="A3488" s="31" t="inlineStr">
        <is>
          <t>Objet</t>
        </is>
      </c>
      <c r="B3488" s="33" t="inlineStr">
        <is>
          <t>Aucun</t>
        </is>
      </c>
      <c r="C3488" s="33" t="inlineStr">
        <is>
          <t>Aucun</t>
        </is>
      </c>
      <c r="D3488" s="33" t="inlineStr">
        <is>
          <t>Aucun</t>
        </is>
      </c>
      <c r="E3488" s="33" t="n"/>
      <c r="F3488" s="33" t="n"/>
      <c r="G3488" s="33" t="n"/>
      <c r="H3488" s="30" t="inlineStr">
        <is>
          <t>Oui</t>
        </is>
      </c>
    </row>
    <row r="3489">
      <c r="A3489" s="31" t="inlineStr">
        <is>
          <t>Talent</t>
        </is>
      </c>
      <c r="B3489" s="33" t="inlineStr">
        <is>
          <t>Voile Sable</t>
        </is>
      </c>
      <c r="C3489" s="33" t="inlineStr">
        <is>
          <t>Voile Sable</t>
        </is>
      </c>
      <c r="D3489" s="33" t="inlineStr">
        <is>
          <t>Fermeté</t>
        </is>
      </c>
      <c r="E3489" s="33" t="n"/>
      <c r="F3489" s="33" t="n"/>
      <c r="G3489" s="33" t="n"/>
      <c r="H3489" s="30" t="inlineStr">
        <is>
          <t>Oui</t>
        </is>
      </c>
    </row>
    <row r="3490">
      <c r="A3490" s="31" t="inlineStr">
        <is>
          <t>Capacités</t>
        </is>
      </c>
      <c r="B3490" s="34" t="inlineStr">
        <is>
          <t>Tunnel</t>
        </is>
      </c>
      <c r="C3490" s="34" t="inlineStr">
        <is>
          <t>Gyroballe</t>
        </is>
      </c>
      <c r="D3490" s="34" t="inlineStr">
        <is>
          <t>Tour Rapide</t>
        </is>
      </c>
      <c r="E3490" s="34" t="n"/>
      <c r="F3490" s="34" t="n"/>
      <c r="G3490" s="34" t="n"/>
      <c r="H3490" s="30" t="inlineStr">
        <is>
          <t>Oui</t>
        </is>
      </c>
    </row>
    <row r="3491">
      <c r="A3491" s="31" t="n"/>
      <c r="B3491" s="34" t="inlineStr">
        <is>
          <t>Tranche</t>
        </is>
      </c>
      <c r="C3491" s="34" t="inlineStr">
        <is>
          <t>Danse Lames</t>
        </is>
      </c>
      <c r="D3491" s="34" t="inlineStr">
        <is>
          <t>Séisme</t>
        </is>
      </c>
      <c r="E3491" s="34" t="n"/>
      <c r="F3491" s="34" t="n"/>
      <c r="G3491" s="34" t="n"/>
      <c r="H3491" s="30" t="inlineStr">
        <is>
          <t>Oui</t>
        </is>
      </c>
    </row>
    <row r="3492">
      <c r="A3492" s="31" t="n"/>
      <c r="B3492" s="34" t="inlineStr">
        <is>
          <t>Séisme</t>
        </is>
      </c>
      <c r="C3492" s="34" t="inlineStr">
        <is>
          <t>Tempête de Sable</t>
        </is>
      </c>
      <c r="D3492" s="34" t="inlineStr">
        <is>
          <t>Giga Impact</t>
        </is>
      </c>
      <c r="E3492" s="34" t="n"/>
      <c r="F3492" s="34" t="n"/>
      <c r="G3492" s="34" t="n"/>
      <c r="H3492" s="30" t="inlineStr">
        <is>
          <t>Oui</t>
        </is>
      </c>
    </row>
    <row r="3493">
      <c r="A3493" s="31" t="n"/>
      <c r="B3493" s="34" t="inlineStr">
        <is>
          <t>Abîme</t>
        </is>
      </c>
      <c r="C3493" s="34" t="inlineStr">
        <is>
          <t>Séisme</t>
        </is>
      </c>
      <c r="D3493" s="34" t="inlineStr">
        <is>
          <t>Câlinerie</t>
        </is>
      </c>
      <c r="E3493" s="34" t="n"/>
      <c r="F3493" s="34" t="n"/>
      <c r="G3493" s="34" t="n"/>
      <c r="H3493" s="30" t="inlineStr">
        <is>
          <t>Oui</t>
        </is>
      </c>
    </row>
    <row r="3494">
      <c r="A3494" s="31" t="inlineStr">
        <is>
          <t>Nom</t>
        </is>
      </c>
      <c r="B3494" s="32" t="inlineStr">
        <is>
          <t>Champion Pierre</t>
        </is>
      </c>
      <c r="C3494" s="32" t="n"/>
      <c r="D3494" s="32" t="n"/>
      <c r="E3494" s="32" t="n"/>
      <c r="F3494" s="32" t="n"/>
      <c r="G3494" s="32" t="n"/>
      <c r="H3494" s="30" t="inlineStr">
        <is>
          <t>Oui</t>
        </is>
      </c>
    </row>
    <row r="3495">
      <c r="A3495" s="31" t="inlineStr">
        <is>
          <t>Pokémon</t>
        </is>
      </c>
      <c r="B3495" s="33" t="inlineStr">
        <is>
          <t>GROLEM</t>
        </is>
      </c>
      <c r="C3495" s="33" t="inlineStr">
        <is>
          <t>PTERA</t>
        </is>
      </c>
      <c r="D3495" s="33" t="inlineStr">
        <is>
          <t>KABUTOPS</t>
        </is>
      </c>
      <c r="E3495" s="33" t="inlineStr">
        <is>
          <t>AMONISTAR</t>
        </is>
      </c>
      <c r="F3495" s="33" t="inlineStr">
        <is>
          <t>RELICANTH</t>
        </is>
      </c>
      <c r="G3495" s="33" t="inlineStr">
        <is>
          <t>HACHECATEUR</t>
        </is>
      </c>
      <c r="H3495" s="30" t="inlineStr">
        <is>
          <t>Oui</t>
        </is>
      </c>
    </row>
    <row r="3496">
      <c r="A3496" s="31" t="inlineStr">
        <is>
          <t>Niveau</t>
        </is>
      </c>
      <c r="B3496" s="33" t="n">
        <v>66</v>
      </c>
      <c r="C3496" s="33" t="n">
        <v>66</v>
      </c>
      <c r="D3496" s="33" t="n">
        <v>66</v>
      </c>
      <c r="E3496" s="33" t="n">
        <v>66</v>
      </c>
      <c r="F3496" s="33" t="n">
        <v>66</v>
      </c>
      <c r="G3496" s="33" t="n">
        <v>66</v>
      </c>
      <c r="H3496" s="30" t="inlineStr">
        <is>
          <t>Oui</t>
        </is>
      </c>
    </row>
    <row r="3497">
      <c r="A3497" s="31" t="inlineStr">
        <is>
          <t>Objet</t>
        </is>
      </c>
      <c r="B3497" s="33" t="inlineStr">
        <is>
          <t>Vive Griffe</t>
        </is>
      </c>
      <c r="C3497" s="33" t="inlineStr">
        <is>
          <t>Pierre Dure</t>
        </is>
      </c>
      <c r="D3497" s="33" t="inlineStr">
        <is>
          <t>Lentilscope</t>
        </is>
      </c>
      <c r="E3497" s="33" t="inlineStr">
        <is>
          <t>Bandeau</t>
        </is>
      </c>
      <c r="F3497" s="33" t="inlineStr">
        <is>
          <t>Pierre Dure</t>
        </is>
      </c>
      <c r="G3497" s="33" t="inlineStr">
        <is>
          <t>Vive Griffe</t>
        </is>
      </c>
      <c r="H3497" s="30" t="inlineStr">
        <is>
          <t>Oui</t>
        </is>
      </c>
    </row>
    <row r="3498">
      <c r="A3498" s="31" t="inlineStr">
        <is>
          <t>Talent</t>
        </is>
      </c>
      <c r="B3498" s="33" t="inlineStr">
        <is>
          <t>Tête de Roc</t>
        </is>
      </c>
      <c r="C3498" s="33" t="inlineStr">
        <is>
          <t>Tête de Roc</t>
        </is>
      </c>
      <c r="D3498" s="33" t="inlineStr">
        <is>
          <t>Glissade</t>
        </is>
      </c>
      <c r="E3498" s="33" t="inlineStr">
        <is>
          <t>Glissade</t>
        </is>
      </c>
      <c r="F3498" s="33" t="inlineStr">
        <is>
          <t>Glissade</t>
        </is>
      </c>
      <c r="G3498" s="33" t="inlineStr">
        <is>
          <t>Essaim</t>
        </is>
      </c>
      <c r="H3498" s="30" t="inlineStr">
        <is>
          <t>Oui</t>
        </is>
      </c>
    </row>
    <row r="3499">
      <c r="A3499" s="31" t="inlineStr">
        <is>
          <t>Capacités</t>
        </is>
      </c>
      <c r="B3499" s="34" t="inlineStr">
        <is>
          <t>Malédiction</t>
        </is>
      </c>
      <c r="C3499" s="34" t="inlineStr">
        <is>
          <t>Pouvoir Antique</t>
        </is>
      </c>
      <c r="D3499" s="34" t="inlineStr">
        <is>
          <t>Surf</t>
        </is>
      </c>
      <c r="E3499" s="34" t="inlineStr">
        <is>
          <t>Pouvoir Antique</t>
        </is>
      </c>
      <c r="F3499" s="34" t="inlineStr">
        <is>
          <t>Hydrocanon</t>
        </is>
      </c>
      <c r="G3499" s="34" t="inlineStr">
        <is>
          <t>Danse Lames</t>
        </is>
      </c>
      <c r="H3499" s="30" t="inlineStr">
        <is>
          <t>Oui</t>
        </is>
      </c>
    </row>
    <row r="3500">
      <c r="A3500" s="31" t="n"/>
      <c r="B3500" s="34" t="inlineStr">
        <is>
          <t>Lame de Roc</t>
        </is>
      </c>
      <c r="C3500" s="34" t="inlineStr">
        <is>
          <t>Piqué</t>
        </is>
      </c>
      <c r="D3500" s="34" t="inlineStr">
        <is>
          <t>Pouvoir Antique</t>
        </is>
      </c>
      <c r="E3500" s="34" t="inlineStr">
        <is>
          <t>Laser Glace</t>
        </is>
      </c>
      <c r="F3500" s="34" t="inlineStr">
        <is>
          <t>Éboulement</t>
        </is>
      </c>
      <c r="G3500" s="34" t="inlineStr">
        <is>
          <t>Hache de Pierre</t>
        </is>
      </c>
      <c r="H3500" s="30" t="inlineStr">
        <is>
          <t>Oui</t>
        </is>
      </c>
    </row>
    <row r="3501">
      <c r="A3501" s="31" t="n"/>
      <c r="B3501" s="34" t="inlineStr">
        <is>
          <t>Plaquage</t>
        </is>
      </c>
      <c r="C3501" s="34" t="inlineStr">
        <is>
          <t>Séisme</t>
        </is>
      </c>
      <c r="D3501" s="34" t="inlineStr">
        <is>
          <t>Tranche-Nuit</t>
        </is>
      </c>
      <c r="E3501" s="34" t="inlineStr">
        <is>
          <t>Surf</t>
        </is>
      </c>
      <c r="F3501" s="34" t="inlineStr">
        <is>
          <t>Malédiction</t>
        </is>
      </c>
      <c r="G3501" s="34" t="inlineStr">
        <is>
          <t>Plaie Croix</t>
        </is>
      </c>
      <c r="H3501" s="30" t="inlineStr">
        <is>
          <t>Oui</t>
        </is>
      </c>
    </row>
    <row r="3502">
      <c r="A3502" s="31" t="n"/>
      <c r="B3502" s="34" t="inlineStr">
        <is>
          <t>Séisme</t>
        </is>
      </c>
      <c r="C3502" s="34" t="inlineStr">
        <is>
          <t>Crocs Feu</t>
        </is>
      </c>
      <c r="D3502" s="34" t="inlineStr">
        <is>
          <t>Danse Lames</t>
        </is>
      </c>
      <c r="E3502" s="34" t="inlineStr">
        <is>
          <t>Toxik</t>
        </is>
      </c>
      <c r="F3502" s="34" t="inlineStr">
        <is>
          <t>Tonnerre</t>
        </is>
      </c>
      <c r="G3502" s="34" t="inlineStr">
        <is>
          <t>Hâte</t>
        </is>
      </c>
      <c r="H3502" s="30" t="inlineStr">
        <is>
          <t>Oui</t>
        </is>
      </c>
    </row>
    <row r="3503" ht="18" customHeight="1">
      <c r="A3503" s="26" t="inlineStr">
        <is>
          <t>Forêt de Jade</t>
        </is>
      </c>
      <c r="B3503" s="26" t="n"/>
      <c r="C3503" s="26" t="n"/>
      <c r="D3503" s="26" t="n"/>
      <c r="E3503" s="26" t="n"/>
      <c r="F3503" s="26" t="n"/>
      <c r="G3503" s="26" t="n"/>
      <c r="H3503" s="30" t="inlineStr">
        <is>
          <t>Oui</t>
        </is>
      </c>
    </row>
    <row r="3504">
      <c r="A3504" s="31" t="inlineStr">
        <is>
          <t>Nom</t>
        </is>
      </c>
      <c r="B3504" s="32" t="inlineStr">
        <is>
          <t>Scout Aymeric</t>
        </is>
      </c>
      <c r="C3504" s="32" t="n"/>
      <c r="D3504" s="32" t="n"/>
      <c r="E3504" s="32" t="n"/>
      <c r="F3504" s="32" t="n"/>
      <c r="G3504" s="32" t="n"/>
      <c r="H3504" s="30" t="inlineStr">
        <is>
          <t>Oui</t>
        </is>
      </c>
    </row>
    <row r="3505">
      <c r="A3505" s="31" t="inlineStr">
        <is>
          <t>Pokémon</t>
        </is>
      </c>
      <c r="B3505" s="33" t="inlineStr">
        <is>
          <t>DARDARGNAN</t>
        </is>
      </c>
      <c r="C3505" s="33" t="inlineStr">
        <is>
          <t>PAPILUSION</t>
        </is>
      </c>
      <c r="D3505" s="33" t="n"/>
      <c r="E3505" s="33" t="n"/>
      <c r="F3505" s="33" t="n"/>
      <c r="G3505" s="33" t="n"/>
      <c r="H3505" s="30" t="inlineStr">
        <is>
          <t>Oui</t>
        </is>
      </c>
    </row>
    <row r="3506">
      <c r="A3506" s="31" t="inlineStr">
        <is>
          <t>Niveau</t>
        </is>
      </c>
      <c r="B3506" s="33" t="n">
        <v>62</v>
      </c>
      <c r="C3506" s="33" t="n">
        <v>62</v>
      </c>
      <c r="D3506" s="33" t="n"/>
      <c r="E3506" s="33" t="n"/>
      <c r="F3506" s="33" t="n"/>
      <c r="G3506" s="33" t="n"/>
      <c r="H3506" s="30" t="inlineStr">
        <is>
          <t>Oui</t>
        </is>
      </c>
    </row>
    <row r="3507">
      <c r="A3507" s="31" t="inlineStr">
        <is>
          <t>Objet</t>
        </is>
      </c>
      <c r="B3507" s="33" t="inlineStr">
        <is>
          <t>Aucun</t>
        </is>
      </c>
      <c r="C3507" s="33" t="inlineStr">
        <is>
          <t>Aucun</t>
        </is>
      </c>
      <c r="D3507" s="33" t="n"/>
      <c r="E3507" s="33" t="n"/>
      <c r="F3507" s="33" t="n"/>
      <c r="G3507" s="33" t="n"/>
      <c r="H3507" s="30" t="inlineStr">
        <is>
          <t>Oui</t>
        </is>
      </c>
    </row>
    <row r="3508">
      <c r="A3508" s="31" t="inlineStr">
        <is>
          <t>Talent</t>
        </is>
      </c>
      <c r="B3508" s="33" t="inlineStr">
        <is>
          <t>Essaim</t>
        </is>
      </c>
      <c r="C3508" s="33" t="inlineStr">
        <is>
          <t>Œil Composé</t>
        </is>
      </c>
      <c r="D3508" s="33" t="n"/>
      <c r="E3508" s="33" t="n"/>
      <c r="F3508" s="33" t="n"/>
      <c r="G3508" s="33" t="n"/>
      <c r="H3508" s="30" t="inlineStr">
        <is>
          <t>Oui</t>
        </is>
      </c>
    </row>
    <row r="3509">
      <c r="A3509" s="31" t="inlineStr">
        <is>
          <t>Capacités</t>
        </is>
      </c>
      <c r="B3509" s="34" t="inlineStr">
        <is>
          <t>Direct Toxik</t>
        </is>
      </c>
      <c r="C3509" s="34" t="inlineStr">
        <is>
          <t>Séduction</t>
        </is>
      </c>
      <c r="D3509" s="34" t="n"/>
      <c r="E3509" s="34" t="n"/>
      <c r="F3509" s="34" t="n"/>
      <c r="G3509" s="34" t="n"/>
      <c r="H3509" s="30" t="inlineStr">
        <is>
          <t>Oui</t>
        </is>
      </c>
    </row>
    <row r="3510">
      <c r="A3510" s="31" t="n"/>
      <c r="B3510" s="34" t="inlineStr">
        <is>
          <t>Hâte</t>
        </is>
      </c>
      <c r="C3510" s="34" t="inlineStr">
        <is>
          <t>Vent Arrière</t>
        </is>
      </c>
      <c r="D3510" s="34" t="n"/>
      <c r="E3510" s="34" t="n"/>
      <c r="F3510" s="34" t="n"/>
      <c r="G3510" s="34" t="n"/>
      <c r="H3510" s="30" t="inlineStr">
        <is>
          <t>Oui</t>
        </is>
      </c>
    </row>
    <row r="3511">
      <c r="A3511" s="31" t="n"/>
      <c r="B3511" s="34" t="inlineStr">
        <is>
          <t>Effort</t>
        </is>
      </c>
      <c r="C3511" s="34" t="inlineStr">
        <is>
          <t>Lame d'Air</t>
        </is>
      </c>
      <c r="D3511" s="34" t="n"/>
      <c r="E3511" s="34" t="n"/>
      <c r="F3511" s="34" t="n"/>
      <c r="G3511" s="34" t="n"/>
      <c r="H3511" s="30" t="inlineStr">
        <is>
          <t>Oui</t>
        </is>
      </c>
    </row>
    <row r="3512">
      <c r="A3512" s="31" t="n"/>
      <c r="B3512" s="34" t="inlineStr">
        <is>
          <t>Dard Mortel</t>
        </is>
      </c>
      <c r="C3512" s="34" t="inlineStr">
        <is>
          <t>Papillodanse</t>
        </is>
      </c>
      <c r="D3512" s="34" t="n"/>
      <c r="E3512" s="34" t="n"/>
      <c r="F3512" s="34" t="n"/>
      <c r="G3512" s="34" t="n"/>
      <c r="H3512" s="30" t="inlineStr">
        <is>
          <t>Oui</t>
        </is>
      </c>
    </row>
    <row r="3513">
      <c r="A3513" s="31" t="inlineStr">
        <is>
          <t>Nom</t>
        </is>
      </c>
      <c r="B3513" s="32" t="inlineStr">
        <is>
          <t>Scout Odilon</t>
        </is>
      </c>
      <c r="C3513" s="32" t="n"/>
      <c r="D3513" s="32" t="n"/>
      <c r="E3513" s="32" t="n"/>
      <c r="F3513" s="32" t="n"/>
      <c r="G3513" s="32" t="n"/>
      <c r="H3513" s="30" t="inlineStr">
        <is>
          <t>Oui</t>
        </is>
      </c>
    </row>
    <row r="3514">
      <c r="A3514" s="31" t="inlineStr">
        <is>
          <t>Pokémon</t>
        </is>
      </c>
      <c r="B3514" s="33" t="inlineStr">
        <is>
          <t>DARDARGNAN</t>
        </is>
      </c>
      <c r="C3514" s="33" t="inlineStr">
        <is>
          <t>DARDARGNAN</t>
        </is>
      </c>
      <c r="D3514" s="33" t="inlineStr">
        <is>
          <t>DARDARGNAN</t>
        </is>
      </c>
      <c r="E3514" s="33" t="n"/>
      <c r="F3514" s="33" t="n"/>
      <c r="G3514" s="33" t="n"/>
      <c r="H3514" s="30" t="inlineStr">
        <is>
          <t>Oui</t>
        </is>
      </c>
    </row>
    <row r="3515">
      <c r="A3515" s="31" t="inlineStr">
        <is>
          <t>Niveau</t>
        </is>
      </c>
      <c r="B3515" s="33" t="n">
        <v>60</v>
      </c>
      <c r="C3515" s="33" t="n">
        <v>60</v>
      </c>
      <c r="D3515" s="33" t="n">
        <v>60</v>
      </c>
      <c r="E3515" s="33" t="n"/>
      <c r="F3515" s="33" t="n"/>
      <c r="G3515" s="33" t="n"/>
      <c r="H3515" s="30" t="inlineStr">
        <is>
          <t>Oui</t>
        </is>
      </c>
    </row>
    <row r="3516">
      <c r="A3516" s="31" t="inlineStr">
        <is>
          <t>Objet</t>
        </is>
      </c>
      <c r="B3516" s="33" t="inlineStr">
        <is>
          <t>Aucun</t>
        </is>
      </c>
      <c r="C3516" s="33" t="inlineStr">
        <is>
          <t>Aucun</t>
        </is>
      </c>
      <c r="D3516" s="33" t="inlineStr">
        <is>
          <t>Aucun</t>
        </is>
      </c>
      <c r="E3516" s="33" t="n"/>
      <c r="F3516" s="33" t="n"/>
      <c r="G3516" s="33" t="n"/>
      <c r="H3516" s="30" t="inlineStr">
        <is>
          <t>Oui</t>
        </is>
      </c>
    </row>
    <row r="3517">
      <c r="A3517" s="31" t="inlineStr">
        <is>
          <t>Talent</t>
        </is>
      </c>
      <c r="B3517" s="33" t="inlineStr">
        <is>
          <t>Essaim</t>
        </is>
      </c>
      <c r="C3517" s="33" t="inlineStr">
        <is>
          <t>Essaim</t>
        </is>
      </c>
      <c r="D3517" s="33" t="inlineStr">
        <is>
          <t>Essaim</t>
        </is>
      </c>
      <c r="E3517" s="33" t="n"/>
      <c r="F3517" s="33" t="n"/>
      <c r="G3517" s="33" t="n"/>
      <c r="H3517" s="30" t="inlineStr">
        <is>
          <t>Oui</t>
        </is>
      </c>
    </row>
    <row r="3518">
      <c r="A3518" s="31" t="inlineStr">
        <is>
          <t>Capacités</t>
        </is>
      </c>
      <c r="B3518" s="34" t="inlineStr">
        <is>
          <t>Direct Toxik</t>
        </is>
      </c>
      <c r="C3518" s="34" t="inlineStr">
        <is>
          <t>Direct Toxik</t>
        </is>
      </c>
      <c r="D3518" s="34" t="inlineStr">
        <is>
          <t>Direct Toxik</t>
        </is>
      </c>
      <c r="E3518" s="34" t="n"/>
      <c r="F3518" s="34" t="n"/>
      <c r="G3518" s="34" t="n"/>
      <c r="H3518" s="30" t="inlineStr">
        <is>
          <t>Oui</t>
        </is>
      </c>
    </row>
    <row r="3519">
      <c r="A3519" s="31" t="n"/>
      <c r="B3519" s="34" t="inlineStr">
        <is>
          <t>Hâte</t>
        </is>
      </c>
      <c r="C3519" s="34" t="inlineStr">
        <is>
          <t>Hâte</t>
        </is>
      </c>
      <c r="D3519" s="34" t="inlineStr">
        <is>
          <t>Hâte</t>
        </is>
      </c>
      <c r="E3519" s="34" t="n"/>
      <c r="F3519" s="34" t="n"/>
      <c r="G3519" s="34" t="n"/>
      <c r="H3519" s="30" t="inlineStr">
        <is>
          <t>Oui</t>
        </is>
      </c>
    </row>
    <row r="3520">
      <c r="A3520" s="31" t="n"/>
      <c r="B3520" s="34" t="inlineStr">
        <is>
          <t>Effort</t>
        </is>
      </c>
      <c r="C3520" s="34" t="inlineStr">
        <is>
          <t>Effort</t>
        </is>
      </c>
      <c r="D3520" s="34" t="inlineStr">
        <is>
          <t>Effort</t>
        </is>
      </c>
      <c r="E3520" s="34" t="n"/>
      <c r="F3520" s="34" t="n"/>
      <c r="G3520" s="34" t="n"/>
      <c r="H3520" s="30" t="inlineStr">
        <is>
          <t>Oui</t>
        </is>
      </c>
    </row>
    <row r="3521">
      <c r="A3521" s="31" t="n"/>
      <c r="B3521" s="34" t="inlineStr">
        <is>
          <t>Dard Mortel</t>
        </is>
      </c>
      <c r="C3521" s="34" t="inlineStr">
        <is>
          <t>Dard Mortel</t>
        </is>
      </c>
      <c r="D3521" s="34" t="inlineStr">
        <is>
          <t>Dard Mortel</t>
        </is>
      </c>
      <c r="E3521" s="34" t="n"/>
      <c r="F3521" s="34" t="n"/>
      <c r="G3521" s="34" t="n"/>
      <c r="H3521" s="30" t="inlineStr">
        <is>
          <t>Oui</t>
        </is>
      </c>
    </row>
    <row r="3522">
      <c r="A3522" s="31" t="inlineStr">
        <is>
          <t>Nom</t>
        </is>
      </c>
      <c r="B3522" s="32" t="inlineStr">
        <is>
          <t>Scout Constantin</t>
        </is>
      </c>
      <c r="C3522" s="32" t="n"/>
      <c r="D3522" s="32" t="n"/>
      <c r="E3522" s="32" t="n"/>
      <c r="F3522" s="32" t="n"/>
      <c r="G3522" s="32" t="n"/>
      <c r="H3522" s="30" t="inlineStr">
        <is>
          <t>Oui</t>
        </is>
      </c>
    </row>
    <row r="3523">
      <c r="A3523" s="31" t="inlineStr">
        <is>
          <t>Pokémon</t>
        </is>
      </c>
      <c r="B3523" s="33" t="inlineStr">
        <is>
          <t>MIGALOS</t>
        </is>
      </c>
      <c r="C3523" s="33" t="n"/>
      <c r="D3523" s="33" t="n"/>
      <c r="E3523" s="33" t="n"/>
      <c r="F3523" s="33" t="n"/>
      <c r="G3523" s="33" t="n"/>
      <c r="H3523" s="30" t="inlineStr">
        <is>
          <t>Oui</t>
        </is>
      </c>
    </row>
    <row r="3524">
      <c r="A3524" s="31" t="inlineStr">
        <is>
          <t>Niveau</t>
        </is>
      </c>
      <c r="B3524" s="33" t="n">
        <v>62</v>
      </c>
      <c r="C3524" s="33" t="n"/>
      <c r="D3524" s="33" t="n"/>
      <c r="E3524" s="33" t="n"/>
      <c r="F3524" s="33" t="n"/>
      <c r="G3524" s="33" t="n"/>
      <c r="H3524" s="30" t="inlineStr">
        <is>
          <t>Oui</t>
        </is>
      </c>
    </row>
    <row r="3525">
      <c r="A3525" s="31" t="inlineStr">
        <is>
          <t>Objet</t>
        </is>
      </c>
      <c r="B3525" s="33" t="inlineStr">
        <is>
          <t>Aucun</t>
        </is>
      </c>
      <c r="C3525" s="33" t="n"/>
      <c r="D3525" s="33" t="n"/>
      <c r="E3525" s="33" t="n"/>
      <c r="F3525" s="33" t="n"/>
      <c r="G3525" s="33" t="n"/>
      <c r="H3525" s="30" t="inlineStr">
        <is>
          <t>Oui</t>
        </is>
      </c>
    </row>
    <row r="3526">
      <c r="A3526" s="31" t="inlineStr">
        <is>
          <t>Talent</t>
        </is>
      </c>
      <c r="B3526" s="33" t="inlineStr">
        <is>
          <t>Essaim</t>
        </is>
      </c>
      <c r="C3526" s="33" t="n"/>
      <c r="D3526" s="33" t="n"/>
      <c r="E3526" s="33" t="n"/>
      <c r="F3526" s="33" t="n"/>
      <c r="G3526" s="33" t="n"/>
      <c r="H3526" s="30" t="inlineStr">
        <is>
          <t>Oui</t>
        </is>
      </c>
    </row>
    <row r="3527">
      <c r="A3527" s="31" t="inlineStr">
        <is>
          <t>Capacités</t>
        </is>
      </c>
      <c r="B3527" s="34" t="inlineStr">
        <is>
          <t>Psyko</t>
        </is>
      </c>
      <c r="C3527" s="34" t="n"/>
      <c r="D3527" s="34" t="n"/>
      <c r="E3527" s="34" t="n"/>
      <c r="F3527" s="34" t="n"/>
      <c r="G3527" s="34" t="n"/>
      <c r="H3527" s="30" t="inlineStr">
        <is>
          <t>Oui</t>
        </is>
      </c>
    </row>
    <row r="3528">
      <c r="A3528" s="31" t="n"/>
      <c r="B3528" s="34" t="inlineStr">
        <is>
          <t>Direct Toxik</t>
        </is>
      </c>
      <c r="C3528" s="34" t="n"/>
      <c r="D3528" s="34" t="n"/>
      <c r="E3528" s="34" t="n"/>
      <c r="F3528" s="34" t="n"/>
      <c r="G3528" s="34" t="n"/>
      <c r="H3528" s="30" t="inlineStr">
        <is>
          <t>Oui</t>
        </is>
      </c>
    </row>
    <row r="3529">
      <c r="A3529" s="31" t="n"/>
      <c r="B3529" s="34" t="inlineStr">
        <is>
          <t>Poison Croix</t>
        </is>
      </c>
      <c r="C3529" s="34" t="n"/>
      <c r="D3529" s="34" t="n"/>
      <c r="E3529" s="34" t="n"/>
      <c r="F3529" s="34" t="n"/>
      <c r="G3529" s="34" t="n"/>
      <c r="H3529" s="30" t="inlineStr">
        <is>
          <t>Oui</t>
        </is>
      </c>
    </row>
    <row r="3530">
      <c r="A3530" s="31" t="n"/>
      <c r="B3530" s="34" t="inlineStr">
        <is>
          <t>Toile Gluante</t>
        </is>
      </c>
      <c r="C3530" s="34" t="n"/>
      <c r="D3530" s="34" t="n"/>
      <c r="E3530" s="34" t="n"/>
      <c r="F3530" s="34" t="n"/>
      <c r="G3530" s="34" t="n"/>
      <c r="H3530" s="30" t="inlineStr">
        <is>
          <t>Oui</t>
        </is>
      </c>
    </row>
    <row r="3531" ht="18" customHeight="1">
      <c r="A3531" s="26" t="inlineStr">
        <is>
          <t>Route 1</t>
        </is>
      </c>
      <c r="B3531" s="26" t="n"/>
      <c r="C3531" s="26" t="n"/>
      <c r="D3531" s="26" t="n"/>
      <c r="E3531" s="26" t="n"/>
      <c r="F3531" s="26" t="n"/>
      <c r="G3531" s="26" t="n"/>
      <c r="H3531" s="30" t="inlineStr">
        <is>
          <t>Oui</t>
        </is>
      </c>
    </row>
    <row r="3532">
      <c r="A3532" s="31" t="inlineStr">
        <is>
          <t>Nom</t>
        </is>
      </c>
      <c r="B3532" s="32" t="inlineStr">
        <is>
          <t>Élève Davon</t>
        </is>
      </c>
      <c r="C3532" s="32" t="n"/>
      <c r="D3532" s="32" t="n"/>
      <c r="E3532" s="32" t="n"/>
      <c r="F3532" s="32" t="n"/>
      <c r="G3532" s="32" t="n"/>
      <c r="H3532" s="30" t="inlineStr">
        <is>
          <t>Oui</t>
        </is>
      </c>
    </row>
    <row r="3533">
      <c r="A3533" s="31" t="inlineStr">
        <is>
          <t>Pokémon</t>
        </is>
      </c>
      <c r="B3533" s="33" t="inlineStr">
        <is>
          <t>LIPPOUTOU</t>
        </is>
      </c>
      <c r="C3533" s="33" t="inlineStr">
        <is>
          <t>ELEKTEK</t>
        </is>
      </c>
      <c r="D3533" s="33" t="inlineStr">
        <is>
          <t>MAGMAR</t>
        </is>
      </c>
      <c r="E3533" s="33" t="n"/>
      <c r="F3533" s="33" t="n"/>
      <c r="G3533" s="33" t="n"/>
      <c r="H3533" s="30" t="inlineStr">
        <is>
          <t>Oui</t>
        </is>
      </c>
    </row>
    <row r="3534">
      <c r="A3534" s="31" t="inlineStr">
        <is>
          <t>Niveau</t>
        </is>
      </c>
      <c r="B3534" s="33" t="n">
        <v>55</v>
      </c>
      <c r="C3534" s="33" t="n">
        <v>55</v>
      </c>
      <c r="D3534" s="33" t="n">
        <v>55</v>
      </c>
      <c r="E3534" s="33" t="n"/>
      <c r="F3534" s="33" t="n"/>
      <c r="G3534" s="33" t="n"/>
      <c r="H3534" s="30" t="inlineStr">
        <is>
          <t>Oui</t>
        </is>
      </c>
    </row>
    <row r="3535">
      <c r="A3535" s="31" t="inlineStr">
        <is>
          <t>Objet</t>
        </is>
      </c>
      <c r="B3535" s="33" t="inlineStr">
        <is>
          <t>Aucun</t>
        </is>
      </c>
      <c r="C3535" s="33" t="inlineStr">
        <is>
          <t>Aucun</t>
        </is>
      </c>
      <c r="D3535" s="33" t="inlineStr">
        <is>
          <t>Aucun</t>
        </is>
      </c>
      <c r="E3535" s="33" t="n"/>
      <c r="F3535" s="33" t="n"/>
      <c r="G3535" s="33" t="n"/>
      <c r="H3535" s="30" t="inlineStr">
        <is>
          <t>Oui</t>
        </is>
      </c>
    </row>
    <row r="3536">
      <c r="A3536" s="31" t="inlineStr">
        <is>
          <t>Talent</t>
        </is>
      </c>
      <c r="B3536" s="33" t="inlineStr">
        <is>
          <t>Benêt</t>
        </is>
      </c>
      <c r="C3536" s="33" t="inlineStr">
        <is>
          <t>Statik</t>
        </is>
      </c>
      <c r="D3536" s="33" t="inlineStr">
        <is>
          <t>Corps Ardent</t>
        </is>
      </c>
      <c r="E3536" s="33" t="n"/>
      <c r="F3536" s="33" t="n"/>
      <c r="G3536" s="33" t="n"/>
      <c r="H3536" s="30" t="inlineStr">
        <is>
          <t>Oui</t>
        </is>
      </c>
    </row>
    <row r="3537">
      <c r="A3537" s="31" t="inlineStr">
        <is>
          <t>Capacités</t>
        </is>
      </c>
      <c r="B3537" s="34" t="inlineStr">
        <is>
          <t>Avalanche</t>
        </is>
      </c>
      <c r="C3537" s="34" t="inlineStr">
        <is>
          <t>Coup d'Jus</t>
        </is>
      </c>
      <c r="D3537" s="34" t="inlineStr">
        <is>
          <t>Ébullilave</t>
        </is>
      </c>
      <c r="E3537" s="34" t="n"/>
      <c r="F3537" s="34" t="n"/>
      <c r="G3537" s="34" t="n"/>
      <c r="H3537" s="30" t="inlineStr">
        <is>
          <t>Oui</t>
        </is>
      </c>
    </row>
    <row r="3538">
      <c r="A3538" s="31" t="n"/>
      <c r="B3538" s="34" t="inlineStr">
        <is>
          <t>Plaquage</t>
        </is>
      </c>
      <c r="C3538" s="34" t="inlineStr">
        <is>
          <t>Grincement</t>
        </is>
      </c>
      <c r="D3538" s="34" t="inlineStr">
        <is>
          <t>Zénith</t>
        </is>
      </c>
      <c r="E3538" s="34" t="n"/>
      <c r="F3538" s="34" t="n"/>
      <c r="G3538" s="34" t="n"/>
      <c r="H3538" s="30" t="inlineStr">
        <is>
          <t>Oui</t>
        </is>
      </c>
    </row>
    <row r="3539">
      <c r="A3539" s="31" t="n"/>
      <c r="B3539" s="34" t="inlineStr">
        <is>
          <t>Essorage</t>
        </is>
      </c>
      <c r="C3539" s="34" t="inlineStr">
        <is>
          <t>Tonnerre</t>
        </is>
      </c>
      <c r="D3539" s="34" t="inlineStr">
        <is>
          <t>Lance-Flammes</t>
        </is>
      </c>
      <c r="E3539" s="34" t="n"/>
      <c r="F3539" s="34" t="n"/>
      <c r="G3539" s="34" t="n"/>
      <c r="H3539" s="30" t="inlineStr">
        <is>
          <t>Oui</t>
        </is>
      </c>
    </row>
    <row r="3540">
      <c r="A3540" s="31" t="n"/>
      <c r="B3540" s="34" t="inlineStr">
        <is>
          <t>Requiem</t>
        </is>
      </c>
      <c r="C3540" s="34" t="inlineStr">
        <is>
          <t>Fatal-Foudre</t>
        </is>
      </c>
      <c r="D3540" s="34" t="inlineStr">
        <is>
          <t>Déflagration</t>
        </is>
      </c>
      <c r="E3540" s="34" t="n"/>
      <c r="F3540" s="34" t="n"/>
      <c r="G3540" s="34" t="n"/>
      <c r="H3540" s="30" t="inlineStr">
        <is>
          <t>Oui</t>
        </is>
      </c>
    </row>
    <row r="3541">
      <c r="A3541" s="31" t="inlineStr">
        <is>
          <t>Nom</t>
        </is>
      </c>
      <c r="B3541" s="32" t="inlineStr">
        <is>
          <t>Topdresseur Mimi</t>
        </is>
      </c>
      <c r="C3541" s="32" t="n"/>
      <c r="D3541" s="32" t="n"/>
      <c r="E3541" s="32" t="n"/>
      <c r="F3541" s="32" t="n"/>
      <c r="G3541" s="32" t="n"/>
      <c r="H3541" s="30" t="inlineStr">
        <is>
          <t>Oui</t>
        </is>
      </c>
    </row>
    <row r="3542">
      <c r="A3542" s="31" t="inlineStr">
        <is>
          <t>Pokémon</t>
        </is>
      </c>
      <c r="B3542" s="33" t="inlineStr">
        <is>
          <t>HERBIZARRE</t>
        </is>
      </c>
      <c r="C3542" s="33" t="inlineStr">
        <is>
          <t>STAROSS</t>
        </is>
      </c>
      <c r="D3542" s="33" t="n"/>
      <c r="E3542" s="33" t="n"/>
      <c r="F3542" s="33" t="n"/>
      <c r="G3542" s="33" t="n"/>
      <c r="H3542" s="30" t="inlineStr">
        <is>
          <t>Oui</t>
        </is>
      </c>
    </row>
    <row r="3543">
      <c r="A3543" s="31" t="inlineStr">
        <is>
          <t>Niveau</t>
        </is>
      </c>
      <c r="B3543" s="33" t="n">
        <v>58</v>
      </c>
      <c r="C3543" s="33" t="n">
        <v>58</v>
      </c>
      <c r="D3543" s="33" t="n"/>
      <c r="E3543" s="33" t="n"/>
      <c r="F3543" s="33" t="n"/>
      <c r="G3543" s="33" t="n"/>
      <c r="H3543" s="30" t="inlineStr">
        <is>
          <t>Oui</t>
        </is>
      </c>
    </row>
    <row r="3544">
      <c r="A3544" s="31" t="inlineStr">
        <is>
          <t>Objet</t>
        </is>
      </c>
      <c r="B3544" s="33" t="inlineStr">
        <is>
          <t>Aucun</t>
        </is>
      </c>
      <c r="C3544" s="33" t="inlineStr">
        <is>
          <t>Aucun</t>
        </is>
      </c>
      <c r="D3544" s="33" t="n"/>
      <c r="E3544" s="33" t="n"/>
      <c r="F3544" s="33" t="n"/>
      <c r="G3544" s="33" t="n"/>
      <c r="H3544" s="30" t="inlineStr">
        <is>
          <t>Oui</t>
        </is>
      </c>
    </row>
    <row r="3545">
      <c r="A3545" s="31" t="inlineStr">
        <is>
          <t>Talent</t>
        </is>
      </c>
      <c r="B3545" s="33" t="inlineStr">
        <is>
          <t>Engrais</t>
        </is>
      </c>
      <c r="C3545" s="33" t="inlineStr">
        <is>
          <t>Lumiattirance</t>
        </is>
      </c>
      <c r="D3545" s="33" t="n"/>
      <c r="E3545" s="33" t="n"/>
      <c r="F3545" s="33" t="n"/>
      <c r="G3545" s="33" t="n"/>
      <c r="H3545" s="30" t="inlineStr">
        <is>
          <t>Oui</t>
        </is>
      </c>
    </row>
    <row r="3546">
      <c r="A3546" s="31" t="inlineStr">
        <is>
          <t>Capacités</t>
        </is>
      </c>
      <c r="B3546" s="34" t="inlineStr">
        <is>
          <t>Damoclès</t>
        </is>
      </c>
      <c r="C3546" s="34" t="inlineStr">
        <is>
          <t>Copie-Type</t>
        </is>
      </c>
      <c r="D3546" s="34" t="n"/>
      <c r="E3546" s="34" t="n"/>
      <c r="F3546" s="34" t="n"/>
      <c r="G3546" s="34" t="n"/>
      <c r="H3546" s="30" t="inlineStr">
        <is>
          <t>Oui</t>
        </is>
      </c>
    </row>
    <row r="3547">
      <c r="A3547" s="31" t="n"/>
      <c r="B3547" s="34" t="inlineStr">
        <is>
          <t>Soucigraine</t>
        </is>
      </c>
      <c r="C3547" s="34" t="inlineStr">
        <is>
          <t>Rayon Gemme</t>
        </is>
      </c>
      <c r="D3547" s="34" t="n"/>
      <c r="E3547" s="34" t="n"/>
      <c r="F3547" s="34" t="n"/>
      <c r="G3547" s="34" t="n"/>
      <c r="H3547" s="30" t="inlineStr">
        <is>
          <t>Oui</t>
        </is>
      </c>
    </row>
    <row r="3548">
      <c r="A3548" s="31" t="n"/>
      <c r="B3548" s="34" t="inlineStr">
        <is>
          <t>Synthèse</t>
        </is>
      </c>
      <c r="C3548" s="34" t="inlineStr">
        <is>
          <t>Psyko</t>
        </is>
      </c>
      <c r="D3548" s="34" t="n"/>
      <c r="E3548" s="34" t="n"/>
      <c r="F3548" s="34" t="n"/>
      <c r="G3548" s="34" t="n"/>
      <c r="H3548" s="30" t="inlineStr">
        <is>
          <t>Oui</t>
        </is>
      </c>
    </row>
    <row r="3549">
      <c r="A3549" s="31" t="n"/>
      <c r="B3549" s="34" t="inlineStr">
        <is>
          <t>Lance-Soleil</t>
        </is>
      </c>
      <c r="C3549" s="34" t="inlineStr">
        <is>
          <t>Mur Lumière</t>
        </is>
      </c>
      <c r="D3549" s="34" t="n"/>
      <c r="E3549" s="34" t="n"/>
      <c r="F3549" s="34" t="n"/>
      <c r="G3549" s="34" t="n"/>
      <c r="H3549" s="30" t="inlineStr">
        <is>
          <t>Oui</t>
        </is>
      </c>
    </row>
    <row r="3550" ht="18" customHeight="1">
      <c r="A3550" s="26" t="inlineStr">
        <is>
          <t>Chenal 21</t>
        </is>
      </c>
      <c r="B3550" s="26" t="n"/>
      <c r="C3550" s="26" t="n"/>
      <c r="D3550" s="26" t="n"/>
      <c r="E3550" s="26" t="n"/>
      <c r="F3550" s="26" t="n"/>
      <c r="G3550" s="26" t="n"/>
      <c r="H3550" s="30" t="inlineStr">
        <is>
          <t>Oui</t>
        </is>
      </c>
    </row>
    <row r="3551">
      <c r="A3551" s="31" t="inlineStr">
        <is>
          <t>Nom</t>
        </is>
      </c>
      <c r="B3551" s="32" t="inlineStr">
        <is>
          <t>Nageur Markus</t>
        </is>
      </c>
      <c r="C3551" s="32" t="n"/>
      <c r="D3551" s="32" t="n"/>
      <c r="E3551" s="32" t="n"/>
      <c r="F3551" s="32" t="n"/>
      <c r="G3551" s="32" t="n"/>
      <c r="H3551" s="30" t="inlineStr">
        <is>
          <t>Oui</t>
        </is>
      </c>
    </row>
    <row r="3552">
      <c r="A3552" s="31" t="inlineStr">
        <is>
          <t>Pokémon</t>
        </is>
      </c>
      <c r="B3552" s="33" t="inlineStr">
        <is>
          <t>MARAISTE</t>
        </is>
      </c>
      <c r="C3552" s="33" t="inlineStr">
        <is>
          <t>OCTILLERY</t>
        </is>
      </c>
      <c r="D3552" s="33" t="inlineStr">
        <is>
          <t>LEVIATOR</t>
        </is>
      </c>
      <c r="E3552" s="33" t="n"/>
      <c r="F3552" s="33" t="n"/>
      <c r="G3552" s="33" t="n"/>
      <c r="H3552" s="30" t="inlineStr">
        <is>
          <t>Oui</t>
        </is>
      </c>
    </row>
    <row r="3553">
      <c r="A3553" s="31" t="inlineStr">
        <is>
          <t>Niveau</t>
        </is>
      </c>
      <c r="B3553" s="33" t="n">
        <v>59</v>
      </c>
      <c r="C3553" s="33" t="n">
        <v>59</v>
      </c>
      <c r="D3553" s="33" t="n">
        <v>59</v>
      </c>
      <c r="E3553" s="33" t="n"/>
      <c r="F3553" s="33" t="n"/>
      <c r="G3553" s="33" t="n"/>
      <c r="H3553" s="30" t="inlineStr">
        <is>
          <t>Oui</t>
        </is>
      </c>
    </row>
    <row r="3554">
      <c r="A3554" s="31" t="inlineStr">
        <is>
          <t>Objet</t>
        </is>
      </c>
      <c r="B3554" s="33" t="inlineStr">
        <is>
          <t>Aucun</t>
        </is>
      </c>
      <c r="C3554" s="33" t="inlineStr">
        <is>
          <t>Aucun</t>
        </is>
      </c>
      <c r="D3554" s="33" t="inlineStr">
        <is>
          <t>Aucun</t>
        </is>
      </c>
      <c r="E3554" s="33" t="n"/>
      <c r="F3554" s="33" t="n"/>
      <c r="G3554" s="33" t="n"/>
      <c r="H3554" s="30" t="inlineStr">
        <is>
          <t>Oui</t>
        </is>
      </c>
    </row>
    <row r="3555">
      <c r="A3555" s="31" t="inlineStr">
        <is>
          <t>Talent</t>
        </is>
      </c>
      <c r="B3555" s="33" t="inlineStr">
        <is>
          <t>Moiteur</t>
        </is>
      </c>
      <c r="C3555" s="33" t="inlineStr">
        <is>
          <t>Ventouse</t>
        </is>
      </c>
      <c r="D3555" s="33" t="inlineStr">
        <is>
          <t>Intimidation</t>
        </is>
      </c>
      <c r="E3555" s="33" t="n"/>
      <c r="F3555" s="33" t="n"/>
      <c r="G3555" s="33" t="n"/>
      <c r="H3555" s="30" t="inlineStr">
        <is>
          <t>Oui</t>
        </is>
      </c>
    </row>
    <row r="3556">
      <c r="A3556" s="31" t="inlineStr">
        <is>
          <t>Capacités</t>
        </is>
      </c>
      <c r="B3556" s="34" t="inlineStr">
        <is>
          <t>Danse Pluie</t>
        </is>
      </c>
      <c r="C3556" s="34" t="inlineStr">
        <is>
          <t>Laser Glace</t>
        </is>
      </c>
      <c r="D3556" s="34" t="inlineStr">
        <is>
          <t>Danse Draco</t>
        </is>
      </c>
      <c r="E3556" s="34" t="n"/>
      <c r="F3556" s="34" t="n"/>
      <c r="G3556" s="34" t="n"/>
      <c r="H3556" s="30" t="inlineStr">
        <is>
          <t>Oui</t>
        </is>
      </c>
    </row>
    <row r="3557">
      <c r="A3557" s="31" t="n"/>
      <c r="B3557" s="34" t="inlineStr">
        <is>
          <t>Brume</t>
        </is>
      </c>
      <c r="C3557" s="34" t="inlineStr">
        <is>
          <t>Balle Graine</t>
        </is>
      </c>
      <c r="D3557" s="34" t="inlineStr">
        <is>
          <t>Vent Violent</t>
        </is>
      </c>
      <c r="E3557" s="34" t="n"/>
      <c r="F3557" s="34" t="n"/>
      <c r="G3557" s="34" t="n"/>
      <c r="H3557" s="30" t="inlineStr">
        <is>
          <t>Oui</t>
        </is>
      </c>
    </row>
    <row r="3558">
      <c r="A3558" s="31" t="n"/>
      <c r="B3558" s="34" t="inlineStr">
        <is>
          <t>Buée Noire</t>
        </is>
      </c>
      <c r="C3558" s="34" t="inlineStr">
        <is>
          <t>Hydrocanon</t>
        </is>
      </c>
      <c r="D3558" s="34" t="inlineStr">
        <is>
          <t>Danse Pluie</t>
        </is>
      </c>
      <c r="E3558" s="34" t="n"/>
      <c r="F3558" s="34" t="n"/>
      <c r="G3558" s="34" t="n"/>
      <c r="H3558" s="30" t="inlineStr">
        <is>
          <t>Oui</t>
        </is>
      </c>
    </row>
    <row r="3559">
      <c r="A3559" s="31" t="n"/>
      <c r="B3559" s="34" t="inlineStr">
        <is>
          <t>Ocroupi</t>
        </is>
      </c>
      <c r="C3559" s="34" t="inlineStr">
        <is>
          <t>Ultralaser</t>
        </is>
      </c>
      <c r="D3559" s="34" t="inlineStr">
        <is>
          <t>Ultralaser</t>
        </is>
      </c>
      <c r="E3559" s="34" t="n"/>
      <c r="F3559" s="34" t="n"/>
      <c r="G3559" s="34" t="n"/>
      <c r="H3559" s="30" t="inlineStr">
        <is>
          <t>Oui</t>
        </is>
      </c>
    </row>
    <row r="3560">
      <c r="A3560" s="31" t="inlineStr">
        <is>
          <t>Nom</t>
        </is>
      </c>
      <c r="B3560" s="32" t="inlineStr">
        <is>
          <t>Nageuse Nikki</t>
        </is>
      </c>
      <c r="C3560" s="32" t="n"/>
      <c r="D3560" s="32" t="n"/>
      <c r="E3560" s="32" t="n"/>
      <c r="F3560" s="32" t="n"/>
      <c r="G3560" s="32" t="n"/>
      <c r="H3560" s="30" t="inlineStr">
        <is>
          <t>Oui</t>
        </is>
      </c>
    </row>
    <row r="3561">
      <c r="A3561" s="31" t="inlineStr">
        <is>
          <t>Pokémon</t>
        </is>
      </c>
      <c r="B3561" s="33" t="inlineStr">
        <is>
          <t>LAMANTINE</t>
        </is>
      </c>
      <c r="C3561" s="33" t="inlineStr">
        <is>
          <t>CRUSTABRI</t>
        </is>
      </c>
      <c r="D3561" s="33" t="inlineStr">
        <is>
          <t>LAMANTINE</t>
        </is>
      </c>
      <c r="E3561" s="33" t="n"/>
      <c r="F3561" s="33" t="n"/>
      <c r="G3561" s="33" t="n"/>
      <c r="H3561" s="30" t="inlineStr">
        <is>
          <t>Oui</t>
        </is>
      </c>
    </row>
    <row r="3562">
      <c r="A3562" s="31" t="inlineStr">
        <is>
          <t>Niveau</t>
        </is>
      </c>
      <c r="B3562" s="33" t="n">
        <v>58</v>
      </c>
      <c r="C3562" s="33" t="n">
        <v>58</v>
      </c>
      <c r="D3562" s="33" t="n">
        <v>58</v>
      </c>
      <c r="E3562" s="33" t="n"/>
      <c r="F3562" s="33" t="n"/>
      <c r="G3562" s="33" t="n"/>
      <c r="H3562" s="30" t="inlineStr">
        <is>
          <t>Oui</t>
        </is>
      </c>
    </row>
    <row r="3563">
      <c r="A3563" s="31" t="inlineStr">
        <is>
          <t>Objet</t>
        </is>
      </c>
      <c r="B3563" s="33" t="inlineStr">
        <is>
          <t>Aucun</t>
        </is>
      </c>
      <c r="C3563" s="33" t="inlineStr">
        <is>
          <t>Aucun</t>
        </is>
      </c>
      <c r="D3563" s="33" t="inlineStr">
        <is>
          <t>Aucun</t>
        </is>
      </c>
      <c r="E3563" s="33" t="n"/>
      <c r="F3563" s="33" t="n"/>
      <c r="G3563" s="33" t="n"/>
      <c r="H3563" s="30" t="inlineStr">
        <is>
          <t>Oui</t>
        </is>
      </c>
    </row>
    <row r="3564">
      <c r="A3564" s="31" t="inlineStr">
        <is>
          <t>Talent</t>
        </is>
      </c>
      <c r="B3564" s="33" t="inlineStr">
        <is>
          <t>Isograisse</t>
        </is>
      </c>
      <c r="C3564" s="33" t="inlineStr">
        <is>
          <t>Coque Armure</t>
        </is>
      </c>
      <c r="D3564" s="33" t="inlineStr">
        <is>
          <t>Isograisse</t>
        </is>
      </c>
      <c r="E3564" s="33" t="n"/>
      <c r="F3564" s="33" t="n"/>
      <c r="G3564" s="33" t="n"/>
      <c r="H3564" s="30" t="inlineStr">
        <is>
          <t>Oui</t>
        </is>
      </c>
    </row>
    <row r="3565">
      <c r="A3565" s="31" t="inlineStr">
        <is>
          <t>Capacités</t>
        </is>
      </c>
      <c r="B3565" s="34" t="inlineStr">
        <is>
          <t>Bélier</t>
        </is>
      </c>
      <c r="C3565" s="34" t="inlineStr">
        <is>
          <t>Picots</t>
        </is>
      </c>
      <c r="D3565" s="34" t="inlineStr">
        <is>
          <t>Bélier</t>
        </is>
      </c>
      <c r="E3565" s="34" t="n"/>
      <c r="F3565" s="34" t="n"/>
      <c r="G3565" s="34" t="n"/>
      <c r="H3565" s="30" t="inlineStr">
        <is>
          <t>Oui</t>
        </is>
      </c>
    </row>
    <row r="3566">
      <c r="A3566" s="31" t="n"/>
      <c r="B3566" s="34" t="inlineStr">
        <is>
          <t>Plongée</t>
        </is>
      </c>
      <c r="C3566" s="34" t="inlineStr">
        <is>
          <t>Coqui-Lame</t>
        </is>
      </c>
      <c r="D3566" s="34" t="inlineStr">
        <is>
          <t>Plongée</t>
        </is>
      </c>
      <c r="E3566" s="34" t="n"/>
      <c r="F3566" s="34" t="n"/>
      <c r="G3566" s="34" t="n"/>
      <c r="H3566" s="30" t="inlineStr">
        <is>
          <t>Oui</t>
        </is>
      </c>
    </row>
    <row r="3567">
      <c r="A3567" s="31" t="n"/>
      <c r="B3567" s="34" t="inlineStr">
        <is>
          <t>Hydro-Queue</t>
        </is>
      </c>
      <c r="C3567" s="34" t="inlineStr">
        <is>
          <t>Chute Glace</t>
        </is>
      </c>
      <c r="D3567" s="34" t="inlineStr">
        <is>
          <t>Hydro-Queue</t>
        </is>
      </c>
      <c r="E3567" s="34" t="n"/>
      <c r="F3567" s="34" t="n"/>
      <c r="G3567" s="34" t="n"/>
      <c r="H3567" s="30" t="inlineStr">
        <is>
          <t>Oui</t>
        </is>
      </c>
    </row>
    <row r="3568">
      <c r="A3568" s="31" t="n"/>
      <c r="B3568" s="34" t="inlineStr">
        <is>
          <t>Laser Glace</t>
        </is>
      </c>
      <c r="C3568" s="34" t="inlineStr">
        <is>
          <t>Saumure</t>
        </is>
      </c>
      <c r="D3568" s="34" t="inlineStr">
        <is>
          <t>Laser Glace</t>
        </is>
      </c>
      <c r="E3568" s="34" t="n"/>
      <c r="F3568" s="34" t="n"/>
      <c r="G3568" s="34" t="n"/>
      <c r="H3568" s="30" t="inlineStr">
        <is>
          <t>Oui</t>
        </is>
      </c>
    </row>
    <row r="3569">
      <c r="A3569" s="31" t="inlineStr">
        <is>
          <t>Nom</t>
        </is>
      </c>
      <c r="B3569" s="32" t="inlineStr">
        <is>
          <t>Pêcheur Martial</t>
        </is>
      </c>
      <c r="C3569" s="32" t="n"/>
      <c r="D3569" s="32" t="n"/>
      <c r="E3569" s="32" t="n"/>
      <c r="F3569" s="32" t="n"/>
      <c r="G3569" s="32" t="n"/>
      <c r="H3569" s="30" t="inlineStr">
        <is>
          <t>Oui</t>
        </is>
      </c>
    </row>
    <row r="3570">
      <c r="A3570" s="31" t="inlineStr">
        <is>
          <t>Pokémon</t>
        </is>
      </c>
      <c r="B3570" s="33" t="inlineStr">
        <is>
          <t>LANTURN</t>
        </is>
      </c>
      <c r="C3570" s="33" t="inlineStr">
        <is>
          <t>MARAISTE</t>
        </is>
      </c>
      <c r="D3570" s="33" t="n"/>
      <c r="E3570" s="33" t="n"/>
      <c r="F3570" s="33" t="n"/>
      <c r="G3570" s="33" t="n"/>
      <c r="H3570" s="30" t="inlineStr">
        <is>
          <t>Oui</t>
        </is>
      </c>
    </row>
    <row r="3571">
      <c r="A3571" s="31" t="inlineStr">
        <is>
          <t>Niveau</t>
        </is>
      </c>
      <c r="B3571" s="33" t="n">
        <v>61</v>
      </c>
      <c r="C3571" s="33" t="n">
        <v>61</v>
      </c>
      <c r="D3571" s="33" t="n"/>
      <c r="E3571" s="33" t="n"/>
      <c r="F3571" s="33" t="n"/>
      <c r="G3571" s="33" t="n"/>
      <c r="H3571" s="30" t="inlineStr">
        <is>
          <t>Oui</t>
        </is>
      </c>
    </row>
    <row r="3572">
      <c r="A3572" s="31" t="inlineStr">
        <is>
          <t>Objet</t>
        </is>
      </c>
      <c r="B3572" s="33" t="inlineStr">
        <is>
          <t>Aucun</t>
        </is>
      </c>
      <c r="C3572" s="33" t="inlineStr">
        <is>
          <t>Aucun</t>
        </is>
      </c>
      <c r="D3572" s="33" t="n"/>
      <c r="E3572" s="33" t="n"/>
      <c r="F3572" s="33" t="n"/>
      <c r="G3572" s="33" t="n"/>
      <c r="H3572" s="30" t="inlineStr">
        <is>
          <t>Oui</t>
        </is>
      </c>
    </row>
    <row r="3573">
      <c r="A3573" s="31" t="inlineStr">
        <is>
          <t>Talent</t>
        </is>
      </c>
      <c r="B3573" s="33" t="inlineStr">
        <is>
          <t>Absorbe-Volt</t>
        </is>
      </c>
      <c r="C3573" s="33" t="inlineStr">
        <is>
          <t>Moiteur</t>
        </is>
      </c>
      <c r="D3573" s="33" t="n"/>
      <c r="E3573" s="33" t="n"/>
      <c r="F3573" s="33" t="n"/>
      <c r="G3573" s="33" t="n"/>
      <c r="H3573" s="30" t="inlineStr">
        <is>
          <t>Oui</t>
        </is>
      </c>
    </row>
    <row r="3574">
      <c r="A3574" s="31" t="inlineStr">
        <is>
          <t>Capacités</t>
        </is>
      </c>
      <c r="B3574" s="34" t="inlineStr">
        <is>
          <t>Anneau Hydro</t>
        </is>
      </c>
      <c r="C3574" s="34" t="inlineStr">
        <is>
          <t>Danse Pluie</t>
        </is>
      </c>
      <c r="D3574" s="34" t="n"/>
      <c r="E3574" s="34" t="n"/>
      <c r="F3574" s="34" t="n"/>
      <c r="G3574" s="34" t="n"/>
      <c r="H3574" s="30" t="inlineStr">
        <is>
          <t>Oui</t>
        </is>
      </c>
    </row>
    <row r="3575">
      <c r="A3575" s="31" t="n"/>
      <c r="B3575" s="34" t="inlineStr">
        <is>
          <t>Hydrocanon</t>
        </is>
      </c>
      <c r="C3575" s="34" t="inlineStr">
        <is>
          <t>Brume</t>
        </is>
      </c>
      <c r="D3575" s="34" t="n"/>
      <c r="E3575" s="34" t="n"/>
      <c r="F3575" s="34" t="n"/>
      <c r="G3575" s="34" t="n"/>
      <c r="H3575" s="30" t="inlineStr">
        <is>
          <t>Oui</t>
        </is>
      </c>
    </row>
    <row r="3576">
      <c r="A3576" s="31" t="n"/>
      <c r="B3576" s="34" t="inlineStr">
        <is>
          <t>Déluge Plasmique</t>
        </is>
      </c>
      <c r="C3576" s="34" t="inlineStr">
        <is>
          <t>Buée Noire</t>
        </is>
      </c>
      <c r="D3576" s="34" t="n"/>
      <c r="E3576" s="34" t="n"/>
      <c r="F3576" s="34" t="n"/>
      <c r="G3576" s="34" t="n"/>
      <c r="H3576" s="30" t="inlineStr">
        <is>
          <t>Oui</t>
        </is>
      </c>
    </row>
    <row r="3577">
      <c r="A3577" s="31" t="n"/>
      <c r="B3577" s="34" t="inlineStr">
        <is>
          <t>Chargeur</t>
        </is>
      </c>
      <c r="C3577" s="34" t="inlineStr">
        <is>
          <t>Ocroupi</t>
        </is>
      </c>
      <c r="D3577" s="34" t="n"/>
      <c r="E3577" s="34" t="n"/>
      <c r="F3577" s="34" t="n"/>
      <c r="G3577" s="34" t="n"/>
      <c r="H3577" s="30" t="inlineStr">
        <is>
          <t>Oui</t>
        </is>
      </c>
    </row>
    <row r="3578" ht="18" customHeight="1">
      <c r="A3578" s="26" t="inlineStr">
        <is>
          <t>Chenal 20</t>
        </is>
      </c>
      <c r="B3578" s="26" t="n"/>
      <c r="C3578" s="26" t="n"/>
      <c r="D3578" s="26" t="n"/>
      <c r="E3578" s="26" t="n"/>
      <c r="F3578" s="26" t="n"/>
      <c r="G3578" s="26" t="n"/>
      <c r="H3578" s="30" t="inlineStr">
        <is>
          <t>Oui</t>
        </is>
      </c>
    </row>
    <row r="3579">
      <c r="A3579" s="31" t="inlineStr">
        <is>
          <t>Nom</t>
        </is>
      </c>
      <c r="B3579" s="32" t="inlineStr">
        <is>
          <t>Nageuse Stéfie</t>
        </is>
      </c>
      <c r="C3579" s="32" t="n"/>
      <c r="D3579" s="32" t="n"/>
      <c r="E3579" s="32" t="n"/>
      <c r="F3579" s="32" t="n"/>
      <c r="G3579" s="32" t="n"/>
      <c r="H3579" s="30" t="inlineStr">
        <is>
          <t>Oui</t>
        </is>
      </c>
    </row>
    <row r="3580">
      <c r="A3580" s="31" t="inlineStr">
        <is>
          <t>Pokémon</t>
        </is>
      </c>
      <c r="B3580" s="33" t="inlineStr">
        <is>
          <t>DEMANTA</t>
        </is>
      </c>
      <c r="C3580" s="33" t="inlineStr">
        <is>
          <t>LOKHLASS</t>
        </is>
      </c>
      <c r="D3580" s="33" t="n"/>
      <c r="E3580" s="33" t="n"/>
      <c r="F3580" s="33" t="n"/>
      <c r="G3580" s="33" t="n"/>
      <c r="H3580" s="30" t="inlineStr">
        <is>
          <t>Oui</t>
        </is>
      </c>
    </row>
    <row r="3581">
      <c r="A3581" s="31" t="inlineStr">
        <is>
          <t>Niveau</t>
        </is>
      </c>
      <c r="B3581" s="33" t="n">
        <v>60</v>
      </c>
      <c r="C3581" s="33" t="n">
        <v>63</v>
      </c>
      <c r="D3581" s="33" t="n"/>
      <c r="E3581" s="33" t="n"/>
      <c r="F3581" s="33" t="n"/>
      <c r="G3581" s="33" t="n"/>
      <c r="H3581" s="30" t="inlineStr">
        <is>
          <t>Oui</t>
        </is>
      </c>
    </row>
    <row r="3582">
      <c r="A3582" s="31" t="inlineStr">
        <is>
          <t>Objet</t>
        </is>
      </c>
      <c r="B3582" s="33" t="inlineStr">
        <is>
          <t>Aucun</t>
        </is>
      </c>
      <c r="C3582" s="33" t="inlineStr">
        <is>
          <t>Aucun</t>
        </is>
      </c>
      <c r="D3582" s="33" t="n"/>
      <c r="E3582" s="33" t="n"/>
      <c r="F3582" s="33" t="n"/>
      <c r="G3582" s="33" t="n"/>
      <c r="H3582" s="30" t="inlineStr">
        <is>
          <t>Oui</t>
        </is>
      </c>
    </row>
    <row r="3583">
      <c r="A3583" s="31" t="inlineStr">
        <is>
          <t>Talent</t>
        </is>
      </c>
      <c r="B3583" s="33" t="inlineStr">
        <is>
          <t>Glissade</t>
        </is>
      </c>
      <c r="C3583" s="33" t="inlineStr">
        <is>
          <t>Absorbe-Eau</t>
        </is>
      </c>
      <c r="D3583" s="33" t="n"/>
      <c r="E3583" s="33" t="n"/>
      <c r="F3583" s="33" t="n"/>
      <c r="G3583" s="33" t="n"/>
      <c r="H3583" s="30" t="inlineStr">
        <is>
          <t>Oui</t>
        </is>
      </c>
    </row>
    <row r="3584">
      <c r="A3584" s="31" t="inlineStr">
        <is>
          <t>Capacités</t>
        </is>
      </c>
      <c r="B3584" s="34" t="inlineStr">
        <is>
          <t>Lame d'Air</t>
        </is>
      </c>
      <c r="C3584" s="34" t="inlineStr">
        <is>
          <t>Saumure</t>
        </is>
      </c>
      <c r="D3584" s="34" t="n"/>
      <c r="E3584" s="34" t="n"/>
      <c r="F3584" s="34" t="n"/>
      <c r="G3584" s="34" t="n"/>
      <c r="H3584" s="30" t="inlineStr">
        <is>
          <t>Oui</t>
        </is>
      </c>
    </row>
    <row r="3585">
      <c r="A3585" s="31" t="n"/>
      <c r="B3585" s="34" t="inlineStr">
        <is>
          <t>Anneau Hydro</t>
        </is>
      </c>
      <c r="C3585" s="34" t="inlineStr">
        <is>
          <t>Rune Protect</t>
        </is>
      </c>
      <c r="D3585" s="34" t="n"/>
      <c r="E3585" s="34" t="n"/>
      <c r="F3585" s="34" t="n"/>
      <c r="G3585" s="34" t="n"/>
      <c r="H3585" s="30" t="inlineStr">
        <is>
          <t>Oui</t>
        </is>
      </c>
    </row>
    <row r="3586">
      <c r="A3586" s="31" t="n"/>
      <c r="B3586" s="34" t="inlineStr">
        <is>
          <t>Rebond</t>
        </is>
      </c>
      <c r="C3586" s="34" t="inlineStr">
        <is>
          <t>Hydrocanon</t>
        </is>
      </c>
      <c r="D3586" s="34" t="n"/>
      <c r="E3586" s="34" t="n"/>
      <c r="F3586" s="34" t="n"/>
      <c r="G3586" s="34" t="n"/>
      <c r="H3586" s="30" t="inlineStr">
        <is>
          <t>Oui</t>
        </is>
      </c>
    </row>
    <row r="3587">
      <c r="A3587" s="31" t="n"/>
      <c r="B3587" s="34" t="inlineStr">
        <is>
          <t>Hydrocanon</t>
        </is>
      </c>
      <c r="C3587" s="34" t="inlineStr">
        <is>
          <t>Glaciation</t>
        </is>
      </c>
      <c r="D3587" s="34" t="n"/>
      <c r="E3587" s="34" t="n"/>
      <c r="F3587" s="34" t="n"/>
      <c r="G3587" s="34" t="n"/>
      <c r="H3587" s="30" t="inlineStr">
        <is>
          <t>Oui</t>
        </is>
      </c>
    </row>
    <row r="3588">
      <c r="A3588" s="31" t="inlineStr">
        <is>
          <t>Nom</t>
        </is>
      </c>
      <c r="B3588" s="32" t="inlineStr">
        <is>
          <t>Nageuse Sonja</t>
        </is>
      </c>
      <c r="C3588" s="32" t="n"/>
      <c r="D3588" s="32" t="n"/>
      <c r="E3588" s="32" t="n"/>
      <c r="F3588" s="32" t="n"/>
      <c r="G3588" s="32" t="n"/>
      <c r="H3588" s="30" t="inlineStr">
        <is>
          <t>Oui</t>
        </is>
      </c>
    </row>
    <row r="3589">
      <c r="A3589" s="31" t="inlineStr">
        <is>
          <t>Pokémon</t>
        </is>
      </c>
      <c r="B3589" s="33" t="inlineStr">
        <is>
          <t>STAROSS</t>
        </is>
      </c>
      <c r="C3589" s="33" t="inlineStr">
        <is>
          <t>STAROSS</t>
        </is>
      </c>
      <c r="D3589" s="33" t="n"/>
      <c r="E3589" s="33" t="n"/>
      <c r="F3589" s="33" t="n"/>
      <c r="G3589" s="33" t="n"/>
      <c r="H3589" s="30" t="inlineStr">
        <is>
          <t>Oui</t>
        </is>
      </c>
    </row>
    <row r="3590">
      <c r="A3590" s="31" t="inlineStr">
        <is>
          <t>Niveau</t>
        </is>
      </c>
      <c r="B3590" s="33" t="n">
        <v>62</v>
      </c>
      <c r="C3590" s="33" t="n">
        <v>62</v>
      </c>
      <c r="D3590" s="33" t="n"/>
      <c r="E3590" s="33" t="n"/>
      <c r="F3590" s="33" t="n"/>
      <c r="G3590" s="33" t="n"/>
      <c r="H3590" s="30" t="inlineStr">
        <is>
          <t>Oui</t>
        </is>
      </c>
    </row>
    <row r="3591">
      <c r="A3591" s="31" t="inlineStr">
        <is>
          <t>Objet</t>
        </is>
      </c>
      <c r="B3591" s="33" t="inlineStr">
        <is>
          <t>Aucun</t>
        </is>
      </c>
      <c r="C3591" s="33" t="inlineStr">
        <is>
          <t>Aucun</t>
        </is>
      </c>
      <c r="D3591" s="33" t="n"/>
      <c r="E3591" s="33" t="n"/>
      <c r="F3591" s="33" t="n"/>
      <c r="G3591" s="33" t="n"/>
      <c r="H3591" s="30" t="inlineStr">
        <is>
          <t>Oui</t>
        </is>
      </c>
    </row>
    <row r="3592">
      <c r="A3592" s="31" t="inlineStr">
        <is>
          <t>Talent</t>
        </is>
      </c>
      <c r="B3592" s="33" t="inlineStr">
        <is>
          <t>Lumiattirance</t>
        </is>
      </c>
      <c r="C3592" s="33" t="inlineStr">
        <is>
          <t>Lumiattirance</t>
        </is>
      </c>
      <c r="D3592" s="33" t="n"/>
      <c r="E3592" s="33" t="n"/>
      <c r="F3592" s="33" t="n"/>
      <c r="G3592" s="33" t="n"/>
      <c r="H3592" s="30" t="inlineStr">
        <is>
          <t>Oui</t>
        </is>
      </c>
    </row>
    <row r="3593">
      <c r="A3593" s="31" t="inlineStr">
        <is>
          <t>Capacités</t>
        </is>
      </c>
      <c r="B3593" s="34" t="inlineStr">
        <is>
          <t>Rayon Gemme</t>
        </is>
      </c>
      <c r="C3593" s="34" t="inlineStr">
        <is>
          <t>Rayon Gemme</t>
        </is>
      </c>
      <c r="D3593" s="34" t="n"/>
      <c r="E3593" s="34" t="n"/>
      <c r="F3593" s="34" t="n"/>
      <c r="G3593" s="34" t="n"/>
      <c r="H3593" s="30" t="inlineStr">
        <is>
          <t>Oui</t>
        </is>
      </c>
    </row>
    <row r="3594">
      <c r="A3594" s="31" t="n"/>
      <c r="B3594" s="34" t="inlineStr">
        <is>
          <t>Psyko</t>
        </is>
      </c>
      <c r="C3594" s="34" t="inlineStr">
        <is>
          <t>Psyko</t>
        </is>
      </c>
      <c r="D3594" s="34" t="n"/>
      <c r="E3594" s="34" t="n"/>
      <c r="F3594" s="34" t="n"/>
      <c r="G3594" s="34" t="n"/>
      <c r="H3594" s="30" t="inlineStr">
        <is>
          <t>Oui</t>
        </is>
      </c>
    </row>
    <row r="3595">
      <c r="A3595" s="31" t="n"/>
      <c r="B3595" s="34" t="inlineStr">
        <is>
          <t>Mur Lumière</t>
        </is>
      </c>
      <c r="C3595" s="34" t="inlineStr">
        <is>
          <t>Mur Lumière</t>
        </is>
      </c>
      <c r="D3595" s="34" t="n"/>
      <c r="E3595" s="34" t="n"/>
      <c r="F3595" s="34" t="n"/>
      <c r="G3595" s="34" t="n"/>
      <c r="H3595" s="30" t="inlineStr">
        <is>
          <t>Oui</t>
        </is>
      </c>
    </row>
    <row r="3596">
      <c r="A3596" s="31" t="n"/>
      <c r="B3596" s="34" t="inlineStr">
        <is>
          <t>Force Cosmique</t>
        </is>
      </c>
      <c r="C3596" s="34" t="inlineStr">
        <is>
          <t>Force Cosmique</t>
        </is>
      </c>
      <c r="D3596" s="34" t="n"/>
      <c r="E3596" s="34" t="n"/>
      <c r="F3596" s="34" t="n"/>
      <c r="G3596" s="34" t="n"/>
      <c r="H3596" s="30" t="inlineStr">
        <is>
          <t>Oui</t>
        </is>
      </c>
    </row>
    <row r="3597">
      <c r="A3597" s="31" t="inlineStr">
        <is>
          <t>Nom</t>
        </is>
      </c>
      <c r="B3597" s="32" t="inlineStr">
        <is>
          <t>Nageur Piotr</t>
        </is>
      </c>
      <c r="C3597" s="32" t="n"/>
      <c r="D3597" s="32" t="n"/>
      <c r="E3597" s="32" t="n"/>
      <c r="F3597" s="32" t="n"/>
      <c r="G3597" s="32" t="n"/>
      <c r="H3597" s="30" t="inlineStr">
        <is>
          <t>Oui</t>
        </is>
      </c>
    </row>
    <row r="3598">
      <c r="A3598" s="31" t="inlineStr">
        <is>
          <t>Pokémon</t>
        </is>
      </c>
      <c r="B3598" s="33" t="inlineStr">
        <is>
          <t>AZUMARILL</t>
        </is>
      </c>
      <c r="C3598" s="33" t="n"/>
      <c r="D3598" s="33" t="n"/>
      <c r="E3598" s="33" t="n"/>
      <c r="F3598" s="33" t="n"/>
      <c r="G3598" s="33" t="n"/>
      <c r="H3598" s="30" t="inlineStr">
        <is>
          <t>Oui</t>
        </is>
      </c>
    </row>
    <row r="3599">
      <c r="A3599" s="31" t="inlineStr">
        <is>
          <t>Niveau</t>
        </is>
      </c>
      <c r="B3599" s="33" t="n">
        <v>64</v>
      </c>
      <c r="C3599" s="33" t="n"/>
      <c r="D3599" s="33" t="n"/>
      <c r="E3599" s="33" t="n"/>
      <c r="F3599" s="33" t="n"/>
      <c r="G3599" s="33" t="n"/>
      <c r="H3599" s="30" t="inlineStr">
        <is>
          <t>Oui</t>
        </is>
      </c>
    </row>
    <row r="3600">
      <c r="A3600" s="31" t="inlineStr">
        <is>
          <t>Objet</t>
        </is>
      </c>
      <c r="B3600" s="33" t="inlineStr">
        <is>
          <t>Aucun</t>
        </is>
      </c>
      <c r="C3600" s="33" t="n"/>
      <c r="D3600" s="33" t="n"/>
      <c r="E3600" s="33" t="n"/>
      <c r="F3600" s="33" t="n"/>
      <c r="G3600" s="33" t="n"/>
      <c r="H3600" s="30" t="inlineStr">
        <is>
          <t>Oui</t>
        </is>
      </c>
    </row>
    <row r="3601">
      <c r="A3601" s="31" t="inlineStr">
        <is>
          <t>Talent</t>
        </is>
      </c>
      <c r="B3601" s="33" t="inlineStr">
        <is>
          <t>Isograisse</t>
        </is>
      </c>
      <c r="C3601" s="33" t="n"/>
      <c r="D3601" s="33" t="n"/>
      <c r="E3601" s="33" t="n"/>
      <c r="F3601" s="33" t="n"/>
      <c r="G3601" s="33" t="n"/>
      <c r="H3601" s="30" t="inlineStr">
        <is>
          <t>Oui</t>
        </is>
      </c>
    </row>
    <row r="3602">
      <c r="A3602" s="31" t="inlineStr">
        <is>
          <t>Capacités</t>
        </is>
      </c>
      <c r="B3602" s="34" t="inlineStr">
        <is>
          <t>Danse Pluie</t>
        </is>
      </c>
      <c r="C3602" s="34" t="n"/>
      <c r="D3602" s="34" t="n"/>
      <c r="E3602" s="34" t="n"/>
      <c r="F3602" s="34" t="n"/>
      <c r="G3602" s="34" t="n"/>
      <c r="H3602" s="30" t="inlineStr">
        <is>
          <t>Oui</t>
        </is>
      </c>
    </row>
    <row r="3603">
      <c r="A3603" s="31" t="n"/>
      <c r="B3603" s="34" t="inlineStr">
        <is>
          <t>Damoclès</t>
        </is>
      </c>
      <c r="C3603" s="34" t="n"/>
      <c r="D3603" s="34" t="n"/>
      <c r="E3603" s="34" t="n"/>
      <c r="F3603" s="34" t="n"/>
      <c r="G3603" s="34" t="n"/>
      <c r="H3603" s="30" t="inlineStr">
        <is>
          <t>Oui</t>
        </is>
      </c>
    </row>
    <row r="3604">
      <c r="A3604" s="31" t="n"/>
      <c r="B3604" s="34" t="inlineStr">
        <is>
          <t>Surpuissance</t>
        </is>
      </c>
      <c r="C3604" s="34" t="n"/>
      <c r="D3604" s="34" t="n"/>
      <c r="E3604" s="34" t="n"/>
      <c r="F3604" s="34" t="n"/>
      <c r="G3604" s="34" t="n"/>
      <c r="H3604" s="30" t="inlineStr">
        <is>
          <t>Oui</t>
        </is>
      </c>
    </row>
    <row r="3605">
      <c r="A3605" s="31" t="n"/>
      <c r="B3605" s="34" t="inlineStr">
        <is>
          <t>Hydrocanon</t>
        </is>
      </c>
      <c r="C3605" s="34" t="n"/>
      <c r="D3605" s="34" t="n"/>
      <c r="E3605" s="34" t="n"/>
      <c r="F3605" s="34" t="n"/>
      <c r="G3605" s="34" t="n"/>
      <c r="H3605" s="30" t="inlineStr">
        <is>
          <t>Oui</t>
        </is>
      </c>
    </row>
    <row r="3606" ht="18" customHeight="1">
      <c r="A3606" s="26" t="inlineStr">
        <is>
          <t>Chenal 19</t>
        </is>
      </c>
      <c r="B3606" s="26" t="n"/>
      <c r="C3606" s="26" t="n"/>
      <c r="D3606" s="26" t="n"/>
      <c r="E3606" s="26" t="n"/>
      <c r="F3606" s="26" t="n"/>
      <c r="G3606" s="26" t="n"/>
      <c r="H3606" s="30" t="inlineStr">
        <is>
          <t>Oui</t>
        </is>
      </c>
    </row>
    <row r="3607">
      <c r="A3607" s="31" t="inlineStr">
        <is>
          <t>Nom</t>
        </is>
      </c>
      <c r="B3607" s="32" t="inlineStr">
        <is>
          <t>Nageur Bjon</t>
        </is>
      </c>
      <c r="C3607" s="32" t="n"/>
      <c r="D3607" s="32" t="n"/>
      <c r="E3607" s="32" t="n"/>
      <c r="F3607" s="32" t="n"/>
      <c r="G3607" s="32" t="n"/>
      <c r="H3607" s="30" t="inlineStr">
        <is>
          <t>Oui</t>
        </is>
      </c>
    </row>
    <row r="3608">
      <c r="A3608" s="31" t="inlineStr">
        <is>
          <t>Pokémon</t>
        </is>
      </c>
      <c r="B3608" s="33" t="inlineStr">
        <is>
          <t>OCTILLERY</t>
        </is>
      </c>
      <c r="C3608" s="33" t="inlineStr">
        <is>
          <t>HYPOCEAN</t>
        </is>
      </c>
      <c r="D3608" s="33" t="n"/>
      <c r="E3608" s="33" t="n"/>
      <c r="F3608" s="33" t="n"/>
      <c r="G3608" s="33" t="n"/>
      <c r="H3608" s="30" t="inlineStr">
        <is>
          <t>Oui</t>
        </is>
      </c>
    </row>
    <row r="3609">
      <c r="A3609" s="31" t="inlineStr">
        <is>
          <t>Niveau</t>
        </is>
      </c>
      <c r="B3609" s="33" t="n">
        <v>62</v>
      </c>
      <c r="C3609" s="33" t="n">
        <v>61</v>
      </c>
      <c r="D3609" s="33" t="n"/>
      <c r="E3609" s="33" t="n"/>
      <c r="F3609" s="33" t="n"/>
      <c r="G3609" s="33" t="n"/>
      <c r="H3609" s="30" t="inlineStr">
        <is>
          <t>Oui</t>
        </is>
      </c>
    </row>
    <row r="3610">
      <c r="A3610" s="31" t="inlineStr">
        <is>
          <t>Objet</t>
        </is>
      </c>
      <c r="B3610" s="33" t="inlineStr">
        <is>
          <t>Aucun</t>
        </is>
      </c>
      <c r="C3610" s="33" t="inlineStr">
        <is>
          <t>Aucun</t>
        </is>
      </c>
      <c r="D3610" s="33" t="n"/>
      <c r="E3610" s="33" t="n"/>
      <c r="F3610" s="33" t="n"/>
      <c r="G3610" s="33" t="n"/>
      <c r="H3610" s="30" t="inlineStr">
        <is>
          <t>Oui</t>
        </is>
      </c>
    </row>
    <row r="3611">
      <c r="A3611" s="31" t="inlineStr">
        <is>
          <t>Talent</t>
        </is>
      </c>
      <c r="B3611" s="33" t="inlineStr">
        <is>
          <t>Ventouse</t>
        </is>
      </c>
      <c r="C3611" s="33" t="inlineStr">
        <is>
          <t>Point Poison</t>
        </is>
      </c>
      <c r="D3611" s="33" t="n"/>
      <c r="E3611" s="33" t="n"/>
      <c r="F3611" s="33" t="n"/>
      <c r="G3611" s="33" t="n"/>
      <c r="H3611" s="30" t="inlineStr">
        <is>
          <t>Oui</t>
        </is>
      </c>
    </row>
    <row r="3612">
      <c r="A3612" s="31" t="inlineStr">
        <is>
          <t>Capacités</t>
        </is>
      </c>
      <c r="B3612" s="34" t="inlineStr">
        <is>
          <t>Laser Glace</t>
        </is>
      </c>
      <c r="C3612" s="34" t="inlineStr">
        <is>
          <t>Hâte</t>
        </is>
      </c>
      <c r="D3612" s="34" t="n"/>
      <c r="E3612" s="34" t="n"/>
      <c r="F3612" s="34" t="n"/>
      <c r="G3612" s="34" t="n"/>
      <c r="H3612" s="30" t="inlineStr">
        <is>
          <t>Oui</t>
        </is>
      </c>
    </row>
    <row r="3613">
      <c r="A3613" s="31" t="n"/>
      <c r="B3613" s="34" t="inlineStr">
        <is>
          <t>Balle Graine</t>
        </is>
      </c>
      <c r="C3613" s="34" t="inlineStr">
        <is>
          <t>Draco-Choc</t>
        </is>
      </c>
      <c r="D3613" s="34" t="n"/>
      <c r="E3613" s="34" t="n"/>
      <c r="F3613" s="34" t="n"/>
      <c r="G3613" s="34" t="n"/>
      <c r="H3613" s="30" t="inlineStr">
        <is>
          <t>Oui</t>
        </is>
      </c>
    </row>
    <row r="3614">
      <c r="A3614" s="31" t="n"/>
      <c r="B3614" s="34" t="inlineStr">
        <is>
          <t>Hydrocanon</t>
        </is>
      </c>
      <c r="C3614" s="34" t="inlineStr">
        <is>
          <t>Danse Draco</t>
        </is>
      </c>
      <c r="D3614" s="34" t="n"/>
      <c r="E3614" s="34" t="n"/>
      <c r="F3614" s="34" t="n"/>
      <c r="G3614" s="34" t="n"/>
      <c r="H3614" s="30" t="inlineStr">
        <is>
          <t>Oui</t>
        </is>
      </c>
    </row>
    <row r="3615">
      <c r="A3615" s="31" t="n"/>
      <c r="B3615" s="34" t="inlineStr">
        <is>
          <t>Ultralaser</t>
        </is>
      </c>
      <c r="C3615" s="34" t="inlineStr">
        <is>
          <t>Hydrocanon</t>
        </is>
      </c>
      <c r="D3615" s="34" t="n"/>
      <c r="E3615" s="34" t="n"/>
      <c r="F3615" s="34" t="n"/>
      <c r="G3615" s="34" t="n"/>
      <c r="H3615" s="30" t="inlineStr">
        <is>
          <t>Oui</t>
        </is>
      </c>
    </row>
    <row r="3616">
      <c r="A3616" s="31" t="inlineStr">
        <is>
          <t>Nom</t>
        </is>
      </c>
      <c r="B3616" s="32" t="inlineStr">
        <is>
          <t>Nageur Sergei</t>
        </is>
      </c>
      <c r="C3616" s="32" t="n"/>
      <c r="D3616" s="32" t="n"/>
      <c r="E3616" s="32" t="n"/>
      <c r="F3616" s="32" t="n"/>
      <c r="G3616" s="32" t="n"/>
      <c r="H3616" s="30" t="inlineStr">
        <is>
          <t>Oui</t>
        </is>
      </c>
    </row>
    <row r="3617">
      <c r="A3617" s="31" t="inlineStr">
        <is>
          <t>Pokémon</t>
        </is>
      </c>
      <c r="B3617" s="33" t="inlineStr">
        <is>
          <t>QWILFISH</t>
        </is>
      </c>
      <c r="C3617" s="33" t="inlineStr">
        <is>
          <t>CRUSTABRI</t>
        </is>
      </c>
      <c r="D3617" s="33" t="n"/>
      <c r="E3617" s="33" t="n"/>
      <c r="F3617" s="33" t="n"/>
      <c r="G3617" s="33" t="n"/>
      <c r="H3617" s="30" t="inlineStr">
        <is>
          <t>Oui</t>
        </is>
      </c>
    </row>
    <row r="3618">
      <c r="A3618" s="31" t="inlineStr">
        <is>
          <t>Niveau</t>
        </is>
      </c>
      <c r="B3618" s="33" t="n">
        <v>60</v>
      </c>
      <c r="C3618" s="33" t="n">
        <v>60</v>
      </c>
      <c r="D3618" s="33" t="n"/>
      <c r="E3618" s="33" t="n"/>
      <c r="F3618" s="33" t="n"/>
      <c r="G3618" s="33" t="n"/>
      <c r="H3618" s="30" t="inlineStr">
        <is>
          <t>Oui</t>
        </is>
      </c>
    </row>
    <row r="3619">
      <c r="A3619" s="31" t="inlineStr">
        <is>
          <t>Objet</t>
        </is>
      </c>
      <c r="B3619" s="33" t="inlineStr">
        <is>
          <t>Aucun</t>
        </is>
      </c>
      <c r="C3619" s="33" t="inlineStr">
        <is>
          <t>Aucun</t>
        </is>
      </c>
      <c r="D3619" s="33" t="n"/>
      <c r="E3619" s="33" t="n"/>
      <c r="F3619" s="33" t="n"/>
      <c r="G3619" s="33" t="n"/>
      <c r="H3619" s="30" t="inlineStr">
        <is>
          <t>Oui</t>
        </is>
      </c>
    </row>
    <row r="3620">
      <c r="A3620" s="31" t="inlineStr">
        <is>
          <t>Talent</t>
        </is>
      </c>
      <c r="B3620" s="33" t="inlineStr">
        <is>
          <t>Point Poison</t>
        </is>
      </c>
      <c r="C3620" s="33" t="inlineStr">
        <is>
          <t>Coque Armure</t>
        </is>
      </c>
      <c r="D3620" s="33" t="n"/>
      <c r="E3620" s="33" t="n"/>
      <c r="F3620" s="33" t="n"/>
      <c r="G3620" s="33" t="n"/>
      <c r="H3620" s="30" t="inlineStr">
        <is>
          <t>Oui</t>
        </is>
      </c>
    </row>
    <row r="3621">
      <c r="A3621" s="31" t="inlineStr">
        <is>
          <t>Capacités</t>
        </is>
      </c>
      <c r="B3621" s="34" t="inlineStr">
        <is>
          <t>Direct Toxik</t>
        </is>
      </c>
      <c r="C3621" s="34" t="inlineStr">
        <is>
          <t>Coqui-Lame</t>
        </is>
      </c>
      <c r="D3621" s="34" t="n"/>
      <c r="E3621" s="34" t="n"/>
      <c r="F3621" s="34" t="n"/>
      <c r="G3621" s="34" t="n"/>
      <c r="H3621" s="30" t="inlineStr">
        <is>
          <t>Oui</t>
        </is>
      </c>
    </row>
    <row r="3622">
      <c r="A3622" s="31" t="n"/>
      <c r="B3622" s="34" t="inlineStr">
        <is>
          <t>Lien du Destin</t>
        </is>
      </c>
      <c r="C3622" s="34" t="inlineStr">
        <is>
          <t>Chute Glace</t>
        </is>
      </c>
      <c r="D3622" s="34" t="n"/>
      <c r="E3622" s="34" t="n"/>
      <c r="F3622" s="34" t="n"/>
      <c r="G3622" s="34" t="n"/>
      <c r="H3622" s="30" t="inlineStr">
        <is>
          <t>Oui</t>
        </is>
      </c>
    </row>
    <row r="3623">
      <c r="A3623" s="31" t="n"/>
      <c r="B3623" s="34" t="inlineStr">
        <is>
          <t>Hydrocanon</t>
        </is>
      </c>
      <c r="C3623" s="34" t="inlineStr">
        <is>
          <t>Saumure</t>
        </is>
      </c>
      <c r="D3623" s="34" t="n"/>
      <c r="E3623" s="34" t="n"/>
      <c r="F3623" s="34" t="n"/>
      <c r="G3623" s="34" t="n"/>
      <c r="H3623" s="30" t="inlineStr">
        <is>
          <t>Oui</t>
        </is>
      </c>
    </row>
    <row r="3624">
      <c r="A3624" s="31" t="n"/>
      <c r="B3624" s="34" t="inlineStr">
        <is>
          <t>Dard Mortel</t>
        </is>
      </c>
      <c r="C3624" s="34" t="inlineStr">
        <is>
          <t>Mur de Fer</t>
        </is>
      </c>
      <c r="D3624" s="34" t="n"/>
      <c r="E3624" s="34" t="n"/>
      <c r="F3624" s="34" t="n"/>
      <c r="G3624" s="34" t="n"/>
      <c r="H3624" s="30" t="inlineStr">
        <is>
          <t>Oui</t>
        </is>
      </c>
    </row>
    <row r="3625">
      <c r="A3625" s="31" t="inlineStr">
        <is>
          <t>Nom</t>
        </is>
      </c>
      <c r="B3625" s="32" t="inlineStr">
        <is>
          <t>Nageuse Tania</t>
        </is>
      </c>
      <c r="C3625" s="32" t="n"/>
      <c r="D3625" s="32" t="n"/>
      <c r="E3625" s="32" t="n"/>
      <c r="F3625" s="32" t="n"/>
      <c r="G3625" s="32" t="n"/>
      <c r="H3625" s="30" t="inlineStr">
        <is>
          <t>Oui</t>
        </is>
      </c>
    </row>
    <row r="3626">
      <c r="A3626" s="31" t="inlineStr">
        <is>
          <t>Pokémon</t>
        </is>
      </c>
      <c r="B3626" s="33" t="inlineStr">
        <is>
          <t>POISSOROY</t>
        </is>
      </c>
      <c r="C3626" s="33" t="n"/>
      <c r="D3626" s="33" t="n"/>
      <c r="E3626" s="33" t="n"/>
      <c r="F3626" s="33" t="n"/>
      <c r="G3626" s="33" t="n"/>
      <c r="H3626" s="30" t="inlineStr">
        <is>
          <t>Oui</t>
        </is>
      </c>
    </row>
    <row r="3627">
      <c r="A3627" s="31" t="inlineStr">
        <is>
          <t>Niveau</t>
        </is>
      </c>
      <c r="B3627" s="33" t="n">
        <v>60</v>
      </c>
      <c r="C3627" s="33" t="n"/>
      <c r="D3627" s="33" t="n"/>
      <c r="E3627" s="33" t="n"/>
      <c r="F3627" s="33" t="n"/>
      <c r="G3627" s="33" t="n"/>
      <c r="H3627" s="30" t="inlineStr">
        <is>
          <t>Oui</t>
        </is>
      </c>
    </row>
    <row r="3628">
      <c r="A3628" s="31" t="inlineStr">
        <is>
          <t>Objet</t>
        </is>
      </c>
      <c r="B3628" s="33" t="inlineStr">
        <is>
          <t>Aucun</t>
        </is>
      </c>
      <c r="C3628" s="33" t="n"/>
      <c r="D3628" s="33" t="n"/>
      <c r="E3628" s="33" t="n"/>
      <c r="F3628" s="33" t="n"/>
      <c r="G3628" s="33" t="n"/>
      <c r="H3628" s="30" t="inlineStr">
        <is>
          <t>Oui</t>
        </is>
      </c>
    </row>
    <row r="3629">
      <c r="A3629" s="31" t="inlineStr">
        <is>
          <t>Talent</t>
        </is>
      </c>
      <c r="B3629" s="33" t="inlineStr">
        <is>
          <t>Glissade</t>
        </is>
      </c>
      <c r="C3629" s="33" t="n"/>
      <c r="D3629" s="33" t="n"/>
      <c r="E3629" s="33" t="n"/>
      <c r="F3629" s="33" t="n"/>
      <c r="G3629" s="33" t="n"/>
      <c r="H3629" s="30" t="inlineStr">
        <is>
          <t>Oui</t>
        </is>
      </c>
    </row>
    <row r="3630">
      <c r="A3630" s="31" t="inlineStr">
        <is>
          <t>Capacités</t>
        </is>
      </c>
      <c r="B3630" s="34" t="inlineStr">
        <is>
          <t>Empal'Korne</t>
        </is>
      </c>
      <c r="C3630" s="34" t="n"/>
      <c r="D3630" s="34" t="n"/>
      <c r="E3630" s="34" t="n"/>
      <c r="F3630" s="34" t="n"/>
      <c r="G3630" s="34" t="n"/>
      <c r="H3630" s="30" t="inlineStr">
        <is>
          <t>Oui</t>
        </is>
      </c>
    </row>
    <row r="3631">
      <c r="A3631" s="31" t="n"/>
      <c r="B3631" s="34" t="inlineStr">
        <is>
          <t>Eau Revoir</t>
        </is>
      </c>
      <c r="C3631" s="34" t="n"/>
      <c r="D3631" s="34" t="n"/>
      <c r="E3631" s="34" t="n"/>
      <c r="F3631" s="34" t="n"/>
      <c r="G3631" s="34" t="n"/>
      <c r="H3631" s="30" t="inlineStr">
        <is>
          <t>Oui</t>
        </is>
      </c>
    </row>
    <row r="3632">
      <c r="A3632" s="31" t="n"/>
      <c r="B3632" s="34" t="inlineStr">
        <is>
          <t>Détrempage</t>
        </is>
      </c>
      <c r="C3632" s="34" t="n"/>
      <c r="D3632" s="34" t="n"/>
      <c r="E3632" s="34" t="n"/>
      <c r="F3632" s="34" t="n"/>
      <c r="G3632" s="34" t="n"/>
      <c r="H3632" s="30" t="inlineStr">
        <is>
          <t>Oui</t>
        </is>
      </c>
    </row>
    <row r="3633">
      <c r="A3633" s="31" t="n"/>
      <c r="B3633" s="34" t="inlineStr">
        <is>
          <t>Mégacorne</t>
        </is>
      </c>
      <c r="C3633" s="34" t="n"/>
      <c r="D3633" s="34" t="n"/>
      <c r="E3633" s="34" t="n"/>
      <c r="F3633" s="34" t="n"/>
      <c r="G3633" s="34" t="n"/>
      <c r="H3633" s="30" t="inlineStr">
        <is>
          <t>Oui</t>
        </is>
      </c>
    </row>
    <row r="3634">
      <c r="A3634" s="31" t="inlineStr">
        <is>
          <t>Nom</t>
        </is>
      </c>
      <c r="B3634" s="32" t="inlineStr">
        <is>
          <t>Nageur Jürgen</t>
        </is>
      </c>
      <c r="C3634" s="32" t="n"/>
      <c r="D3634" s="32" t="n"/>
      <c r="E3634" s="32" t="n"/>
      <c r="F3634" s="32" t="n"/>
      <c r="G3634" s="32" t="n"/>
      <c r="H3634" s="30" t="inlineStr">
        <is>
          <t>Oui</t>
        </is>
      </c>
    </row>
    <row r="3635">
      <c r="A3635" s="31" t="inlineStr">
        <is>
          <t>Pokémon</t>
        </is>
      </c>
      <c r="B3635" s="33" t="inlineStr">
        <is>
          <t>AQUALI</t>
        </is>
      </c>
      <c r="C3635" s="33" t="inlineStr">
        <is>
          <t>TENTACRUEL</t>
        </is>
      </c>
      <c r="D3635" s="33" t="inlineStr">
        <is>
          <t>POISSOROY</t>
        </is>
      </c>
      <c r="E3635" s="33" t="n"/>
      <c r="F3635" s="33" t="n"/>
      <c r="G3635" s="33" t="n"/>
      <c r="H3635" s="30" t="inlineStr">
        <is>
          <t>Oui</t>
        </is>
      </c>
    </row>
    <row r="3636">
      <c r="A3636" s="31" t="inlineStr">
        <is>
          <t>Niveau</t>
        </is>
      </c>
      <c r="B3636" s="33" t="n">
        <v>58</v>
      </c>
      <c r="C3636" s="33" t="n">
        <v>58</v>
      </c>
      <c r="D3636" s="33" t="n">
        <v>58</v>
      </c>
      <c r="E3636" s="33" t="n"/>
      <c r="F3636" s="33" t="n"/>
      <c r="G3636" s="33" t="n"/>
      <c r="H3636" s="30" t="inlineStr">
        <is>
          <t>Oui</t>
        </is>
      </c>
    </row>
    <row r="3637">
      <c r="A3637" s="31" t="inlineStr">
        <is>
          <t>Objet</t>
        </is>
      </c>
      <c r="B3637" s="33" t="inlineStr">
        <is>
          <t>Aucun</t>
        </is>
      </c>
      <c r="C3637" s="33" t="inlineStr">
        <is>
          <t>Aucun</t>
        </is>
      </c>
      <c r="D3637" s="33" t="inlineStr">
        <is>
          <t>Aucun</t>
        </is>
      </c>
      <c r="E3637" s="33" t="n"/>
      <c r="F3637" s="33" t="n"/>
      <c r="G3637" s="33" t="n"/>
      <c r="H3637" s="30" t="inlineStr">
        <is>
          <t>Oui</t>
        </is>
      </c>
    </row>
    <row r="3638">
      <c r="A3638" s="31" t="inlineStr">
        <is>
          <t>Talent</t>
        </is>
      </c>
      <c r="B3638" s="33" t="inlineStr">
        <is>
          <t>Absorbe-Eau</t>
        </is>
      </c>
      <c r="C3638" s="33" t="inlineStr">
        <is>
          <t>Corps Sain</t>
        </is>
      </c>
      <c r="D3638" s="33" t="inlineStr">
        <is>
          <t>Glissade</t>
        </is>
      </c>
      <c r="E3638" s="33" t="n"/>
      <c r="F3638" s="33" t="n"/>
      <c r="G3638" s="33" t="n"/>
      <c r="H3638" s="30" t="inlineStr">
        <is>
          <t>Oui</t>
        </is>
      </c>
    </row>
    <row r="3639">
      <c r="A3639" s="31" t="inlineStr">
        <is>
          <t>Capacités</t>
        </is>
      </c>
      <c r="B3639" s="34" t="inlineStr">
        <is>
          <t>Buée Noire</t>
        </is>
      </c>
      <c r="C3639" s="34" t="inlineStr">
        <is>
          <t>Châtiment</t>
        </is>
      </c>
      <c r="D3639" s="34" t="inlineStr">
        <is>
          <t>Empal'Korne</t>
        </is>
      </c>
      <c r="E3639" s="34" t="n"/>
      <c r="F3639" s="34" t="n"/>
      <c r="G3639" s="34" t="n"/>
      <c r="H3639" s="30" t="inlineStr">
        <is>
          <t>Oui</t>
        </is>
      </c>
    </row>
    <row r="3640">
      <c r="A3640" s="31" t="n"/>
      <c r="B3640" s="34" t="inlineStr">
        <is>
          <t>Ocroupi</t>
        </is>
      </c>
      <c r="C3640" s="34" t="inlineStr">
        <is>
          <t>Cradovague</t>
        </is>
      </c>
      <c r="D3640" s="34" t="inlineStr">
        <is>
          <t>Eau Revoir</t>
        </is>
      </c>
      <c r="E3640" s="34" t="n"/>
      <c r="F3640" s="34" t="n"/>
      <c r="G3640" s="34" t="n"/>
      <c r="H3640" s="30" t="inlineStr">
        <is>
          <t>Oui</t>
        </is>
      </c>
    </row>
    <row r="3641">
      <c r="A3641" s="31" t="n"/>
      <c r="B3641" s="34" t="inlineStr">
        <is>
          <t>Dernier Recours</t>
        </is>
      </c>
      <c r="C3641" s="34" t="inlineStr">
        <is>
          <t>Hydrocanon</t>
        </is>
      </c>
      <c r="D3641" s="34" t="inlineStr">
        <is>
          <t>Détrempage</t>
        </is>
      </c>
      <c r="E3641" s="34" t="n"/>
      <c r="F3641" s="34" t="n"/>
      <c r="G3641" s="34" t="n"/>
      <c r="H3641" s="30" t="inlineStr">
        <is>
          <t>Oui</t>
        </is>
      </c>
    </row>
    <row r="3642">
      <c r="A3642" s="31" t="n"/>
      <c r="B3642" s="34" t="inlineStr">
        <is>
          <t>Hydrocanon</t>
        </is>
      </c>
      <c r="C3642" s="34" t="inlineStr">
        <is>
          <t>Essorage</t>
        </is>
      </c>
      <c r="D3642" s="34" t="inlineStr">
        <is>
          <t>Mégacorne</t>
        </is>
      </c>
      <c r="E3642" s="34" t="n"/>
      <c r="F3642" s="34" t="n"/>
      <c r="G3642" s="34" t="n"/>
      <c r="H3642" s="30" t="inlineStr">
        <is>
          <t>Oui</t>
        </is>
      </c>
    </row>
    <row r="3643" ht="18" customHeight="1">
      <c r="A3643" s="26" t="inlineStr">
        <is>
          <t>Iles Ecume — Arène</t>
        </is>
      </c>
      <c r="B3643" s="26" t="n"/>
      <c r="C3643" s="26" t="n"/>
      <c r="D3643" s="26" t="n"/>
      <c r="E3643" s="26" t="n"/>
      <c r="F3643" s="26" t="n"/>
      <c r="G3643" s="26" t="n"/>
      <c r="H3643" s="30" t="inlineStr">
        <is>
          <t>Oui</t>
        </is>
      </c>
    </row>
    <row r="3644">
      <c r="A3644" s="31" t="inlineStr">
        <is>
          <t>Nom</t>
        </is>
      </c>
      <c r="B3644" s="32" t="inlineStr">
        <is>
          <t>Champion Auguste</t>
        </is>
      </c>
      <c r="C3644" s="32" t="n"/>
      <c r="D3644" s="32" t="n"/>
      <c r="E3644" s="32" t="n"/>
      <c r="F3644" s="32" t="n"/>
      <c r="G3644" s="32" t="n"/>
      <c r="H3644" s="30" t="inlineStr">
        <is>
          <t>Oui</t>
        </is>
      </c>
    </row>
    <row r="3645">
      <c r="A3645" s="31" t="inlineStr">
        <is>
          <t>Pokémon</t>
        </is>
      </c>
      <c r="B3645" s="33" t="inlineStr">
        <is>
          <t>GALOPA</t>
        </is>
      </c>
      <c r="C3645" s="33" t="inlineStr">
        <is>
          <t>MAGANON</t>
        </is>
      </c>
      <c r="D3645" s="33" t="inlineStr">
        <is>
          <t>DEMOLOSSE</t>
        </is>
      </c>
      <c r="E3645" s="33" t="inlineStr">
        <is>
          <t>VOLCAROPOD</t>
        </is>
      </c>
      <c r="F3645" s="33" t="inlineStr">
        <is>
          <t>CHARTOR</t>
        </is>
      </c>
      <c r="G3645" s="33" t="inlineStr">
        <is>
          <t>CAMERUPT</t>
        </is>
      </c>
      <c r="H3645" s="30" t="inlineStr">
        <is>
          <t>Oui</t>
        </is>
      </c>
    </row>
    <row r="3646">
      <c r="A3646" s="31" t="inlineStr">
        <is>
          <t>Niveau</t>
        </is>
      </c>
      <c r="B3646" s="33" t="n">
        <v>66</v>
      </c>
      <c r="C3646" s="33" t="n">
        <v>65</v>
      </c>
      <c r="D3646" s="33" t="n">
        <v>66</v>
      </c>
      <c r="E3646" s="33" t="n">
        <v>65</v>
      </c>
      <c r="F3646" s="33" t="n">
        <v>67</v>
      </c>
      <c r="G3646" s="33" t="n">
        <v>67</v>
      </c>
      <c r="H3646" s="30" t="inlineStr">
        <is>
          <t>Oui</t>
        </is>
      </c>
    </row>
    <row r="3647">
      <c r="A3647" s="31" t="inlineStr">
        <is>
          <t>Objet</t>
        </is>
      </c>
      <c r="B3647" s="33" t="inlineStr">
        <is>
          <t>Vive Griffe</t>
        </is>
      </c>
      <c r="C3647" s="33" t="inlineStr">
        <is>
          <t>Baie Sitrus</t>
        </is>
      </c>
      <c r="D3647" s="33" t="inlineStr">
        <is>
          <t>Graine Miracle</t>
        </is>
      </c>
      <c r="E3647" s="33" t="inlineStr">
        <is>
          <t>Restes</t>
        </is>
      </c>
      <c r="F3647" s="33" t="inlineStr">
        <is>
          <t>Herbe Blanche</t>
        </is>
      </c>
      <c r="G3647" s="33" t="inlineStr">
        <is>
          <t>Charbon</t>
        </is>
      </c>
      <c r="H3647" s="30" t="inlineStr">
        <is>
          <t>Oui</t>
        </is>
      </c>
    </row>
    <row r="3648">
      <c r="A3648" s="31" t="inlineStr">
        <is>
          <t>Talent</t>
        </is>
      </c>
      <c r="B3648" s="33" t="inlineStr">
        <is>
          <t>Fuite</t>
        </is>
      </c>
      <c r="C3648" s="33" t="inlineStr">
        <is>
          <t>Corps Ardent</t>
        </is>
      </c>
      <c r="D3648" s="33" t="inlineStr">
        <is>
          <t>Matinal</t>
        </is>
      </c>
      <c r="E3648" s="33" t="inlineStr">
        <is>
          <t>Armumagma</t>
        </is>
      </c>
      <c r="F3648" s="33" t="inlineStr">
        <is>
          <t>Écran Fumée</t>
        </is>
      </c>
      <c r="G3648" s="33" t="inlineStr">
        <is>
          <t>Armumagma</t>
        </is>
      </c>
      <c r="H3648" s="30" t="inlineStr">
        <is>
          <t>Oui</t>
        </is>
      </c>
    </row>
    <row r="3649">
      <c r="A3649" s="31" t="inlineStr">
        <is>
          <t>Capacités</t>
        </is>
      </c>
      <c r="B3649" s="34" t="inlineStr">
        <is>
          <t>Rebond</t>
        </is>
      </c>
      <c r="C3649" s="34" t="inlineStr">
        <is>
          <t>Poing Éclair</t>
        </is>
      </c>
      <c r="D3649" s="34" t="inlineStr">
        <is>
          <t>Déflagration</t>
        </is>
      </c>
      <c r="E3649" s="34" t="inlineStr">
        <is>
          <t>Lance-Flammes</t>
        </is>
      </c>
      <c r="F3649" s="34" t="inlineStr">
        <is>
          <t>Malédiction</t>
        </is>
      </c>
      <c r="G3649" s="34" t="inlineStr">
        <is>
          <t>Telluriforce</t>
        </is>
      </c>
      <c r="H3649" s="30" t="inlineStr">
        <is>
          <t>Oui</t>
        </is>
      </c>
    </row>
    <row r="3650">
      <c r="A3650" s="31" t="n"/>
      <c r="B3650" s="34" t="inlineStr">
        <is>
          <t>Zénith</t>
        </is>
      </c>
      <c r="C3650" s="34" t="inlineStr">
        <is>
          <t>Déflagration</t>
        </is>
      </c>
      <c r="D3650" s="34" t="inlineStr">
        <is>
          <t>Zénith</t>
        </is>
      </c>
      <c r="E3650" s="34" t="inlineStr">
        <is>
          <t>Soin</t>
        </is>
      </c>
      <c r="F3650" s="34" t="inlineStr">
        <is>
          <t>Mur de Fer</t>
        </is>
      </c>
      <c r="G3650" s="34" t="inlineStr">
        <is>
          <t>Éruption</t>
        </is>
      </c>
      <c r="H3650" s="30" t="inlineStr">
        <is>
          <t>Oui</t>
        </is>
      </c>
    </row>
    <row r="3651">
      <c r="A3651" s="31" t="n"/>
      <c r="B3651" s="34" t="inlineStr">
        <is>
          <t>Boutefeu</t>
        </is>
      </c>
      <c r="C3651" s="34" t="inlineStr">
        <is>
          <t>Psyko</t>
        </is>
      </c>
      <c r="D3651" s="34" t="inlineStr">
        <is>
          <t>Crocs Éclair</t>
        </is>
      </c>
      <c r="E3651" s="34" t="inlineStr">
        <is>
          <t>Amnésie</t>
        </is>
      </c>
      <c r="F3651" s="34" t="inlineStr">
        <is>
          <t>Repli</t>
        </is>
      </c>
      <c r="G3651" s="34" t="inlineStr">
        <is>
          <t>Bâillement</t>
        </is>
      </c>
      <c r="H3651" s="30" t="inlineStr">
        <is>
          <t>Oui</t>
        </is>
      </c>
    </row>
    <row r="3652">
      <c r="A3652" s="31" t="n"/>
      <c r="B3652" s="34" t="inlineStr">
        <is>
          <t>Lance-Soleil</t>
        </is>
      </c>
      <c r="C3652" s="34" t="inlineStr">
        <is>
          <t>Onde Folie</t>
        </is>
      </c>
      <c r="D3652" s="34" t="inlineStr">
        <is>
          <t>Mâchouille</t>
        </is>
      </c>
      <c r="E3652" s="34" t="inlineStr">
        <is>
          <t>Hypnose</t>
        </is>
      </c>
      <c r="F3652" s="34" t="inlineStr">
        <is>
          <t>Canicule</t>
        </is>
      </c>
      <c r="G3652" s="34" t="inlineStr">
        <is>
          <t>Amnésie</t>
        </is>
      </c>
      <c r="H3652" s="30" t="inlineStr">
        <is>
          <t>Oui</t>
        </is>
      </c>
    </row>
    <row r="3653" ht="18" customHeight="1">
      <c r="A3653" s="26" t="inlineStr">
        <is>
          <t>Jadielle — Arène</t>
        </is>
      </c>
      <c r="B3653" s="26" t="n"/>
      <c r="C3653" s="26" t="n"/>
      <c r="D3653" s="26" t="n"/>
      <c r="E3653" s="26" t="n"/>
      <c r="F3653" s="26" t="n"/>
      <c r="G3653" s="26" t="n"/>
      <c r="H3653" s="30" t="inlineStr">
        <is>
          <t>Oui</t>
        </is>
      </c>
    </row>
    <row r="3654">
      <c r="A3654" s="31" t="inlineStr">
        <is>
          <t>Nom</t>
        </is>
      </c>
      <c r="B3654" s="32" t="inlineStr">
        <is>
          <t>Champion Blue</t>
        </is>
      </c>
      <c r="C3654" s="32" t="n"/>
      <c r="D3654" s="32" t="n"/>
      <c r="E3654" s="32" t="n"/>
      <c r="F3654" s="32" t="n"/>
      <c r="G3654" s="32" t="n"/>
      <c r="H3654" s="30" t="inlineStr">
        <is>
          <t>Oui</t>
        </is>
      </c>
    </row>
    <row r="3655">
      <c r="A3655" s="31" t="inlineStr">
        <is>
          <t>Pokémon</t>
        </is>
      </c>
      <c r="B3655" s="33" t="inlineStr">
        <is>
          <t>RHINASTOC</t>
        </is>
      </c>
      <c r="C3655" s="33" t="inlineStr">
        <is>
          <t>ROUCARNAGE</t>
        </is>
      </c>
      <c r="D3655" s="33" t="inlineStr">
        <is>
          <t>MACKOGNEUR</t>
        </is>
      </c>
      <c r="E3655" s="33" t="inlineStr">
        <is>
          <t>NOADKOKO</t>
        </is>
      </c>
      <c r="F3655" s="33" t="inlineStr">
        <is>
          <t>TYRANOCIF</t>
        </is>
      </c>
      <c r="G3655" s="33" t="inlineStr">
        <is>
          <t>ARCANIN</t>
        </is>
      </c>
      <c r="H3655" s="30" t="inlineStr">
        <is>
          <t>Oui</t>
        </is>
      </c>
    </row>
    <row r="3656">
      <c r="A3656" s="31" t="inlineStr">
        <is>
          <t>Niveau</t>
        </is>
      </c>
      <c r="B3656" s="33" t="n">
        <v>69</v>
      </c>
      <c r="C3656" s="33" t="n">
        <v>68</v>
      </c>
      <c r="D3656" s="33" t="n">
        <v>67</v>
      </c>
      <c r="E3656" s="33" t="n">
        <v>68</v>
      </c>
      <c r="F3656" s="33" t="n">
        <v>68</v>
      </c>
      <c r="G3656" s="33" t="n">
        <v>69</v>
      </c>
      <c r="H3656" s="30" t="inlineStr">
        <is>
          <t>Oui</t>
        </is>
      </c>
    </row>
    <row r="3657">
      <c r="A3657" s="31" t="inlineStr">
        <is>
          <t>Objet</t>
        </is>
      </c>
      <c r="B3657" s="33" t="inlineStr">
        <is>
          <t>Baie Sitrus</t>
        </is>
      </c>
      <c r="C3657" s="33" t="inlineStr">
        <is>
          <t>Bec Pointu</t>
        </is>
      </c>
      <c r="D3657" s="33" t="inlineStr">
        <is>
          <t>Lentilscope</t>
        </is>
      </c>
      <c r="E3657" s="33" t="inlineStr">
        <is>
          <t>Restes</t>
        </is>
      </c>
      <c r="F3657" s="33" t="inlineStr">
        <is>
          <t>Bandeau</t>
        </is>
      </c>
      <c r="G3657" s="33" t="inlineStr">
        <is>
          <t>Mouchoir Soie</t>
        </is>
      </c>
      <c r="H3657" s="30" t="inlineStr">
        <is>
          <t>Oui</t>
        </is>
      </c>
    </row>
    <row r="3658">
      <c r="A3658" s="31" t="inlineStr">
        <is>
          <t>Talent</t>
        </is>
      </c>
      <c r="B3658" s="33" t="inlineStr">
        <is>
          <t>Paratonnerre</t>
        </is>
      </c>
      <c r="C3658" s="33" t="inlineStr">
        <is>
          <t>Regard Vif</t>
        </is>
      </c>
      <c r="D3658" s="33" t="inlineStr">
        <is>
          <t>Cran</t>
        </is>
      </c>
      <c r="E3658" s="33" t="inlineStr">
        <is>
          <t>Chlorophylle</t>
        </is>
      </c>
      <c r="F3658" s="33" t="inlineStr">
        <is>
          <t>Sable Volant</t>
        </is>
      </c>
      <c r="G3658" s="33" t="inlineStr">
        <is>
          <t>Intimidation</t>
        </is>
      </c>
      <c r="H3658" s="30" t="inlineStr">
        <is>
          <t>Oui</t>
        </is>
      </c>
    </row>
    <row r="3659">
      <c r="A3659" s="31" t="inlineStr">
        <is>
          <t>Capacités</t>
        </is>
      </c>
      <c r="B3659" s="34" t="inlineStr">
        <is>
          <t>Tunnelier</t>
        </is>
      </c>
      <c r="C3659" s="34" t="inlineStr">
        <is>
          <t>Vent Violent</t>
        </is>
      </c>
      <c r="D3659" s="34" t="inlineStr">
        <is>
          <t>Coup Croix</t>
        </is>
      </c>
      <c r="E3659" s="34" t="inlineStr">
        <is>
          <t>Vampigraine</t>
        </is>
      </c>
      <c r="F3659" s="34" t="inlineStr">
        <is>
          <t>Lame de Roc</t>
        </is>
      </c>
      <c r="G3659" s="34" t="inlineStr">
        <is>
          <t>Lance-Flammes</t>
        </is>
      </c>
      <c r="H3659" s="30" t="inlineStr">
        <is>
          <t>Oui</t>
        </is>
      </c>
    </row>
    <row r="3660">
      <c r="A3660" s="31" t="n"/>
      <c r="B3660" s="34" t="inlineStr">
        <is>
          <t>Lame de Roc</t>
        </is>
      </c>
      <c r="C3660" s="34" t="inlineStr">
        <is>
          <t>Giga Impact</t>
        </is>
      </c>
      <c r="D3660" s="34" t="inlineStr">
        <is>
          <t>Éboulement</t>
        </is>
      </c>
      <c r="E3660" s="34" t="inlineStr">
        <is>
          <t>Distorsion</t>
        </is>
      </c>
      <c r="F3660" s="34" t="inlineStr">
        <is>
          <t>Représailles</t>
        </is>
      </c>
      <c r="G3660" s="34" t="inlineStr">
        <is>
          <t>Malédiction</t>
        </is>
      </c>
      <c r="H3660" s="30" t="inlineStr">
        <is>
          <t>Oui</t>
        </is>
      </c>
    </row>
    <row r="3661">
      <c r="A3661" s="31" t="n"/>
      <c r="B3661" s="34" t="inlineStr">
        <is>
          <t>Repos</t>
        </is>
      </c>
      <c r="C3661" s="34" t="inlineStr">
        <is>
          <t>Lame d'Air</t>
        </is>
      </c>
      <c r="D3661" s="34" t="inlineStr">
        <is>
          <t>Séisme</t>
        </is>
      </c>
      <c r="E3661" s="34" t="inlineStr">
        <is>
          <t>Psyko</t>
        </is>
      </c>
      <c r="F3661" s="34" t="inlineStr">
        <is>
          <t>Mâchouille</t>
        </is>
      </c>
      <c r="G3661" s="34" t="inlineStr">
        <is>
          <t>Mâchouille</t>
        </is>
      </c>
      <c r="H3661" s="30" t="inlineStr">
        <is>
          <t>Oui</t>
        </is>
      </c>
    </row>
    <row r="3662">
      <c r="A3662" s="31" t="n"/>
      <c r="B3662" s="34" t="inlineStr">
        <is>
          <t>Toxik</t>
        </is>
      </c>
      <c r="C3662" s="34" t="inlineStr">
        <is>
          <t>Danse Plumes</t>
        </is>
      </c>
      <c r="D3662" s="34" t="inlineStr">
        <is>
          <t>Double Baffe</t>
        </is>
      </c>
      <c r="E3662" s="34" t="inlineStr">
        <is>
          <t>Canon Graine</t>
        </is>
      </c>
      <c r="F3662" s="34" t="inlineStr">
        <is>
          <t>Crocs Éclair</t>
        </is>
      </c>
      <c r="G3662" s="34" t="inlineStr">
        <is>
          <t>Vitesse Extrême</t>
        </is>
      </c>
      <c r="H3662" s="30" t="inlineStr">
        <is>
          <t>Oui</t>
        </is>
      </c>
    </row>
    <row r="3663" ht="18" customHeight="1">
      <c r="A3663" s="26" t="inlineStr">
        <is>
          <t>Plateau Indigo — Centre Pokémon</t>
        </is>
      </c>
      <c r="B3663" s="26" t="n"/>
      <c r="C3663" s="26" t="n"/>
      <c r="D3663" s="26" t="n"/>
      <c r="E3663" s="26" t="n"/>
      <c r="F3663" s="26" t="n"/>
      <c r="G3663" s="26" t="n"/>
      <c r="H3663" s="30" t="inlineStr">
        <is>
          <t>Oui</t>
        </is>
      </c>
    </row>
    <row r="3664">
      <c r="A3664" s="31" t="inlineStr">
        <is>
          <t>Nom</t>
        </is>
      </c>
      <c r="B3664" s="32" t="inlineStr">
        <is>
          <t>Rival (si vous avez choisi GERMIGNON)</t>
        </is>
      </c>
      <c r="C3664" s="32" t="n"/>
      <c r="D3664" s="32" t="n"/>
      <c r="E3664" s="32" t="n"/>
      <c r="F3664" s="32" t="n"/>
      <c r="G3664" s="32" t="n"/>
      <c r="H3664" s="30">
        <f>IF(OR($B$1="Tous",$B$1="GERMIGNON"),"Oui","Non")</f>
        <v/>
      </c>
    </row>
    <row r="3665">
      <c r="A3665" s="31" t="inlineStr">
        <is>
          <t>Pokémon</t>
        </is>
      </c>
      <c r="B3665" s="33" t="inlineStr">
        <is>
          <t>URSAKING</t>
        </is>
      </c>
      <c r="C3665" s="33" t="inlineStr">
        <is>
          <t>NOSTENFER</t>
        </is>
      </c>
      <c r="D3665" s="33" t="inlineStr">
        <is>
          <t>OCTILLERY</t>
        </is>
      </c>
      <c r="E3665" s="33" t="inlineStr">
        <is>
          <t>EMPIFLOR</t>
        </is>
      </c>
      <c r="F3665" s="33" t="inlineStr">
        <is>
          <t>TYPHLOSION</t>
        </is>
      </c>
      <c r="G3665" s="33" t="inlineStr">
        <is>
          <t>TYRANOCIF</t>
        </is>
      </c>
      <c r="H3665" s="30">
        <f>IF(OR($B$1="Tous",$B$1="GERMIGNON"),"Oui","Non")</f>
        <v/>
      </c>
    </row>
    <row r="3666">
      <c r="A3666" s="31" t="inlineStr">
        <is>
          <t>Niveau</t>
        </is>
      </c>
      <c r="B3666" s="33" t="n">
        <v>68</v>
      </c>
      <c r="C3666" s="33" t="n">
        <v>68</v>
      </c>
      <c r="D3666" s="33" t="n">
        <v>68</v>
      </c>
      <c r="E3666" s="33" t="n">
        <v>68</v>
      </c>
      <c r="F3666" s="33" t="n">
        <v>68</v>
      </c>
      <c r="G3666" s="33" t="n">
        <v>68</v>
      </c>
      <c r="H3666" s="30">
        <f>IF(OR($B$1="Tous",$B$1="GERMIGNON"),"Oui","Non")</f>
        <v/>
      </c>
    </row>
    <row r="3667">
      <c r="A3667" s="31" t="inlineStr">
        <is>
          <t>Objet</t>
        </is>
      </c>
      <c r="B3667" s="33" t="inlineStr">
        <is>
          <t>Baie Maron</t>
        </is>
      </c>
      <c r="C3667" s="33" t="inlineStr">
        <is>
          <t>Restes</t>
        </is>
      </c>
      <c r="D3667" s="33" t="inlineStr">
        <is>
          <t>Glace Éternelle</t>
        </is>
      </c>
      <c r="E3667" s="33" t="inlineStr">
        <is>
          <t>Lentilscope</t>
        </is>
      </c>
      <c r="F3667" s="33" t="inlineStr">
        <is>
          <t>Charbon</t>
        </is>
      </c>
      <c r="G3667" s="33" t="inlineStr">
        <is>
          <t>Vive Griffe</t>
        </is>
      </c>
      <c r="H3667" s="30">
        <f>IF(OR($B$1="Tous",$B$1="GERMIGNON"),"Oui","Non")</f>
        <v/>
      </c>
    </row>
    <row r="3668">
      <c r="A3668" s="31" t="inlineStr">
        <is>
          <t>Talent</t>
        </is>
      </c>
      <c r="B3668" s="33" t="inlineStr">
        <is>
          <t>Œil Révélateur</t>
        </is>
      </c>
      <c r="C3668" s="33" t="inlineStr">
        <is>
          <t>Attention</t>
        </is>
      </c>
      <c r="D3668" s="33" t="inlineStr">
        <is>
          <t>Ventouse</t>
        </is>
      </c>
      <c r="E3668" s="33" t="inlineStr">
        <is>
          <t>Chlorophylle</t>
        </is>
      </c>
      <c r="F3668" s="33" t="inlineStr">
        <is>
          <t>Brasier</t>
        </is>
      </c>
      <c r="G3668" s="33" t="inlineStr">
        <is>
          <t>Sable Volant</t>
        </is>
      </c>
      <c r="H3668" s="30">
        <f>IF(OR($B$1="Tous",$B$1="GERMIGNON"),"Oui","Non")</f>
        <v/>
      </c>
    </row>
    <row r="3669">
      <c r="A3669" s="31" t="inlineStr">
        <is>
          <t>Capacités</t>
        </is>
      </c>
      <c r="B3669" s="34" t="inlineStr">
        <is>
          <t>Marto-Poing</t>
        </is>
      </c>
      <c r="C3669" s="34" t="inlineStr">
        <is>
          <t>Lame d'Air</t>
        </is>
      </c>
      <c r="D3669" s="34" t="inlineStr">
        <is>
          <t>Surf</t>
        </is>
      </c>
      <c r="E3669" s="34" t="inlineStr">
        <is>
          <t>Lame Feuille</t>
        </is>
      </c>
      <c r="F3669" s="34" t="inlineStr">
        <is>
          <t>Déflagration</t>
        </is>
      </c>
      <c r="G3669" s="34" t="inlineStr">
        <is>
          <t>Mâchouille</t>
        </is>
      </c>
      <c r="H3669" s="30">
        <f>IF(OR($B$1="Tous",$B$1="GERMIGNON"),"Oui","Non")</f>
        <v/>
      </c>
    </row>
    <row r="3670">
      <c r="A3670" s="31" t="n"/>
      <c r="B3670" s="34" t="inlineStr">
        <is>
          <t>Pouvoir Lunaire</t>
        </is>
      </c>
      <c r="C3670" s="34" t="inlineStr">
        <is>
          <t>Choc Venin</t>
        </is>
      </c>
      <c r="D3670" s="34" t="inlineStr">
        <is>
          <t>Laser Glace</t>
        </is>
      </c>
      <c r="E3670" s="34" t="inlineStr">
        <is>
          <t>Bombe Beurk</t>
        </is>
      </c>
      <c r="F3670" s="34" t="inlineStr">
        <is>
          <t>Séisme</t>
        </is>
      </c>
      <c r="G3670" s="34" t="inlineStr">
        <is>
          <t>Séisme</t>
        </is>
      </c>
      <c r="H3670" s="30">
        <f>IF(OR($B$1="Tous",$B$1="GERMIGNON"),"Oui","Non")</f>
        <v/>
      </c>
    </row>
    <row r="3671">
      <c r="A3671" s="31" t="n"/>
      <c r="B3671" s="34" t="inlineStr">
        <is>
          <t>Pouvoir Antique</t>
        </is>
      </c>
      <c r="C3671" s="34" t="inlineStr">
        <is>
          <t>Vibrobscur</t>
        </is>
      </c>
      <c r="D3671" s="34" t="inlineStr">
        <is>
          <t>Rafale Psy</t>
        </is>
      </c>
      <c r="E3671" s="34" t="inlineStr">
        <is>
          <t>Poudre Dodo</t>
        </is>
      </c>
      <c r="F3671" s="34" t="inlineStr">
        <is>
          <t>Queue de Fer</t>
        </is>
      </c>
      <c r="G3671" s="34" t="inlineStr">
        <is>
          <t>Lame de Roc</t>
        </is>
      </c>
      <c r="H3671" s="30">
        <f>IF(OR($B$1="Tous",$B$1="GERMIGNON"),"Oui","Non")</f>
        <v/>
      </c>
    </row>
    <row r="3672">
      <c r="A3672" s="31" t="n"/>
      <c r="B3672" s="34" t="inlineStr">
        <is>
          <t>Repos</t>
        </is>
      </c>
      <c r="C3672" s="34" t="inlineStr">
        <is>
          <t>Façade</t>
        </is>
      </c>
      <c r="D3672" s="34" t="inlineStr">
        <is>
          <t>Rayon Signal</t>
        </is>
      </c>
      <c r="E3672" s="34" t="inlineStr">
        <is>
          <t>Croissance</t>
        </is>
      </c>
      <c r="F3672" s="34" t="inlineStr">
        <is>
          <t>Poing Éclair</t>
        </is>
      </c>
      <c r="G3672" s="34" t="inlineStr">
        <is>
          <t>Crocs Feu</t>
        </is>
      </c>
      <c r="H3672" s="30">
        <f>IF(OR($B$1="Tous",$B$1="GERMIGNON"),"Oui","Non")</f>
        <v/>
      </c>
    </row>
    <row r="3673">
      <c r="A3673" s="31" t="inlineStr">
        <is>
          <t>Nom</t>
        </is>
      </c>
      <c r="B3673" s="32" t="inlineStr">
        <is>
          <t>Rival (si vous avez choisi HERICENDRE)</t>
        </is>
      </c>
      <c r="C3673" s="32" t="n"/>
      <c r="D3673" s="32" t="n"/>
      <c r="E3673" s="32" t="n"/>
      <c r="F3673" s="32" t="n"/>
      <c r="G3673" s="32" t="n"/>
      <c r="H3673" s="30">
        <f>IF(OR($B$1="Tous",$B$1="HERICENDRE"),"Oui","Non")</f>
        <v/>
      </c>
    </row>
    <row r="3674">
      <c r="A3674" s="31" t="inlineStr">
        <is>
          <t>Pokémon</t>
        </is>
      </c>
      <c r="B3674" s="33" t="inlineStr">
        <is>
          <t>URSAKING</t>
        </is>
      </c>
      <c r="C3674" s="33" t="inlineStr">
        <is>
          <t>NOSTENFER</t>
        </is>
      </c>
      <c r="D3674" s="33" t="inlineStr">
        <is>
          <t>EMPIFLOR</t>
        </is>
      </c>
      <c r="E3674" s="33" t="inlineStr">
        <is>
          <t>DEMOLOSSE</t>
        </is>
      </c>
      <c r="F3674" s="33" t="inlineStr">
        <is>
          <t>ALIGATUEUR</t>
        </is>
      </c>
      <c r="G3674" s="33" t="inlineStr">
        <is>
          <t>TYRANOCIF</t>
        </is>
      </c>
      <c r="H3674" s="30">
        <f>IF(OR($B$1="Tous",$B$1="HERICENDRE"),"Oui","Non")</f>
        <v/>
      </c>
    </row>
    <row r="3675">
      <c r="A3675" s="31" t="inlineStr">
        <is>
          <t>Niveau</t>
        </is>
      </c>
      <c r="B3675" s="33" t="n">
        <v>68</v>
      </c>
      <c r="C3675" s="33" t="n">
        <v>68</v>
      </c>
      <c r="D3675" s="33" t="n">
        <v>68</v>
      </c>
      <c r="E3675" s="33" t="n">
        <v>68</v>
      </c>
      <c r="F3675" s="33" t="n">
        <v>68</v>
      </c>
      <c r="G3675" s="33" t="n">
        <v>68</v>
      </c>
      <c r="H3675" s="30">
        <f>IF(OR($B$1="Tous",$B$1="HERICENDRE"),"Oui","Non")</f>
        <v/>
      </c>
    </row>
    <row r="3676">
      <c r="A3676" s="31" t="inlineStr">
        <is>
          <t>Objet</t>
        </is>
      </c>
      <c r="B3676" s="33" t="inlineStr">
        <is>
          <t>Baie Maron</t>
        </is>
      </c>
      <c r="C3676" s="33" t="inlineStr">
        <is>
          <t>Restes</t>
        </is>
      </c>
      <c r="D3676" s="33" t="inlineStr">
        <is>
          <t>Lentilscope</t>
        </is>
      </c>
      <c r="E3676" s="33" t="inlineStr">
        <is>
          <t>Charbon</t>
        </is>
      </c>
      <c r="F3676" s="33" t="inlineStr">
        <is>
          <t>Lentilscope</t>
        </is>
      </c>
      <c r="G3676" s="33" t="inlineStr">
        <is>
          <t>Vive Griffe</t>
        </is>
      </c>
      <c r="H3676" s="30">
        <f>IF(OR($B$1="Tous",$B$1="HERICENDRE"),"Oui","Non")</f>
        <v/>
      </c>
    </row>
    <row r="3677">
      <c r="A3677" s="31" t="inlineStr">
        <is>
          <t>Talent</t>
        </is>
      </c>
      <c r="B3677" s="33" t="inlineStr">
        <is>
          <t>Œil Révélateur</t>
        </is>
      </c>
      <c r="C3677" s="33" t="inlineStr">
        <is>
          <t>Attention</t>
        </is>
      </c>
      <c r="D3677" s="33" t="inlineStr">
        <is>
          <t>Chlorophylle</t>
        </is>
      </c>
      <c r="E3677" s="33" t="inlineStr">
        <is>
          <t>Matinal</t>
        </is>
      </c>
      <c r="F3677" s="33" t="inlineStr">
        <is>
          <t>Torrent</t>
        </is>
      </c>
      <c r="G3677" s="33" t="inlineStr">
        <is>
          <t>Sable Volant</t>
        </is>
      </c>
      <c r="H3677" s="30">
        <f>IF(OR($B$1="Tous",$B$1="HERICENDRE"),"Oui","Non")</f>
        <v/>
      </c>
    </row>
    <row r="3678">
      <c r="A3678" s="31" t="inlineStr">
        <is>
          <t>Capacités</t>
        </is>
      </c>
      <c r="B3678" s="34" t="inlineStr">
        <is>
          <t>Marto-Poing</t>
        </is>
      </c>
      <c r="C3678" s="34" t="inlineStr">
        <is>
          <t>Lame d'Air</t>
        </is>
      </c>
      <c r="D3678" s="34" t="inlineStr">
        <is>
          <t>Lame Feuille</t>
        </is>
      </c>
      <c r="E3678" s="34" t="inlineStr">
        <is>
          <t>Déflagration</t>
        </is>
      </c>
      <c r="F3678" s="34" t="inlineStr">
        <is>
          <t>Laser Glace</t>
        </is>
      </c>
      <c r="G3678" s="34" t="inlineStr">
        <is>
          <t>Mâchouille</t>
        </is>
      </c>
      <c r="H3678" s="30">
        <f>IF(OR($B$1="Tous",$B$1="HERICENDRE"),"Oui","Non")</f>
        <v/>
      </c>
    </row>
    <row r="3679">
      <c r="A3679" s="31" t="n"/>
      <c r="B3679" s="34" t="inlineStr">
        <is>
          <t>Pouvoir Lunaire</t>
        </is>
      </c>
      <c r="C3679" s="34" t="inlineStr">
        <is>
          <t>Choc Venin</t>
        </is>
      </c>
      <c r="D3679" s="34" t="inlineStr">
        <is>
          <t>Bombe Beurk</t>
        </is>
      </c>
      <c r="E3679" s="34" t="inlineStr">
        <is>
          <t>Queue de Fer</t>
        </is>
      </c>
      <c r="F3679" s="34" t="inlineStr">
        <is>
          <t>Surf</t>
        </is>
      </c>
      <c r="G3679" s="34" t="inlineStr">
        <is>
          <t>Séisme</t>
        </is>
      </c>
      <c r="H3679" s="30">
        <f>IF(OR($B$1="Tous",$B$1="HERICENDRE"),"Oui","Non")</f>
        <v/>
      </c>
    </row>
    <row r="3680">
      <c r="A3680" s="31" t="n"/>
      <c r="B3680" s="34" t="inlineStr">
        <is>
          <t>Pouvoir Antique</t>
        </is>
      </c>
      <c r="C3680" s="34" t="inlineStr">
        <is>
          <t>Vibrobscur</t>
        </is>
      </c>
      <c r="D3680" s="34" t="inlineStr">
        <is>
          <t>Poudre Dodo</t>
        </is>
      </c>
      <c r="E3680" s="34" t="inlineStr">
        <is>
          <t>Mâchouille</t>
        </is>
      </c>
      <c r="F3680" s="34" t="inlineStr">
        <is>
          <t>Tranche</t>
        </is>
      </c>
      <c r="G3680" s="34" t="inlineStr">
        <is>
          <t>Lame de Roc</t>
        </is>
      </c>
      <c r="H3680" s="30">
        <f>IF(OR($B$1="Tous",$B$1="HERICENDRE"),"Oui","Non")</f>
        <v/>
      </c>
    </row>
    <row r="3681">
      <c r="A3681" s="31" t="n"/>
      <c r="B3681" s="34" t="inlineStr">
        <is>
          <t>Repos</t>
        </is>
      </c>
      <c r="C3681" s="34" t="inlineStr">
        <is>
          <t>Façade</t>
        </is>
      </c>
      <c r="D3681" s="34" t="inlineStr">
        <is>
          <t>Croissance</t>
        </is>
      </c>
      <c r="E3681" s="34" t="inlineStr">
        <is>
          <t>Reflet</t>
        </is>
      </c>
      <c r="F3681" s="34" t="inlineStr">
        <is>
          <t>Séisme</t>
        </is>
      </c>
      <c r="G3681" s="34" t="inlineStr">
        <is>
          <t>Crocs Feu</t>
        </is>
      </c>
      <c r="H3681" s="30">
        <f>IF(OR($B$1="Tous",$B$1="HERICENDRE"),"Oui","Non")</f>
        <v/>
      </c>
    </row>
    <row r="3682">
      <c r="A3682" s="31" t="inlineStr">
        <is>
          <t>Nom</t>
        </is>
      </c>
      <c r="B3682" s="32" t="inlineStr">
        <is>
          <t>Rival (si vous avez choisi KAIMINUS)</t>
        </is>
      </c>
      <c r="C3682" s="32" t="n"/>
      <c r="D3682" s="32" t="n"/>
      <c r="E3682" s="32" t="n"/>
      <c r="F3682" s="32" t="n"/>
      <c r="G3682" s="32" t="n"/>
      <c r="H3682" s="30">
        <f>IF(OR($B$1="Tous",$B$1="KAIMINUS"),"Oui","Non")</f>
        <v/>
      </c>
    </row>
    <row r="3683">
      <c r="A3683" s="31" t="inlineStr">
        <is>
          <t>Pokémon</t>
        </is>
      </c>
      <c r="B3683" s="33" t="inlineStr">
        <is>
          <t>URSAKING</t>
        </is>
      </c>
      <c r="C3683" s="33" t="inlineStr">
        <is>
          <t>NOSTENFER</t>
        </is>
      </c>
      <c r="D3683" s="33" t="inlineStr">
        <is>
          <t>OCTILLERY</t>
        </is>
      </c>
      <c r="E3683" s="33" t="inlineStr">
        <is>
          <t>DEMOLOSSE</t>
        </is>
      </c>
      <c r="F3683" s="33" t="inlineStr">
        <is>
          <t>MEGANIUM</t>
        </is>
      </c>
      <c r="G3683" s="33" t="inlineStr">
        <is>
          <t>TYRANOCIF</t>
        </is>
      </c>
      <c r="H3683" s="30">
        <f>IF(OR($B$1="Tous",$B$1="KAIMINUS"),"Oui","Non")</f>
        <v/>
      </c>
    </row>
    <row r="3684">
      <c r="A3684" s="31" t="inlineStr">
        <is>
          <t>Niveau</t>
        </is>
      </c>
      <c r="B3684" s="33" t="n">
        <v>68</v>
      </c>
      <c r="C3684" s="33" t="n">
        <v>68</v>
      </c>
      <c r="D3684" s="33" t="n">
        <v>68</v>
      </c>
      <c r="E3684" s="33" t="n">
        <v>68</v>
      </c>
      <c r="F3684" s="33" t="n">
        <v>68</v>
      </c>
      <c r="G3684" s="33" t="n">
        <v>68</v>
      </c>
      <c r="H3684" s="30">
        <f>IF(OR($B$1="Tous",$B$1="KAIMINUS"),"Oui","Non")</f>
        <v/>
      </c>
    </row>
    <row r="3685">
      <c r="A3685" s="31" t="inlineStr">
        <is>
          <t>Objet</t>
        </is>
      </c>
      <c r="B3685" s="33" t="inlineStr">
        <is>
          <t>Baie Maron</t>
        </is>
      </c>
      <c r="C3685" s="33" t="inlineStr">
        <is>
          <t>Restes</t>
        </is>
      </c>
      <c r="D3685" s="33" t="inlineStr">
        <is>
          <t>Glace Éternelle</t>
        </is>
      </c>
      <c r="E3685" s="33" t="inlineStr">
        <is>
          <t>Charbon</t>
        </is>
      </c>
      <c r="F3685" s="33" t="inlineStr">
        <is>
          <t>Graine Miracle</t>
        </is>
      </c>
      <c r="G3685" s="33" t="inlineStr">
        <is>
          <t>Vive Griffe</t>
        </is>
      </c>
      <c r="H3685" s="30">
        <f>IF(OR($B$1="Tous",$B$1="KAIMINUS"),"Oui","Non")</f>
        <v/>
      </c>
    </row>
    <row r="3686">
      <c r="A3686" s="31" t="inlineStr">
        <is>
          <t>Talent</t>
        </is>
      </c>
      <c r="B3686" s="33" t="inlineStr">
        <is>
          <t>Œil Révélateur</t>
        </is>
      </c>
      <c r="C3686" s="33" t="inlineStr">
        <is>
          <t>Attention</t>
        </is>
      </c>
      <c r="D3686" s="33" t="inlineStr">
        <is>
          <t>Ventouse</t>
        </is>
      </c>
      <c r="E3686" s="33" t="inlineStr">
        <is>
          <t>Matinal</t>
        </is>
      </c>
      <c r="F3686" s="33" t="inlineStr">
        <is>
          <t>Engrais</t>
        </is>
      </c>
      <c r="G3686" s="33" t="inlineStr">
        <is>
          <t>Sable Volant</t>
        </is>
      </c>
      <c r="H3686" s="30">
        <f>IF(OR($B$1="Tous",$B$1="KAIMINUS"),"Oui","Non")</f>
        <v/>
      </c>
    </row>
    <row r="3687">
      <c r="A3687" s="31" t="inlineStr">
        <is>
          <t>Capacités</t>
        </is>
      </c>
      <c r="B3687" s="34" t="inlineStr">
        <is>
          <t>Marto-Poing</t>
        </is>
      </c>
      <c r="C3687" s="34" t="inlineStr">
        <is>
          <t>Lame d'Air</t>
        </is>
      </c>
      <c r="D3687" s="34" t="inlineStr">
        <is>
          <t>Surf</t>
        </is>
      </c>
      <c r="E3687" s="34" t="inlineStr">
        <is>
          <t>Déflagration</t>
        </is>
      </c>
      <c r="F3687" s="34" t="inlineStr">
        <is>
          <t>Protection</t>
        </is>
      </c>
      <c r="G3687" s="34" t="inlineStr">
        <is>
          <t>Mâchouille</t>
        </is>
      </c>
      <c r="H3687" s="30">
        <f>IF(OR($B$1="Tous",$B$1="KAIMINUS"),"Oui","Non")</f>
        <v/>
      </c>
    </row>
    <row r="3688">
      <c r="A3688" s="31" t="n"/>
      <c r="B3688" s="34" t="inlineStr">
        <is>
          <t>Pouvoir Lunaire</t>
        </is>
      </c>
      <c r="C3688" s="34" t="inlineStr">
        <is>
          <t>Choc Venin</t>
        </is>
      </c>
      <c r="D3688" s="34" t="inlineStr">
        <is>
          <t>Laser Glace</t>
        </is>
      </c>
      <c r="E3688" s="34" t="inlineStr">
        <is>
          <t>Queue de Fer</t>
        </is>
      </c>
      <c r="F3688" s="34" t="inlineStr">
        <is>
          <t>Giga-Sangsue</t>
        </is>
      </c>
      <c r="G3688" s="34" t="inlineStr">
        <is>
          <t>Séisme</t>
        </is>
      </c>
      <c r="H3688" s="30">
        <f>IF(OR($B$1="Tous",$B$1="KAIMINUS"),"Oui","Non")</f>
        <v/>
      </c>
    </row>
    <row r="3689">
      <c r="A3689" s="31" t="n"/>
      <c r="B3689" s="34" t="inlineStr">
        <is>
          <t>Pouvoir Antique</t>
        </is>
      </c>
      <c r="C3689" s="34" t="inlineStr">
        <is>
          <t>Vibrobscur</t>
        </is>
      </c>
      <c r="D3689" s="34" t="inlineStr">
        <is>
          <t>Rafale Psy</t>
        </is>
      </c>
      <c r="E3689" s="34" t="inlineStr">
        <is>
          <t>Mâchouille</t>
        </is>
      </c>
      <c r="F3689" s="34" t="inlineStr">
        <is>
          <t>Lance-Soleil</t>
        </is>
      </c>
      <c r="G3689" s="34" t="inlineStr">
        <is>
          <t>Lame de Roc</t>
        </is>
      </c>
      <c r="H3689" s="30">
        <f>IF(OR($B$1="Tous",$B$1="KAIMINUS"),"Oui","Non")</f>
        <v/>
      </c>
    </row>
    <row r="3690">
      <c r="A3690" s="31" t="n"/>
      <c r="B3690" s="34" t="inlineStr">
        <is>
          <t>Repos</t>
        </is>
      </c>
      <c r="C3690" s="34" t="inlineStr">
        <is>
          <t>Façade</t>
        </is>
      </c>
      <c r="D3690" s="34" t="inlineStr">
        <is>
          <t>Rayon Signal</t>
        </is>
      </c>
      <c r="E3690" s="34" t="inlineStr">
        <is>
          <t>Zénith</t>
        </is>
      </c>
      <c r="F3690" s="34" t="inlineStr">
        <is>
          <t>Plaquage</t>
        </is>
      </c>
      <c r="G3690" s="34" t="inlineStr">
        <is>
          <t>Crocs Feu</t>
        </is>
      </c>
      <c r="H3690" s="30">
        <f>IF(OR($B$1="Tous",$B$1="KAIMINUS"),"Oui","Non")</f>
        <v/>
      </c>
    </row>
    <row r="3691" ht="18" customHeight="1">
      <c r="A3691" s="26" t="inlineStr">
        <is>
          <t>Mele-Mele</t>
        </is>
      </c>
      <c r="B3691" s="26" t="n"/>
      <c r="C3691" s="26" t="n"/>
      <c r="D3691" s="26" t="n"/>
      <c r="E3691" s="26" t="n"/>
      <c r="F3691" s="26" t="n"/>
      <c r="G3691" s="26" t="n"/>
      <c r="H3691" s="30" t="inlineStr">
        <is>
          <t>Oui</t>
        </is>
      </c>
    </row>
    <row r="3692">
      <c r="A3692" s="31" t="inlineStr">
        <is>
          <t>Nom</t>
        </is>
      </c>
      <c r="B3692" s="32" t="inlineStr">
        <is>
          <t>Nageuse Mia</t>
        </is>
      </c>
      <c r="C3692" s="32" t="n"/>
      <c r="D3692" s="32" t="n"/>
      <c r="E3692" s="32" t="n"/>
      <c r="F3692" s="32" t="n"/>
      <c r="G3692" s="32" t="n"/>
      <c r="H3692" s="30" t="inlineStr">
        <is>
          <t>Oui</t>
        </is>
      </c>
    </row>
    <row r="3693">
      <c r="A3693" s="31" t="inlineStr">
        <is>
          <t>Pokémon</t>
        </is>
      </c>
      <c r="B3693" s="33" t="inlineStr">
        <is>
          <t>TARPAUD</t>
        </is>
      </c>
      <c r="C3693" s="33" t="inlineStr">
        <is>
          <t>DEMANTA</t>
        </is>
      </c>
      <c r="D3693" s="33" t="inlineStr">
        <is>
          <t>LOVDISC</t>
        </is>
      </c>
      <c r="E3693" s="33" t="n"/>
      <c r="F3693" s="33" t="n"/>
      <c r="G3693" s="33" t="n"/>
      <c r="H3693" s="30" t="inlineStr">
        <is>
          <t>Oui</t>
        </is>
      </c>
    </row>
    <row r="3694">
      <c r="A3694" s="31" t="inlineStr">
        <is>
          <t>Niveau</t>
        </is>
      </c>
      <c r="B3694" s="33" t="n">
        <v>63</v>
      </c>
      <c r="C3694" s="33" t="n">
        <v>63</v>
      </c>
      <c r="D3694" s="33" t="n">
        <v>64</v>
      </c>
      <c r="E3694" s="33" t="n"/>
      <c r="F3694" s="33" t="n"/>
      <c r="G3694" s="33" t="n"/>
      <c r="H3694" s="30" t="inlineStr">
        <is>
          <t>Oui</t>
        </is>
      </c>
    </row>
    <row r="3695">
      <c r="A3695" s="31" t="inlineStr">
        <is>
          <t>Objet</t>
        </is>
      </c>
      <c r="B3695" s="33" t="inlineStr">
        <is>
          <t>Roche Humide</t>
        </is>
      </c>
      <c r="C3695" s="33" t="inlineStr">
        <is>
          <t>Restes</t>
        </is>
      </c>
      <c r="D3695" s="33" t="inlineStr">
        <is>
          <t>Grosse Racine</t>
        </is>
      </c>
      <c r="E3695" s="33" t="n"/>
      <c r="F3695" s="33" t="n"/>
      <c r="G3695" s="33" t="n"/>
      <c r="H3695" s="30" t="inlineStr">
        <is>
          <t>Oui</t>
        </is>
      </c>
    </row>
    <row r="3696">
      <c r="A3696" s="31" t="inlineStr">
        <is>
          <t>Talent</t>
        </is>
      </c>
      <c r="B3696" s="33" t="inlineStr">
        <is>
          <t>Crachin</t>
        </is>
      </c>
      <c r="C3696" s="33" t="inlineStr">
        <is>
          <t>Glissade</t>
        </is>
      </c>
      <c r="D3696" s="33" t="inlineStr">
        <is>
          <t>Glissade</t>
        </is>
      </c>
      <c r="E3696" s="33" t="n"/>
      <c r="F3696" s="33" t="n"/>
      <c r="G3696" s="33" t="n"/>
      <c r="H3696" s="30" t="inlineStr">
        <is>
          <t>Oui</t>
        </is>
      </c>
    </row>
    <row r="3697">
      <c r="A3697" s="31" t="inlineStr">
        <is>
          <t>Capacités</t>
        </is>
      </c>
      <c r="B3697" s="34" t="inlineStr">
        <is>
          <t>Ball'Météo</t>
        </is>
      </c>
      <c r="C3697" s="34" t="inlineStr">
        <is>
          <t>Vent Violent</t>
        </is>
      </c>
      <c r="D3697" s="34" t="inlineStr">
        <is>
          <t>Attraction</t>
        </is>
      </c>
      <c r="E3697" s="34" t="n"/>
      <c r="F3697" s="34" t="n"/>
      <c r="G3697" s="34" t="n"/>
      <c r="H3697" s="30" t="inlineStr">
        <is>
          <t>Oui</t>
        </is>
      </c>
    </row>
    <row r="3698">
      <c r="A3698" s="31" t="n"/>
      <c r="B3698" s="34" t="inlineStr">
        <is>
          <t>Vent Glace</t>
        </is>
      </c>
      <c r="C3698" s="34" t="inlineStr">
        <is>
          <t>Vibraqua</t>
        </is>
      </c>
      <c r="D3698" s="34" t="inlineStr">
        <is>
          <t>Vampibaiser</t>
        </is>
      </c>
      <c r="E3698" s="34" t="n"/>
      <c r="F3698" s="34" t="n"/>
      <c r="G3698" s="34" t="n"/>
      <c r="H3698" s="30" t="inlineStr">
        <is>
          <t>Oui</t>
        </is>
      </c>
    </row>
    <row r="3699">
      <c r="A3699" s="31" t="n"/>
      <c r="B3699" s="34" t="inlineStr">
        <is>
          <t>Siphon</t>
        </is>
      </c>
      <c r="C3699" s="34" t="inlineStr">
        <is>
          <t>Rayon Signal</t>
        </is>
      </c>
      <c r="D3699" s="34" t="inlineStr">
        <is>
          <t>Ébullition</t>
        </is>
      </c>
      <c r="E3699" s="34" t="n"/>
      <c r="F3699" s="34" t="n"/>
      <c r="G3699" s="34" t="n"/>
      <c r="H3699" s="30" t="inlineStr">
        <is>
          <t>Oui</t>
        </is>
      </c>
    </row>
    <row r="3700">
      <c r="A3700" s="31" t="n"/>
      <c r="B3700" s="34" t="inlineStr">
        <is>
          <t>Requiem</t>
        </is>
      </c>
      <c r="C3700" s="34" t="inlineStr">
        <is>
          <t>Anneau Hydro</t>
        </is>
      </c>
      <c r="D3700" s="34" t="inlineStr">
        <is>
          <t>Doux Baiser</t>
        </is>
      </c>
      <c r="E3700" s="34" t="n"/>
      <c r="F3700" s="34" t="n"/>
      <c r="G3700" s="34" t="n"/>
      <c r="H3700" s="30" t="inlineStr">
        <is>
          <t>Oui</t>
        </is>
      </c>
    </row>
    <row r="3701" ht="18" customHeight="1">
      <c r="A3701" s="26" t="inlineStr">
        <is>
          <t>Mele-Mele — Maison</t>
        </is>
      </c>
      <c r="B3701" s="26" t="n"/>
      <c r="C3701" s="26" t="n"/>
      <c r="D3701" s="26" t="n"/>
      <c r="E3701" s="26" t="n"/>
      <c r="F3701" s="26" t="n"/>
      <c r="G3701" s="26" t="n"/>
      <c r="H3701" s="30" t="inlineStr">
        <is>
          <t>Oui</t>
        </is>
      </c>
    </row>
    <row r="3702">
      <c r="A3702" s="31" t="inlineStr">
        <is>
          <t>Nom</t>
        </is>
      </c>
      <c r="B3702" s="32" t="inlineStr">
        <is>
          <t>Prof. {PKMN} R. Chen</t>
        </is>
      </c>
      <c r="C3702" s="32" t="n"/>
      <c r="D3702" s="32" t="n"/>
      <c r="E3702" s="32" t="n"/>
      <c r="F3702" s="32" t="n"/>
      <c r="G3702" s="32" t="n"/>
      <c r="H3702" s="30" t="inlineStr">
        <is>
          <t>Oui</t>
        </is>
      </c>
    </row>
    <row r="3703">
      <c r="A3703" s="31" t="inlineStr">
        <is>
          <t>Pokémon</t>
        </is>
      </c>
      <c r="B3703" s="33" t="inlineStr">
        <is>
          <t>RAICHU-A</t>
        </is>
      </c>
      <c r="C3703" s="33" t="inlineStr">
        <is>
          <t>NOADKOKO-A</t>
        </is>
      </c>
      <c r="D3703" s="33" t="inlineStr">
        <is>
          <t>FEUNARD-A</t>
        </is>
      </c>
      <c r="E3703" s="33" t="inlineStr">
        <is>
          <t>GROLEM-A</t>
        </is>
      </c>
      <c r="F3703" s="33" t="inlineStr">
        <is>
          <t>GROTADMORV-A</t>
        </is>
      </c>
      <c r="G3703" s="33" t="inlineStr">
        <is>
          <t>TROPIUS</t>
        </is>
      </c>
      <c r="H3703" s="30" t="inlineStr">
        <is>
          <t>Oui</t>
        </is>
      </c>
    </row>
    <row r="3704">
      <c r="A3704" s="31" t="inlineStr">
        <is>
          <t>Niveau</t>
        </is>
      </c>
      <c r="B3704" s="33" t="n">
        <v>70</v>
      </c>
      <c r="C3704" s="33" t="n">
        <v>70</v>
      </c>
      <c r="D3704" s="33" t="n">
        <v>70</v>
      </c>
      <c r="E3704" s="33" t="n">
        <v>70</v>
      </c>
      <c r="F3704" s="33" t="n">
        <v>70</v>
      </c>
      <c r="G3704" s="33" t="n">
        <v>70</v>
      </c>
      <c r="H3704" s="30" t="inlineStr">
        <is>
          <t>Oui</t>
        </is>
      </c>
    </row>
    <row r="3705">
      <c r="A3705" s="31" t="inlineStr">
        <is>
          <t>Objet</t>
        </is>
      </c>
      <c r="B3705" s="33" t="inlineStr">
        <is>
          <t>Aucun</t>
        </is>
      </c>
      <c r="C3705" s="33" t="inlineStr">
        <is>
          <t>Lunettes Choix</t>
        </is>
      </c>
      <c r="D3705" s="33" t="inlineStr">
        <is>
          <t>Lumargile</t>
        </is>
      </c>
      <c r="E3705" s="33" t="inlineStr">
        <is>
          <t>Bandeau Choix</t>
        </is>
      </c>
      <c r="F3705" s="33" t="inlineStr">
        <is>
          <t>Veste de Combat</t>
        </is>
      </c>
      <c r="G3705" s="33" t="inlineStr">
        <is>
          <t>Baie Sitrus</t>
        </is>
      </c>
      <c r="H3705" s="30" t="inlineStr">
        <is>
          <t>Oui</t>
        </is>
      </c>
    </row>
    <row r="3706">
      <c r="A3706" s="31" t="inlineStr">
        <is>
          <t>Talent</t>
        </is>
      </c>
      <c r="B3706" s="33" t="inlineStr">
        <is>
          <t>Surf Caudal</t>
        </is>
      </c>
      <c r="C3706" s="33" t="inlineStr">
        <is>
          <t>Fouille</t>
        </is>
      </c>
      <c r="D3706" s="33" t="inlineStr">
        <is>
          <t>Alerte Neige</t>
        </is>
      </c>
      <c r="E3706" s="33" t="inlineStr">
        <is>
          <t>Magnépiège</t>
        </is>
      </c>
      <c r="F3706" s="33" t="inlineStr">
        <is>
          <t>Toxitouche</t>
        </is>
      </c>
      <c r="G3706" s="33" t="inlineStr">
        <is>
          <t>Récolte</t>
        </is>
      </c>
      <c r="H3706" s="30" t="inlineStr">
        <is>
          <t>Oui</t>
        </is>
      </c>
    </row>
    <row r="3707">
      <c r="A3707" s="31" t="inlineStr">
        <is>
          <t>Capacités</t>
        </is>
      </c>
      <c r="B3707" s="34" t="inlineStr">
        <is>
          <t>Machination</t>
        </is>
      </c>
      <c r="C3707" s="34" t="inlineStr">
        <is>
          <t>Draco-Météore</t>
        </is>
      </c>
      <c r="D3707" s="34" t="inlineStr">
        <is>
          <t>Lyophilisation</t>
        </is>
      </c>
      <c r="E3707" s="34" t="inlineStr">
        <is>
          <t>Lame de Roc</t>
        </is>
      </c>
      <c r="F3707" s="34" t="inlineStr">
        <is>
          <t>Poursuite</t>
        </is>
      </c>
      <c r="G3707" s="34" t="inlineStr">
        <is>
          <t>Vampigraine</t>
        </is>
      </c>
      <c r="H3707" s="30" t="inlineStr">
        <is>
          <t>Oui</t>
        </is>
      </c>
    </row>
    <row r="3708">
      <c r="A3708" s="31" t="n"/>
      <c r="B3708" s="34" t="inlineStr">
        <is>
          <t>Tonnerre</t>
        </is>
      </c>
      <c r="C3708" s="34" t="inlineStr">
        <is>
          <t>Tempête Verte</t>
        </is>
      </c>
      <c r="D3708" s="34" t="inlineStr">
        <is>
          <t>Hypnose</t>
        </is>
      </c>
      <c r="E3708" s="34" t="inlineStr">
        <is>
          <t>Poing Feu</t>
        </is>
      </c>
      <c r="F3708" s="34" t="inlineStr">
        <is>
          <t>Détricanon</t>
        </is>
      </c>
      <c r="G3708" s="34" t="inlineStr">
        <is>
          <t>Clonage</t>
        </is>
      </c>
      <c r="H3708" s="30" t="inlineStr">
        <is>
          <t>Oui</t>
        </is>
      </c>
    </row>
    <row r="3709">
      <c r="A3709" s="31" t="n"/>
      <c r="B3709" s="34" t="inlineStr">
        <is>
          <t>Psyko</t>
        </is>
      </c>
      <c r="C3709" s="34" t="inlineStr">
        <is>
          <t>Lance-Flammes</t>
        </is>
      </c>
      <c r="D3709" s="34" t="inlineStr">
        <is>
          <t>Grêle</t>
        </is>
      </c>
      <c r="E3709" s="34" t="inlineStr">
        <is>
          <t>Séisme</t>
        </is>
      </c>
      <c r="F3709" s="34" t="inlineStr">
        <is>
          <t>Sabotage</t>
        </is>
      </c>
      <c r="G3709" s="34" t="inlineStr">
        <is>
          <t>Lame d'Air</t>
        </is>
      </c>
      <c r="H3709" s="30" t="inlineStr">
        <is>
          <t>Oui</t>
        </is>
      </c>
    </row>
    <row r="3710">
      <c r="A3710" s="31" t="n"/>
      <c r="B3710" s="34" t="inlineStr">
        <is>
          <t>Clonage</t>
        </is>
      </c>
      <c r="C3710" s="34" t="inlineStr">
        <is>
          <t>Giga-Sangsue</t>
        </is>
      </c>
      <c r="D3710" s="34" t="inlineStr">
        <is>
          <t>Voile Aurore</t>
        </is>
      </c>
      <c r="E3710" s="34" t="inlineStr">
        <is>
          <t>Change Éclair</t>
        </is>
      </c>
      <c r="F3710" s="34" t="inlineStr">
        <is>
          <t>Poing Feu</t>
        </is>
      </c>
      <c r="G3710" s="34" t="inlineStr">
        <is>
          <t>Toxik</t>
        </is>
      </c>
      <c r="H3710" s="30" t="inlineStr">
        <is>
          <t>Oui</t>
        </is>
      </c>
    </row>
    <row r="3711" ht="18" customHeight="1">
      <c r="A3711" s="26" t="inlineStr">
        <is>
          <t>Mer de Mele-Mele</t>
        </is>
      </c>
      <c r="B3711" s="26" t="n"/>
      <c r="C3711" s="26" t="n"/>
      <c r="D3711" s="26" t="n"/>
      <c r="E3711" s="26" t="n"/>
      <c r="F3711" s="26" t="n"/>
      <c r="G3711" s="26" t="n"/>
      <c r="H3711" s="30" t="inlineStr">
        <is>
          <t>Oui</t>
        </is>
      </c>
    </row>
    <row r="3712">
      <c r="A3712" s="31" t="inlineStr">
        <is>
          <t>Nom</t>
        </is>
      </c>
      <c r="B3712" s="32" t="inlineStr">
        <is>
          <t>Nageur Eusèbe</t>
        </is>
      </c>
      <c r="C3712" s="32" t="n"/>
      <c r="D3712" s="32" t="n"/>
      <c r="E3712" s="32" t="n"/>
      <c r="F3712" s="32" t="n"/>
      <c r="G3712" s="32" t="n"/>
      <c r="H3712" s="30" t="inlineStr">
        <is>
          <t>Oui</t>
        </is>
      </c>
    </row>
    <row r="3713">
      <c r="A3713" s="31" t="inlineStr">
        <is>
          <t>Pokémon</t>
        </is>
      </c>
      <c r="B3713" s="33" t="inlineStr">
        <is>
          <t>BEKIPAN</t>
        </is>
      </c>
      <c r="C3713" s="33" t="inlineStr">
        <is>
          <t>TARTARD</t>
        </is>
      </c>
      <c r="D3713" s="33" t="inlineStr">
        <is>
          <t>SERPANG</t>
        </is>
      </c>
      <c r="E3713" s="33" t="n"/>
      <c r="F3713" s="33" t="n"/>
      <c r="G3713" s="33" t="n"/>
      <c r="H3713" s="30" t="inlineStr">
        <is>
          <t>Oui</t>
        </is>
      </c>
    </row>
    <row r="3714">
      <c r="A3714" s="31" t="inlineStr">
        <is>
          <t>Niveau</t>
        </is>
      </c>
      <c r="B3714" s="33" t="n">
        <v>63</v>
      </c>
      <c r="C3714" s="33" t="n">
        <v>63</v>
      </c>
      <c r="D3714" s="33" t="n">
        <v>68</v>
      </c>
      <c r="E3714" s="33" t="n"/>
      <c r="F3714" s="33" t="n"/>
      <c r="G3714" s="33" t="n"/>
      <c r="H3714" s="30" t="inlineStr">
        <is>
          <t>Oui</t>
        </is>
      </c>
    </row>
    <row r="3715">
      <c r="A3715" s="31" t="inlineStr">
        <is>
          <t>Objet</t>
        </is>
      </c>
      <c r="B3715" s="33" t="inlineStr">
        <is>
          <t>Aucun</t>
        </is>
      </c>
      <c r="C3715" s="33" t="inlineStr">
        <is>
          <t>Orbe Vie</t>
        </is>
      </c>
      <c r="D3715" s="33" t="inlineStr">
        <is>
          <t>Herbe Blanche</t>
        </is>
      </c>
      <c r="E3715" s="33" t="n"/>
      <c r="F3715" s="33" t="n"/>
      <c r="G3715" s="33" t="n"/>
      <c r="H3715" s="30" t="inlineStr">
        <is>
          <t>Oui</t>
        </is>
      </c>
    </row>
    <row r="3716">
      <c r="A3716" s="31" t="inlineStr">
        <is>
          <t>Talent</t>
        </is>
      </c>
      <c r="B3716" s="33" t="inlineStr">
        <is>
          <t>Regard Vif</t>
        </is>
      </c>
      <c r="C3716" s="33" t="inlineStr">
        <is>
          <t>Absorbe-Eau</t>
        </is>
      </c>
      <c r="D3716" s="33" t="inlineStr">
        <is>
          <t>Ignifu-Voile</t>
        </is>
      </c>
      <c r="E3716" s="33" t="n"/>
      <c r="F3716" s="33" t="n"/>
      <c r="G3716" s="33" t="n"/>
      <c r="H3716" s="30" t="inlineStr">
        <is>
          <t>Oui</t>
        </is>
      </c>
    </row>
    <row r="3717">
      <c r="A3717" s="31" t="inlineStr">
        <is>
          <t>Capacités</t>
        </is>
      </c>
      <c r="B3717" s="34" t="inlineStr">
        <is>
          <t>Surf</t>
        </is>
      </c>
      <c r="C3717" s="34" t="inlineStr">
        <is>
          <t>Dark Lariat</t>
        </is>
      </c>
      <c r="D3717" s="34" t="inlineStr">
        <is>
          <t>Exuviation</t>
        </is>
      </c>
      <c r="E3717" s="34" t="n"/>
      <c r="F3717" s="34" t="n"/>
      <c r="G3717" s="34" t="n"/>
      <c r="H3717" s="30" t="inlineStr">
        <is>
          <t>Oui</t>
        </is>
      </c>
    </row>
    <row r="3718">
      <c r="A3718" s="31" t="n"/>
      <c r="B3718" s="34" t="inlineStr">
        <is>
          <t>Laser Glace</t>
        </is>
      </c>
      <c r="C3718" s="34" t="inlineStr">
        <is>
          <t>Vampi-Poing</t>
        </is>
      </c>
      <c r="D3718" s="34" t="inlineStr">
        <is>
          <t>Croc Fatal</t>
        </is>
      </c>
      <c r="E3718" s="34" t="n"/>
      <c r="F3718" s="34" t="n"/>
      <c r="G3718" s="34" t="n"/>
      <c r="H3718" s="30" t="inlineStr">
        <is>
          <t>Oui</t>
        </is>
      </c>
    </row>
    <row r="3719">
      <c r="A3719" s="31" t="n"/>
      <c r="B3719" s="34" t="inlineStr">
        <is>
          <t>Danse Plumes</t>
        </is>
      </c>
      <c r="C3719" s="34" t="inlineStr">
        <is>
          <t>Aqua-Brèche</t>
        </is>
      </c>
      <c r="D3719" s="34" t="inlineStr">
        <is>
          <t>Cascade</t>
        </is>
      </c>
      <c r="E3719" s="34" t="n"/>
      <c r="F3719" s="34" t="n"/>
      <c r="G3719" s="34" t="n"/>
      <c r="H3719" s="30" t="inlineStr">
        <is>
          <t>Oui</t>
        </is>
      </c>
    </row>
    <row r="3720">
      <c r="A3720" s="31" t="n"/>
      <c r="B3720" s="34" t="inlineStr">
        <is>
          <t>Onde de Choc</t>
        </is>
      </c>
      <c r="C3720" s="34" t="inlineStr">
        <is>
          <t>Poing Boost</t>
        </is>
      </c>
      <c r="D3720" s="34" t="inlineStr">
        <is>
          <t>Grimace</t>
        </is>
      </c>
      <c r="E3720" s="34" t="n"/>
      <c r="F3720" s="34" t="n"/>
      <c r="G3720" s="34" t="n"/>
      <c r="H3720" s="30" t="inlineStr">
        <is>
          <t>Oui</t>
        </is>
      </c>
    </row>
    <row r="3721" ht="18" customHeight="1">
      <c r="A3721" s="26" t="inlineStr">
        <is>
          <t>Akala</t>
        </is>
      </c>
      <c r="B3721" s="26" t="n"/>
      <c r="C3721" s="26" t="n"/>
      <c r="D3721" s="26" t="n"/>
      <c r="E3721" s="26" t="n"/>
      <c r="F3721" s="26" t="n"/>
      <c r="G3721" s="26" t="n"/>
      <c r="H3721" s="30" t="inlineStr">
        <is>
          <t>Oui</t>
        </is>
      </c>
    </row>
    <row r="3722">
      <c r="A3722" s="31" t="inlineStr">
        <is>
          <t>Nom</t>
        </is>
      </c>
      <c r="B3722" s="32" t="inlineStr">
        <is>
          <t>Montagnard Ian</t>
        </is>
      </c>
      <c r="C3722" s="32" t="n"/>
      <c r="D3722" s="32" t="n"/>
      <c r="E3722" s="32" t="n"/>
      <c r="F3722" s="32" t="n"/>
      <c r="G3722" s="32" t="n"/>
      <c r="H3722" s="30" t="inlineStr">
        <is>
          <t>Oui</t>
        </is>
      </c>
    </row>
    <row r="3723">
      <c r="A3723" s="31" t="inlineStr">
        <is>
          <t>Pokémon</t>
        </is>
      </c>
      <c r="B3723" s="33" t="inlineStr">
        <is>
          <t>SELEROC</t>
        </is>
      </c>
      <c r="C3723" s="33" t="inlineStr">
        <is>
          <t>SOLAROC</t>
        </is>
      </c>
      <c r="D3723" s="33" t="inlineStr">
        <is>
          <t>MAGMAR</t>
        </is>
      </c>
      <c r="E3723" s="33" t="n"/>
      <c r="F3723" s="33" t="n"/>
      <c r="G3723" s="33" t="n"/>
      <c r="H3723" s="30" t="inlineStr">
        <is>
          <t>Oui</t>
        </is>
      </c>
    </row>
    <row r="3724">
      <c r="A3724" s="31" t="inlineStr">
        <is>
          <t>Niveau</t>
        </is>
      </c>
      <c r="B3724" s="33" t="n">
        <v>63</v>
      </c>
      <c r="C3724" s="33" t="n">
        <v>63</v>
      </c>
      <c r="D3724" s="33" t="n">
        <v>65</v>
      </c>
      <c r="E3724" s="33" t="n"/>
      <c r="F3724" s="33" t="n"/>
      <c r="G3724" s="33" t="n"/>
      <c r="H3724" s="30" t="inlineStr">
        <is>
          <t>Oui</t>
        </is>
      </c>
    </row>
    <row r="3725">
      <c r="A3725" s="31" t="inlineStr">
        <is>
          <t>Objet</t>
        </is>
      </c>
      <c r="B3725" s="33" t="inlineStr">
        <is>
          <t>Talisman Sain</t>
        </is>
      </c>
      <c r="C3725" s="33" t="inlineStr">
        <is>
          <t>Roche Chaude</t>
        </is>
      </c>
      <c r="D3725" s="33" t="inlineStr">
        <is>
          <t>Évoluroc</t>
        </is>
      </c>
      <c r="E3725" s="33" t="n"/>
      <c r="F3725" s="33" t="n"/>
      <c r="G3725" s="33" t="n"/>
      <c r="H3725" s="30" t="inlineStr">
        <is>
          <t>Oui</t>
        </is>
      </c>
    </row>
    <row r="3726">
      <c r="A3726" s="31" t="inlineStr">
        <is>
          <t>Talent</t>
        </is>
      </c>
      <c r="B3726" s="33" t="inlineStr">
        <is>
          <t>Lévitation</t>
        </is>
      </c>
      <c r="C3726" s="33" t="inlineStr">
        <is>
          <t>Lévitation</t>
        </is>
      </c>
      <c r="D3726" s="33" t="inlineStr">
        <is>
          <t>Corps Ardent</t>
        </is>
      </c>
      <c r="E3726" s="33" t="n"/>
      <c r="F3726" s="33" t="n"/>
      <c r="G3726" s="33" t="n"/>
      <c r="H3726" s="30" t="inlineStr">
        <is>
          <t>Oui</t>
        </is>
      </c>
    </row>
    <row r="3727">
      <c r="A3727" s="31" t="inlineStr">
        <is>
          <t>Capacités</t>
        </is>
      </c>
      <c r="B3727" s="34" t="inlineStr">
        <is>
          <t>Force Cosmique</t>
        </is>
      </c>
      <c r="C3727" s="34" t="inlineStr">
        <is>
          <t>Zénith</t>
        </is>
      </c>
      <c r="D3727" s="34" t="inlineStr">
        <is>
          <t>Nitrocharge</t>
        </is>
      </c>
      <c r="E3727" s="34" t="n"/>
      <c r="F3727" s="34" t="n"/>
      <c r="G3727" s="34" t="n"/>
      <c r="H3727" s="30" t="inlineStr">
        <is>
          <t>Oui</t>
        </is>
      </c>
    </row>
    <row r="3728">
      <c r="A3728" s="31" t="n"/>
      <c r="B3728" s="34" t="inlineStr">
        <is>
          <t>Force Ajoutée</t>
        </is>
      </c>
      <c r="C3728" s="34" t="inlineStr">
        <is>
          <t>Ball'Météo</t>
        </is>
      </c>
      <c r="D3728" s="34" t="inlineStr">
        <is>
          <t>Clonage</t>
        </is>
      </c>
      <c r="E3728" s="34" t="n"/>
      <c r="F3728" s="34" t="n"/>
      <c r="G3728" s="34" t="n"/>
      <c r="H3728" s="30" t="inlineStr">
        <is>
          <t>Oui</t>
        </is>
      </c>
    </row>
    <row r="3729">
      <c r="A3729" s="31" t="n"/>
      <c r="B3729" s="34" t="inlineStr">
        <is>
          <t>Plénitude</t>
        </is>
      </c>
      <c r="C3729" s="34" t="inlineStr">
        <is>
          <t>Aurore</t>
        </is>
      </c>
      <c r="D3729" s="34" t="inlineStr">
        <is>
          <t>Mitra-Poing</t>
        </is>
      </c>
      <c r="E3729" s="34" t="n"/>
      <c r="F3729" s="34" t="n"/>
      <c r="G3729" s="34" t="n"/>
      <c r="H3729" s="30" t="inlineStr">
        <is>
          <t>Oui</t>
        </is>
      </c>
    </row>
    <row r="3730">
      <c r="A3730" s="31" t="n"/>
      <c r="B3730" s="34" t="inlineStr">
        <is>
          <t>Rayon Gemme</t>
        </is>
      </c>
      <c r="C3730" s="34" t="inlineStr">
        <is>
          <t>Lance-Soleil</t>
        </is>
      </c>
      <c r="D3730" s="34" t="inlineStr">
        <is>
          <t>Reflet</t>
        </is>
      </c>
      <c r="E3730" s="34" t="n"/>
      <c r="F3730" s="34" t="n"/>
      <c r="G3730" s="34" t="n"/>
      <c r="H3730" s="30" t="inlineStr">
        <is>
          <t>Oui</t>
        </is>
      </c>
    </row>
    <row r="3731">
      <c r="A3731" s="31" t="inlineStr">
        <is>
          <t>Nom</t>
        </is>
      </c>
      <c r="B3731" s="32" t="inlineStr">
        <is>
          <t>Pique-Nique Tatiana</t>
        </is>
      </c>
      <c r="C3731" s="32" t="n"/>
      <c r="D3731" s="32" t="n"/>
      <c r="E3731" s="32" t="n"/>
      <c r="F3731" s="32" t="n"/>
      <c r="G3731" s="32" t="n"/>
      <c r="H3731" s="30" t="inlineStr">
        <is>
          <t>Oui</t>
        </is>
      </c>
    </row>
    <row r="3732">
      <c r="A3732" s="31" t="inlineStr">
        <is>
          <t>Pokémon</t>
        </is>
      </c>
      <c r="B3732" s="33" t="inlineStr">
        <is>
          <t>PAPINOX</t>
        </is>
      </c>
      <c r="C3732" s="33" t="inlineStr">
        <is>
          <t>SCARABRUTE</t>
        </is>
      </c>
      <c r="D3732" s="33" t="inlineStr">
        <is>
          <t>LUDICOLO</t>
        </is>
      </c>
      <c r="E3732" s="33" t="n"/>
      <c r="F3732" s="33" t="n"/>
      <c r="G3732" s="33" t="n"/>
      <c r="H3732" s="30" t="inlineStr">
        <is>
          <t>Oui</t>
        </is>
      </c>
    </row>
    <row r="3733">
      <c r="A3733" s="31" t="inlineStr">
        <is>
          <t>Niveau</t>
        </is>
      </c>
      <c r="B3733" s="33" t="n">
        <v>64</v>
      </c>
      <c r="C3733" s="33" t="n">
        <v>61</v>
      </c>
      <c r="D3733" s="33" t="n">
        <v>63</v>
      </c>
      <c r="E3733" s="33" t="n"/>
      <c r="F3733" s="33" t="n"/>
      <c r="G3733" s="33" t="n"/>
      <c r="H3733" s="30" t="inlineStr">
        <is>
          <t>Oui</t>
        </is>
      </c>
    </row>
    <row r="3734">
      <c r="A3734" s="31" t="inlineStr">
        <is>
          <t>Objet</t>
        </is>
      </c>
      <c r="B3734" s="33" t="inlineStr">
        <is>
          <t>Ceinture Force</t>
        </is>
      </c>
      <c r="C3734" s="33" t="inlineStr">
        <is>
          <t>Orbe Vie</t>
        </is>
      </c>
      <c r="D3734" s="33" t="inlineStr">
        <is>
          <t>Aucun</t>
        </is>
      </c>
      <c r="E3734" s="33" t="n"/>
      <c r="F3734" s="33" t="n"/>
      <c r="G3734" s="33" t="n"/>
      <c r="H3734" s="30" t="inlineStr">
        <is>
          <t>Oui</t>
        </is>
      </c>
    </row>
    <row r="3735">
      <c r="A3735" s="31" t="inlineStr">
        <is>
          <t>Talent</t>
        </is>
      </c>
      <c r="B3735" s="33" t="inlineStr">
        <is>
          <t>Œil Composé</t>
        </is>
      </c>
      <c r="C3735" s="33" t="inlineStr">
        <is>
          <t>Impudence</t>
        </is>
      </c>
      <c r="D3735" s="33" t="inlineStr">
        <is>
          <t>Cuvette</t>
        </is>
      </c>
      <c r="E3735" s="33" t="n"/>
      <c r="F3735" s="33" t="n"/>
      <c r="G3735" s="33" t="n"/>
      <c r="H3735" s="30" t="inlineStr">
        <is>
          <t>Oui</t>
        </is>
      </c>
    </row>
    <row r="3736">
      <c r="A3736" s="31" t="inlineStr">
        <is>
          <t>Capacités</t>
        </is>
      </c>
      <c r="B3736" s="34" t="inlineStr">
        <is>
          <t>Choc Venin</t>
        </is>
      </c>
      <c r="C3736" s="34" t="inlineStr">
        <is>
          <t>Yama Arashi</t>
        </is>
      </c>
      <c r="D3736" s="34" t="inlineStr">
        <is>
          <t>Danse Folle</t>
        </is>
      </c>
      <c r="E3736" s="34" t="n"/>
      <c r="F3736" s="34" t="n"/>
      <c r="G3736" s="34" t="n"/>
      <c r="H3736" s="30" t="inlineStr">
        <is>
          <t>Oui</t>
        </is>
      </c>
    </row>
    <row r="3737">
      <c r="A3737" s="31" t="n"/>
      <c r="B3737" s="34" t="inlineStr">
        <is>
          <t>Toxik</t>
        </is>
      </c>
      <c r="C3737" s="34" t="inlineStr">
        <is>
          <t>Plaie Croix</t>
        </is>
      </c>
      <c r="D3737" s="34" t="inlineStr">
        <is>
          <t>Ébullition</t>
        </is>
      </c>
      <c r="E3737" s="34" t="n"/>
      <c r="F3737" s="34" t="n"/>
      <c r="G3737" s="34" t="n"/>
      <c r="H3737" s="30" t="inlineStr">
        <is>
          <t>Oui</t>
        </is>
      </c>
    </row>
    <row r="3738">
      <c r="A3738" s="31" t="n"/>
      <c r="B3738" s="34" t="inlineStr">
        <is>
          <t>Mur de Fer</t>
        </is>
      </c>
      <c r="C3738" s="34" t="inlineStr">
        <is>
          <t>Guillotine</t>
        </is>
      </c>
      <c r="D3738" s="34" t="inlineStr">
        <is>
          <t>Désherbaffe</t>
        </is>
      </c>
      <c r="E3738" s="34" t="n"/>
      <c r="F3738" s="34" t="n"/>
      <c r="G3738" s="34" t="n"/>
      <c r="H3738" s="30" t="inlineStr">
        <is>
          <t>Oui</t>
        </is>
      </c>
    </row>
    <row r="3739">
      <c r="A3739" s="31" t="n"/>
      <c r="B3739" s="34" t="inlineStr">
        <is>
          <t>Papillodanse</t>
        </is>
      </c>
      <c r="C3739" s="34" t="inlineStr">
        <is>
          <t>Malédiction</t>
        </is>
      </c>
      <c r="D3739" s="34" t="inlineStr">
        <is>
          <t>Encore</t>
        </is>
      </c>
      <c r="E3739" s="34" t="n"/>
      <c r="F3739" s="34" t="n"/>
      <c r="G3739" s="34" t="n"/>
      <c r="H3739" s="30" t="inlineStr">
        <is>
          <t>Oui</t>
        </is>
      </c>
    </row>
    <row r="3740">
      <c r="A3740" s="31" t="inlineStr">
        <is>
          <t>Nom</t>
        </is>
      </c>
      <c r="B3740" s="32" t="inlineStr">
        <is>
          <t>Campeur Oliver</t>
        </is>
      </c>
      <c r="C3740" s="32" t="n"/>
      <c r="D3740" s="32" t="n"/>
      <c r="E3740" s="32" t="n"/>
      <c r="F3740" s="32" t="n"/>
      <c r="G3740" s="32" t="n"/>
      <c r="H3740" s="30" t="inlineStr">
        <is>
          <t>Oui</t>
        </is>
      </c>
    </row>
    <row r="3741">
      <c r="A3741" s="31" t="inlineStr">
        <is>
          <t>Pokémon</t>
        </is>
      </c>
      <c r="B3741" s="33" t="inlineStr">
        <is>
          <t>HELEDELLE</t>
        </is>
      </c>
      <c r="C3741" s="33" t="inlineStr">
        <is>
          <t>DARDARGNAN</t>
        </is>
      </c>
      <c r="D3741" s="33" t="inlineStr">
        <is>
          <t>PAPINOX</t>
        </is>
      </c>
      <c r="E3741" s="33" t="n"/>
      <c r="F3741" s="33" t="n"/>
      <c r="G3741" s="33" t="n"/>
      <c r="H3741" s="30" t="inlineStr">
        <is>
          <t>Oui</t>
        </is>
      </c>
    </row>
    <row r="3742">
      <c r="A3742" s="31" t="inlineStr">
        <is>
          <t>Niveau</t>
        </is>
      </c>
      <c r="B3742" s="33" t="n">
        <v>63</v>
      </c>
      <c r="C3742" s="33" t="n">
        <v>65</v>
      </c>
      <c r="D3742" s="33" t="n">
        <v>66</v>
      </c>
      <c r="E3742" s="33" t="n"/>
      <c r="F3742" s="33" t="n"/>
      <c r="G3742" s="33" t="n"/>
      <c r="H3742" s="30" t="inlineStr">
        <is>
          <t>Oui</t>
        </is>
      </c>
    </row>
    <row r="3743">
      <c r="A3743" s="31" t="inlineStr">
        <is>
          <t>Objet</t>
        </is>
      </c>
      <c r="B3743" s="33" t="inlineStr">
        <is>
          <t>Aucun</t>
        </is>
      </c>
      <c r="C3743" s="33" t="inlineStr">
        <is>
          <t>Lentilscope</t>
        </is>
      </c>
      <c r="D3743" s="33" t="inlineStr">
        <is>
          <t>Aucun</t>
        </is>
      </c>
      <c r="E3743" s="33" t="n"/>
      <c r="F3743" s="33" t="n"/>
      <c r="G3743" s="33" t="n"/>
      <c r="H3743" s="30" t="inlineStr">
        <is>
          <t>Oui</t>
        </is>
      </c>
    </row>
    <row r="3744">
      <c r="A3744" s="31" t="inlineStr">
        <is>
          <t>Talent</t>
        </is>
      </c>
      <c r="B3744" s="33" t="inlineStr">
        <is>
          <t>Querelleur</t>
        </is>
      </c>
      <c r="C3744" s="33" t="inlineStr">
        <is>
          <t>Sniper</t>
        </is>
      </c>
      <c r="D3744" s="33" t="inlineStr">
        <is>
          <t>Écran Poudre</t>
        </is>
      </c>
      <c r="E3744" s="33" t="n"/>
      <c r="F3744" s="33" t="n"/>
      <c r="G3744" s="33" t="n"/>
      <c r="H3744" s="30" t="inlineStr">
        <is>
          <t>Oui</t>
        </is>
      </c>
    </row>
    <row r="3745">
      <c r="A3745" s="31" t="inlineStr">
        <is>
          <t>Capacités</t>
        </is>
      </c>
      <c r="B3745" s="34" t="inlineStr">
        <is>
          <t>Bang Sonique</t>
        </is>
      </c>
      <c r="C3745" s="34" t="inlineStr">
        <is>
          <t>Direct Toxik</t>
        </is>
      </c>
      <c r="D3745" s="34" t="inlineStr">
        <is>
          <t>Bourdon</t>
        </is>
      </c>
      <c r="E3745" s="34" t="n"/>
      <c r="F3745" s="34" t="n"/>
      <c r="G3745" s="34" t="n"/>
      <c r="H3745" s="30" t="inlineStr">
        <is>
          <t>Oui</t>
        </is>
      </c>
    </row>
    <row r="3746">
      <c r="A3746" s="31" t="n"/>
      <c r="B3746" s="34" t="inlineStr">
        <is>
          <t>Rapace</t>
        </is>
      </c>
      <c r="C3746" s="34" t="inlineStr">
        <is>
          <t>Tunnelier</t>
        </is>
      </c>
      <c r="D3746" s="34" t="inlineStr">
        <is>
          <t>Sécrétion</t>
        </is>
      </c>
      <c r="E3746" s="34" t="n"/>
      <c r="F3746" s="34" t="n"/>
      <c r="G3746" s="34" t="n"/>
      <c r="H3746" s="30" t="inlineStr">
        <is>
          <t>Oui</t>
        </is>
      </c>
    </row>
    <row r="3747">
      <c r="A3747" s="31" t="n"/>
      <c r="B3747" s="34" t="inlineStr">
        <is>
          <t>Atterrissage</t>
        </is>
      </c>
      <c r="C3747" s="34" t="inlineStr">
        <is>
          <t>Colère</t>
        </is>
      </c>
      <c r="D3747" s="34" t="inlineStr">
        <is>
          <t>Ball'Ombre</t>
        </is>
      </c>
      <c r="E3747" s="34" t="n"/>
      <c r="F3747" s="34" t="n"/>
      <c r="G3747" s="34" t="n"/>
      <c r="H3747" s="30" t="inlineStr">
        <is>
          <t>Oui</t>
        </is>
      </c>
    </row>
    <row r="3748">
      <c r="A3748" s="31" t="n"/>
      <c r="B3748" s="34" t="inlineStr">
        <is>
          <t>Vent Arrière</t>
        </is>
      </c>
      <c r="C3748" s="34" t="inlineStr">
        <is>
          <t>Dard Mortel</t>
        </is>
      </c>
      <c r="D3748" s="34" t="inlineStr">
        <is>
          <t>Éco-Sphère</t>
        </is>
      </c>
      <c r="E3748" s="34" t="n"/>
      <c r="F3748" s="34" t="n"/>
      <c r="G3748" s="34" t="n"/>
      <c r="H3748" s="30" t="inlineStr">
        <is>
          <t>Oui</t>
        </is>
      </c>
    </row>
    <row r="3749">
      <c r="A3749" s="31" t="inlineStr">
        <is>
          <t>Nom</t>
        </is>
      </c>
      <c r="B3749" s="32" t="inlineStr">
        <is>
          <t>Nageuse Portia</t>
        </is>
      </c>
      <c r="C3749" s="32" t="n"/>
      <c r="D3749" s="32" t="n"/>
      <c r="E3749" s="32" t="n"/>
      <c r="F3749" s="32" t="n"/>
      <c r="G3749" s="32" t="n"/>
      <c r="H3749" s="30" t="inlineStr">
        <is>
          <t>Oui</t>
        </is>
      </c>
    </row>
    <row r="3750">
      <c r="A3750" s="31" t="inlineStr">
        <is>
          <t>Pokémon</t>
        </is>
      </c>
      <c r="B3750" s="33" t="inlineStr">
        <is>
          <t>CORAYON</t>
        </is>
      </c>
      <c r="C3750" s="33" t="inlineStr">
        <is>
          <t>OCTILLERY</t>
        </is>
      </c>
      <c r="D3750" s="33" t="inlineStr">
        <is>
          <t>DEMANTA</t>
        </is>
      </c>
      <c r="E3750" s="33" t="n"/>
      <c r="F3750" s="33" t="n"/>
      <c r="G3750" s="33" t="n"/>
      <c r="H3750" s="30" t="inlineStr">
        <is>
          <t>Oui</t>
        </is>
      </c>
    </row>
    <row r="3751">
      <c r="A3751" s="31" t="inlineStr">
        <is>
          <t>Niveau</t>
        </is>
      </c>
      <c r="B3751" s="33" t="n">
        <v>65</v>
      </c>
      <c r="C3751" s="33" t="n">
        <v>65</v>
      </c>
      <c r="D3751" s="33" t="n">
        <v>66</v>
      </c>
      <c r="E3751" s="33" t="n"/>
      <c r="F3751" s="33" t="n"/>
      <c r="G3751" s="33" t="n"/>
      <c r="H3751" s="30" t="inlineStr">
        <is>
          <t>Oui</t>
        </is>
      </c>
    </row>
    <row r="3752">
      <c r="A3752" s="31" t="inlineStr">
        <is>
          <t>Objet</t>
        </is>
      </c>
      <c r="B3752" s="33" t="inlineStr">
        <is>
          <t>Lentille Zoom</t>
        </is>
      </c>
      <c r="C3752" s="33" t="inlineStr">
        <is>
          <t>Restes</t>
        </is>
      </c>
      <c r="D3752" s="33" t="inlineStr">
        <is>
          <t>Veste de Combat</t>
        </is>
      </c>
      <c r="E3752" s="33" t="n"/>
      <c r="F3752" s="33" t="n"/>
      <c r="G3752" s="33" t="n"/>
      <c r="H3752" s="30" t="inlineStr">
        <is>
          <t>Oui</t>
        </is>
      </c>
    </row>
    <row r="3753">
      <c r="A3753" s="31" t="inlineStr">
        <is>
          <t>Talent</t>
        </is>
      </c>
      <c r="B3753" s="33" t="inlineStr">
        <is>
          <t>Agitation</t>
        </is>
      </c>
      <c r="C3753" s="33" t="inlineStr">
        <is>
          <t>Lunatique</t>
        </is>
      </c>
      <c r="D3753" s="33" t="inlineStr">
        <is>
          <t>Absorbe-Eau</t>
        </is>
      </c>
      <c r="E3753" s="33" t="n"/>
      <c r="F3753" s="33" t="n"/>
      <c r="G3753" s="33" t="n"/>
      <c r="H3753" s="30" t="inlineStr">
        <is>
          <t>Oui</t>
        </is>
      </c>
    </row>
    <row r="3754">
      <c r="A3754" s="31" t="inlineStr">
        <is>
          <t>Capacités</t>
        </is>
      </c>
      <c r="B3754" s="34" t="inlineStr">
        <is>
          <t>Aqua-Brèche</t>
        </is>
      </c>
      <c r="C3754" s="34" t="inlineStr">
        <is>
          <t>Abri</t>
        </is>
      </c>
      <c r="D3754" s="34" t="inlineStr">
        <is>
          <t>Voile Miroir</t>
        </is>
      </c>
      <c r="E3754" s="34" t="n"/>
      <c r="F3754" s="34" t="n"/>
      <c r="G3754" s="34" t="n"/>
      <c r="H3754" s="30" t="inlineStr">
        <is>
          <t>Oui</t>
        </is>
      </c>
    </row>
    <row r="3755">
      <c r="A3755" s="31" t="n"/>
      <c r="B3755" s="34" t="inlineStr">
        <is>
          <t>Fracass'Tête</t>
        </is>
      </c>
      <c r="C3755" s="34" t="inlineStr">
        <is>
          <t>Octazooka</t>
        </is>
      </c>
      <c r="D3755" s="34" t="inlineStr">
        <is>
          <t>Canon Graine</t>
        </is>
      </c>
      <c r="E3755" s="34" t="n"/>
      <c r="F3755" s="34" t="n"/>
      <c r="G3755" s="34" t="n"/>
      <c r="H3755" s="30" t="inlineStr">
        <is>
          <t>Oui</t>
        </is>
      </c>
    </row>
    <row r="3756">
      <c r="A3756" s="31" t="n"/>
      <c r="B3756" s="34" t="inlineStr">
        <is>
          <t>Soin</t>
        </is>
      </c>
      <c r="C3756" s="34" t="inlineStr">
        <is>
          <t>Détricanon</t>
        </is>
      </c>
      <c r="D3756" s="34" t="inlineStr">
        <is>
          <t>Hydro-Queue</t>
        </is>
      </c>
      <c r="E3756" s="34" t="n"/>
      <c r="F3756" s="34" t="n"/>
      <c r="G3756" s="34" t="n"/>
      <c r="H3756" s="30" t="inlineStr">
        <is>
          <t>Oui</t>
        </is>
      </c>
    </row>
    <row r="3757">
      <c r="A3757" s="31" t="n"/>
      <c r="B3757" s="34" t="inlineStr">
        <is>
          <t>Coup Bas</t>
        </is>
      </c>
      <c r="C3757" s="34" t="inlineStr">
        <is>
          <t>Boule Roc</t>
        </is>
      </c>
      <c r="D3757" s="34" t="inlineStr">
        <is>
          <t>Boule Roc</t>
        </is>
      </c>
      <c r="E3757" s="34" t="n"/>
      <c r="F3757" s="34" t="n"/>
      <c r="G3757" s="34" t="n"/>
      <c r="H3757" s="30" t="inlineStr">
        <is>
          <t>Oui</t>
        </is>
      </c>
    </row>
    <row r="3758">
      <c r="A3758" s="31" t="inlineStr">
        <is>
          <t>Nom</t>
        </is>
      </c>
      <c r="B3758" s="32" t="inlineStr">
        <is>
          <t>Nageuse Kelsie</t>
        </is>
      </c>
      <c r="C3758" s="32" t="n"/>
      <c r="D3758" s="32" t="n"/>
      <c r="E3758" s="32" t="n"/>
      <c r="F3758" s="32" t="n"/>
      <c r="G3758" s="32" t="n"/>
      <c r="H3758" s="30" t="inlineStr">
        <is>
          <t>Oui</t>
        </is>
      </c>
    </row>
    <row r="3759">
      <c r="A3759" s="31" t="inlineStr">
        <is>
          <t>Pokémon</t>
        </is>
      </c>
      <c r="B3759" s="33" t="inlineStr">
        <is>
          <t>STAROSS</t>
        </is>
      </c>
      <c r="C3759" s="33" t="inlineStr">
        <is>
          <t>POISSOROY</t>
        </is>
      </c>
      <c r="D3759" s="33" t="inlineStr">
        <is>
          <t>AKWAKWAK</t>
        </is>
      </c>
      <c r="E3759" s="33" t="n"/>
      <c r="F3759" s="33" t="n"/>
      <c r="G3759" s="33" t="n"/>
      <c r="H3759" s="30" t="inlineStr">
        <is>
          <t>Oui</t>
        </is>
      </c>
    </row>
    <row r="3760">
      <c r="A3760" s="31" t="inlineStr">
        <is>
          <t>Niveau</t>
        </is>
      </c>
      <c r="B3760" s="33" t="n">
        <v>66</v>
      </c>
      <c r="C3760" s="33" t="n">
        <v>67</v>
      </c>
      <c r="D3760" s="33" t="n">
        <v>60</v>
      </c>
      <c r="E3760" s="33" t="n"/>
      <c r="F3760" s="33" t="n"/>
      <c r="G3760" s="33" t="n"/>
      <c r="H3760" s="30" t="inlineStr">
        <is>
          <t>Oui</t>
        </is>
      </c>
    </row>
    <row r="3761">
      <c r="A3761" s="31" t="inlineStr">
        <is>
          <t>Objet</t>
        </is>
      </c>
      <c r="B3761" s="33" t="inlineStr">
        <is>
          <t>Ralentiqueue</t>
        </is>
      </c>
      <c r="C3761" s="33" t="inlineStr">
        <is>
          <t>Roche Royale</t>
        </is>
      </c>
      <c r="D3761" s="33" t="inlineStr">
        <is>
          <t>Lentilscope</t>
        </is>
      </c>
      <c r="E3761" s="33" t="n"/>
      <c r="F3761" s="33" t="n"/>
      <c r="G3761" s="33" t="n"/>
      <c r="H3761" s="30" t="inlineStr">
        <is>
          <t>Oui</t>
        </is>
      </c>
    </row>
    <row r="3762">
      <c r="A3762" s="31" t="inlineStr">
        <is>
          <t>Talent</t>
        </is>
      </c>
      <c r="B3762" s="33" t="inlineStr">
        <is>
          <t>Analyste</t>
        </is>
      </c>
      <c r="C3762" s="33" t="inlineStr">
        <is>
          <t>Paratonnerre</t>
        </is>
      </c>
      <c r="D3762" s="33" t="inlineStr">
        <is>
          <t>Ciel Gris</t>
        </is>
      </c>
      <c r="E3762" s="33" t="n"/>
      <c r="F3762" s="33" t="n"/>
      <c r="G3762" s="33" t="n"/>
      <c r="H3762" s="30" t="inlineStr">
        <is>
          <t>Oui</t>
        </is>
      </c>
    </row>
    <row r="3763">
      <c r="A3763" s="31" t="inlineStr">
        <is>
          <t>Capacités</t>
        </is>
      </c>
      <c r="B3763" s="34" t="inlineStr">
        <is>
          <t>Plongée</t>
        </is>
      </c>
      <c r="C3763" s="34" t="inlineStr">
        <is>
          <t>Tunnelier</t>
        </is>
      </c>
      <c r="D3763" s="34" t="inlineStr">
        <is>
          <t>Coup Croix</t>
        </is>
      </c>
      <c r="E3763" s="34" t="n"/>
      <c r="F3763" s="34" t="n"/>
      <c r="G3763" s="34" t="n"/>
      <c r="H3763" s="30" t="inlineStr">
        <is>
          <t>Oui</t>
        </is>
      </c>
    </row>
    <row r="3764">
      <c r="A3764" s="31" t="n"/>
      <c r="B3764" s="34" t="inlineStr">
        <is>
          <t>Avalanche</t>
        </is>
      </c>
      <c r="C3764" s="34" t="inlineStr">
        <is>
          <t>Acupression</t>
        </is>
      </c>
      <c r="D3764" s="34" t="inlineStr">
        <is>
          <t>Aqua-Jet</t>
        </is>
      </c>
      <c r="E3764" s="34" t="n"/>
      <c r="F3764" s="34" t="n"/>
      <c r="G3764" s="34" t="n"/>
      <c r="H3764" s="30" t="inlineStr">
        <is>
          <t>Oui</t>
        </is>
      </c>
    </row>
    <row r="3765">
      <c r="A3765" s="31" t="n"/>
      <c r="B3765" s="34" t="inlineStr">
        <is>
          <t>Malédiction</t>
        </is>
      </c>
      <c r="C3765" s="34" t="inlineStr">
        <is>
          <t>Rafale Écailles</t>
        </is>
      </c>
      <c r="D3765" s="34" t="inlineStr">
        <is>
          <t>Griffe Ombre</t>
        </is>
      </c>
      <c r="E3765" s="34" t="n"/>
      <c r="F3765" s="34" t="n"/>
      <c r="G3765" s="34" t="n"/>
      <c r="H3765" s="30" t="inlineStr">
        <is>
          <t>Oui</t>
        </is>
      </c>
    </row>
    <row r="3766">
      <c r="A3766" s="31" t="n"/>
      <c r="B3766" s="34" t="inlineStr">
        <is>
          <t>Soin</t>
        </is>
      </c>
      <c r="C3766" s="34" t="inlineStr">
        <is>
          <t>Mimi-Queue</t>
        </is>
      </c>
      <c r="D3766" s="34" t="inlineStr">
        <is>
          <t>Bâillement</t>
        </is>
      </c>
      <c r="E3766" s="34" t="n"/>
      <c r="F3766" s="34" t="n"/>
      <c r="G3766" s="34" t="n"/>
      <c r="H3766" s="30" t="inlineStr">
        <is>
          <t>Oui</t>
        </is>
      </c>
    </row>
    <row r="3767">
      <c r="A3767" s="31" t="inlineStr">
        <is>
          <t>Nom</t>
        </is>
      </c>
      <c r="B3767" s="32" t="inlineStr">
        <is>
          <t>Nageur Geoff</t>
        </is>
      </c>
      <c r="C3767" s="32" t="n"/>
      <c r="D3767" s="32" t="n"/>
      <c r="E3767" s="32" t="n"/>
      <c r="F3767" s="32" t="n"/>
      <c r="G3767" s="32" t="n"/>
      <c r="H3767" s="30" t="inlineStr">
        <is>
          <t>Oui</t>
        </is>
      </c>
    </row>
    <row r="3768">
      <c r="A3768" s="31" t="inlineStr">
        <is>
          <t>Pokémon</t>
        </is>
      </c>
      <c r="B3768" s="33" t="inlineStr">
        <is>
          <t>TENTACRUEL</t>
        </is>
      </c>
      <c r="C3768" s="33" t="inlineStr">
        <is>
          <t>LEVIATOR</t>
        </is>
      </c>
      <c r="D3768" s="33" t="inlineStr">
        <is>
          <t>HYPOROI</t>
        </is>
      </c>
      <c r="E3768" s="33" t="n"/>
      <c r="F3768" s="33" t="n"/>
      <c r="G3768" s="33" t="n"/>
      <c r="H3768" s="30" t="inlineStr">
        <is>
          <t>Oui</t>
        </is>
      </c>
    </row>
    <row r="3769">
      <c r="A3769" s="31" t="inlineStr">
        <is>
          <t>Niveau</t>
        </is>
      </c>
      <c r="B3769" s="33" t="n">
        <v>64</v>
      </c>
      <c r="C3769" s="33" t="n">
        <v>64</v>
      </c>
      <c r="D3769" s="33" t="n">
        <v>64</v>
      </c>
      <c r="E3769" s="33" t="n"/>
      <c r="F3769" s="33" t="n"/>
      <c r="G3769" s="33" t="n"/>
      <c r="H3769" s="30" t="inlineStr">
        <is>
          <t>Oui</t>
        </is>
      </c>
    </row>
    <row r="3770">
      <c r="A3770" s="31" t="inlineStr">
        <is>
          <t>Objet</t>
        </is>
      </c>
      <c r="B3770" s="33" t="inlineStr">
        <is>
          <t>Aucun</t>
        </is>
      </c>
      <c r="C3770" s="33" t="inlineStr">
        <is>
          <t>Aucun</t>
        </is>
      </c>
      <c r="D3770" s="33" t="inlineStr">
        <is>
          <t>Lentilscope</t>
        </is>
      </c>
      <c r="E3770" s="33" t="n"/>
      <c r="F3770" s="33" t="n"/>
      <c r="G3770" s="33" t="n"/>
      <c r="H3770" s="30" t="inlineStr">
        <is>
          <t>Oui</t>
        </is>
      </c>
    </row>
    <row r="3771">
      <c r="A3771" s="31" t="inlineStr">
        <is>
          <t>Talent</t>
        </is>
      </c>
      <c r="B3771" s="33" t="inlineStr">
        <is>
          <t>Suintement</t>
        </is>
      </c>
      <c r="C3771" s="33" t="inlineStr">
        <is>
          <t>Impudence</t>
        </is>
      </c>
      <c r="D3771" s="33" t="inlineStr">
        <is>
          <t>Sniper</t>
        </is>
      </c>
      <c r="E3771" s="33" t="n"/>
      <c r="F3771" s="33" t="n"/>
      <c r="G3771" s="33" t="n"/>
      <c r="H3771" s="30" t="inlineStr">
        <is>
          <t>Oui</t>
        </is>
      </c>
    </row>
    <row r="3772">
      <c r="A3772" s="31" t="inlineStr">
        <is>
          <t>Capacités</t>
        </is>
      </c>
      <c r="B3772" s="34" t="inlineStr">
        <is>
          <t>Détricanon</t>
        </is>
      </c>
      <c r="C3772" s="34" t="inlineStr">
        <is>
          <t>Mâchouille</t>
        </is>
      </c>
      <c r="D3772" s="34" t="inlineStr">
        <is>
          <t>Draco-Choc</t>
        </is>
      </c>
      <c r="E3772" s="34" t="n"/>
      <c r="F3772" s="34" t="n"/>
      <c r="G3772" s="34" t="n"/>
      <c r="H3772" s="30" t="inlineStr">
        <is>
          <t>Oui</t>
        </is>
      </c>
    </row>
    <row r="3773">
      <c r="A3773" s="31" t="n"/>
      <c r="B3773" s="34" t="inlineStr">
        <is>
          <t>Eau Revoir</t>
        </is>
      </c>
      <c r="C3773" s="34" t="inlineStr">
        <is>
          <t>Séisme</t>
        </is>
      </c>
      <c r="D3773" s="34" t="inlineStr">
        <is>
          <t>Brouillard</t>
        </is>
      </c>
      <c r="E3773" s="34" t="n"/>
      <c r="F3773" s="34" t="n"/>
      <c r="G3773" s="34" t="n"/>
      <c r="H3773" s="30" t="inlineStr">
        <is>
          <t>Oui</t>
        </is>
      </c>
    </row>
    <row r="3774">
      <c r="A3774" s="31" t="n"/>
      <c r="B3774" s="34" t="inlineStr">
        <is>
          <t>Pics Toxik</t>
        </is>
      </c>
      <c r="C3774" s="34" t="inlineStr">
        <is>
          <t>Frénésie</t>
        </is>
      </c>
      <c r="D3774" s="34" t="inlineStr">
        <is>
          <t>Saumure</t>
        </is>
      </c>
      <c r="E3774" s="34" t="n"/>
      <c r="F3774" s="34" t="n"/>
      <c r="G3774" s="34" t="n"/>
      <c r="H3774" s="30" t="inlineStr">
        <is>
          <t>Oui</t>
        </is>
      </c>
    </row>
    <row r="3775">
      <c r="A3775" s="31" t="n"/>
      <c r="B3775" s="34" t="inlineStr">
        <is>
          <t>Tour Rapide</t>
        </is>
      </c>
      <c r="C3775" s="34" t="inlineStr">
        <is>
          <t>Grimace</t>
        </is>
      </c>
      <c r="D3775" s="34" t="inlineStr">
        <is>
          <t>Puissance</t>
        </is>
      </c>
      <c r="E3775" s="34" t="n"/>
      <c r="F3775" s="34" t="n"/>
      <c r="G3775" s="34" t="n"/>
      <c r="H3775" s="30" t="inlineStr">
        <is>
          <t>Oui</t>
        </is>
      </c>
    </row>
    <row r="3776" ht="18" customHeight="1">
      <c r="A3776" s="26" t="inlineStr">
        <is>
          <t>Grotte d'Akala</t>
        </is>
      </c>
      <c r="B3776" s="26" t="n"/>
      <c r="C3776" s="26" t="n"/>
      <c r="D3776" s="26" t="n"/>
      <c r="E3776" s="26" t="n"/>
      <c r="F3776" s="26" t="n"/>
      <c r="G3776" s="26" t="n"/>
      <c r="H3776" s="30" t="inlineStr">
        <is>
          <t>Oui</t>
        </is>
      </c>
    </row>
    <row r="3777">
      <c r="A3777" s="31" t="inlineStr">
        <is>
          <t>Nom</t>
        </is>
      </c>
      <c r="B3777" s="32" t="inlineStr">
        <is>
          <t>Montagnard Frank</t>
        </is>
      </c>
      <c r="C3777" s="32" t="n"/>
      <c r="D3777" s="32" t="n"/>
      <c r="E3777" s="32" t="n"/>
      <c r="F3777" s="32" t="n"/>
      <c r="G3777" s="32" t="n"/>
      <c r="H3777" s="30" t="inlineStr">
        <is>
          <t>Oui</t>
        </is>
      </c>
    </row>
    <row r="3778">
      <c r="A3778" s="31" t="inlineStr">
        <is>
          <t>Pokémon</t>
        </is>
      </c>
      <c r="B3778" s="33" t="inlineStr">
        <is>
          <t>KANGOUREX</t>
        </is>
      </c>
      <c r="C3778" s="33" t="inlineStr">
        <is>
          <t>SOLAROC</t>
        </is>
      </c>
      <c r="D3778" s="33" t="inlineStr">
        <is>
          <t>SELEROC</t>
        </is>
      </c>
      <c r="E3778" s="33" t="n"/>
      <c r="F3778" s="33" t="n"/>
      <c r="G3778" s="33" t="n"/>
      <c r="H3778" s="30" t="inlineStr">
        <is>
          <t>Oui</t>
        </is>
      </c>
    </row>
    <row r="3779">
      <c r="A3779" s="31" t="inlineStr">
        <is>
          <t>Niveau</t>
        </is>
      </c>
      <c r="B3779" s="33" t="n">
        <v>62</v>
      </c>
      <c r="C3779" s="33" t="n">
        <v>64</v>
      </c>
      <c r="D3779" s="33" t="n">
        <v>64</v>
      </c>
      <c r="E3779" s="33" t="n"/>
      <c r="F3779" s="33" t="n"/>
      <c r="G3779" s="33" t="n"/>
      <c r="H3779" s="30" t="inlineStr">
        <is>
          <t>Oui</t>
        </is>
      </c>
    </row>
    <row r="3780">
      <c r="A3780" s="31" t="inlineStr">
        <is>
          <t>Objet</t>
        </is>
      </c>
      <c r="B3780" s="33" t="inlineStr">
        <is>
          <t>Aucun</t>
        </is>
      </c>
      <c r="C3780" s="33" t="inlineStr">
        <is>
          <t>Aucun</t>
        </is>
      </c>
      <c r="D3780" s="33" t="inlineStr">
        <is>
          <t>Joyau Normal</t>
        </is>
      </c>
      <c r="E3780" s="33" t="n"/>
      <c r="F3780" s="33" t="n"/>
      <c r="G3780" s="33" t="n"/>
      <c r="H3780" s="30" t="inlineStr">
        <is>
          <t>Oui</t>
        </is>
      </c>
    </row>
    <row r="3781">
      <c r="A3781" s="31" t="inlineStr">
        <is>
          <t>Talent</t>
        </is>
      </c>
      <c r="B3781" s="33" t="inlineStr">
        <is>
          <t>Querelleur</t>
        </is>
      </c>
      <c r="C3781" s="33" t="inlineStr">
        <is>
          <t>Lévitation</t>
        </is>
      </c>
      <c r="D3781" s="33" t="inlineStr">
        <is>
          <t>Lévitation</t>
        </is>
      </c>
      <c r="E3781" s="33" t="n"/>
      <c r="F3781" s="33" t="n"/>
      <c r="G3781" s="33" t="n"/>
      <c r="H3781" s="30" t="inlineStr">
        <is>
          <t>Oui</t>
        </is>
      </c>
    </row>
    <row r="3782">
      <c r="A3782" s="31" t="inlineStr">
        <is>
          <t>Capacités</t>
        </is>
      </c>
      <c r="B3782" s="34" t="inlineStr">
        <is>
          <t>Retour</t>
        </is>
      </c>
      <c r="C3782" s="34" t="inlineStr">
        <is>
          <t>Pouvoir Antique</t>
        </is>
      </c>
      <c r="D3782" s="34" t="inlineStr">
        <is>
          <t>Explosion</t>
        </is>
      </c>
      <c r="E3782" s="34" t="n"/>
      <c r="F3782" s="34" t="n"/>
      <c r="G3782" s="34" t="n"/>
      <c r="H3782" s="30" t="inlineStr">
        <is>
          <t>Oui</t>
        </is>
      </c>
    </row>
    <row r="3783">
      <c r="A3783" s="31" t="n"/>
      <c r="B3783" s="34" t="inlineStr">
        <is>
          <t>Poing Boost</t>
        </is>
      </c>
      <c r="C3783" s="34" t="inlineStr">
        <is>
          <t>Acrobatie</t>
        </is>
      </c>
      <c r="D3783" s="34" t="n"/>
      <c r="E3783" s="34" t="n"/>
      <c r="F3783" s="34" t="n"/>
      <c r="G3783" s="34" t="n"/>
      <c r="H3783" s="30" t="inlineStr">
        <is>
          <t>Oui</t>
        </is>
      </c>
    </row>
    <row r="3784">
      <c r="A3784" s="31" t="n"/>
      <c r="B3784" s="34" t="inlineStr">
        <is>
          <t>Baston</t>
        </is>
      </c>
      <c r="C3784" s="34" t="inlineStr">
        <is>
          <t>Lance-Flammes</t>
        </is>
      </c>
      <c r="D3784" s="34" t="n"/>
      <c r="E3784" s="34" t="n"/>
      <c r="F3784" s="34" t="n"/>
      <c r="G3784" s="34" t="n"/>
      <c r="H3784" s="30" t="inlineStr">
        <is>
          <t>Oui</t>
        </is>
      </c>
    </row>
    <row r="3785">
      <c r="A3785" s="31" t="n"/>
      <c r="B3785" s="34" t="inlineStr">
        <is>
          <t>Entrave</t>
        </is>
      </c>
      <c r="C3785" s="34" t="inlineStr">
        <is>
          <t>Protection</t>
        </is>
      </c>
      <c r="D3785" s="34" t="n"/>
      <c r="E3785" s="34" t="n"/>
      <c r="F3785" s="34" t="n"/>
      <c r="G3785" s="34" t="n"/>
      <c r="H3785" s="30" t="inlineStr">
        <is>
          <t>Oui</t>
        </is>
      </c>
    </row>
    <row r="3786">
      <c r="A3786" s="31" t="inlineStr">
        <is>
          <t>Nom</t>
        </is>
      </c>
      <c r="B3786" s="32" t="inlineStr">
        <is>
          <t>Pique-Nique Melissa</t>
        </is>
      </c>
      <c r="C3786" s="32" t="n"/>
      <c r="D3786" s="32" t="n"/>
      <c r="E3786" s="32" t="n"/>
      <c r="F3786" s="32" t="n"/>
      <c r="G3786" s="32" t="n"/>
      <c r="H3786" s="30" t="inlineStr">
        <is>
          <t>Oui</t>
        </is>
      </c>
    </row>
    <row r="3787">
      <c r="A3787" s="31" t="inlineStr">
        <is>
          <t>Pokémon</t>
        </is>
      </c>
      <c r="B3787" s="33" t="inlineStr">
        <is>
          <t>FEROSINGE</t>
        </is>
      </c>
      <c r="C3787" s="33" t="inlineStr">
        <is>
          <t>BOULDENEU</t>
        </is>
      </c>
      <c r="D3787" s="33" t="inlineStr">
        <is>
          <t>TROPIUS</t>
        </is>
      </c>
      <c r="E3787" s="33" t="n"/>
      <c r="F3787" s="33" t="n"/>
      <c r="G3787" s="33" t="n"/>
      <c r="H3787" s="30" t="inlineStr">
        <is>
          <t>Oui</t>
        </is>
      </c>
    </row>
    <row r="3788">
      <c r="A3788" s="31" t="inlineStr">
        <is>
          <t>Niveau</t>
        </is>
      </c>
      <c r="B3788" s="33" t="n">
        <v>63</v>
      </c>
      <c r="C3788" s="33" t="n">
        <v>61</v>
      </c>
      <c r="D3788" s="33" t="n">
        <v>62</v>
      </c>
      <c r="E3788" s="33" t="n"/>
      <c r="F3788" s="33" t="n"/>
      <c r="G3788" s="33" t="n"/>
      <c r="H3788" s="30" t="inlineStr">
        <is>
          <t>Oui</t>
        </is>
      </c>
    </row>
    <row r="3789">
      <c r="A3789" s="31" t="inlineStr">
        <is>
          <t>Objet</t>
        </is>
      </c>
      <c r="B3789" s="33" t="inlineStr">
        <is>
          <t>Joyau Vol</t>
        </is>
      </c>
      <c r="C3789" s="33" t="inlineStr">
        <is>
          <t>Restes</t>
        </is>
      </c>
      <c r="D3789" s="33" t="inlineStr">
        <is>
          <t>Aucun</t>
        </is>
      </c>
      <c r="E3789" s="33" t="n"/>
      <c r="F3789" s="33" t="n"/>
      <c r="G3789" s="33" t="n"/>
      <c r="H3789" s="30" t="inlineStr">
        <is>
          <t>Oui</t>
        </is>
      </c>
    </row>
    <row r="3790">
      <c r="A3790" s="31" t="inlineStr">
        <is>
          <t>Talent</t>
        </is>
      </c>
      <c r="B3790" s="33" t="inlineStr">
        <is>
          <t>Esprit Vital</t>
        </is>
      </c>
      <c r="C3790" s="33" t="inlineStr">
        <is>
          <t>Feuille Garde</t>
        </is>
      </c>
      <c r="D3790" s="33" t="inlineStr">
        <is>
          <t>Récolte</t>
        </is>
      </c>
      <c r="E3790" s="33" t="n"/>
      <c r="F3790" s="33" t="n"/>
      <c r="G3790" s="33" t="n"/>
      <c r="H3790" s="30" t="inlineStr">
        <is>
          <t>Oui</t>
        </is>
      </c>
    </row>
    <row r="3791">
      <c r="A3791" s="31" t="inlineStr">
        <is>
          <t>Capacités</t>
        </is>
      </c>
      <c r="B3791" s="34" t="inlineStr">
        <is>
          <t>Acrobatie</t>
        </is>
      </c>
      <c r="C3791" s="34" t="inlineStr">
        <is>
          <t>Racines</t>
        </is>
      </c>
      <c r="D3791" s="34" t="inlineStr">
        <is>
          <t>Danse Draco</t>
        </is>
      </c>
      <c r="E3791" s="34" t="n"/>
      <c r="F3791" s="34" t="n"/>
      <c r="G3791" s="34" t="n"/>
      <c r="H3791" s="30" t="inlineStr">
        <is>
          <t>Oui</t>
        </is>
      </c>
    </row>
    <row r="3792">
      <c r="A3792" s="31" t="n"/>
      <c r="B3792" s="34" t="inlineStr">
        <is>
          <t>Close Combat</t>
        </is>
      </c>
      <c r="C3792" s="34" t="inlineStr">
        <is>
          <t>Mégafouet</t>
        </is>
      </c>
      <c r="D3792" s="34" t="inlineStr">
        <is>
          <t>Draco-Marteau</t>
        </is>
      </c>
      <c r="E3792" s="34" t="n"/>
      <c r="F3792" s="34" t="n"/>
      <c r="G3792" s="34" t="n"/>
      <c r="H3792" s="30" t="inlineStr">
        <is>
          <t>Oui</t>
        </is>
      </c>
    </row>
    <row r="3793">
      <c r="A3793" s="31" t="n"/>
      <c r="B3793" s="34" t="inlineStr">
        <is>
          <t>Provoc</t>
        </is>
      </c>
      <c r="C3793" s="34" t="inlineStr">
        <is>
          <t>Vampigraine</t>
        </is>
      </c>
      <c r="D3793" s="34" t="inlineStr">
        <is>
          <t>Tempête Florale</t>
        </is>
      </c>
      <c r="E3793" s="34" t="n"/>
      <c r="F3793" s="34" t="n"/>
      <c r="G3793" s="34" t="n"/>
      <c r="H3793" s="30" t="inlineStr">
        <is>
          <t>Oui</t>
        </is>
      </c>
    </row>
    <row r="3794">
      <c r="A3794" s="31" t="n"/>
      <c r="B3794" s="34" t="inlineStr">
        <is>
          <t>Demi-Tour</t>
        </is>
      </c>
      <c r="C3794" s="34" t="inlineStr">
        <is>
          <t>Abri</t>
        </is>
      </c>
      <c r="D3794" s="34" t="inlineStr">
        <is>
          <t>Rune Protect</t>
        </is>
      </c>
      <c r="E3794" s="34" t="n"/>
      <c r="F3794" s="34" t="n"/>
      <c r="G3794" s="34" t="n"/>
      <c r="H3794" s="30" t="inlineStr">
        <is>
          <t>Oui</t>
        </is>
      </c>
    </row>
    <row r="3795">
      <c r="A3795" s="31" t="inlineStr">
        <is>
          <t>Nom</t>
        </is>
      </c>
      <c r="B3795" s="32" t="inlineStr">
        <is>
          <t>Campeur Ronny</t>
        </is>
      </c>
      <c r="C3795" s="32" t="n"/>
      <c r="D3795" s="32" t="n"/>
      <c r="E3795" s="32" t="n"/>
      <c r="F3795" s="32" t="n"/>
      <c r="G3795" s="32" t="n"/>
      <c r="H3795" s="30" t="inlineStr">
        <is>
          <t>Oui</t>
        </is>
      </c>
    </row>
    <row r="3796">
      <c r="A3796" s="31" t="inlineStr">
        <is>
          <t>Pokémon</t>
        </is>
      </c>
      <c r="B3796" s="33" t="inlineStr">
        <is>
          <t>COLOSSINGE</t>
        </is>
      </c>
      <c r="C3796" s="33" t="inlineStr">
        <is>
          <t>HARIYAMA</t>
        </is>
      </c>
      <c r="D3796" s="33" t="inlineStr">
        <is>
          <t>MACHOPEUR</t>
        </is>
      </c>
      <c r="E3796" s="33" t="n"/>
      <c r="F3796" s="33" t="n"/>
      <c r="G3796" s="33" t="n"/>
      <c r="H3796" s="30" t="inlineStr">
        <is>
          <t>Oui</t>
        </is>
      </c>
    </row>
    <row r="3797">
      <c r="A3797" s="31" t="inlineStr">
        <is>
          <t>Niveau</t>
        </is>
      </c>
      <c r="B3797" s="33" t="n">
        <v>61</v>
      </c>
      <c r="C3797" s="33" t="n">
        <v>61</v>
      </c>
      <c r="D3797" s="33" t="n">
        <v>61</v>
      </c>
      <c r="E3797" s="33" t="n"/>
      <c r="F3797" s="33" t="n"/>
      <c r="G3797" s="33" t="n"/>
      <c r="H3797" s="30" t="inlineStr">
        <is>
          <t>Oui</t>
        </is>
      </c>
    </row>
    <row r="3798">
      <c r="A3798" s="31" t="inlineStr">
        <is>
          <t>Objet</t>
        </is>
      </c>
      <c r="B3798" s="33" t="inlineStr">
        <is>
          <t>Aucun</t>
        </is>
      </c>
      <c r="C3798" s="33" t="inlineStr">
        <is>
          <t>Dé Pipé</t>
        </is>
      </c>
      <c r="D3798" s="33" t="inlineStr">
        <is>
          <t>Aucun</t>
        </is>
      </c>
      <c r="E3798" s="33" t="n"/>
      <c r="F3798" s="33" t="n"/>
      <c r="G3798" s="33" t="n"/>
      <c r="H3798" s="30" t="inlineStr">
        <is>
          <t>Oui</t>
        </is>
      </c>
    </row>
    <row r="3799">
      <c r="A3799" s="31" t="inlineStr">
        <is>
          <t>Talent</t>
        </is>
      </c>
      <c r="B3799" s="33" t="inlineStr">
        <is>
          <t>Colérique</t>
        </is>
      </c>
      <c r="C3799" s="33" t="inlineStr">
        <is>
          <t>Isograisse</t>
        </is>
      </c>
      <c r="D3799" s="33" t="inlineStr">
        <is>
          <t>Annule Garde</t>
        </is>
      </c>
      <c r="E3799" s="33" t="n"/>
      <c r="F3799" s="33" t="n"/>
      <c r="G3799" s="33" t="n"/>
      <c r="H3799" s="30" t="inlineStr">
        <is>
          <t>Oui</t>
        </is>
      </c>
    </row>
    <row r="3800">
      <c r="A3800" s="31" t="inlineStr">
        <is>
          <t>Capacités</t>
        </is>
      </c>
      <c r="B3800" s="34" t="inlineStr">
        <is>
          <t>Coup Croix</t>
        </is>
      </c>
      <c r="C3800" s="34" t="inlineStr">
        <is>
          <t>Séisme</t>
        </is>
      </c>
      <c r="D3800" s="34" t="inlineStr">
        <is>
          <t>Dynamo-Poing</t>
        </is>
      </c>
      <c r="E3800" s="34" t="n"/>
      <c r="F3800" s="34" t="n"/>
      <c r="G3800" s="34" t="n"/>
      <c r="H3800" s="30" t="inlineStr">
        <is>
          <t>Oui</t>
        </is>
      </c>
    </row>
    <row r="3801">
      <c r="A3801" s="31" t="n"/>
      <c r="B3801" s="34" t="inlineStr">
        <is>
          <t>Malédiction</t>
        </is>
      </c>
      <c r="C3801" s="34" t="inlineStr">
        <is>
          <t>Cogne</t>
        </is>
      </c>
      <c r="D3801" s="34" t="inlineStr">
        <is>
          <t>Pisto-Poing</t>
        </is>
      </c>
      <c r="E3801" s="34" t="n"/>
      <c r="F3801" s="34" t="n"/>
      <c r="G3801" s="34" t="n"/>
      <c r="H3801" s="30" t="inlineStr">
        <is>
          <t>Oui</t>
        </is>
      </c>
    </row>
    <row r="3802">
      <c r="A3802" s="31" t="n"/>
      <c r="B3802" s="34" t="inlineStr">
        <is>
          <t>Poing de Colère</t>
        </is>
      </c>
      <c r="C3802" s="34" t="inlineStr">
        <is>
          <t>Gonflette</t>
        </is>
      </c>
      <c r="D3802" s="34" t="inlineStr">
        <is>
          <t>Gonflette</t>
        </is>
      </c>
      <c r="E3802" s="34" t="n"/>
      <c r="F3802" s="34" t="n"/>
      <c r="G3802" s="34" t="n"/>
      <c r="H3802" s="30" t="inlineStr">
        <is>
          <t>Oui</t>
        </is>
      </c>
    </row>
    <row r="3803">
      <c r="A3803" s="31" t="n"/>
      <c r="B3803" s="34" t="inlineStr">
        <is>
          <t>Poing Glace</t>
        </is>
      </c>
      <c r="C3803" s="34" t="inlineStr">
        <is>
          <t>Sabotage</t>
        </is>
      </c>
      <c r="D3803" s="34" t="inlineStr">
        <is>
          <t>Double Baffe</t>
        </is>
      </c>
      <c r="E3803" s="34" t="n"/>
      <c r="F3803" s="34" t="n"/>
      <c r="G3803" s="34" t="n"/>
      <c r="H3803" s="30" t="inlineStr">
        <is>
          <t>Oui</t>
        </is>
      </c>
    </row>
    <row r="3804" ht="18" customHeight="1">
      <c r="A3804" s="26" t="inlineStr">
        <is>
          <t>Forêt d'Akala</t>
        </is>
      </c>
      <c r="B3804" s="26" t="n"/>
      <c r="C3804" s="26" t="n"/>
      <c r="D3804" s="26" t="n"/>
      <c r="E3804" s="26" t="n"/>
      <c r="F3804" s="26" t="n"/>
      <c r="G3804" s="26" t="n"/>
      <c r="H3804" s="30" t="inlineStr">
        <is>
          <t>Oui</t>
        </is>
      </c>
    </row>
    <row r="3805">
      <c r="A3805" s="31" t="inlineStr">
        <is>
          <t>Nom</t>
        </is>
      </c>
      <c r="B3805" s="32" t="inlineStr">
        <is>
          <t>Scout Stanley</t>
        </is>
      </c>
      <c r="C3805" s="32" t="n"/>
      <c r="D3805" s="32" t="n"/>
      <c r="E3805" s="32" t="n"/>
      <c r="F3805" s="32" t="n"/>
      <c r="G3805" s="32" t="n"/>
      <c r="H3805" s="30" t="inlineStr">
        <is>
          <t>Oui</t>
        </is>
      </c>
    </row>
    <row r="3806">
      <c r="A3806" s="31" t="inlineStr">
        <is>
          <t>Pokémon</t>
        </is>
      </c>
      <c r="B3806" s="33" t="inlineStr">
        <is>
          <t>SCARABRUTE</t>
        </is>
      </c>
      <c r="C3806" s="33" t="inlineStr">
        <is>
          <t>INSECATEUR</t>
        </is>
      </c>
      <c r="D3806" s="33" t="n"/>
      <c r="E3806" s="33" t="n"/>
      <c r="F3806" s="33" t="n"/>
      <c r="G3806" s="33" t="n"/>
      <c r="H3806" s="30" t="inlineStr">
        <is>
          <t>Oui</t>
        </is>
      </c>
    </row>
    <row r="3807">
      <c r="A3807" s="31" t="inlineStr">
        <is>
          <t>Niveau</t>
        </is>
      </c>
      <c r="B3807" s="33" t="n">
        <v>61</v>
      </c>
      <c r="C3807" s="33" t="n">
        <v>63</v>
      </c>
      <c r="D3807" s="33" t="n"/>
      <c r="E3807" s="33" t="n"/>
      <c r="F3807" s="33" t="n"/>
      <c r="G3807" s="33" t="n"/>
      <c r="H3807" s="30" t="inlineStr">
        <is>
          <t>Oui</t>
        </is>
      </c>
    </row>
    <row r="3808">
      <c r="A3808" s="31" t="inlineStr">
        <is>
          <t>Objet</t>
        </is>
      </c>
      <c r="B3808" s="33" t="inlineStr">
        <is>
          <t>Orbe Vie</t>
        </is>
      </c>
      <c r="C3808" s="33" t="inlineStr">
        <is>
          <t>Évoluroc</t>
        </is>
      </c>
      <c r="D3808" s="33" t="n"/>
      <c r="E3808" s="33" t="n"/>
      <c r="F3808" s="33" t="n"/>
      <c r="G3808" s="33" t="n"/>
      <c r="H3808" s="30" t="inlineStr">
        <is>
          <t>Oui</t>
        </is>
      </c>
    </row>
    <row r="3809">
      <c r="A3809" s="31" t="inlineStr">
        <is>
          <t>Talent</t>
        </is>
      </c>
      <c r="B3809" s="33" t="inlineStr">
        <is>
          <t>Hyper Cutter</t>
        </is>
      </c>
      <c r="C3809" s="33" t="inlineStr">
        <is>
          <t>Technicien</t>
        </is>
      </c>
      <c r="D3809" s="33" t="n"/>
      <c r="E3809" s="33" t="n"/>
      <c r="F3809" s="33" t="n"/>
      <c r="G3809" s="33" t="n"/>
      <c r="H3809" s="30" t="inlineStr">
        <is>
          <t>Oui</t>
        </is>
      </c>
    </row>
    <row r="3810">
      <c r="A3810" s="31" t="inlineStr">
        <is>
          <t>Capacités</t>
        </is>
      </c>
      <c r="B3810" s="34" t="inlineStr">
        <is>
          <t>Close Combat</t>
        </is>
      </c>
      <c r="C3810" s="34" t="inlineStr">
        <is>
          <t>Coupe Psycho</t>
        </is>
      </c>
      <c r="D3810" s="34" t="n"/>
      <c r="E3810" s="34" t="n"/>
      <c r="F3810" s="34" t="n"/>
      <c r="G3810" s="34" t="n"/>
      <c r="H3810" s="30" t="inlineStr">
        <is>
          <t>Oui</t>
        </is>
      </c>
    </row>
    <row r="3811">
      <c r="A3811" s="31" t="n"/>
      <c r="B3811" s="34" t="inlineStr">
        <is>
          <t>Damoclès</t>
        </is>
      </c>
      <c r="C3811" s="34" t="inlineStr">
        <is>
          <t>Ailes d'Acier</t>
        </is>
      </c>
      <c r="D3811" s="34" t="n"/>
      <c r="E3811" s="34" t="n"/>
      <c r="F3811" s="34" t="n"/>
      <c r="G3811" s="34" t="n"/>
      <c r="H3811" s="30" t="inlineStr">
        <is>
          <t>Oui</t>
        </is>
      </c>
    </row>
    <row r="3812">
      <c r="A3812" s="31" t="n"/>
      <c r="B3812" s="34" t="inlineStr">
        <is>
          <t>Colère</t>
        </is>
      </c>
      <c r="C3812" s="34" t="inlineStr">
        <is>
          <t>Atterrissage</t>
        </is>
      </c>
      <c r="D3812" s="34" t="n"/>
      <c r="E3812" s="34" t="n"/>
      <c r="F3812" s="34" t="n"/>
      <c r="G3812" s="34" t="n"/>
      <c r="H3812" s="30" t="inlineStr">
        <is>
          <t>Oui</t>
        </is>
      </c>
    </row>
    <row r="3813">
      <c r="A3813" s="31" t="n"/>
      <c r="B3813" s="34" t="inlineStr">
        <is>
          <t>Éboulement</t>
        </is>
      </c>
      <c r="C3813" s="34" t="inlineStr">
        <is>
          <t>Piqûre</t>
        </is>
      </c>
      <c r="D3813" s="34" t="n"/>
      <c r="E3813" s="34" t="n"/>
      <c r="F3813" s="34" t="n"/>
      <c r="G3813" s="34" t="n"/>
      <c r="H3813" s="30" t="inlineStr">
        <is>
          <t>Oui</t>
        </is>
      </c>
    </row>
    <row r="3814">
      <c r="A3814" s="31" t="inlineStr">
        <is>
          <t>Nom</t>
        </is>
      </c>
      <c r="B3814" s="32" t="inlineStr">
        <is>
          <t>Scout Scotty</t>
        </is>
      </c>
      <c r="C3814" s="32" t="n"/>
      <c r="D3814" s="32" t="n"/>
      <c r="E3814" s="32" t="n"/>
      <c r="F3814" s="32" t="n"/>
      <c r="G3814" s="32" t="n"/>
      <c r="H3814" s="30" t="inlineStr">
        <is>
          <t>Oui</t>
        </is>
      </c>
    </row>
    <row r="3815">
      <c r="A3815" s="31" t="inlineStr">
        <is>
          <t>Pokémon</t>
        </is>
      </c>
      <c r="B3815" s="33" t="inlineStr">
        <is>
          <t>PAPILUSION</t>
        </is>
      </c>
      <c r="C3815" s="33" t="inlineStr">
        <is>
          <t>SCARHINO</t>
        </is>
      </c>
      <c r="D3815" s="33" t="n"/>
      <c r="E3815" s="33" t="n"/>
      <c r="F3815" s="33" t="n"/>
      <c r="G3815" s="33" t="n"/>
      <c r="H3815" s="30" t="inlineStr">
        <is>
          <t>Oui</t>
        </is>
      </c>
    </row>
    <row r="3816">
      <c r="A3816" s="31" t="inlineStr">
        <is>
          <t>Niveau</t>
        </is>
      </c>
      <c r="B3816" s="33" t="n">
        <v>64</v>
      </c>
      <c r="C3816" s="33" t="n">
        <v>61</v>
      </c>
      <c r="D3816" s="33" t="n"/>
      <c r="E3816" s="33" t="n"/>
      <c r="F3816" s="33" t="n"/>
      <c r="G3816" s="33" t="n"/>
      <c r="H3816" s="30" t="inlineStr">
        <is>
          <t>Oui</t>
        </is>
      </c>
    </row>
    <row r="3817">
      <c r="A3817" s="31" t="inlineStr">
        <is>
          <t>Objet</t>
        </is>
      </c>
      <c r="B3817" s="33" t="inlineStr">
        <is>
          <t>Poudre Claire</t>
        </is>
      </c>
      <c r="C3817" s="33" t="inlineStr">
        <is>
          <t>Orbe Flamme</t>
        </is>
      </c>
      <c r="D3817" s="33" t="n"/>
      <c r="E3817" s="33" t="n"/>
      <c r="F3817" s="33" t="n"/>
      <c r="G3817" s="33" t="n"/>
      <c r="H3817" s="30" t="inlineStr">
        <is>
          <t>Oui</t>
        </is>
      </c>
    </row>
    <row r="3818">
      <c r="A3818" s="31" t="inlineStr">
        <is>
          <t>Talent</t>
        </is>
      </c>
      <c r="B3818" s="33" t="inlineStr">
        <is>
          <t>Œil Composé</t>
        </is>
      </c>
      <c r="C3818" s="33" t="inlineStr">
        <is>
          <t>Cran</t>
        </is>
      </c>
      <c r="D3818" s="33" t="n"/>
      <c r="E3818" s="33" t="n"/>
      <c r="F3818" s="33" t="n"/>
      <c r="G3818" s="33" t="n"/>
      <c r="H3818" s="30" t="inlineStr">
        <is>
          <t>Oui</t>
        </is>
      </c>
    </row>
    <row r="3819">
      <c r="A3819" s="31" t="inlineStr">
        <is>
          <t>Capacités</t>
        </is>
      </c>
      <c r="B3819" s="34" t="inlineStr">
        <is>
          <t>Vent Violent</t>
        </is>
      </c>
      <c r="C3819" s="34" t="inlineStr">
        <is>
          <t>Façade</t>
        </is>
      </c>
      <c r="D3819" s="34" t="n"/>
      <c r="E3819" s="34" t="n"/>
      <c r="F3819" s="34" t="n"/>
      <c r="G3819" s="34" t="n"/>
      <c r="H3819" s="30" t="inlineStr">
        <is>
          <t>Oui</t>
        </is>
      </c>
    </row>
    <row r="3820">
      <c r="A3820" s="31" t="n"/>
      <c r="B3820" s="34" t="inlineStr">
        <is>
          <t>Papillodanse</t>
        </is>
      </c>
      <c r="C3820" s="34" t="inlineStr">
        <is>
          <t>Close Combat</t>
        </is>
      </c>
      <c r="D3820" s="34" t="n"/>
      <c r="E3820" s="34" t="n"/>
      <c r="F3820" s="34" t="n"/>
      <c r="G3820" s="34" t="n"/>
      <c r="H3820" s="30" t="inlineStr">
        <is>
          <t>Oui</t>
        </is>
      </c>
    </row>
    <row r="3821">
      <c r="A3821" s="31" t="n"/>
      <c r="B3821" s="34" t="inlineStr">
        <is>
          <t>Rayon Signal</t>
        </is>
      </c>
      <c r="C3821" s="34" t="inlineStr">
        <is>
          <t>Exécu-Son</t>
        </is>
      </c>
      <c r="D3821" s="34" t="n"/>
      <c r="E3821" s="34" t="n"/>
      <c r="F3821" s="34" t="n"/>
      <c r="G3821" s="34" t="n"/>
      <c r="H3821" s="30" t="inlineStr">
        <is>
          <t>Oui</t>
        </is>
      </c>
    </row>
    <row r="3822">
      <c r="A3822" s="31" t="n"/>
      <c r="B3822" s="34" t="inlineStr">
        <is>
          <t>Poudre Dodo</t>
        </is>
      </c>
      <c r="C3822" s="34" t="inlineStr">
        <is>
          <t>Mégacorne</t>
        </is>
      </c>
      <c r="D3822" s="34" t="n"/>
      <c r="E3822" s="34" t="n"/>
      <c r="F3822" s="34" t="n"/>
      <c r="G3822" s="34" t="n"/>
      <c r="H3822" s="30" t="inlineStr">
        <is>
          <t>Oui</t>
        </is>
      </c>
    </row>
    <row r="3823" ht="18" customHeight="1">
      <c r="A3823" s="26" t="inlineStr">
        <is>
          <t>Ula-Ula</t>
        </is>
      </c>
      <c r="B3823" s="26" t="n"/>
      <c r="C3823" s="26" t="n"/>
      <c r="D3823" s="26" t="n"/>
      <c r="E3823" s="26" t="n"/>
      <c r="F3823" s="26" t="n"/>
      <c r="G3823" s="26" t="n"/>
      <c r="H3823" s="30" t="inlineStr">
        <is>
          <t>Oui</t>
        </is>
      </c>
    </row>
    <row r="3824">
      <c r="A3824" s="31" t="inlineStr">
        <is>
          <t>Nom</t>
        </is>
      </c>
      <c r="B3824" s="32" t="inlineStr">
        <is>
          <t>Pique-Nique Melissa</t>
        </is>
      </c>
      <c r="C3824" s="32" t="n"/>
      <c r="D3824" s="32" t="n"/>
      <c r="E3824" s="32" t="n"/>
      <c r="F3824" s="32" t="n"/>
      <c r="G3824" s="32" t="n"/>
      <c r="H3824" s="30" t="inlineStr">
        <is>
          <t>Oui</t>
        </is>
      </c>
    </row>
    <row r="3825">
      <c r="A3825" s="31" t="inlineStr">
        <is>
          <t>Pokémon</t>
        </is>
      </c>
      <c r="B3825" s="33" t="inlineStr">
        <is>
          <t>HELEDELLE</t>
        </is>
      </c>
      <c r="C3825" s="33" t="inlineStr">
        <is>
          <t>SAQUEDENEU</t>
        </is>
      </c>
      <c r="D3825" s="33" t="inlineStr">
        <is>
          <t>ECREMEUH</t>
        </is>
      </c>
      <c r="E3825" s="33" t="n"/>
      <c r="F3825" s="33" t="n"/>
      <c r="G3825" s="33" t="n"/>
      <c r="H3825" s="30" t="inlineStr">
        <is>
          <t>Oui</t>
        </is>
      </c>
    </row>
    <row r="3826">
      <c r="A3826" s="31" t="inlineStr">
        <is>
          <t>Niveau</t>
        </is>
      </c>
      <c r="B3826" s="33" t="n">
        <v>61</v>
      </c>
      <c r="C3826" s="33" t="n">
        <v>63</v>
      </c>
      <c r="D3826" s="33" t="n">
        <v>61</v>
      </c>
      <c r="E3826" s="33" t="n"/>
      <c r="F3826" s="33" t="n"/>
      <c r="G3826" s="33" t="n"/>
      <c r="H3826" s="30" t="inlineStr">
        <is>
          <t>Oui</t>
        </is>
      </c>
    </row>
    <row r="3827">
      <c r="A3827" s="31" t="inlineStr">
        <is>
          <t>Objet</t>
        </is>
      </c>
      <c r="B3827" s="33" t="inlineStr">
        <is>
          <t>Aucun</t>
        </is>
      </c>
      <c r="C3827" s="33" t="inlineStr">
        <is>
          <t>Évoluroc</t>
        </is>
      </c>
      <c r="D3827" s="33" t="inlineStr">
        <is>
          <t>Aucun</t>
        </is>
      </c>
      <c r="E3827" s="33" t="n"/>
      <c r="F3827" s="33" t="n"/>
      <c r="G3827" s="33" t="n"/>
      <c r="H3827" s="30" t="inlineStr">
        <is>
          <t>Oui</t>
        </is>
      </c>
    </row>
    <row r="3828">
      <c r="A3828" s="31" t="inlineStr">
        <is>
          <t>Talent</t>
        </is>
      </c>
      <c r="B3828" s="33" t="inlineStr">
        <is>
          <t>Querelleur</t>
        </is>
      </c>
      <c r="C3828" s="33" t="inlineStr">
        <is>
          <t>Chlorophylle</t>
        </is>
      </c>
      <c r="D3828" s="33" t="inlineStr">
        <is>
          <t>Isograisse</t>
        </is>
      </c>
      <c r="E3828" s="33" t="n"/>
      <c r="F3828" s="33" t="n"/>
      <c r="G3828" s="33" t="n"/>
      <c r="H3828" s="30" t="inlineStr">
        <is>
          <t>Oui</t>
        </is>
      </c>
    </row>
    <row r="3829">
      <c r="A3829" s="31" t="inlineStr">
        <is>
          <t>Capacités</t>
        </is>
      </c>
      <c r="B3829" s="34" t="inlineStr">
        <is>
          <t>Canicule</t>
        </is>
      </c>
      <c r="C3829" s="34" t="inlineStr">
        <is>
          <t>Giga-Sangsue</t>
        </is>
      </c>
      <c r="D3829" s="34" t="inlineStr">
        <is>
          <t>Vengeance</t>
        </is>
      </c>
      <c r="E3829" s="34" t="n"/>
      <c r="F3829" s="34" t="n"/>
      <c r="G3829" s="34" t="n"/>
      <c r="H3829" s="30" t="inlineStr">
        <is>
          <t>Oui</t>
        </is>
      </c>
    </row>
    <row r="3830">
      <c r="A3830" s="31" t="n"/>
      <c r="B3830" s="34" t="inlineStr">
        <is>
          <t>Tranch'Air</t>
        </is>
      </c>
      <c r="C3830" s="34" t="inlineStr">
        <is>
          <t>Toxik</t>
        </is>
      </c>
      <c r="D3830" s="34" t="inlineStr">
        <is>
          <t>Séisme</t>
        </is>
      </c>
      <c r="E3830" s="34" t="n"/>
      <c r="F3830" s="34" t="n"/>
      <c r="G3830" s="34" t="n"/>
      <c r="H3830" s="30" t="inlineStr">
        <is>
          <t>Oui</t>
        </is>
      </c>
    </row>
    <row r="3831">
      <c r="A3831" s="31" t="n"/>
      <c r="B3831" s="34" t="inlineStr">
        <is>
          <t>Danse Plumes</t>
        </is>
      </c>
      <c r="C3831" s="34" t="inlineStr">
        <is>
          <t>Clonage</t>
        </is>
      </c>
      <c r="D3831" s="34" t="inlineStr">
        <is>
          <t>Glas de Soin</t>
        </is>
      </c>
      <c r="E3831" s="34" t="n"/>
      <c r="F3831" s="34" t="n"/>
      <c r="G3831" s="34" t="n"/>
      <c r="H3831" s="30" t="inlineStr">
        <is>
          <t>Oui</t>
        </is>
      </c>
    </row>
    <row r="3832">
      <c r="A3832" s="31" t="n"/>
      <c r="B3832" s="34" t="inlineStr">
        <is>
          <t>Ultrason</t>
        </is>
      </c>
      <c r="C3832" s="34" t="inlineStr">
        <is>
          <t>Bombe Beurk</t>
        </is>
      </c>
      <c r="D3832" s="34" t="inlineStr">
        <is>
          <t>Lait à Boire</t>
        </is>
      </c>
      <c r="E3832" s="34" t="n"/>
      <c r="F3832" s="34" t="n"/>
      <c r="G3832" s="34" t="n"/>
      <c r="H3832" s="30" t="inlineStr">
        <is>
          <t>Oui</t>
        </is>
      </c>
    </row>
    <row r="3833">
      <c r="A3833" s="31" t="inlineStr">
        <is>
          <t>Nom</t>
        </is>
      </c>
      <c r="B3833" s="32" t="inlineStr">
        <is>
          <t>Gamin Farouk</t>
        </is>
      </c>
      <c r="C3833" s="32" t="n"/>
      <c r="D3833" s="32" t="n"/>
      <c r="E3833" s="32" t="n"/>
      <c r="F3833" s="32" t="n"/>
      <c r="G3833" s="32" t="n"/>
      <c r="H3833" s="30" t="inlineStr">
        <is>
          <t>Oui</t>
        </is>
      </c>
    </row>
    <row r="3834">
      <c r="A3834" s="31" t="inlineStr">
        <is>
          <t>Pokémon</t>
        </is>
      </c>
      <c r="B3834" s="33" t="inlineStr">
        <is>
          <t>RATTATAC-A</t>
        </is>
      </c>
      <c r="C3834" s="33" t="inlineStr">
        <is>
          <t>CIZAYOX</t>
        </is>
      </c>
      <c r="D3834" s="33" t="inlineStr">
        <is>
          <t>PHYLLALI</t>
        </is>
      </c>
      <c r="E3834" s="33" t="n"/>
      <c r="F3834" s="33" t="n"/>
      <c r="G3834" s="33" t="n"/>
      <c r="H3834" s="30" t="inlineStr">
        <is>
          <t>Oui</t>
        </is>
      </c>
    </row>
    <row r="3835">
      <c r="A3835" s="31" t="inlineStr">
        <is>
          <t>Niveau</t>
        </is>
      </c>
      <c r="B3835" s="33" t="n">
        <v>61</v>
      </c>
      <c r="C3835" s="33" t="n">
        <v>61</v>
      </c>
      <c r="D3835" s="33" t="n">
        <v>63</v>
      </c>
      <c r="E3835" s="33" t="n"/>
      <c r="F3835" s="33" t="n"/>
      <c r="G3835" s="33" t="n"/>
      <c r="H3835" s="30" t="inlineStr">
        <is>
          <t>Oui</t>
        </is>
      </c>
    </row>
    <row r="3836">
      <c r="A3836" s="31" t="inlineStr">
        <is>
          <t>Objet</t>
        </is>
      </c>
      <c r="B3836" s="33" t="inlineStr">
        <is>
          <t>Aucun</t>
        </is>
      </c>
      <c r="C3836" s="33" t="inlineStr">
        <is>
          <t>Aucun</t>
        </is>
      </c>
      <c r="D3836" s="33" t="inlineStr">
        <is>
          <t>Baie Sitrus</t>
        </is>
      </c>
      <c r="E3836" s="33" t="n"/>
      <c r="F3836" s="33" t="n"/>
      <c r="G3836" s="33" t="n"/>
      <c r="H3836" s="30" t="inlineStr">
        <is>
          <t>Oui</t>
        </is>
      </c>
    </row>
    <row r="3837">
      <c r="A3837" s="31" t="inlineStr">
        <is>
          <t>Talent</t>
        </is>
      </c>
      <c r="B3837" s="33" t="inlineStr">
        <is>
          <t>Agitation</t>
        </is>
      </c>
      <c r="C3837" s="33" t="inlineStr">
        <is>
          <t>Technicien</t>
        </is>
      </c>
      <c r="D3837" s="33" t="inlineStr">
        <is>
          <t>Feuille Garde</t>
        </is>
      </c>
      <c r="E3837" s="33" t="n"/>
      <c r="F3837" s="33" t="n"/>
      <c r="G3837" s="33" t="n"/>
      <c r="H3837" s="30" t="inlineStr">
        <is>
          <t>Oui</t>
        </is>
      </c>
    </row>
    <row r="3838">
      <c r="A3838" s="31" t="inlineStr">
        <is>
          <t>Capacités</t>
        </is>
      </c>
      <c r="B3838" s="34" t="inlineStr">
        <is>
          <t>Mâchouille</t>
        </is>
      </c>
      <c r="C3838" s="34" t="inlineStr">
        <is>
          <t>Centrifugifle</t>
        </is>
      </c>
      <c r="D3838" s="34" t="inlineStr">
        <is>
          <t>Lame Feuille</t>
        </is>
      </c>
      <c r="E3838" s="34" t="n"/>
      <c r="F3838" s="34" t="n"/>
      <c r="G3838" s="34" t="n"/>
      <c r="H3838" s="30" t="inlineStr">
        <is>
          <t>Oui</t>
        </is>
      </c>
    </row>
    <row r="3839">
      <c r="A3839" s="31" t="n"/>
      <c r="B3839" s="34" t="inlineStr">
        <is>
          <t>Gonflette</t>
        </is>
      </c>
      <c r="C3839" s="34" t="inlineStr">
        <is>
          <t>Pisto-Poing</t>
        </is>
      </c>
      <c r="D3839" s="34" t="inlineStr">
        <is>
          <t>Queue de Fer</t>
        </is>
      </c>
      <c r="E3839" s="34" t="n"/>
      <c r="F3839" s="34" t="n"/>
      <c r="G3839" s="34" t="n"/>
      <c r="H3839" s="30" t="inlineStr">
        <is>
          <t>Oui</t>
        </is>
      </c>
    </row>
    <row r="3840">
      <c r="A3840" s="31" t="n"/>
      <c r="B3840" s="34" t="inlineStr">
        <is>
          <t>Dernier Recours</t>
        </is>
      </c>
      <c r="C3840" s="34" t="inlineStr">
        <is>
          <t>Danse Lames</t>
        </is>
      </c>
      <c r="D3840" s="34" t="inlineStr">
        <is>
          <t>Vœu</t>
        </is>
      </c>
      <c r="E3840" s="34" t="n"/>
      <c r="F3840" s="34" t="n"/>
      <c r="G3840" s="34" t="n"/>
      <c r="H3840" s="30" t="inlineStr">
        <is>
          <t>Oui</t>
        </is>
      </c>
    </row>
    <row r="3841">
      <c r="A3841" s="31" t="n"/>
      <c r="B3841" s="34" t="inlineStr">
        <is>
          <t>Vive-Attaque</t>
        </is>
      </c>
      <c r="C3841" s="34" t="inlineStr">
        <is>
          <t>Tourbi-Sable</t>
        </is>
      </c>
      <c r="D3841" s="34" t="inlineStr">
        <is>
          <t>Détection</t>
        </is>
      </c>
      <c r="E3841" s="34" t="n"/>
      <c r="F3841" s="34" t="n"/>
      <c r="G3841" s="34" t="n"/>
      <c r="H3841" s="30" t="inlineStr">
        <is>
          <t>Oui</t>
        </is>
      </c>
    </row>
    <row r="3842">
      <c r="A3842" s="31" t="inlineStr">
        <is>
          <t>Nom</t>
        </is>
      </c>
      <c r="B3842" s="32" t="inlineStr">
        <is>
          <t>Montagnard Frank</t>
        </is>
      </c>
      <c r="C3842" s="32" t="n"/>
      <c r="D3842" s="32" t="n"/>
      <c r="E3842" s="32" t="n"/>
      <c r="F3842" s="32" t="n"/>
      <c r="G3842" s="32" t="n"/>
      <c r="H3842" s="30" t="inlineStr">
        <is>
          <t>Oui</t>
        </is>
      </c>
    </row>
    <row r="3843">
      <c r="A3843" s="31" t="inlineStr">
        <is>
          <t>Pokémon</t>
        </is>
      </c>
      <c r="B3843" s="33" t="inlineStr">
        <is>
          <t>MYSDIBULE</t>
        </is>
      </c>
      <c r="C3843" s="33" t="inlineStr">
        <is>
          <t>MAGMAR</t>
        </is>
      </c>
      <c r="D3843" s="33" t="inlineStr">
        <is>
          <t>ELEKABLE</t>
        </is>
      </c>
      <c r="E3843" s="33" t="n"/>
      <c r="F3843" s="33" t="n"/>
      <c r="G3843" s="33" t="n"/>
      <c r="H3843" s="30" t="inlineStr">
        <is>
          <t>Oui</t>
        </is>
      </c>
    </row>
    <row r="3844">
      <c r="A3844" s="31" t="inlineStr">
        <is>
          <t>Niveau</t>
        </is>
      </c>
      <c r="B3844" s="33" t="n">
        <v>62</v>
      </c>
      <c r="C3844" s="33" t="n">
        <v>63</v>
      </c>
      <c r="D3844" s="33" t="n">
        <v>60</v>
      </c>
      <c r="E3844" s="33" t="n"/>
      <c r="F3844" s="33" t="n"/>
      <c r="G3844" s="33" t="n"/>
      <c r="H3844" s="30" t="inlineStr">
        <is>
          <t>Oui</t>
        </is>
      </c>
    </row>
    <row r="3845">
      <c r="A3845" s="31" t="inlineStr">
        <is>
          <t>Objet</t>
        </is>
      </c>
      <c r="B3845" s="33" t="inlineStr">
        <is>
          <t>Aucun</t>
        </is>
      </c>
      <c r="C3845" s="33" t="inlineStr">
        <is>
          <t>Baie Sitrus</t>
        </is>
      </c>
      <c r="D3845" s="33" t="inlineStr">
        <is>
          <t>Lentille Zoom</t>
        </is>
      </c>
      <c r="E3845" s="33" t="n"/>
      <c r="F3845" s="33" t="n"/>
      <c r="G3845" s="33" t="n"/>
      <c r="H3845" s="30" t="inlineStr">
        <is>
          <t>Oui</t>
        </is>
      </c>
    </row>
    <row r="3846">
      <c r="A3846" s="31" t="inlineStr">
        <is>
          <t>Talent</t>
        </is>
      </c>
      <c r="B3846" s="33" t="inlineStr">
        <is>
          <t>Intimidation</t>
        </is>
      </c>
      <c r="C3846" s="33" t="inlineStr">
        <is>
          <t>Corps Ardent</t>
        </is>
      </c>
      <c r="D3846" s="33" t="inlineStr">
        <is>
          <t>Motorisé</t>
        </is>
      </c>
      <c r="E3846" s="33" t="n"/>
      <c r="F3846" s="33" t="n"/>
      <c r="G3846" s="33" t="n"/>
      <c r="H3846" s="30" t="inlineStr">
        <is>
          <t>Oui</t>
        </is>
      </c>
    </row>
    <row r="3847">
      <c r="A3847" s="31" t="inlineStr">
        <is>
          <t>Capacités</t>
        </is>
      </c>
      <c r="B3847" s="34" t="inlineStr">
        <is>
          <t>Crocs Givre</t>
        </is>
      </c>
      <c r="C3847" s="34" t="inlineStr">
        <is>
          <t>Poing Feu</t>
        </is>
      </c>
      <c r="D3847" s="34" t="inlineStr">
        <is>
          <t>Poing Éclair</t>
        </is>
      </c>
      <c r="E3847" s="34" t="n"/>
      <c r="F3847" s="34" t="n"/>
      <c r="G3847" s="34" t="n"/>
      <c r="H3847" s="30" t="inlineStr">
        <is>
          <t>Oui</t>
        </is>
      </c>
    </row>
    <row r="3848">
      <c r="A3848" s="31" t="n"/>
      <c r="B3848" s="34" t="inlineStr">
        <is>
          <t>Câlinerie</t>
        </is>
      </c>
      <c r="C3848" s="34" t="inlineStr">
        <is>
          <t>Cognobidon</t>
        </is>
      </c>
      <c r="D3848" s="34" t="inlineStr">
        <is>
          <t>Dynamo-Poing</t>
        </is>
      </c>
      <c r="E3848" s="34" t="n"/>
      <c r="F3848" s="34" t="n"/>
      <c r="G3848" s="34" t="n"/>
      <c r="H3848" s="30" t="inlineStr">
        <is>
          <t>Oui</t>
        </is>
      </c>
    </row>
    <row r="3849">
      <c r="A3849" s="31" t="n"/>
      <c r="B3849" s="34" t="inlineStr">
        <is>
          <t>Piège de Roc</t>
        </is>
      </c>
      <c r="C3849" s="34" t="inlineStr">
        <is>
          <t>Mach Punch</t>
        </is>
      </c>
      <c r="D3849" s="34" t="inlineStr">
        <is>
          <t>Chargeur</t>
        </is>
      </c>
      <c r="E3849" s="34" t="n"/>
      <c r="F3849" s="34" t="n"/>
      <c r="G3849" s="34" t="n"/>
      <c r="H3849" s="30" t="inlineStr">
        <is>
          <t>Oui</t>
        </is>
      </c>
    </row>
    <row r="3850">
      <c r="A3850" s="31" t="n"/>
      <c r="B3850" s="34" t="inlineStr">
        <is>
          <t>Psycho-Croc</t>
        </is>
      </c>
      <c r="C3850" s="34" t="inlineStr">
        <is>
          <t>Double Baffe</t>
        </is>
      </c>
      <c r="D3850" s="34" t="inlineStr">
        <is>
          <t>Bouclier</t>
        </is>
      </c>
      <c r="E3850" s="34" t="n"/>
      <c r="F3850" s="34" t="n"/>
      <c r="G3850" s="34" t="n"/>
      <c r="H3850" s="30" t="inlineStr">
        <is>
          <t>Oui</t>
        </is>
      </c>
    </row>
    <row r="3851">
      <c r="A3851" s="31" t="inlineStr">
        <is>
          <t>Nom</t>
        </is>
      </c>
      <c r="B3851" s="32" t="inlineStr">
        <is>
          <t>Topdresseur Sally</t>
        </is>
      </c>
      <c r="C3851" s="32" t="n"/>
      <c r="D3851" s="32" t="n"/>
      <c r="E3851" s="32" t="n"/>
      <c r="F3851" s="32" t="n"/>
      <c r="G3851" s="32" t="n"/>
      <c r="H3851" s="30" t="inlineStr">
        <is>
          <t>Oui</t>
        </is>
      </c>
    </row>
    <row r="3852">
      <c r="A3852" s="31" t="inlineStr">
        <is>
          <t>Pokémon</t>
        </is>
      </c>
      <c r="B3852" s="33" t="inlineStr">
        <is>
          <t>AIRMURE</t>
        </is>
      </c>
      <c r="C3852" s="33" t="inlineStr">
        <is>
          <t>COLOSSINGE</t>
        </is>
      </c>
      <c r="D3852" s="33" t="inlineStr">
        <is>
          <t>TAUROS</t>
        </is>
      </c>
      <c r="E3852" s="33" t="n"/>
      <c r="F3852" s="33" t="n"/>
      <c r="G3852" s="33" t="n"/>
      <c r="H3852" s="30" t="inlineStr">
        <is>
          <t>Oui</t>
        </is>
      </c>
    </row>
    <row r="3853">
      <c r="A3853" s="31" t="inlineStr">
        <is>
          <t>Niveau</t>
        </is>
      </c>
      <c r="B3853" s="33" t="n">
        <v>61</v>
      </c>
      <c r="C3853" s="33" t="n">
        <v>64</v>
      </c>
      <c r="D3853" s="33" t="n">
        <v>63</v>
      </c>
      <c r="E3853" s="33" t="n"/>
      <c r="F3853" s="33" t="n"/>
      <c r="G3853" s="33" t="n"/>
      <c r="H3853" s="30" t="inlineStr">
        <is>
          <t>Oui</t>
        </is>
      </c>
    </row>
    <row r="3854">
      <c r="A3854" s="31" t="inlineStr">
        <is>
          <t>Objet</t>
        </is>
      </c>
      <c r="B3854" s="33" t="inlineStr">
        <is>
          <t>Aucun</t>
        </is>
      </c>
      <c r="C3854" s="33" t="inlineStr">
        <is>
          <t>Aucun</t>
        </is>
      </c>
      <c r="D3854" s="33" t="inlineStr">
        <is>
          <t>Orbe Vie</t>
        </is>
      </c>
      <c r="E3854" s="33" t="n"/>
      <c r="F3854" s="33" t="n"/>
      <c r="G3854" s="33" t="n"/>
      <c r="H3854" s="30" t="inlineStr">
        <is>
          <t>Oui</t>
        </is>
      </c>
    </row>
    <row r="3855">
      <c r="A3855" s="31" t="inlineStr">
        <is>
          <t>Talent</t>
        </is>
      </c>
      <c r="B3855" s="33" t="inlineStr">
        <is>
          <t>Regard Vif</t>
        </is>
      </c>
      <c r="C3855" s="33" t="inlineStr">
        <is>
          <t>Colérique</t>
        </is>
      </c>
      <c r="D3855" s="33" t="inlineStr">
        <is>
          <t>Sans Limite</t>
        </is>
      </c>
      <c r="E3855" s="33" t="n"/>
      <c r="F3855" s="33" t="n"/>
      <c r="G3855" s="33" t="n"/>
      <c r="H3855" s="30" t="inlineStr">
        <is>
          <t>Oui</t>
        </is>
      </c>
    </row>
    <row r="3856">
      <c r="A3856" s="31" t="inlineStr">
        <is>
          <t>Capacités</t>
        </is>
      </c>
      <c r="B3856" s="34" t="inlineStr">
        <is>
          <t>Mur de Fer</t>
        </is>
      </c>
      <c r="C3856" s="34" t="inlineStr">
        <is>
          <t>Frustration</t>
        </is>
      </c>
      <c r="D3856" s="34" t="inlineStr">
        <is>
          <t>Éclair Fou</t>
        </is>
      </c>
      <c r="E3856" s="34" t="n"/>
      <c r="F3856" s="34" t="n"/>
      <c r="G3856" s="34" t="n"/>
      <c r="H3856" s="30" t="inlineStr">
        <is>
          <t>Oui</t>
        </is>
      </c>
    </row>
    <row r="3857">
      <c r="A3857" s="31" t="n"/>
      <c r="B3857" s="34" t="inlineStr">
        <is>
          <t>Allègement</t>
        </is>
      </c>
      <c r="C3857" s="34" t="inlineStr">
        <is>
          <t>Close Combat</t>
        </is>
      </c>
      <c r="D3857" s="34" t="inlineStr">
        <is>
          <t>Piétisol</t>
        </is>
      </c>
      <c r="E3857" s="34" t="n"/>
      <c r="F3857" s="34" t="n"/>
      <c r="G3857" s="34" t="n"/>
      <c r="H3857" s="30" t="inlineStr">
        <is>
          <t>Oui</t>
        </is>
      </c>
    </row>
    <row r="3858">
      <c r="A3858" s="31" t="n"/>
      <c r="B3858" s="34" t="inlineStr">
        <is>
          <t>Bec Vrille</t>
        </is>
      </c>
      <c r="C3858" s="34" t="inlineStr">
        <is>
          <t>Cent Rancunes</t>
        </is>
      </c>
      <c r="D3858" s="34" t="inlineStr">
        <is>
          <t>Taurogne</t>
        </is>
      </c>
      <c r="E3858" s="34" t="n"/>
      <c r="F3858" s="34" t="n"/>
      <c r="G3858" s="34" t="n"/>
      <c r="H3858" s="30" t="inlineStr">
        <is>
          <t>Oui</t>
        </is>
      </c>
    </row>
    <row r="3859">
      <c r="A3859" s="31" t="n"/>
      <c r="B3859" s="34" t="inlineStr">
        <is>
          <t>Éboulement</t>
        </is>
      </c>
      <c r="C3859" s="34" t="inlineStr">
        <is>
          <t>Provoc</t>
        </is>
      </c>
      <c r="D3859" s="34" t="inlineStr">
        <is>
          <t>Puissance</t>
        </is>
      </c>
      <c r="E3859" s="34" t="n"/>
      <c r="F3859" s="34" t="n"/>
      <c r="G3859" s="34" t="n"/>
      <c r="H3859" s="30" t="inlineStr">
        <is>
          <t>Oui</t>
        </is>
      </c>
    </row>
    <row r="3860" ht="18" customHeight="1">
      <c r="A3860" s="26" t="inlineStr">
        <is>
          <t>Poni</t>
        </is>
      </c>
      <c r="B3860" s="26" t="n"/>
      <c r="C3860" s="26" t="n"/>
      <c r="D3860" s="26" t="n"/>
      <c r="E3860" s="26" t="n"/>
      <c r="F3860" s="26" t="n"/>
      <c r="G3860" s="26" t="n"/>
      <c r="H3860" s="30" t="inlineStr">
        <is>
          <t>Oui</t>
        </is>
      </c>
    </row>
    <row r="3861">
      <c r="A3861" s="31" t="inlineStr">
        <is>
          <t>Nom</t>
        </is>
      </c>
      <c r="B3861" s="32" t="inlineStr">
        <is>
          <t>Nageuse Jade</t>
        </is>
      </c>
      <c r="C3861" s="32" t="n"/>
      <c r="D3861" s="32" t="n"/>
      <c r="E3861" s="32" t="n"/>
      <c r="F3861" s="32" t="n"/>
      <c r="G3861" s="32" t="n"/>
      <c r="H3861" s="30" t="inlineStr">
        <is>
          <t>Oui</t>
        </is>
      </c>
    </row>
    <row r="3862">
      <c r="A3862" s="31" t="inlineStr">
        <is>
          <t>Pokémon</t>
        </is>
      </c>
      <c r="B3862" s="33" t="inlineStr">
        <is>
          <t>ROSABYSS</t>
        </is>
      </c>
      <c r="C3862" s="33" t="inlineStr">
        <is>
          <t>LOVDISC</t>
        </is>
      </c>
      <c r="D3862" s="33" t="inlineStr">
        <is>
          <t>MILOBELLUS</t>
        </is>
      </c>
      <c r="E3862" s="33" t="n"/>
      <c r="F3862" s="33" t="n"/>
      <c r="G3862" s="33" t="n"/>
      <c r="H3862" s="30" t="inlineStr">
        <is>
          <t>Oui</t>
        </is>
      </c>
    </row>
    <row r="3863">
      <c r="A3863" s="31" t="inlineStr">
        <is>
          <t>Niveau</t>
        </is>
      </c>
      <c r="B3863" s="33" t="n">
        <v>63</v>
      </c>
      <c r="C3863" s="33" t="n">
        <v>63</v>
      </c>
      <c r="D3863" s="33" t="n">
        <v>66</v>
      </c>
      <c r="E3863" s="33" t="n"/>
      <c r="F3863" s="33" t="n"/>
      <c r="G3863" s="33" t="n"/>
      <c r="H3863" s="30" t="inlineStr">
        <is>
          <t>Oui</t>
        </is>
      </c>
    </row>
    <row r="3864">
      <c r="A3864" s="31" t="inlineStr">
        <is>
          <t>Objet</t>
        </is>
      </c>
      <c r="B3864" s="33" t="inlineStr">
        <is>
          <t>Aucun</t>
        </is>
      </c>
      <c r="C3864" s="33" t="inlineStr">
        <is>
          <t>Aucun</t>
        </is>
      </c>
      <c r="D3864" s="33" t="inlineStr">
        <is>
          <t>Aucun</t>
        </is>
      </c>
      <c r="E3864" s="33" t="n"/>
      <c r="F3864" s="33" t="n"/>
      <c r="G3864" s="33" t="n"/>
      <c r="H3864" s="30" t="inlineStr">
        <is>
          <t>Oui</t>
        </is>
      </c>
    </row>
    <row r="3865">
      <c r="A3865" s="31" t="inlineStr">
        <is>
          <t>Talent</t>
        </is>
      </c>
      <c r="B3865" s="33" t="inlineStr">
        <is>
          <t>Hydratation</t>
        </is>
      </c>
      <c r="C3865" s="33" t="inlineStr">
        <is>
          <t>Glissade</t>
        </is>
      </c>
      <c r="D3865" s="33" t="inlineStr">
        <is>
          <t>Joli Sourire</t>
        </is>
      </c>
      <c r="E3865" s="33" t="n"/>
      <c r="F3865" s="33" t="n"/>
      <c r="G3865" s="33" t="n"/>
      <c r="H3865" s="30" t="inlineStr">
        <is>
          <t>Oui</t>
        </is>
      </c>
    </row>
    <row r="3866">
      <c r="A3866" s="31" t="inlineStr">
        <is>
          <t>Capacités</t>
        </is>
      </c>
      <c r="B3866" s="34" t="inlineStr">
        <is>
          <t>Ébullition</t>
        </is>
      </c>
      <c r="C3866" s="34" t="inlineStr">
        <is>
          <t>Charme</t>
        </is>
      </c>
      <c r="D3866" s="34" t="inlineStr">
        <is>
          <t>Chatouille</t>
        </is>
      </c>
      <c r="E3866" s="34" t="n"/>
      <c r="F3866" s="34" t="n"/>
      <c r="G3866" s="34" t="n"/>
      <c r="H3866" s="30" t="inlineStr">
        <is>
          <t>Oui</t>
        </is>
      </c>
    </row>
    <row r="3867">
      <c r="A3867" s="31" t="n"/>
      <c r="B3867" s="34" t="inlineStr">
        <is>
          <t>Vampibaiser</t>
        </is>
      </c>
      <c r="C3867" s="34" t="inlineStr">
        <is>
          <t>Séduction</t>
        </is>
      </c>
      <c r="D3867" s="34" t="inlineStr">
        <is>
          <t>Avalanche</t>
        </is>
      </c>
      <c r="E3867" s="34" t="n"/>
      <c r="F3867" s="34" t="n"/>
      <c r="G3867" s="34" t="n"/>
      <c r="H3867" s="30" t="inlineStr">
        <is>
          <t>Oui</t>
        </is>
      </c>
    </row>
    <row r="3868">
      <c r="A3868" s="31" t="n"/>
      <c r="B3868" s="34" t="inlineStr">
        <is>
          <t>Étreinte</t>
        </is>
      </c>
      <c r="C3868" s="34" t="inlineStr">
        <is>
          <t>Eau Revoir</t>
        </is>
      </c>
      <c r="D3868" s="34" t="inlineStr">
        <is>
          <t>Hydro-Queue</t>
        </is>
      </c>
      <c r="E3868" s="34" t="n"/>
      <c r="F3868" s="34" t="n"/>
      <c r="G3868" s="34" t="n"/>
      <c r="H3868" s="30" t="inlineStr">
        <is>
          <t>Oui</t>
        </is>
      </c>
    </row>
    <row r="3869">
      <c r="A3869" s="31" t="n"/>
      <c r="B3869" s="34" t="inlineStr">
        <is>
          <t>Onde Folie</t>
        </is>
      </c>
      <c r="C3869" s="34" t="inlineStr">
        <is>
          <t>Vœu</t>
        </is>
      </c>
      <c r="D3869" s="34" t="inlineStr">
        <is>
          <t>Enroulement</t>
        </is>
      </c>
      <c r="E3869" s="34" t="n"/>
      <c r="F3869" s="34" t="n"/>
      <c r="G3869" s="34" t="n"/>
      <c r="H3869" s="30" t="inlineStr">
        <is>
          <t>Oui</t>
        </is>
      </c>
    </row>
    <row r="3870">
      <c r="A3870" s="31" t="inlineStr">
        <is>
          <t>Nom</t>
        </is>
      </c>
      <c r="B3870" s="32" t="inlineStr">
        <is>
          <t>Flotteur Roddy</t>
        </is>
      </c>
      <c r="C3870" s="32" t="n"/>
      <c r="D3870" s="32" t="n"/>
      <c r="E3870" s="32" t="n"/>
      <c r="F3870" s="32" t="n"/>
      <c r="G3870" s="32" t="n"/>
      <c r="H3870" s="30" t="inlineStr">
        <is>
          <t>Oui</t>
        </is>
      </c>
    </row>
    <row r="3871">
      <c r="A3871" s="31" t="inlineStr">
        <is>
          <t>Pokémon</t>
        </is>
      </c>
      <c r="B3871" s="33" t="inlineStr">
        <is>
          <t>LANTURN</t>
        </is>
      </c>
      <c r="C3871" s="33" t="inlineStr">
        <is>
          <t>WAILORD</t>
        </is>
      </c>
      <c r="D3871" s="33" t="inlineStr">
        <is>
          <t>KRABBOSS</t>
        </is>
      </c>
      <c r="E3871" s="33" t="n"/>
      <c r="F3871" s="33" t="n"/>
      <c r="G3871" s="33" t="n"/>
      <c r="H3871" s="30" t="inlineStr">
        <is>
          <t>Oui</t>
        </is>
      </c>
    </row>
    <row r="3872">
      <c r="A3872" s="31" t="inlineStr">
        <is>
          <t>Niveau</t>
        </is>
      </c>
      <c r="B3872" s="33" t="n">
        <v>61</v>
      </c>
      <c r="C3872" s="33" t="n">
        <v>61</v>
      </c>
      <c r="D3872" s="33" t="n">
        <v>65</v>
      </c>
      <c r="E3872" s="33" t="n"/>
      <c r="F3872" s="33" t="n"/>
      <c r="G3872" s="33" t="n"/>
      <c r="H3872" s="30" t="inlineStr">
        <is>
          <t>Oui</t>
        </is>
      </c>
    </row>
    <row r="3873">
      <c r="A3873" s="31" t="inlineStr">
        <is>
          <t>Objet</t>
        </is>
      </c>
      <c r="B3873" s="33" t="inlineStr">
        <is>
          <t>Aucun</t>
        </is>
      </c>
      <c r="C3873" s="33" t="inlineStr">
        <is>
          <t>Baie Sitrus</t>
        </is>
      </c>
      <c r="D3873" s="33" t="inlineStr">
        <is>
          <t>Orbe Vie</t>
        </is>
      </c>
      <c r="E3873" s="33" t="n"/>
      <c r="F3873" s="33" t="n"/>
      <c r="G3873" s="33" t="n"/>
      <c r="H3873" s="30" t="inlineStr">
        <is>
          <t>Oui</t>
        </is>
      </c>
    </row>
    <row r="3874">
      <c r="A3874" s="31" t="inlineStr">
        <is>
          <t>Talent</t>
        </is>
      </c>
      <c r="B3874" s="33" t="inlineStr">
        <is>
          <t>Absorbe-Volt</t>
        </is>
      </c>
      <c r="C3874" s="33" t="inlineStr">
        <is>
          <t>Pression</t>
        </is>
      </c>
      <c r="D3874" s="33" t="inlineStr">
        <is>
          <t>Sans Limite</t>
        </is>
      </c>
      <c r="E3874" s="33" t="n"/>
      <c r="F3874" s="33" t="n"/>
      <c r="G3874" s="33" t="n"/>
      <c r="H3874" s="30" t="inlineStr">
        <is>
          <t>Oui</t>
        </is>
      </c>
    </row>
    <row r="3875">
      <c r="A3875" s="31" t="inlineStr">
        <is>
          <t>Capacités</t>
        </is>
      </c>
      <c r="B3875" s="34" t="inlineStr">
        <is>
          <t>Coup d'Jus</t>
        </is>
      </c>
      <c r="C3875" s="34" t="inlineStr">
        <is>
          <t>Giclédo</t>
        </is>
      </c>
      <c r="D3875" s="34" t="inlineStr">
        <is>
          <t>Pince-Masse</t>
        </is>
      </c>
      <c r="E3875" s="34" t="n"/>
      <c r="F3875" s="34" t="n"/>
      <c r="G3875" s="34" t="n"/>
      <c r="H3875" s="30" t="inlineStr">
        <is>
          <t>Oui</t>
        </is>
      </c>
    </row>
    <row r="3876">
      <c r="A3876" s="31" t="n"/>
      <c r="B3876" s="34" t="inlineStr">
        <is>
          <t>Laser Glace</t>
        </is>
      </c>
      <c r="C3876" s="34" t="inlineStr">
        <is>
          <t>Anneau Hydro</t>
        </is>
      </c>
      <c r="D3876" s="34" t="inlineStr">
        <is>
          <t>Aiguisage</t>
        </is>
      </c>
      <c r="E3876" s="34" t="n"/>
      <c r="F3876" s="34" t="n"/>
      <c r="G3876" s="34" t="n"/>
      <c r="H3876" s="30" t="inlineStr">
        <is>
          <t>Oui</t>
        </is>
      </c>
    </row>
    <row r="3877">
      <c r="A3877" s="31" t="n"/>
      <c r="B3877" s="34" t="inlineStr">
        <is>
          <t>Chargeur</t>
        </is>
      </c>
      <c r="C3877" s="34" t="inlineStr">
        <is>
          <t>Râle Mâle</t>
        </is>
      </c>
      <c r="D3877" s="34" t="inlineStr">
        <is>
          <t>Tunnel</t>
        </is>
      </c>
      <c r="E3877" s="34" t="n"/>
      <c r="F3877" s="34" t="n"/>
      <c r="G3877" s="34" t="n"/>
      <c r="H3877" s="30" t="inlineStr">
        <is>
          <t>Oui</t>
        </is>
      </c>
    </row>
    <row r="3878">
      <c r="A3878" s="31" t="n"/>
      <c r="B3878" s="34" t="inlineStr">
        <is>
          <t>Flash</t>
        </is>
      </c>
      <c r="C3878" s="34" t="inlineStr">
        <is>
          <t>Laser Glace</t>
        </is>
      </c>
      <c r="D3878" s="34" t="inlineStr">
        <is>
          <t>Guillotine</t>
        </is>
      </c>
      <c r="E3878" s="34" t="n"/>
      <c r="F3878" s="34" t="n"/>
      <c r="G3878" s="34" t="n"/>
      <c r="H3878" s="30" t="inlineStr">
        <is>
          <t>Oui</t>
        </is>
      </c>
    </row>
    <row r="3879" ht="18" customHeight="1">
      <c r="A3879" s="26" t="inlineStr">
        <is>
          <t>Route 49</t>
        </is>
      </c>
      <c r="B3879" s="26" t="n"/>
      <c r="C3879" s="26" t="n"/>
      <c r="D3879" s="26" t="n"/>
      <c r="E3879" s="26" t="n"/>
      <c r="F3879" s="26" t="n"/>
      <c r="G3879" s="26" t="n"/>
      <c r="H3879" s="30" t="inlineStr">
        <is>
          <t>Oui</t>
        </is>
      </c>
    </row>
    <row r="3880">
      <c r="A3880" s="31" t="inlineStr">
        <is>
          <t>Nom</t>
        </is>
      </c>
      <c r="B3880" s="32" t="inlineStr">
        <is>
          <t>Skieuse Skylar</t>
        </is>
      </c>
      <c r="C3880" s="32" t="n"/>
      <c r="D3880" s="32" t="n"/>
      <c r="E3880" s="32" t="n"/>
      <c r="F3880" s="32" t="n"/>
      <c r="G3880" s="32" t="n"/>
      <c r="H3880" s="30" t="inlineStr">
        <is>
          <t>Oui</t>
        </is>
      </c>
    </row>
    <row r="3881">
      <c r="A3881" s="31" t="inlineStr">
        <is>
          <t>Pokémon</t>
        </is>
      </c>
      <c r="B3881" s="33" t="inlineStr">
        <is>
          <t>INSECATEUR</t>
        </is>
      </c>
      <c r="C3881" s="33" t="inlineStr">
        <is>
          <t>SCORVOL</t>
        </is>
      </c>
      <c r="D3881" s="33" t="inlineStr">
        <is>
          <t>NOSTENFER</t>
        </is>
      </c>
      <c r="E3881" s="33" t="inlineStr">
        <is>
          <t>HELEDELLE</t>
        </is>
      </c>
      <c r="F3881" s="33" t="inlineStr">
        <is>
          <t>RAPASDEPIC</t>
        </is>
      </c>
      <c r="G3881" s="33" t="n"/>
      <c r="H3881" s="30" t="inlineStr">
        <is>
          <t>Oui</t>
        </is>
      </c>
    </row>
    <row r="3882">
      <c r="A3882" s="31" t="inlineStr">
        <is>
          <t>Niveau</t>
        </is>
      </c>
      <c r="B3882" s="33" t="n">
        <v>70</v>
      </c>
      <c r="C3882" s="33" t="n">
        <v>70</v>
      </c>
      <c r="D3882" s="33" t="n">
        <v>70</v>
      </c>
      <c r="E3882" s="33" t="n">
        <v>70</v>
      </c>
      <c r="F3882" s="33" t="n">
        <v>70</v>
      </c>
      <c r="G3882" s="33" t="n"/>
      <c r="H3882" s="30" t="inlineStr">
        <is>
          <t>Oui</t>
        </is>
      </c>
    </row>
    <row r="3883">
      <c r="A3883" s="31" t="inlineStr">
        <is>
          <t>Objet</t>
        </is>
      </c>
      <c r="B3883" s="33" t="inlineStr">
        <is>
          <t>Roche Royale</t>
        </is>
      </c>
      <c r="C3883" s="33" t="inlineStr">
        <is>
          <t>Orbe Toxique</t>
        </is>
      </c>
      <c r="D3883" s="33" t="inlineStr">
        <is>
          <t>Grosse Racine</t>
        </is>
      </c>
      <c r="E3883" s="33" t="inlineStr">
        <is>
          <t>Orbe Flamme</t>
        </is>
      </c>
      <c r="F3883" s="33" t="inlineStr">
        <is>
          <t>Lentilscope</t>
        </is>
      </c>
      <c r="G3883" s="33" t="n"/>
      <c r="H3883" s="30" t="inlineStr">
        <is>
          <t>Oui</t>
        </is>
      </c>
    </row>
    <row r="3884">
      <c r="A3884" s="31" t="inlineStr">
        <is>
          <t>Talent</t>
        </is>
      </c>
      <c r="B3884" s="33" t="inlineStr">
        <is>
          <t>Technicien</t>
        </is>
      </c>
      <c r="C3884" s="33" t="inlineStr">
        <is>
          <t>Soin Poison</t>
        </is>
      </c>
      <c r="D3884" s="33" t="inlineStr">
        <is>
          <t>Attention</t>
        </is>
      </c>
      <c r="E3884" s="33" t="inlineStr">
        <is>
          <t>Cran</t>
        </is>
      </c>
      <c r="F3884" s="33" t="inlineStr">
        <is>
          <t>Sniper</t>
        </is>
      </c>
      <c r="G3884" s="33" t="n"/>
      <c r="H3884" s="30" t="inlineStr">
        <is>
          <t>Oui</t>
        </is>
      </c>
    </row>
    <row r="3885">
      <c r="A3885" s="31" t="inlineStr">
        <is>
          <t>Capacités</t>
        </is>
      </c>
      <c r="B3885" s="34" t="inlineStr">
        <is>
          <t>Double Volée</t>
        </is>
      </c>
      <c r="C3885" s="34" t="inlineStr">
        <is>
          <t>Vent Arrière</t>
        </is>
      </c>
      <c r="D3885" s="34" t="inlineStr">
        <is>
          <t>Poison Croix</t>
        </is>
      </c>
      <c r="E3885" s="34" t="inlineStr">
        <is>
          <t>Façade</t>
        </is>
      </c>
      <c r="F3885" s="34" t="inlineStr">
        <is>
          <t>Tunnelier</t>
        </is>
      </c>
      <c r="G3885" s="34" t="n"/>
      <c r="H3885" s="30" t="inlineStr">
        <is>
          <t>Oui</t>
        </is>
      </c>
    </row>
    <row r="3886">
      <c r="A3886" s="31" t="n"/>
      <c r="B3886" s="34" t="inlineStr">
        <is>
          <t>Close Combat</t>
        </is>
      </c>
      <c r="C3886" s="34" t="inlineStr">
        <is>
          <t>Dégommage</t>
        </is>
      </c>
      <c r="D3886" s="34" t="inlineStr">
        <is>
          <t>Rapace</t>
        </is>
      </c>
      <c r="E3886" s="34" t="inlineStr">
        <is>
          <t>Atterrissage</t>
        </is>
      </c>
      <c r="F3886" s="34" t="inlineStr">
        <is>
          <t>Puissance</t>
        </is>
      </c>
      <c r="G3886" s="34" t="n"/>
      <c r="H3886" s="30" t="inlineStr">
        <is>
          <t>Oui</t>
        </is>
      </c>
    </row>
    <row r="3887">
      <c r="A3887" s="31" t="n"/>
      <c r="B3887" s="34" t="inlineStr">
        <is>
          <t>Furie-Bond</t>
        </is>
      </c>
      <c r="C3887" s="34" t="inlineStr">
        <is>
          <t>Acrobatie</t>
        </is>
      </c>
      <c r="D3887" s="34" t="inlineStr">
        <is>
          <t>Atterrissage</t>
        </is>
      </c>
      <c r="E3887" s="34" t="inlineStr">
        <is>
          <t>Ailes d'Acier</t>
        </is>
      </c>
      <c r="F3887" s="34" t="inlineStr">
        <is>
          <t>Bec Vrille</t>
        </is>
      </c>
      <c r="G3887" s="34" t="n"/>
      <c r="H3887" s="30" t="inlineStr">
        <is>
          <t>Oui</t>
        </is>
      </c>
    </row>
    <row r="3888">
      <c r="A3888" s="31" t="n"/>
      <c r="B3888" s="34" t="inlineStr">
        <is>
          <t>Coupe Psycho</t>
        </is>
      </c>
      <c r="C3888" s="34" t="inlineStr">
        <is>
          <t>Séisme</t>
        </is>
      </c>
      <c r="D3888" s="34" t="inlineStr">
        <is>
          <t>Vampirisme</t>
        </is>
      </c>
      <c r="E3888" s="34" t="inlineStr">
        <is>
          <t>Vent Arrière</t>
        </is>
      </c>
      <c r="F3888" s="34" t="inlineStr">
        <is>
          <t>Damoclès</t>
        </is>
      </c>
      <c r="G3888" s="34" t="n"/>
      <c r="H3888" s="30" t="inlineStr">
        <is>
          <t>Oui</t>
        </is>
      </c>
    </row>
    <row r="3889" ht="18" customHeight="1">
      <c r="A3889" s="26" t="inlineStr">
        <is>
          <t>Route 50</t>
        </is>
      </c>
      <c r="B3889" s="26" t="n"/>
      <c r="C3889" s="26" t="n"/>
      <c r="D3889" s="26" t="n"/>
      <c r="E3889" s="26" t="n"/>
      <c r="F3889" s="26" t="n"/>
      <c r="G3889" s="26" t="n"/>
      <c r="H3889" s="30" t="inlineStr">
        <is>
          <t>Oui</t>
        </is>
      </c>
    </row>
    <row r="3890">
      <c r="A3890" s="31" t="inlineStr">
        <is>
          <t>Nom</t>
        </is>
      </c>
      <c r="B3890" s="32" t="inlineStr">
        <is>
          <t>Intello Wessel</t>
        </is>
      </c>
      <c r="C3890" s="32" t="n"/>
      <c r="D3890" s="32" t="n"/>
      <c r="E3890" s="32" t="n"/>
      <c r="F3890" s="32" t="n"/>
      <c r="G3890" s="32" t="n"/>
      <c r="H3890" s="30" t="inlineStr">
        <is>
          <t>Oui</t>
        </is>
      </c>
    </row>
    <row r="3891">
      <c r="A3891" s="31" t="inlineStr">
        <is>
          <t>Pokémon</t>
        </is>
      </c>
      <c r="B3891" s="33" t="inlineStr">
        <is>
          <t>TRIOPIKEUR-A</t>
        </is>
      </c>
      <c r="C3891" s="33" t="inlineStr">
        <is>
          <t>STEELIX</t>
        </is>
      </c>
      <c r="D3891" s="33" t="inlineStr">
        <is>
          <t>CIZAYOX</t>
        </is>
      </c>
      <c r="E3891" s="33" t="inlineStr">
        <is>
          <t>GALEKING</t>
        </is>
      </c>
      <c r="F3891" s="33" t="inlineStr">
        <is>
          <t>BERSERKATT</t>
        </is>
      </c>
      <c r="G3891" s="33" t="n"/>
      <c r="H3891" s="30" t="inlineStr">
        <is>
          <t>Oui</t>
        </is>
      </c>
    </row>
    <row r="3892">
      <c r="A3892" s="31" t="inlineStr">
        <is>
          <t>Niveau</t>
        </is>
      </c>
      <c r="B3892" s="33" t="n">
        <v>70</v>
      </c>
      <c r="C3892" s="33" t="n">
        <v>70</v>
      </c>
      <c r="D3892" s="33" t="n">
        <v>70</v>
      </c>
      <c r="E3892" s="33" t="n">
        <v>70</v>
      </c>
      <c r="F3892" s="33" t="n">
        <v>70</v>
      </c>
      <c r="G3892" s="33" t="n"/>
      <c r="H3892" s="30" t="inlineStr">
        <is>
          <t>Oui</t>
        </is>
      </c>
    </row>
    <row r="3893">
      <c r="A3893" s="31" t="inlineStr">
        <is>
          <t>Objet</t>
        </is>
      </c>
      <c r="B3893" s="33" t="inlineStr">
        <is>
          <t>Ceinture Force</t>
        </is>
      </c>
      <c r="C3893" s="33" t="inlineStr">
        <is>
          <t>Veste de Combat</t>
        </is>
      </c>
      <c r="D3893" s="33" t="inlineStr">
        <is>
          <t>Cape Obscure</t>
        </is>
      </c>
      <c r="E3893" s="33" t="inlineStr">
        <is>
          <t>Dé Pipé</t>
        </is>
      </c>
      <c r="F3893" s="33" t="inlineStr">
        <is>
          <t>Plaque Fer</t>
        </is>
      </c>
      <c r="G3893" s="33" t="n"/>
      <c r="H3893" s="30" t="inlineStr">
        <is>
          <t>Oui</t>
        </is>
      </c>
    </row>
    <row r="3894">
      <c r="A3894" s="31" t="inlineStr">
        <is>
          <t>Talent</t>
        </is>
      </c>
      <c r="B3894" s="33" t="inlineStr">
        <is>
          <t>Force Sable</t>
        </is>
      </c>
      <c r="C3894" s="33" t="inlineStr">
        <is>
          <t>Tête de Roc</t>
        </is>
      </c>
      <c r="D3894" s="33" t="inlineStr">
        <is>
          <t>Technicien</t>
        </is>
      </c>
      <c r="E3894" s="33" t="inlineStr">
        <is>
          <t>Heavy Metal</t>
        </is>
      </c>
      <c r="F3894" s="33" t="inlineStr">
        <is>
          <t>Boost Acier</t>
        </is>
      </c>
      <c r="G3894" s="33" t="n"/>
      <c r="H3894" s="30" t="inlineStr">
        <is>
          <t>Oui</t>
        </is>
      </c>
    </row>
    <row r="3895">
      <c r="A3895" s="31" t="inlineStr">
        <is>
          <t>Capacités</t>
        </is>
      </c>
      <c r="B3895" s="34" t="inlineStr">
        <is>
          <t>Séisme</t>
        </is>
      </c>
      <c r="C3895" s="34" t="inlineStr">
        <is>
          <t>Fracass'Tête</t>
        </is>
      </c>
      <c r="D3895" s="34" t="inlineStr">
        <is>
          <t>Bond</t>
        </is>
      </c>
      <c r="E3895" s="34" t="inlineStr">
        <is>
          <t>Tacle Lourd</t>
        </is>
      </c>
      <c r="F3895" s="34" t="inlineStr">
        <is>
          <t>Queue de Fer</t>
        </is>
      </c>
      <c r="G3895" s="34" t="n"/>
      <c r="H3895" s="30" t="inlineStr">
        <is>
          <t>Oui</t>
        </is>
      </c>
    </row>
    <row r="3896">
      <c r="A3896" s="31" t="n"/>
      <c r="B3896" s="34" t="inlineStr">
        <is>
          <t>Tête de Fer</t>
        </is>
      </c>
      <c r="C3896" s="34" t="inlineStr">
        <is>
          <t>Gyroballe</t>
        </is>
      </c>
      <c r="D3896" s="34" t="inlineStr">
        <is>
          <t>Double Volée</t>
        </is>
      </c>
      <c r="E3896" s="34" t="inlineStr">
        <is>
          <t>Big Splash</t>
        </is>
      </c>
      <c r="F3896" s="34" t="inlineStr">
        <is>
          <t>Aiguisage</t>
        </is>
      </c>
      <c r="G3896" s="34" t="n"/>
      <c r="H3896" s="30" t="inlineStr">
        <is>
          <t>Oui</t>
        </is>
      </c>
    </row>
    <row r="3897">
      <c r="A3897" s="31" t="n"/>
      <c r="B3897" s="34" t="inlineStr">
        <is>
          <t>Piège de Roc</t>
        </is>
      </c>
      <c r="C3897" s="34" t="inlineStr">
        <is>
          <t>Psycho-Croc</t>
        </is>
      </c>
      <c r="D3897" s="34" t="inlineStr">
        <is>
          <t>Tête de Fer</t>
        </is>
      </c>
      <c r="E3897" s="34" t="inlineStr">
        <is>
          <t>Mur de Fer</t>
        </is>
      </c>
      <c r="F3897" s="34" t="inlineStr">
        <is>
          <t>Câlinerie</t>
        </is>
      </c>
      <c r="G3897" s="34" t="n"/>
      <c r="H3897" s="30" t="inlineStr">
        <is>
          <t>Oui</t>
        </is>
      </c>
    </row>
    <row r="3898">
      <c r="A3898" s="31" t="n"/>
      <c r="B3898" s="34" t="inlineStr">
        <is>
          <t>Danse Lames</t>
        </is>
      </c>
      <c r="C3898" s="34" t="inlineStr">
        <is>
          <t>Crocs Feu</t>
        </is>
      </c>
      <c r="D3898" s="34" t="inlineStr">
        <is>
          <t>Malédiction</t>
        </is>
      </c>
      <c r="E3898" s="34" t="inlineStr">
        <is>
          <t>Boule Roc</t>
        </is>
      </c>
      <c r="F3898" s="34" t="inlineStr">
        <is>
          <t>Désherbaffe</t>
        </is>
      </c>
      <c r="G3898" s="34" t="n"/>
      <c r="H3898" s="30" t="inlineStr">
        <is>
          <t>Oui</t>
        </is>
      </c>
    </row>
    <row r="3899">
      <c r="A3899" s="31" t="inlineStr">
        <is>
          <t>Nom</t>
        </is>
      </c>
      <c r="B3899" s="32" t="inlineStr">
        <is>
          <t>Sage Finley (combat double)</t>
        </is>
      </c>
      <c r="C3899" s="32" t="n"/>
      <c r="D3899" s="32" t="n"/>
      <c r="E3899" s="32" t="n"/>
      <c r="F3899" s="32" t="n"/>
      <c r="G3899" s="32" t="n"/>
      <c r="H3899" s="30" t="inlineStr">
        <is>
          <t>Oui</t>
        </is>
      </c>
    </row>
    <row r="3900">
      <c r="A3900" s="31" t="inlineStr">
        <is>
          <t>Pokémon</t>
        </is>
      </c>
      <c r="B3900" s="33" t="inlineStr">
        <is>
          <t>LIBEGON</t>
        </is>
      </c>
      <c r="C3900" s="33" t="inlineStr">
        <is>
          <t>DRATTAK</t>
        </is>
      </c>
      <c r="D3900" s="33" t="inlineStr">
        <is>
          <t>HYPOROI</t>
        </is>
      </c>
      <c r="E3900" s="33" t="inlineStr">
        <is>
          <t>NOADKOKO-A</t>
        </is>
      </c>
      <c r="F3900" s="33" t="n"/>
      <c r="G3900" s="33" t="n"/>
      <c r="H3900" s="30" t="inlineStr">
        <is>
          <t>Oui</t>
        </is>
      </c>
    </row>
    <row r="3901">
      <c r="A3901" s="31" t="inlineStr">
        <is>
          <t>Niveau</t>
        </is>
      </c>
      <c r="B3901" s="33" t="n">
        <v>70</v>
      </c>
      <c r="C3901" s="33" t="n">
        <v>70</v>
      </c>
      <c r="D3901" s="33" t="n">
        <v>70</v>
      </c>
      <c r="E3901" s="33" t="n">
        <v>70</v>
      </c>
      <c r="F3901" s="33" t="n"/>
      <c r="G3901" s="33" t="n"/>
      <c r="H3901" s="30" t="inlineStr">
        <is>
          <t>Oui</t>
        </is>
      </c>
    </row>
    <row r="3902">
      <c r="A3902" s="31" t="inlineStr">
        <is>
          <t>Objet</t>
        </is>
      </c>
      <c r="B3902" s="33" t="inlineStr">
        <is>
          <t>Ceinture Force</t>
        </is>
      </c>
      <c r="C3902" s="33" t="inlineStr">
        <is>
          <t>Plaque Draco</t>
        </is>
      </c>
      <c r="D3902" s="33" t="inlineStr">
        <is>
          <t>Lentilscope</t>
        </is>
      </c>
      <c r="E3902" s="33" t="inlineStr">
        <is>
          <t>Herbe Blanche</t>
        </is>
      </c>
      <c r="F3902" s="33" t="n"/>
      <c r="G3902" s="33" t="n"/>
      <c r="H3902" s="30" t="inlineStr">
        <is>
          <t>Oui</t>
        </is>
      </c>
    </row>
    <row r="3903">
      <c r="A3903" s="31" t="inlineStr">
        <is>
          <t>Talent</t>
        </is>
      </c>
      <c r="B3903" s="33" t="inlineStr">
        <is>
          <t>Lévitation</t>
        </is>
      </c>
      <c r="C3903" s="33" t="inlineStr">
        <is>
          <t>Intimidation</t>
        </is>
      </c>
      <c r="D3903" s="33" t="inlineStr">
        <is>
          <t>Sniper</t>
        </is>
      </c>
      <c r="E3903" s="33" t="inlineStr">
        <is>
          <t>Fouille</t>
        </is>
      </c>
      <c r="F3903" s="33" t="n"/>
      <c r="G3903" s="33" t="n"/>
      <c r="H3903" s="30" t="inlineStr">
        <is>
          <t>Oui</t>
        </is>
      </c>
    </row>
    <row r="3904">
      <c r="A3904" s="31" t="inlineStr">
        <is>
          <t>Capacités</t>
        </is>
      </c>
      <c r="B3904" s="34" t="inlineStr">
        <is>
          <t>Cri Draconique</t>
        </is>
      </c>
      <c r="C3904" s="34" t="inlineStr">
        <is>
          <t>Danse Draco</t>
        </is>
      </c>
      <c r="D3904" s="34" t="inlineStr">
        <is>
          <t>Luminocanon</t>
        </is>
      </c>
      <c r="E3904" s="34" t="inlineStr">
        <is>
          <t>Mur Lumière</t>
        </is>
      </c>
      <c r="F3904" s="34" t="n"/>
      <c r="G3904" s="34" t="n"/>
      <c r="H3904" s="30" t="inlineStr">
        <is>
          <t>Oui</t>
        </is>
      </c>
    </row>
    <row r="3905">
      <c r="A3905" s="31" t="n"/>
      <c r="B3905" s="34" t="inlineStr">
        <is>
          <t>Voix Envoûtante</t>
        </is>
      </c>
      <c r="C3905" s="34" t="inlineStr">
        <is>
          <t>Draco-Charge</t>
        </is>
      </c>
      <c r="D3905" s="34" t="inlineStr">
        <is>
          <t>Ocroupi</t>
        </is>
      </c>
      <c r="E3905" s="34" t="inlineStr">
        <is>
          <t>Draco-Météore</t>
        </is>
      </c>
      <c r="F3905" s="34" t="n"/>
      <c r="G3905" s="34" t="n"/>
      <c r="H3905" s="30" t="inlineStr">
        <is>
          <t>Oui</t>
        </is>
      </c>
    </row>
    <row r="3906">
      <c r="A3906" s="31" t="n"/>
      <c r="B3906" s="34" t="inlineStr">
        <is>
          <t>Canicule</t>
        </is>
      </c>
      <c r="C3906" s="34" t="inlineStr">
        <is>
          <t>Mâchouille</t>
        </is>
      </c>
      <c r="D3906" s="34" t="inlineStr">
        <is>
          <t>Siphon</t>
        </is>
      </c>
      <c r="E3906" s="34" t="inlineStr">
        <is>
          <t>Colère</t>
        </is>
      </c>
      <c r="F3906" s="34" t="n"/>
      <c r="G3906" s="34" t="n"/>
      <c r="H3906" s="30" t="inlineStr">
        <is>
          <t>Oui</t>
        </is>
      </c>
    </row>
    <row r="3907">
      <c r="A3907" s="31" t="n"/>
      <c r="B3907" s="34" t="inlineStr">
        <is>
          <t>Sable Ardent</t>
        </is>
      </c>
      <c r="C3907" s="34" t="inlineStr">
        <is>
          <t>Indignition</t>
        </is>
      </c>
      <c r="D3907" s="34" t="inlineStr">
        <is>
          <t>Hâte</t>
        </is>
      </c>
      <c r="E3907" s="34" t="inlineStr">
        <is>
          <t>Canon Graine</t>
        </is>
      </c>
      <c r="F3907" s="34" t="n"/>
      <c r="G3907" s="34" t="n"/>
      <c r="H3907" s="30" t="inlineStr">
        <is>
          <t>Oui</t>
        </is>
      </c>
    </row>
    <row r="3908" ht="18" customHeight="1">
      <c r="A3908" s="26" t="inlineStr">
        <is>
          <t>New Sinjoh — Sources chaudes</t>
        </is>
      </c>
      <c r="B3908" s="26" t="n"/>
      <c r="C3908" s="26" t="n"/>
      <c r="D3908" s="26" t="n"/>
      <c r="E3908" s="26" t="n"/>
      <c r="F3908" s="26" t="n"/>
      <c r="G3908" s="26" t="n"/>
      <c r="H3908" s="30" t="inlineStr">
        <is>
          <t>Oui</t>
        </is>
      </c>
    </row>
    <row r="3909">
      <c r="A3909" s="31" t="inlineStr">
        <is>
          <t>Nom</t>
        </is>
      </c>
      <c r="B3909" s="32" t="inlineStr">
        <is>
          <t>Nageuse Mualani (combat double)</t>
        </is>
      </c>
      <c r="C3909" s="32" t="n"/>
      <c r="D3909" s="32" t="n"/>
      <c r="E3909" s="32" t="n"/>
      <c r="F3909" s="32" t="n"/>
      <c r="G3909" s="32" t="n"/>
      <c r="H3909" s="30" t="inlineStr">
        <is>
          <t>Oui</t>
        </is>
      </c>
    </row>
    <row r="3910">
      <c r="A3910" s="31" t="inlineStr">
        <is>
          <t>Pokémon</t>
        </is>
      </c>
      <c r="B3910" s="33" t="inlineStr">
        <is>
          <t>TARPAUD</t>
        </is>
      </c>
      <c r="C3910" s="33" t="inlineStr">
        <is>
          <t>BARBICHA</t>
        </is>
      </c>
      <c r="D3910" s="33" t="inlineStr">
        <is>
          <t>LANTURN</t>
        </is>
      </c>
      <c r="E3910" s="33" t="inlineStr">
        <is>
          <t>TORTANK</t>
        </is>
      </c>
      <c r="F3910" s="33" t="inlineStr">
        <is>
          <t>SERPANG</t>
        </is>
      </c>
      <c r="G3910" s="33" t="inlineStr">
        <is>
          <t>BEKIPAN</t>
        </is>
      </c>
      <c r="H3910" s="30" t="inlineStr">
        <is>
          <t>Oui</t>
        </is>
      </c>
    </row>
    <row r="3911">
      <c r="A3911" s="31" t="inlineStr">
        <is>
          <t>Niveau</t>
        </is>
      </c>
      <c r="B3911" s="33" t="n">
        <v>70</v>
      </c>
      <c r="C3911" s="33" t="n">
        <v>70</v>
      </c>
      <c r="D3911" s="33" t="n">
        <v>70</v>
      </c>
      <c r="E3911" s="33" t="n">
        <v>70</v>
      </c>
      <c r="F3911" s="33" t="n">
        <v>70</v>
      </c>
      <c r="G3911" s="33" t="n">
        <v>70</v>
      </c>
      <c r="H3911" s="30" t="inlineStr">
        <is>
          <t>Oui</t>
        </is>
      </c>
    </row>
    <row r="3912">
      <c r="A3912" s="31" t="inlineStr">
        <is>
          <t>Objet</t>
        </is>
      </c>
      <c r="B3912" s="33" t="inlineStr">
        <is>
          <t>Roche Humide</t>
        </is>
      </c>
      <c r="C3912" s="33" t="inlineStr">
        <is>
          <t>Boue Noire</t>
        </is>
      </c>
      <c r="D3912" s="33" t="inlineStr">
        <is>
          <t>Veste de Combat</t>
        </is>
      </c>
      <c r="E3912" s="33" t="inlineStr">
        <is>
          <t>Restes</t>
        </is>
      </c>
      <c r="F3912" s="33" t="inlineStr">
        <is>
          <t>Grelot Coque</t>
        </is>
      </c>
      <c r="G3912" s="33" t="inlineStr">
        <is>
          <t>Plaque Hydro</t>
        </is>
      </c>
      <c r="H3912" s="30" t="inlineStr">
        <is>
          <t>Oui</t>
        </is>
      </c>
    </row>
    <row r="3913">
      <c r="A3913" s="31" t="inlineStr">
        <is>
          <t>Talent</t>
        </is>
      </c>
      <c r="B3913" s="33" t="inlineStr">
        <is>
          <t>Crachin</t>
        </is>
      </c>
      <c r="C3913" s="33" t="inlineStr">
        <is>
          <t>Benêt</t>
        </is>
      </c>
      <c r="D3913" s="33" t="inlineStr">
        <is>
          <t>Absorbe-Volt</t>
        </is>
      </c>
      <c r="E3913" s="33" t="inlineStr">
        <is>
          <t>Cuvette</t>
        </is>
      </c>
      <c r="F3913" s="33" t="inlineStr">
        <is>
          <t>Glissade</t>
        </is>
      </c>
      <c r="G3913" s="33" t="inlineStr">
        <is>
          <t>Crachin</t>
        </is>
      </c>
      <c r="H3913" s="30" t="inlineStr">
        <is>
          <t>Oui</t>
        </is>
      </c>
    </row>
    <row r="3914">
      <c r="A3914" s="31" t="inlineStr">
        <is>
          <t>Capacités</t>
        </is>
      </c>
      <c r="B3914" s="34" t="inlineStr">
        <is>
          <t>Ball'Météo</t>
        </is>
      </c>
      <c r="C3914" s="34" t="inlineStr">
        <is>
          <t>Bain de Smog</t>
        </is>
      </c>
      <c r="D3914" s="34" t="inlineStr">
        <is>
          <t>Coup d'Jus</t>
        </is>
      </c>
      <c r="E3914" s="34" t="inlineStr">
        <is>
          <t>Anneau Hydro</t>
        </is>
      </c>
      <c r="F3914" s="34" t="inlineStr">
        <is>
          <t>Hydro-Queue</t>
        </is>
      </c>
      <c r="G3914" s="34" t="inlineStr">
        <is>
          <t>Vent Violent</t>
        </is>
      </c>
      <c r="H3914" s="30" t="inlineStr">
        <is>
          <t>Oui</t>
        </is>
      </c>
    </row>
    <row r="3915">
      <c r="A3915" s="31" t="n"/>
      <c r="B3915" s="34" t="inlineStr">
        <is>
          <t>Telluriforce</t>
        </is>
      </c>
      <c r="C3915" s="34" t="inlineStr">
        <is>
          <t>Ébullition</t>
        </is>
      </c>
      <c r="D3915" s="34" t="inlineStr">
        <is>
          <t>Rayon Signal</t>
        </is>
      </c>
      <c r="E3915" s="34" t="inlineStr">
        <is>
          <t>Danse Pluie</t>
        </is>
      </c>
      <c r="F3915" s="34" t="inlineStr">
        <is>
          <t>Exuviation</t>
        </is>
      </c>
      <c r="G3915" s="34" t="inlineStr">
        <is>
          <t>Hydrocanon</t>
        </is>
      </c>
      <c r="H3915" s="30" t="inlineStr">
        <is>
          <t>Oui</t>
        </is>
      </c>
    </row>
    <row r="3916">
      <c r="A3916" s="31" t="n"/>
      <c r="B3916" s="34" t="inlineStr">
        <is>
          <t>Frappe Atlas</t>
        </is>
      </c>
      <c r="C3916" s="34" t="inlineStr">
        <is>
          <t>Telluriforce</t>
        </is>
      </c>
      <c r="D3916" s="34" t="inlineStr">
        <is>
          <t>Change Éclair</t>
        </is>
      </c>
      <c r="E3916" s="34" t="inlineStr">
        <is>
          <t>Laser Glace</t>
        </is>
      </c>
      <c r="F3916" s="34" t="inlineStr">
        <is>
          <t>Mâchouille</t>
        </is>
      </c>
      <c r="G3916" s="34" t="inlineStr">
        <is>
          <t>Vent Arrière</t>
        </is>
      </c>
      <c r="H3916" s="30" t="inlineStr">
        <is>
          <t>Oui</t>
        </is>
      </c>
    </row>
    <row r="3917">
      <c r="A3917" s="31" t="n"/>
      <c r="B3917" s="34" t="inlineStr">
        <is>
          <t>Laser Glace</t>
        </is>
      </c>
      <c r="C3917" s="34" t="inlineStr">
        <is>
          <t>Soin</t>
        </is>
      </c>
      <c r="D3917" s="34" t="inlineStr">
        <is>
          <t>Éclat Magique</t>
        </is>
      </c>
      <c r="E3917" s="34" t="inlineStr">
        <is>
          <t>Hydroblast</t>
        </is>
      </c>
      <c r="F3917" s="34" t="inlineStr">
        <is>
          <t>Crocs Givre</t>
        </is>
      </c>
      <c r="G3917" s="34" t="inlineStr">
        <is>
          <t>Danse Plumes</t>
        </is>
      </c>
      <c r="H3917" s="30" t="inlineStr">
        <is>
          <t>Oui</t>
        </is>
      </c>
    </row>
    <row r="3918" ht="18" customHeight="1">
      <c r="A3918" s="26" t="inlineStr">
        <is>
          <t>New Sinjoh — Repaire des Kimonos</t>
        </is>
      </c>
      <c r="B3918" s="26" t="n"/>
      <c r="C3918" s="26" t="n"/>
      <c r="D3918" s="26" t="n"/>
      <c r="E3918" s="26" t="n"/>
      <c r="F3918" s="26" t="n"/>
      <c r="G3918" s="26" t="n"/>
      <c r="H3918" s="30" t="inlineStr">
        <is>
          <t>Oui</t>
        </is>
      </c>
    </row>
    <row r="3919">
      <c r="A3919" s="31" t="inlineStr">
        <is>
          <t>Nom</t>
        </is>
      </c>
      <c r="B3919" s="32" t="inlineStr">
        <is>
          <t>Kimono Miharu</t>
        </is>
      </c>
      <c r="C3919" s="32" t="n"/>
      <c r="D3919" s="32" t="n"/>
      <c r="E3919" s="32" t="n"/>
      <c r="F3919" s="32" t="n"/>
      <c r="G3919" s="32" t="n"/>
      <c r="H3919" s="30" t="inlineStr">
        <is>
          <t>Oui</t>
        </is>
      </c>
    </row>
    <row r="3920">
      <c r="A3920" s="31" t="inlineStr">
        <is>
          <t>Pokémon</t>
        </is>
      </c>
      <c r="B3920" s="33" t="inlineStr">
        <is>
          <t>PHYLLALI</t>
        </is>
      </c>
      <c r="C3920" s="33" t="n"/>
      <c r="D3920" s="33" t="n"/>
      <c r="E3920" s="33" t="n"/>
      <c r="F3920" s="33" t="n"/>
      <c r="G3920" s="33" t="n"/>
      <c r="H3920" s="30" t="inlineStr">
        <is>
          <t>Oui</t>
        </is>
      </c>
    </row>
    <row r="3921">
      <c r="A3921" s="31" t="inlineStr">
        <is>
          <t>Niveau</t>
        </is>
      </c>
      <c r="B3921" s="33" t="n">
        <v>70</v>
      </c>
      <c r="C3921" s="33" t="n"/>
      <c r="D3921" s="33" t="n"/>
      <c r="E3921" s="33" t="n"/>
      <c r="F3921" s="33" t="n"/>
      <c r="G3921" s="33" t="n"/>
      <c r="H3921" s="30" t="inlineStr">
        <is>
          <t>Oui</t>
        </is>
      </c>
    </row>
    <row r="3922">
      <c r="A3922" s="31" t="inlineStr">
        <is>
          <t>Objet</t>
        </is>
      </c>
      <c r="B3922" s="33" t="inlineStr">
        <is>
          <t>Plaque Herbe</t>
        </is>
      </c>
      <c r="C3922" s="33" t="n"/>
      <c r="D3922" s="33" t="n"/>
      <c r="E3922" s="33" t="n"/>
      <c r="F3922" s="33" t="n"/>
      <c r="G3922" s="33" t="n"/>
      <c r="H3922" s="30" t="inlineStr">
        <is>
          <t>Oui</t>
        </is>
      </c>
    </row>
    <row r="3923">
      <c r="A3923" s="31" t="inlineStr">
        <is>
          <t>Talent</t>
        </is>
      </c>
      <c r="B3923" s="33" t="inlineStr">
        <is>
          <t>Chlorophylle</t>
        </is>
      </c>
      <c r="C3923" s="33" t="n"/>
      <c r="D3923" s="33" t="n"/>
      <c r="E3923" s="33" t="n"/>
      <c r="F3923" s="33" t="n"/>
      <c r="G3923" s="33" t="n"/>
      <c r="H3923" s="30" t="inlineStr">
        <is>
          <t>Oui</t>
        </is>
      </c>
    </row>
    <row r="3924">
      <c r="A3924" s="31" t="inlineStr">
        <is>
          <t>Capacités</t>
        </is>
      </c>
      <c r="B3924" s="34" t="inlineStr">
        <is>
          <t>Lame Feuille</t>
        </is>
      </c>
      <c r="C3924" s="34" t="n"/>
      <c r="D3924" s="34" t="n"/>
      <c r="E3924" s="34" t="n"/>
      <c r="F3924" s="34" t="n"/>
      <c r="G3924" s="34" t="n"/>
      <c r="H3924" s="30" t="inlineStr">
        <is>
          <t>Oui</t>
        </is>
      </c>
    </row>
    <row r="3925">
      <c r="A3925" s="31" t="n"/>
      <c r="B3925" s="34" t="inlineStr">
        <is>
          <t>Synthèse</t>
        </is>
      </c>
      <c r="C3925" s="34" t="n"/>
      <c r="D3925" s="34" t="n"/>
      <c r="E3925" s="34" t="n"/>
      <c r="F3925" s="34" t="n"/>
      <c r="G3925" s="34" t="n"/>
      <c r="H3925" s="30" t="inlineStr">
        <is>
          <t>Oui</t>
        </is>
      </c>
    </row>
    <row r="3926">
      <c r="A3926" s="31" t="n"/>
      <c r="B3926" s="34" t="inlineStr">
        <is>
          <t>Queue de Fer</t>
        </is>
      </c>
      <c r="C3926" s="34" t="n"/>
      <c r="D3926" s="34" t="n"/>
      <c r="E3926" s="34" t="n"/>
      <c r="F3926" s="34" t="n"/>
      <c r="G3926" s="34" t="n"/>
      <c r="H3926" s="30" t="inlineStr">
        <is>
          <t>Oui</t>
        </is>
      </c>
    </row>
    <row r="3927">
      <c r="A3927" s="31" t="n"/>
      <c r="B3927" s="34" t="inlineStr">
        <is>
          <t>Bâillement</t>
        </is>
      </c>
      <c r="C3927" s="34" t="n"/>
      <c r="D3927" s="34" t="n"/>
      <c r="E3927" s="34" t="n"/>
      <c r="F3927" s="34" t="n"/>
      <c r="G3927" s="34" t="n"/>
      <c r="H3927" s="30" t="inlineStr">
        <is>
          <t>Oui</t>
        </is>
      </c>
    </row>
    <row r="3928">
      <c r="A3928" s="31" t="inlineStr">
        <is>
          <t>Nom</t>
        </is>
      </c>
      <c r="B3928" s="32" t="inlineStr">
        <is>
          <t>Kimono Youko</t>
        </is>
      </c>
      <c r="C3928" s="32" t="n"/>
      <c r="D3928" s="32" t="n"/>
      <c r="E3928" s="32" t="n"/>
      <c r="F3928" s="32" t="n"/>
      <c r="G3928" s="32" t="n"/>
      <c r="H3928" s="30" t="inlineStr">
        <is>
          <t>Oui</t>
        </is>
      </c>
    </row>
    <row r="3929">
      <c r="A3929" s="31" t="inlineStr">
        <is>
          <t>Pokémon</t>
        </is>
      </c>
      <c r="B3929" s="33" t="inlineStr">
        <is>
          <t>GIVRALI</t>
        </is>
      </c>
      <c r="C3929" s="33" t="n"/>
      <c r="D3929" s="33" t="n"/>
      <c r="E3929" s="33" t="n"/>
      <c r="F3929" s="33" t="n"/>
      <c r="G3929" s="33" t="n"/>
      <c r="H3929" s="30" t="inlineStr">
        <is>
          <t>Oui</t>
        </is>
      </c>
    </row>
    <row r="3930">
      <c r="A3930" s="31" t="inlineStr">
        <is>
          <t>Niveau</t>
        </is>
      </c>
      <c r="B3930" s="33" t="n">
        <v>70</v>
      </c>
      <c r="C3930" s="33" t="n"/>
      <c r="D3930" s="33" t="n"/>
      <c r="E3930" s="33" t="n"/>
      <c r="F3930" s="33" t="n"/>
      <c r="G3930" s="33" t="n"/>
      <c r="H3930" s="30" t="inlineStr">
        <is>
          <t>Oui</t>
        </is>
      </c>
    </row>
    <row r="3931">
      <c r="A3931" s="31" t="inlineStr">
        <is>
          <t>Objet</t>
        </is>
      </c>
      <c r="B3931" s="33" t="inlineStr">
        <is>
          <t>Plaque Glace</t>
        </is>
      </c>
      <c r="C3931" s="33" t="n"/>
      <c r="D3931" s="33" t="n"/>
      <c r="E3931" s="33" t="n"/>
      <c r="F3931" s="33" t="n"/>
      <c r="G3931" s="33" t="n"/>
      <c r="H3931" s="30" t="inlineStr">
        <is>
          <t>Oui</t>
        </is>
      </c>
    </row>
    <row r="3932">
      <c r="A3932" s="31" t="inlineStr">
        <is>
          <t>Talent</t>
        </is>
      </c>
      <c r="B3932" s="33" t="inlineStr">
        <is>
          <t>Corps Gel</t>
        </is>
      </c>
      <c r="C3932" s="33" t="n"/>
      <c r="D3932" s="33" t="n"/>
      <c r="E3932" s="33" t="n"/>
      <c r="F3932" s="33" t="n"/>
      <c r="G3932" s="33" t="n"/>
      <c r="H3932" s="30" t="inlineStr">
        <is>
          <t>Oui</t>
        </is>
      </c>
    </row>
    <row r="3933">
      <c r="A3933" s="31" t="inlineStr">
        <is>
          <t>Capacités</t>
        </is>
      </c>
      <c r="B3933" s="34" t="inlineStr">
        <is>
          <t>Synchropeine</t>
        </is>
      </c>
      <c r="C3933" s="34" t="n"/>
      <c r="D3933" s="34" t="n"/>
      <c r="E3933" s="34" t="n"/>
      <c r="F3933" s="34" t="n"/>
      <c r="G3933" s="34" t="n"/>
      <c r="H3933" s="30" t="inlineStr">
        <is>
          <t>Oui</t>
        </is>
      </c>
    </row>
    <row r="3934">
      <c r="A3934" s="31" t="n"/>
      <c r="B3934" s="34" t="inlineStr">
        <is>
          <t>Blizzard</t>
        </is>
      </c>
      <c r="C3934" s="34" t="n"/>
      <c r="D3934" s="34" t="n"/>
      <c r="E3934" s="34" t="n"/>
      <c r="F3934" s="34" t="n"/>
      <c r="G3934" s="34" t="n"/>
      <c r="H3934" s="30" t="inlineStr">
        <is>
          <t>Oui</t>
        </is>
      </c>
    </row>
    <row r="3935">
      <c r="A3935" s="31" t="n"/>
      <c r="B3935" s="34" t="inlineStr">
        <is>
          <t>Douche Froide</t>
        </is>
      </c>
      <c r="C3935" s="34" t="n"/>
      <c r="D3935" s="34" t="n"/>
      <c r="E3935" s="34" t="n"/>
      <c r="F3935" s="34" t="n"/>
      <c r="G3935" s="34" t="n"/>
      <c r="H3935" s="30" t="inlineStr">
        <is>
          <t>Oui</t>
        </is>
      </c>
    </row>
    <row r="3936">
      <c r="A3936" s="31" t="n"/>
      <c r="B3936" s="34" t="inlineStr">
        <is>
          <t>Ball'Ombre</t>
        </is>
      </c>
      <c r="C3936" s="34" t="n"/>
      <c r="D3936" s="34" t="n"/>
      <c r="E3936" s="34" t="n"/>
      <c r="F3936" s="34" t="n"/>
      <c r="G3936" s="34" t="n"/>
      <c r="H3936" s="30" t="inlineStr">
        <is>
          <t>Oui</t>
        </is>
      </c>
    </row>
    <row r="3937">
      <c r="A3937" s="31" t="inlineStr">
        <is>
          <t>Nom</t>
        </is>
      </c>
      <c r="B3937" s="32" t="inlineStr">
        <is>
          <t>Kimono Shizuko</t>
        </is>
      </c>
      <c r="C3937" s="32" t="n"/>
      <c r="D3937" s="32" t="n"/>
      <c r="E3937" s="32" t="n"/>
      <c r="F3937" s="32" t="n"/>
      <c r="G3937" s="32" t="n"/>
      <c r="H3937" s="30" t="inlineStr">
        <is>
          <t>Oui</t>
        </is>
      </c>
    </row>
    <row r="3938">
      <c r="A3938" s="31" t="inlineStr">
        <is>
          <t>Pokémon</t>
        </is>
      </c>
      <c r="B3938" s="33" t="inlineStr">
        <is>
          <t>NYMPHALI</t>
        </is>
      </c>
      <c r="C3938" s="33" t="n"/>
      <c r="D3938" s="33" t="n"/>
      <c r="E3938" s="33" t="n"/>
      <c r="F3938" s="33" t="n"/>
      <c r="G3938" s="33" t="n"/>
      <c r="H3938" s="30" t="inlineStr">
        <is>
          <t>Oui</t>
        </is>
      </c>
    </row>
    <row r="3939">
      <c r="A3939" s="31" t="inlineStr">
        <is>
          <t>Niveau</t>
        </is>
      </c>
      <c r="B3939" s="33" t="n">
        <v>70</v>
      </c>
      <c r="C3939" s="33" t="n"/>
      <c r="D3939" s="33" t="n"/>
      <c r="E3939" s="33" t="n"/>
      <c r="F3939" s="33" t="n"/>
      <c r="G3939" s="33" t="n"/>
      <c r="H3939" s="30" t="inlineStr">
        <is>
          <t>Oui</t>
        </is>
      </c>
    </row>
    <row r="3940">
      <c r="A3940" s="31" t="inlineStr">
        <is>
          <t>Objet</t>
        </is>
      </c>
      <c r="B3940" s="33" t="inlineStr">
        <is>
          <t>Plaque Pixie</t>
        </is>
      </c>
      <c r="C3940" s="33" t="n"/>
      <c r="D3940" s="33" t="n"/>
      <c r="E3940" s="33" t="n"/>
      <c r="F3940" s="33" t="n"/>
      <c r="G3940" s="33" t="n"/>
      <c r="H3940" s="30" t="inlineStr">
        <is>
          <t>Oui</t>
        </is>
      </c>
    </row>
    <row r="3941">
      <c r="A3941" s="31" t="inlineStr">
        <is>
          <t>Talent</t>
        </is>
      </c>
      <c r="B3941" s="33" t="inlineStr">
        <is>
          <t>Peau Féérique</t>
        </is>
      </c>
      <c r="C3941" s="33" t="n"/>
      <c r="D3941" s="33" t="n"/>
      <c r="E3941" s="33" t="n"/>
      <c r="F3941" s="33" t="n"/>
      <c r="G3941" s="33" t="n"/>
      <c r="H3941" s="30" t="inlineStr">
        <is>
          <t>Oui</t>
        </is>
      </c>
    </row>
    <row r="3942">
      <c r="A3942" s="31" t="inlineStr">
        <is>
          <t>Capacités</t>
        </is>
      </c>
      <c r="B3942" s="34" t="inlineStr">
        <is>
          <t>Coud'Krâne</t>
        </is>
      </c>
      <c r="C3942" s="34" t="n"/>
      <c r="D3942" s="34" t="n"/>
      <c r="E3942" s="34" t="n"/>
      <c r="F3942" s="34" t="n"/>
      <c r="G3942" s="34" t="n"/>
      <c r="H3942" s="30" t="inlineStr">
        <is>
          <t>Oui</t>
        </is>
      </c>
    </row>
    <row r="3943">
      <c r="A3943" s="31" t="n"/>
      <c r="B3943" s="34" t="inlineStr">
        <is>
          <t>Queue de Fer</t>
        </is>
      </c>
      <c r="C3943" s="34" t="n"/>
      <c r="D3943" s="34" t="n"/>
      <c r="E3943" s="34" t="n"/>
      <c r="F3943" s="34" t="n"/>
      <c r="G3943" s="34" t="n"/>
      <c r="H3943" s="30" t="inlineStr">
        <is>
          <t>Oui</t>
        </is>
      </c>
    </row>
    <row r="3944">
      <c r="A3944" s="31" t="n"/>
      <c r="B3944" s="34" t="inlineStr">
        <is>
          <t>Malédiction</t>
        </is>
      </c>
      <c r="C3944" s="34" t="n"/>
      <c r="D3944" s="34" t="n"/>
      <c r="E3944" s="34" t="n"/>
      <c r="F3944" s="34" t="n"/>
      <c r="G3944" s="34" t="n"/>
      <c r="H3944" s="30" t="inlineStr">
        <is>
          <t>Oui</t>
        </is>
      </c>
    </row>
    <row r="3945">
      <c r="A3945" s="31" t="n"/>
      <c r="B3945" s="34" t="inlineStr">
        <is>
          <t>Berceuse</t>
        </is>
      </c>
      <c r="C3945" s="34" t="n"/>
      <c r="D3945" s="34" t="n"/>
      <c r="E3945" s="34" t="n"/>
      <c r="F3945" s="34" t="n"/>
      <c r="G3945" s="34" t="n"/>
      <c r="H3945" s="30" t="inlineStr">
        <is>
          <t>Oui</t>
        </is>
      </c>
    </row>
    <row r="3946" ht="18" customHeight="1">
      <c r="A3946" s="26" t="inlineStr">
        <is>
          <t>New Sinjoh</t>
        </is>
      </c>
      <c r="B3946" s="26" t="n"/>
      <c r="C3946" s="26" t="n"/>
      <c r="D3946" s="26" t="n"/>
      <c r="E3946" s="26" t="n"/>
      <c r="F3946" s="26" t="n"/>
      <c r="G3946" s="26" t="n"/>
      <c r="H3946" s="30" t="inlineStr">
        <is>
          <t>Oui</t>
        </is>
      </c>
    </row>
    <row r="3947">
      <c r="A3947" s="31" t="inlineStr">
        <is>
          <t>Nom</t>
        </is>
      </c>
      <c r="B3947" s="32" t="inlineStr">
        <is>
          <t>Agent Milkman</t>
        </is>
      </c>
      <c r="C3947" s="32" t="n"/>
      <c r="D3947" s="32" t="n"/>
      <c r="E3947" s="32" t="n"/>
      <c r="F3947" s="32" t="n"/>
      <c r="G3947" s="32" t="n"/>
      <c r="H3947" s="30" t="inlineStr">
        <is>
          <t>Oui</t>
        </is>
      </c>
    </row>
    <row r="3948">
      <c r="A3948" s="31" t="inlineStr">
        <is>
          <t>Pokémon</t>
        </is>
      </c>
      <c r="B3948" s="33" t="inlineStr">
        <is>
          <t>ECREMEUH</t>
        </is>
      </c>
      <c r="C3948" s="33" t="inlineStr">
        <is>
          <t>ECREMEUH</t>
        </is>
      </c>
      <c r="D3948" s="33" t="inlineStr">
        <is>
          <t>ECREMEUH</t>
        </is>
      </c>
      <c r="E3948" s="33" t="inlineStr">
        <is>
          <t>ECREMEUH</t>
        </is>
      </c>
      <c r="F3948" s="33" t="inlineStr">
        <is>
          <t>ECREMEUH</t>
        </is>
      </c>
      <c r="G3948" s="33" t="inlineStr">
        <is>
          <t>ECREMEUH</t>
        </is>
      </c>
      <c r="H3948" s="30" t="inlineStr">
        <is>
          <t>Oui</t>
        </is>
      </c>
    </row>
    <row r="3949">
      <c r="A3949" s="31" t="inlineStr">
        <is>
          <t>Niveau</t>
        </is>
      </c>
      <c r="B3949" s="33" t="n">
        <v>70</v>
      </c>
      <c r="C3949" s="33" t="n">
        <v>70</v>
      </c>
      <c r="D3949" s="33" t="n">
        <v>70</v>
      </c>
      <c r="E3949" s="33" t="n">
        <v>70</v>
      </c>
      <c r="F3949" s="33" t="n">
        <v>70</v>
      </c>
      <c r="G3949" s="33" t="n">
        <v>80</v>
      </c>
      <c r="H3949" s="30" t="inlineStr">
        <is>
          <t>Oui</t>
        </is>
      </c>
    </row>
    <row r="3950">
      <c r="A3950" s="31" t="inlineStr">
        <is>
          <t>Objet</t>
        </is>
      </c>
      <c r="B3950" s="33" t="inlineStr">
        <is>
          <t>Restes</t>
        </is>
      </c>
      <c r="C3950" s="33" t="inlineStr">
        <is>
          <t>Charbon</t>
        </is>
      </c>
      <c r="D3950" s="33" t="inlineStr">
        <is>
          <t>Restes</t>
        </is>
      </c>
      <c r="E3950" s="33" t="inlineStr">
        <is>
          <t>Pierre Dure</t>
        </is>
      </c>
      <c r="F3950" s="33" t="inlineStr">
        <is>
          <t>Ralentiqueue</t>
        </is>
      </c>
      <c r="G3950" s="33" t="inlineStr">
        <is>
          <t>Mouchoir Soie</t>
        </is>
      </c>
      <c r="H3950" s="30" t="inlineStr">
        <is>
          <t>Oui</t>
        </is>
      </c>
    </row>
    <row r="3951">
      <c r="A3951" s="31" t="inlineStr">
        <is>
          <t>Talent</t>
        </is>
      </c>
      <c r="B3951" s="33" t="inlineStr">
        <is>
          <t>Isograisse</t>
        </is>
      </c>
      <c r="C3951" s="33" t="inlineStr">
        <is>
          <t>Herbivore</t>
        </is>
      </c>
      <c r="D3951" s="33" t="inlineStr">
        <is>
          <t>Isograisse</t>
        </is>
      </c>
      <c r="E3951" s="33" t="inlineStr">
        <is>
          <t>Herbivore</t>
        </is>
      </c>
      <c r="F3951" s="33" t="inlineStr">
        <is>
          <t>Querelleur</t>
        </is>
      </c>
      <c r="G3951" s="33" t="inlineStr">
        <is>
          <t>Querelleur</t>
        </is>
      </c>
      <c r="H3951" s="30" t="inlineStr">
        <is>
          <t>Oui</t>
        </is>
      </c>
    </row>
    <row r="3952">
      <c r="A3952" s="31" t="inlineStr">
        <is>
          <t>Capacités</t>
        </is>
      </c>
      <c r="B3952" s="34" t="inlineStr">
        <is>
          <t>Lait à Boire</t>
        </is>
      </c>
      <c r="C3952" s="34" t="inlineStr">
        <is>
          <t>Lait à Boire</t>
        </is>
      </c>
      <c r="D3952" s="34" t="inlineStr">
        <is>
          <t>Lait à Boire</t>
        </is>
      </c>
      <c r="E3952" s="34" t="inlineStr">
        <is>
          <t>Lait à Boire</t>
        </is>
      </c>
      <c r="F3952" s="34" t="inlineStr">
        <is>
          <t>Lait à Boire</t>
        </is>
      </c>
      <c r="G3952" s="34" t="inlineStr">
        <is>
          <t>Lait à Boire</t>
        </is>
      </c>
      <c r="H3952" s="30" t="inlineStr">
        <is>
          <t>Oui</t>
        </is>
      </c>
    </row>
    <row r="3953">
      <c r="A3953" s="31" t="n"/>
      <c r="B3953" s="34" t="inlineStr">
        <is>
          <t>Malédiction</t>
        </is>
      </c>
      <c r="C3953" s="34" t="inlineStr">
        <is>
          <t>Poing Feu</t>
        </is>
      </c>
      <c r="D3953" s="34" t="inlineStr">
        <is>
          <t>Attraction</t>
        </is>
      </c>
      <c r="E3953" s="34" t="inlineStr">
        <is>
          <t>Boul'Armure</t>
        </is>
      </c>
      <c r="F3953" s="34" t="inlineStr">
        <is>
          <t>Toxik</t>
        </is>
      </c>
      <c r="G3953" s="34" t="inlineStr">
        <is>
          <t>Damoclès</t>
        </is>
      </c>
      <c r="H3953" s="30" t="inlineStr">
        <is>
          <t>Oui</t>
        </is>
      </c>
    </row>
    <row r="3954">
      <c r="A3954" s="31" t="n"/>
      <c r="B3954" s="34" t="inlineStr">
        <is>
          <t>Big Splash</t>
        </is>
      </c>
      <c r="C3954" s="34" t="inlineStr">
        <is>
          <t>Tête de Fer</t>
        </is>
      </c>
      <c r="D3954" s="34" t="inlineStr">
        <is>
          <t>Cage Éclair</t>
        </is>
      </c>
      <c r="E3954" s="34" t="inlineStr">
        <is>
          <t>Big Splash</t>
        </is>
      </c>
      <c r="F3954" s="34" t="inlineStr">
        <is>
          <t>Riposte</t>
        </is>
      </c>
      <c r="G3954" s="34" t="inlineStr">
        <is>
          <t>Câlinerie</t>
        </is>
      </c>
      <c r="H3954" s="30" t="inlineStr">
        <is>
          <t>Oui</t>
        </is>
      </c>
    </row>
    <row r="3955">
      <c r="A3955" s="31" t="n"/>
      <c r="B3955" s="34" t="inlineStr">
        <is>
          <t>Abri</t>
        </is>
      </c>
      <c r="C3955" s="34" t="inlineStr">
        <is>
          <t>Piège de Roc</t>
        </is>
      </c>
      <c r="D3955" s="34" t="inlineStr">
        <is>
          <t>Damoclès</t>
        </is>
      </c>
      <c r="E3955" s="34" t="inlineStr">
        <is>
          <t>Roulade</t>
        </is>
      </c>
      <c r="F3955" s="34" t="inlineStr">
        <is>
          <t>Façade</t>
        </is>
      </c>
      <c r="G3955" s="34" t="inlineStr">
        <is>
          <t>Poing Boost</t>
        </is>
      </c>
      <c r="H3955" s="30" t="inlineStr">
        <is>
          <t>Oui</t>
        </is>
      </c>
    </row>
    <row r="3956" ht="18" customHeight="1">
      <c r="A3956" s="26" t="inlineStr">
        <is>
          <t>Ruines Sinjoh</t>
        </is>
      </c>
      <c r="B3956" s="26" t="n"/>
      <c r="C3956" s="26" t="n"/>
      <c r="D3956" s="26" t="n"/>
      <c r="E3956" s="26" t="n"/>
      <c r="F3956" s="26" t="n"/>
      <c r="G3956" s="26" t="n"/>
      <c r="H3956" s="30" t="inlineStr">
        <is>
          <t>Oui</t>
        </is>
      </c>
    </row>
    <row r="3957">
      <c r="A3957" s="31" t="inlineStr">
        <is>
          <t>Nom</t>
        </is>
      </c>
      <c r="B3957" s="32" t="inlineStr">
        <is>
          <t>Dresseur P. Rochard</t>
        </is>
      </c>
      <c r="C3957" s="32" t="n"/>
      <c r="D3957" s="32" t="n"/>
      <c r="E3957" s="32" t="n"/>
      <c r="F3957" s="32" t="n"/>
      <c r="G3957" s="32" t="n"/>
      <c r="H3957" s="30" t="inlineStr">
        <is>
          <t>Oui</t>
        </is>
      </c>
    </row>
    <row r="3958">
      <c r="A3958" s="31" t="inlineStr">
        <is>
          <t>Pokémon</t>
        </is>
      </c>
      <c r="B3958" s="33" t="inlineStr">
        <is>
          <t>AIRMURE</t>
        </is>
      </c>
      <c r="C3958" s="33" t="inlineStr">
        <is>
          <t>AMONISTAR</t>
        </is>
      </c>
      <c r="D3958" s="33" t="inlineStr">
        <is>
          <t>KAORINE</t>
        </is>
      </c>
      <c r="E3958" s="33" t="inlineStr">
        <is>
          <t>GALEKING</t>
        </is>
      </c>
      <c r="F3958" s="33" t="inlineStr">
        <is>
          <t>HACHECATEUR</t>
        </is>
      </c>
      <c r="G3958" s="33" t="inlineStr">
        <is>
          <t>METALOSSE</t>
        </is>
      </c>
      <c r="H3958" s="30" t="inlineStr">
        <is>
          <t>Oui</t>
        </is>
      </c>
    </row>
    <row r="3959">
      <c r="A3959" s="31" t="inlineStr">
        <is>
          <t>Niveau</t>
        </is>
      </c>
      <c r="B3959" s="33" t="n">
        <v>77</v>
      </c>
      <c r="C3959" s="33" t="n">
        <v>77</v>
      </c>
      <c r="D3959" s="33" t="n">
        <v>77</v>
      </c>
      <c r="E3959" s="33" t="n">
        <v>77</v>
      </c>
      <c r="F3959" s="33" t="n">
        <v>77</v>
      </c>
      <c r="G3959" s="33" t="n">
        <v>79</v>
      </c>
      <c r="H3959" s="30" t="inlineStr">
        <is>
          <t>Oui</t>
        </is>
      </c>
    </row>
    <row r="3960">
      <c r="A3960" s="31" t="inlineStr">
        <is>
          <t>Objet</t>
        </is>
      </c>
      <c r="B3960" s="33" t="inlineStr">
        <is>
          <t>Cape Obscure</t>
        </is>
      </c>
      <c r="C3960" s="33" t="inlineStr">
        <is>
          <t>Baie Sitrus</t>
        </is>
      </c>
      <c r="D3960" s="33" t="inlineStr">
        <is>
          <t>Lumargile</t>
        </is>
      </c>
      <c r="E3960" s="33" t="inlineStr">
        <is>
          <t>Casque Brut</t>
        </is>
      </c>
      <c r="F3960" s="33" t="inlineStr">
        <is>
          <t>Lentilscope</t>
        </is>
      </c>
      <c r="G3960" s="33" t="inlineStr">
        <is>
          <t>Peau Métal</t>
        </is>
      </c>
      <c r="H3960" s="30" t="inlineStr">
        <is>
          <t>Oui</t>
        </is>
      </c>
    </row>
    <row r="3961">
      <c r="A3961" s="31" t="inlineStr">
        <is>
          <t>Talent</t>
        </is>
      </c>
      <c r="B3961" s="33" t="inlineStr">
        <is>
          <t>Fermeté</t>
        </is>
      </c>
      <c r="C3961" s="33" t="inlineStr">
        <is>
          <t>Coque Armure</t>
        </is>
      </c>
      <c r="D3961" s="33" t="inlineStr">
        <is>
          <t>Lévitation</t>
        </is>
      </c>
      <c r="E3961" s="33" t="inlineStr">
        <is>
          <t>Heavy Metal</t>
        </is>
      </c>
      <c r="F3961" s="33" t="inlineStr">
        <is>
          <t>Incisif</t>
        </is>
      </c>
      <c r="G3961" s="33" t="inlineStr">
        <is>
          <t>Corps Sain</t>
        </is>
      </c>
      <c r="H3961" s="30" t="inlineStr">
        <is>
          <t>Oui</t>
        </is>
      </c>
    </row>
    <row r="3962">
      <c r="A3962" s="31" t="inlineStr">
        <is>
          <t>Capacités</t>
        </is>
      </c>
      <c r="B3962" s="34" t="inlineStr">
        <is>
          <t>Allègement</t>
        </is>
      </c>
      <c r="C3962" s="34" t="inlineStr">
        <is>
          <t>Hydrocanon</t>
        </is>
      </c>
      <c r="D3962" s="34" t="inlineStr">
        <is>
          <t>Mur Lumière</t>
        </is>
      </c>
      <c r="E3962" s="34" t="inlineStr">
        <is>
          <t>Tacle Lourd</t>
        </is>
      </c>
      <c r="F3962" s="34" t="inlineStr">
        <is>
          <t>Hache de Pierre</t>
        </is>
      </c>
      <c r="G3962" s="34" t="inlineStr">
        <is>
          <t>Pisto-Poing</t>
        </is>
      </c>
      <c r="H3962" s="30" t="inlineStr">
        <is>
          <t>Oui</t>
        </is>
      </c>
    </row>
    <row r="3963">
      <c r="A3963" s="31" t="n"/>
      <c r="B3963" s="34" t="inlineStr">
        <is>
          <t>Rapace</t>
        </is>
      </c>
      <c r="C3963" s="34" t="inlineStr">
        <is>
          <t>Laser Météore</t>
        </is>
      </c>
      <c r="D3963" s="34" t="inlineStr">
        <is>
          <t>Protection</t>
        </is>
      </c>
      <c r="E3963" s="34" t="inlineStr">
        <is>
          <t>Big Splash</t>
        </is>
      </c>
      <c r="F3963" s="34" t="inlineStr">
        <is>
          <t>Plaie Croix</t>
        </is>
      </c>
      <c r="G3963" s="34" t="inlineStr">
        <is>
          <t>Poing Météore</t>
        </is>
      </c>
      <c r="H3963" s="30" t="inlineStr">
        <is>
          <t>Oui</t>
        </is>
      </c>
    </row>
    <row r="3964">
      <c r="A3964" s="31" t="n"/>
      <c r="B3964" s="34" t="inlineStr">
        <is>
          <t>Tête de Fer</t>
        </is>
      </c>
      <c r="C3964" s="34" t="inlineStr">
        <is>
          <t>Saumure</t>
        </is>
      </c>
      <c r="D3964" s="34" t="inlineStr">
        <is>
          <t>Vaste Pouvoir</t>
        </is>
      </c>
      <c r="E3964" s="34" t="inlineStr">
        <is>
          <t>Malédiction</t>
        </is>
      </c>
      <c r="F3964" s="34" t="inlineStr">
        <is>
          <t>Poison Croix</t>
        </is>
      </c>
      <c r="G3964" s="34" t="inlineStr">
        <is>
          <t>Psycho-Croc</t>
        </is>
      </c>
      <c r="H3964" s="30" t="inlineStr">
        <is>
          <t>Oui</t>
        </is>
      </c>
    </row>
    <row r="3965">
      <c r="A3965" s="31" t="n"/>
      <c r="B3965" s="34" t="inlineStr">
        <is>
          <t>Picots</t>
        </is>
      </c>
      <c r="C3965" s="34" t="inlineStr">
        <is>
          <t>Pics Toxik</t>
        </is>
      </c>
      <c r="D3965" s="34" t="inlineStr">
        <is>
          <t>Telluriforce</t>
        </is>
      </c>
      <c r="E3965" s="34" t="inlineStr">
        <is>
          <t>Éboulement</t>
        </is>
      </c>
      <c r="F3965" s="34" t="inlineStr">
        <is>
          <t>Reflet</t>
        </is>
      </c>
      <c r="G3965" s="34" t="inlineStr">
        <is>
          <t>Force Cosmique</t>
        </is>
      </c>
      <c r="H3965" s="30" t="inlineStr">
        <is>
          <t>Oui</t>
        </is>
      </c>
    </row>
    <row r="3966" ht="18" customHeight="1">
      <c r="A3966" s="26" t="inlineStr">
        <is>
          <t>Mont Argenté — Sommet</t>
        </is>
      </c>
      <c r="B3966" s="26" t="n"/>
      <c r="C3966" s="26" t="n"/>
      <c r="D3966" s="26" t="n"/>
      <c r="E3966" s="26" t="n"/>
      <c r="F3966" s="26" t="n"/>
      <c r="G3966" s="26" t="n"/>
      <c r="H3966" s="30" t="inlineStr">
        <is>
          <t>Oui</t>
        </is>
      </c>
    </row>
    <row r="3967">
      <c r="A3967" s="31" t="inlineStr">
        <is>
          <t>Nom</t>
        </is>
      </c>
      <c r="B3967" s="32" t="inlineStr">
        <is>
          <t>Dresseur Red</t>
        </is>
      </c>
      <c r="C3967" s="32" t="n"/>
      <c r="D3967" s="32" t="n"/>
      <c r="E3967" s="32" t="n"/>
      <c r="F3967" s="32" t="n"/>
      <c r="G3967" s="32" t="n"/>
      <c r="H3967" s="30" t="inlineStr">
        <is>
          <t>Oui</t>
        </is>
      </c>
    </row>
    <row r="3968">
      <c r="A3968" s="31" t="inlineStr">
        <is>
          <t>Pokémon</t>
        </is>
      </c>
      <c r="B3968" s="33" t="inlineStr">
        <is>
          <t>PIKACHU</t>
        </is>
      </c>
      <c r="C3968" s="33" t="inlineStr">
        <is>
          <t>RONFLEX</t>
        </is>
      </c>
      <c r="D3968" s="33" t="inlineStr">
        <is>
          <t>DRACAUFEU</t>
        </is>
      </c>
      <c r="E3968" s="33" t="inlineStr">
        <is>
          <t>FLORIZARRE</t>
        </is>
      </c>
      <c r="F3968" s="33" t="inlineStr">
        <is>
          <t>TORTANK</t>
        </is>
      </c>
      <c r="G3968" s="33" t="inlineStr">
        <is>
          <t>MENTALI</t>
        </is>
      </c>
      <c r="H3968" s="30" t="inlineStr">
        <is>
          <t>Oui</t>
        </is>
      </c>
    </row>
    <row r="3969">
      <c r="A3969" s="31" t="inlineStr">
        <is>
          <t>Niveau</t>
        </is>
      </c>
      <c r="B3969" s="33" t="n">
        <v>93</v>
      </c>
      <c r="C3969" s="33" t="n">
        <v>77</v>
      </c>
      <c r="D3969" s="33" t="n">
        <v>79</v>
      </c>
      <c r="E3969" s="33" t="n">
        <v>79</v>
      </c>
      <c r="F3969" s="33" t="n">
        <v>79</v>
      </c>
      <c r="G3969" s="33" t="n">
        <v>80</v>
      </c>
      <c r="H3969" s="30" t="inlineStr">
        <is>
          <t>Oui</t>
        </is>
      </c>
    </row>
    <row r="3970">
      <c r="A3970" s="31" t="inlineStr">
        <is>
          <t>Objet</t>
        </is>
      </c>
      <c r="B3970" s="33" t="inlineStr">
        <is>
          <t>Balle Lumière</t>
        </is>
      </c>
      <c r="C3970" s="33" t="inlineStr">
        <is>
          <t>Restes</t>
        </is>
      </c>
      <c r="D3970" s="33" t="inlineStr">
        <is>
          <t>Charbon</t>
        </is>
      </c>
      <c r="E3970" s="33" t="inlineStr">
        <is>
          <t>Graine Miracle</t>
        </is>
      </c>
      <c r="F3970" s="33" t="inlineStr">
        <is>
          <t>Vive Griffe</t>
        </is>
      </c>
      <c r="G3970" s="33" t="inlineStr">
        <is>
          <t>Baie Sitrus</t>
        </is>
      </c>
      <c r="H3970" s="30" t="inlineStr">
        <is>
          <t>Oui</t>
        </is>
      </c>
    </row>
    <row r="3971">
      <c r="A3971" s="31" t="inlineStr">
        <is>
          <t>Talent</t>
        </is>
      </c>
      <c r="B3971" s="33" t="inlineStr">
        <is>
          <t>Statik</t>
        </is>
      </c>
      <c r="C3971" s="33" t="inlineStr">
        <is>
          <t>Vaccin</t>
        </is>
      </c>
      <c r="D3971" s="33" t="inlineStr">
        <is>
          <t>Brasier</t>
        </is>
      </c>
      <c r="E3971" s="33" t="inlineStr">
        <is>
          <t>Engrais</t>
        </is>
      </c>
      <c r="F3971" s="33" t="inlineStr">
        <is>
          <t>Torrent</t>
        </is>
      </c>
      <c r="G3971" s="33" t="inlineStr">
        <is>
          <t>Synchro</t>
        </is>
      </c>
      <c r="H3971" s="30" t="inlineStr">
        <is>
          <t>Oui</t>
        </is>
      </c>
    </row>
    <row r="3972">
      <c r="A3972" s="31" t="inlineStr">
        <is>
          <t>Capacités</t>
        </is>
      </c>
      <c r="B3972" s="34" t="inlineStr">
        <is>
          <t>Tonnerre</t>
        </is>
      </c>
      <c r="C3972" s="34" t="inlineStr">
        <is>
          <t>Cognobidon</t>
        </is>
      </c>
      <c r="D3972" s="34" t="inlineStr">
        <is>
          <t>Déflagration</t>
        </is>
      </c>
      <c r="E3972" s="34" t="inlineStr">
        <is>
          <t>Tempête Florale</t>
        </is>
      </c>
      <c r="F3972" s="34" t="inlineStr">
        <is>
          <t>Laser Glace</t>
        </is>
      </c>
      <c r="G3972" s="34" t="inlineStr">
        <is>
          <t>Psyko</t>
        </is>
      </c>
      <c r="H3972" s="30" t="inlineStr">
        <is>
          <t>Oui</t>
        </is>
      </c>
    </row>
    <row r="3973">
      <c r="A3973" s="31" t="n"/>
      <c r="B3973" s="34" t="inlineStr">
        <is>
          <t>Surf</t>
        </is>
      </c>
      <c r="C3973" s="34" t="inlineStr">
        <is>
          <t>Malédiction</t>
        </is>
      </c>
      <c r="D3973" s="34" t="inlineStr">
        <is>
          <t>Aéropique</t>
        </is>
      </c>
      <c r="E3973" s="34" t="inlineStr">
        <is>
          <t>Damoclès</t>
        </is>
      </c>
      <c r="F3973" s="34" t="inlineStr">
        <is>
          <t>Hydrocanon</t>
        </is>
      </c>
      <c r="G3973" s="34" t="inlineStr">
        <is>
          <t>Ball'Ombre</t>
        </is>
      </c>
      <c r="H3973" s="30" t="inlineStr">
        <is>
          <t>Oui</t>
        </is>
      </c>
    </row>
    <row r="3974">
      <c r="A3974" s="31" t="n"/>
      <c r="B3974" s="34" t="inlineStr">
        <is>
          <t>Queue de Fer</t>
        </is>
      </c>
      <c r="C3974" s="34" t="inlineStr">
        <is>
          <t>Tacle Lourd</t>
        </is>
      </c>
      <c r="D3974" s="34" t="inlineStr">
        <is>
          <t>Colère</t>
        </is>
      </c>
      <c r="E3974" s="34" t="inlineStr">
        <is>
          <t>Poudre Dodo</t>
        </is>
      </c>
      <c r="F3974" s="34" t="inlineStr">
        <is>
          <t>Coud'Krâne</t>
        </is>
      </c>
      <c r="G3974" s="34" t="inlineStr">
        <is>
          <t>Puissance Cachée</t>
        </is>
      </c>
      <c r="H3974" s="30" t="inlineStr">
        <is>
          <t>Oui</t>
        </is>
      </c>
    </row>
    <row r="3975">
      <c r="A3975" s="31" t="n"/>
      <c r="B3975" s="34" t="inlineStr">
        <is>
          <t>Reflet</t>
        </is>
      </c>
      <c r="C3975" s="34" t="inlineStr">
        <is>
          <t>Séisme</t>
        </is>
      </c>
      <c r="D3975" s="34" t="inlineStr">
        <is>
          <t>Ailes d'Acier</t>
        </is>
      </c>
      <c r="E3975" s="34" t="inlineStr">
        <is>
          <t>Vampigraine</t>
        </is>
      </c>
      <c r="F3975" s="34" t="inlineStr">
        <is>
          <t>Séisme</t>
        </is>
      </c>
      <c r="G3975" s="34" t="inlineStr">
        <is>
          <t>Aurore</t>
        </is>
      </c>
      <c r="H3975" s="30" t="inlineStr">
        <is>
          <t>Oui</t>
        </is>
      </c>
    </row>
  </sheetData>
  <autoFilter ref="H2:H3975">
    <filterColumn colId="0" hiddenButton="0" showButton="1">
      <filters blank="0">
        <filter val="Oui"/>
      </filters>
    </filterColumn>
  </autoFilter>
  <mergeCells count="979">
    <mergeCell ref="B293:G293"/>
    <mergeCell ref="A1664:A1667"/>
    <mergeCell ref="A1023:G1023"/>
    <mergeCell ref="A3584:A3587"/>
    <mergeCell ref="B1585:G1585"/>
    <mergeCell ref="B1900:G1900"/>
    <mergeCell ref="A2474:G2474"/>
    <mergeCell ref="B88:G88"/>
    <mergeCell ref="A2750:A2753"/>
    <mergeCell ref="A492:A495"/>
    <mergeCell ref="A2005:A2008"/>
    <mergeCell ref="B3319:G3319"/>
    <mergeCell ref="B1143:G1143"/>
    <mergeCell ref="B820:G820"/>
    <mergeCell ref="B2066:G2066"/>
    <mergeCell ref="A59:G59"/>
    <mergeCell ref="A37:A40"/>
    <mergeCell ref="B1189:G1189"/>
    <mergeCell ref="B1:C1"/>
    <mergeCell ref="B1354:G1354"/>
    <mergeCell ref="A1890:G1890"/>
    <mergeCell ref="A779:A782"/>
    <mergeCell ref="B2435:G2435"/>
    <mergeCell ref="A251:A254"/>
    <mergeCell ref="B1207:G1207"/>
    <mergeCell ref="A18:A21"/>
    <mergeCell ref="B3625:G3625"/>
    <mergeCell ref="B3861:G3861"/>
    <mergeCell ref="B2829:G2829"/>
    <mergeCell ref="B3569:G3569"/>
    <mergeCell ref="A3295:A3298"/>
    <mergeCell ref="A3537:A3540"/>
    <mergeCell ref="A3360:A3363"/>
    <mergeCell ref="B3928:G3928"/>
    <mergeCell ref="A3602:A3605"/>
    <mergeCell ref="A3829:A3832"/>
    <mergeCell ref="A3074:A3077"/>
    <mergeCell ref="B3142:G3142"/>
    <mergeCell ref="B2893:G2893"/>
    <mergeCell ref="B3919:G3919"/>
    <mergeCell ref="A2107:A2110"/>
    <mergeCell ref="A93:A96"/>
    <mergeCell ref="B1613:G1613"/>
    <mergeCell ref="A413:G413"/>
    <mergeCell ref="A2713:A2716"/>
    <mergeCell ref="A1581:A1584"/>
    <mergeCell ref="A2778:A2781"/>
    <mergeCell ref="A3663:G3663"/>
    <mergeCell ref="B2699:G2699"/>
    <mergeCell ref="A857:G857"/>
    <mergeCell ref="B2084:G2084"/>
    <mergeCell ref="B441:G441"/>
    <mergeCell ref="A2139:G2139"/>
    <mergeCell ref="B533:G533"/>
    <mergeCell ref="B1863:G1863"/>
    <mergeCell ref="A2735:G2735"/>
    <mergeCell ref="B136:G136"/>
    <mergeCell ref="B3485:G3485"/>
    <mergeCell ref="D1:H1"/>
    <mergeCell ref="B505:G505"/>
    <mergeCell ref="B1502:G1502"/>
    <mergeCell ref="B1558:G1558"/>
    <mergeCell ref="A169:A172"/>
    <mergeCell ref="B597:G597"/>
    <mergeCell ref="B13:G13"/>
    <mergeCell ref="A909:A912"/>
    <mergeCell ref="B2661:G2661"/>
    <mergeCell ref="B376:G376"/>
    <mergeCell ref="A1001:A1004"/>
    <mergeCell ref="A1194:A1197"/>
    <mergeCell ref="B1262:G1262"/>
    <mergeCell ref="B2465:G2465"/>
    <mergeCell ref="A3717:A3720"/>
    <mergeCell ref="B2557:G2557"/>
    <mergeCell ref="A2731:A2734"/>
    <mergeCell ref="A3434:A3437"/>
    <mergeCell ref="B3420:G3420"/>
    <mergeCell ref="A3823:G3823"/>
    <mergeCell ref="A1886:A1889"/>
    <mergeCell ref="A2402:A2405"/>
    <mergeCell ref="B3309:G3309"/>
    <mergeCell ref="B745:G745"/>
    <mergeCell ref="B3551:G3551"/>
    <mergeCell ref="A419:A422"/>
    <mergeCell ref="B1326:G1326"/>
    <mergeCell ref="A2255:A2258"/>
    <mergeCell ref="A1609:A1612"/>
    <mergeCell ref="A810:G810"/>
    <mergeCell ref="A3129:A3132"/>
    <mergeCell ref="B3722:G3722"/>
    <mergeCell ref="A704:A707"/>
    <mergeCell ref="B1070:G1070"/>
    <mergeCell ref="A2126:A2129"/>
    <mergeCell ref="B1115:G1115"/>
    <mergeCell ref="B2112:G2112"/>
    <mergeCell ref="A3391:G3391"/>
    <mergeCell ref="B154:G154"/>
    <mergeCell ref="A3120:A3123"/>
    <mergeCell ref="B561:G561"/>
    <mergeCell ref="A3527:A3530"/>
    <mergeCell ref="B2176:G2176"/>
    <mergeCell ref="A2957:G2957"/>
    <mergeCell ref="B3198:G3198"/>
    <mergeCell ref="A670:G670"/>
    <mergeCell ref="B1853:G1853"/>
    <mergeCell ref="A1554:A1557"/>
    <mergeCell ref="B1918:G1918"/>
    <mergeCell ref="B2222:G2222"/>
    <mergeCell ref="B923:G923"/>
    <mergeCell ref="B1945:G1945"/>
    <mergeCell ref="A3018:A3021"/>
    <mergeCell ref="B3262:G3262"/>
    <mergeCell ref="A372:A375"/>
    <mergeCell ref="A1372:G1372"/>
    <mergeCell ref="B3967:G3967"/>
    <mergeCell ref="B385:G385"/>
    <mergeCell ref="A1830:A1833"/>
    <mergeCell ref="A2023:A2026"/>
    <mergeCell ref="B2009:G2009"/>
    <mergeCell ref="B950:G950"/>
    <mergeCell ref="A353:A356"/>
    <mergeCell ref="A3147:A3150"/>
    <mergeCell ref="B2140:G2140"/>
    <mergeCell ref="A844:A847"/>
    <mergeCell ref="A3687:A3690"/>
    <mergeCell ref="B2614:G2614"/>
    <mergeCell ref="A132:A135"/>
    <mergeCell ref="A325:A328"/>
    <mergeCell ref="B2530:G2530"/>
    <mergeCell ref="A1378:A1381"/>
    <mergeCell ref="A2544:A2547"/>
    <mergeCell ref="B2801:G2801"/>
    <mergeCell ref="A3972:A3975"/>
    <mergeCell ref="A2052:A2055"/>
    <mergeCell ref="A1120:A1123"/>
    <mergeCell ref="A2421:A2424"/>
    <mergeCell ref="B3328:G3328"/>
    <mergeCell ref="A3369:A3372"/>
    <mergeCell ref="A196:A199"/>
    <mergeCell ref="A2679:G2679"/>
    <mergeCell ref="A3838:A3841"/>
    <mergeCell ref="A1261:G1261"/>
    <mergeCell ref="A3240:A3243"/>
    <mergeCell ref="A2181:A2184"/>
    <mergeCell ref="B839:G839"/>
    <mergeCell ref="A3669:A3672"/>
    <mergeCell ref="A2637:A2640"/>
    <mergeCell ref="B1631:G1631"/>
    <mergeCell ref="A1797:G1797"/>
    <mergeCell ref="B3290:G3290"/>
    <mergeCell ref="A3804:G3804"/>
    <mergeCell ref="B3382:G3382"/>
    <mergeCell ref="B2037:G2037"/>
    <mergeCell ref="B978:G978"/>
    <mergeCell ref="B79:G79"/>
    <mergeCell ref="B3161:G3161"/>
    <mergeCell ref="A946:A949"/>
    <mergeCell ref="B3050:G3050"/>
    <mergeCell ref="B3786:G3786"/>
    <mergeCell ref="A483:A486"/>
    <mergeCell ref="A1480:A1483"/>
    <mergeCell ref="B302:G302"/>
    <mergeCell ref="A1673:A1676"/>
    <mergeCell ref="B2856:G2856"/>
    <mergeCell ref="A2870:A2873"/>
    <mergeCell ref="B1042:G1042"/>
    <mergeCell ref="B671:G671"/>
    <mergeCell ref="A1600:A1603"/>
    <mergeCell ref="B1724:G1724"/>
    <mergeCell ref="A1738:A1741"/>
    <mergeCell ref="A1010:A1013"/>
    <mergeCell ref="A122:A125"/>
    <mergeCell ref="A1849:A1852"/>
    <mergeCell ref="A2042:A2045"/>
    <mergeCell ref="B2604:G2604"/>
    <mergeCell ref="A1075:A1078"/>
    <mergeCell ref="B2324:G2324"/>
    <mergeCell ref="B3654:G3654"/>
    <mergeCell ref="B615:G615"/>
    <mergeCell ref="A689:G689"/>
    <mergeCell ref="B1363:G1363"/>
    <mergeCell ref="A1544:A1547"/>
    <mergeCell ref="B3448:G3448"/>
    <mergeCell ref="B3644:G3644"/>
    <mergeCell ref="A2861:A2864"/>
    <mergeCell ref="A770:A773"/>
    <mergeCell ref="A2071:A2074"/>
    <mergeCell ref="B552:G552"/>
    <mergeCell ref="A1139:A1142"/>
    <mergeCell ref="B2388:G2388"/>
    <mergeCell ref="A1304:A1307"/>
    <mergeCell ref="A2273:A2276"/>
    <mergeCell ref="A3593:A3596"/>
    <mergeCell ref="A3009:A3012"/>
    <mergeCell ref="B2680:G2680"/>
    <mergeCell ref="B1281:G1281"/>
    <mergeCell ref="B2745:G2745"/>
    <mergeCell ref="A3701:G3701"/>
    <mergeCell ref="B2576:G2576"/>
    <mergeCell ref="B1650:G1650"/>
    <mergeCell ref="A2212:G2212"/>
    <mergeCell ref="B2548:G2548"/>
    <mergeCell ref="B1345:G1345"/>
    <mergeCell ref="B2342:G2342"/>
    <mergeCell ref="B699:G699"/>
    <mergeCell ref="B755:G755"/>
    <mergeCell ref="B3078:G3078"/>
    <mergeCell ref="A3659:A3662"/>
    <mergeCell ref="A723:A726"/>
    <mergeCell ref="B1124:G1124"/>
    <mergeCell ref="B1429:G1429"/>
    <mergeCell ref="B3069:G3069"/>
    <mergeCell ref="A2656:A2659"/>
    <mergeCell ref="A2460:A2463"/>
    <mergeCell ref="B1798:G1798"/>
    <mergeCell ref="B3805:G3805"/>
    <mergeCell ref="A1257:A1260"/>
    <mergeCell ref="A269:A272"/>
    <mergeCell ref="A611:A614"/>
    <mergeCell ref="B3870:G3870"/>
    <mergeCell ref="B1816:G1816"/>
    <mergeCell ref="A1176:A1179"/>
    <mergeCell ref="B2838:G2838"/>
    <mergeCell ref="A3212:A3215"/>
    <mergeCell ref="B1493:G1493"/>
    <mergeCell ref="A2981:A2984"/>
    <mergeCell ref="B3207:G3207"/>
    <mergeCell ref="B3438:G3438"/>
    <mergeCell ref="A3546:A3549"/>
    <mergeCell ref="A3782:A3785"/>
    <mergeCell ref="A3904:A3907"/>
    <mergeCell ref="A1452:A1455"/>
    <mergeCell ref="B3217:G3217"/>
    <mergeCell ref="B2185:G2185"/>
    <mergeCell ref="B1622:G1622"/>
    <mergeCell ref="A292:G292"/>
    <mergeCell ref="A2722:A2725"/>
    <mergeCell ref="A2787:A2790"/>
    <mergeCell ref="A3745:A3748"/>
    <mergeCell ref="A163:G163"/>
    <mergeCell ref="A2575:G2575"/>
    <mergeCell ref="A2553:A2556"/>
    <mergeCell ref="B1382:G1382"/>
    <mergeCell ref="B1447:G1447"/>
    <mergeCell ref="A2450:A2453"/>
    <mergeCell ref="B2566:G2566"/>
    <mergeCell ref="A1862:G1862"/>
    <mergeCell ref="B145:G145"/>
    <mergeCell ref="A232:A235"/>
    <mergeCell ref="A288:A291"/>
    <mergeCell ref="A797:A800"/>
    <mergeCell ref="B3235:G3235"/>
    <mergeCell ref="B2203:G2203"/>
    <mergeCell ref="A3574:A3577"/>
    <mergeCell ref="A557:A560"/>
    <mergeCell ref="B2632:G2632"/>
    <mergeCell ref="B1982:G1982"/>
    <mergeCell ref="B2930:G2930"/>
    <mergeCell ref="A65:A68"/>
    <mergeCell ref="A3924:A3927"/>
    <mergeCell ref="B3731:G3731"/>
    <mergeCell ref="B2503:G2503"/>
    <mergeCell ref="A1640:G1640"/>
    <mergeCell ref="A1618:A1621"/>
    <mergeCell ref="A977:G977"/>
    <mergeCell ref="A1419:G1419"/>
    <mergeCell ref="A1313:A1316"/>
    <mergeCell ref="A1511:G1511"/>
    <mergeCell ref="B2485:G2485"/>
    <mergeCell ref="A1793:A1796"/>
    <mergeCell ref="B570:G570"/>
    <mergeCell ref="A1271:G1271"/>
    <mergeCell ref="B1061:G1061"/>
    <mergeCell ref="B173:G173"/>
    <mergeCell ref="B3522:G3522"/>
    <mergeCell ref="A141:A144"/>
    <mergeCell ref="B1097:G1097"/>
    <mergeCell ref="B1539:G1539"/>
    <mergeCell ref="A510:A513"/>
    <mergeCell ref="A2240:G2240"/>
    <mergeCell ref="B634:G634"/>
    <mergeCell ref="A282:G282"/>
    <mergeCell ref="B876:G876"/>
    <mergeCell ref="A973:A976"/>
    <mergeCell ref="A2953:A2956"/>
    <mergeCell ref="B792:G792"/>
    <mergeCell ref="B1234:G1234"/>
    <mergeCell ref="A2163:A2166"/>
    <mergeCell ref="B2948:G2948"/>
    <mergeCell ref="B1161:G1161"/>
    <mergeCell ref="B273:G273"/>
    <mergeCell ref="A3754:A3757"/>
    <mergeCell ref="A1905:A1908"/>
    <mergeCell ref="A468:G468"/>
    <mergeCell ref="B1695:G1695"/>
    <mergeCell ref="A1709:A1712"/>
    <mergeCell ref="B3281:G3281"/>
    <mergeCell ref="A3860:G3860"/>
    <mergeCell ref="B2149:G2149"/>
    <mergeCell ref="B3346:G3346"/>
    <mergeCell ref="B3588:G3588"/>
    <mergeCell ref="B2689:G2689"/>
    <mergeCell ref="A3314:A3317"/>
    <mergeCell ref="A3612:A3615"/>
    <mergeCell ref="A334:A337"/>
    <mergeCell ref="A676:A679"/>
    <mergeCell ref="A1331:A1334"/>
    <mergeCell ref="A3028:A3031"/>
    <mergeCell ref="B3096:G3096"/>
    <mergeCell ref="A741:A744"/>
    <mergeCell ref="A3914:A3917"/>
    <mergeCell ref="B858:G858"/>
    <mergeCell ref="A3810:A3813"/>
    <mergeCell ref="A3055:A3058"/>
    <mergeCell ref="A520:A523"/>
    <mergeCell ref="A2490:A2493"/>
    <mergeCell ref="A205:A208"/>
    <mergeCell ref="A3378:A3381"/>
    <mergeCell ref="B1659:G1659"/>
    <mergeCell ref="B191:G191"/>
    <mergeCell ref="A1212:A1215"/>
    <mergeCell ref="A2454:G2454"/>
    <mergeCell ref="B3170:G3170"/>
    <mergeCell ref="A1057:A1060"/>
    <mergeCell ref="B255:G255"/>
    <mergeCell ref="B1252:G1252"/>
    <mergeCell ref="B478:G478"/>
    <mergeCell ref="A2754:G2754"/>
    <mergeCell ref="B3299:G3299"/>
    <mergeCell ref="B1512:G1512"/>
    <mergeCell ref="B624:G624"/>
    <mergeCell ref="A27:A30"/>
    <mergeCell ref="A298:A301"/>
    <mergeCell ref="B3899:G3899"/>
    <mergeCell ref="A863:A866"/>
    <mergeCell ref="B987:G987"/>
    <mergeCell ref="A390:A393"/>
    <mergeCell ref="B2994:G2994"/>
    <mergeCell ref="A881:A884"/>
    <mergeCell ref="B2475:G2475"/>
    <mergeCell ref="B1216:G1216"/>
    <mergeCell ref="B2717:G2717"/>
    <mergeCell ref="B50:G50"/>
    <mergeCell ref="A3342:A3345"/>
    <mergeCell ref="A1359:A1362"/>
    <mergeCell ref="B2782:G2782"/>
    <mergeCell ref="A1682:A1685"/>
    <mergeCell ref="B1872:G1872"/>
    <mergeCell ref="A3908:G3908"/>
    <mergeCell ref="A2089:A2092"/>
    <mergeCell ref="A2282:A2285"/>
    <mergeCell ref="A1461:A1464"/>
    <mergeCell ref="A3406:A3409"/>
    <mergeCell ref="B2333:G2333"/>
    <mergeCell ref="A3875:A3878"/>
    <mergeCell ref="B690:G690"/>
    <mergeCell ref="A3:G3"/>
    <mergeCell ref="A2908:A2911"/>
    <mergeCell ref="A3933:A3936"/>
    <mergeCell ref="A3101:A3104"/>
    <mergeCell ref="A2080:A2083"/>
    <mergeCell ref="A3277:A3280"/>
    <mergeCell ref="B3513:G3513"/>
    <mergeCell ref="A2304:G2304"/>
    <mergeCell ref="A97:G97"/>
    <mergeCell ref="A3499:A3502"/>
    <mergeCell ref="B2130:G2130"/>
    <mergeCell ref="A2440:A2443"/>
    <mergeCell ref="B579:G579"/>
    <mergeCell ref="B1825:G1825"/>
    <mergeCell ref="B2651:G2651"/>
    <mergeCell ref="A983:A986"/>
    <mergeCell ref="A2990:A2993"/>
    <mergeCell ref="A84:A87"/>
    <mergeCell ref="B1604:G1604"/>
    <mergeCell ref="B423:G423"/>
    <mergeCell ref="A2300:A2303"/>
    <mergeCell ref="B2595:G2595"/>
    <mergeCell ref="A75:A78"/>
    <mergeCell ref="B339:G339"/>
    <mergeCell ref="B643:G643"/>
    <mergeCell ref="A2769:A2772"/>
    <mergeCell ref="A409:A412"/>
    <mergeCell ref="A1047:A1050"/>
    <mergeCell ref="A2628:A2631"/>
    <mergeCell ref="B1308:G1308"/>
    <mergeCell ref="B2361:G2361"/>
    <mergeCell ref="A2535:A2538"/>
    <mergeCell ref="A2329:A2332"/>
    <mergeCell ref="A2600:A2603"/>
    <mergeCell ref="A2898:A2901"/>
    <mergeCell ref="B1891:G1891"/>
    <mergeCell ref="B2407:G2407"/>
    <mergeCell ref="A1111:A1114"/>
    <mergeCell ref="A223:A226"/>
    <mergeCell ref="A3721:G3721"/>
    <mergeCell ref="B2425:G2425"/>
    <mergeCell ref="A2393:A2396"/>
    <mergeCell ref="A1803:A1806"/>
    <mergeCell ref="B3226:G3226"/>
    <mergeCell ref="A3267:A3270"/>
    <mergeCell ref="A602:A605"/>
    <mergeCell ref="A1868:A1871"/>
    <mergeCell ref="A3630:A3633"/>
    <mergeCell ref="B200:G200"/>
    <mergeCell ref="A708:G708"/>
    <mergeCell ref="A1932:A1935"/>
    <mergeCell ref="B357:G357"/>
    <mergeCell ref="A3197:G3197"/>
    <mergeCell ref="A3879:G3879"/>
    <mergeCell ref="B2277:G2277"/>
    <mergeCell ref="B3607:G3607"/>
    <mergeCell ref="A3531:G3531"/>
    <mergeCell ref="B932:G932"/>
    <mergeCell ref="B736:G736"/>
    <mergeCell ref="A3447:G3447"/>
    <mergeCell ref="B3115:G3115"/>
    <mergeCell ref="B3004:G3004"/>
    <mergeCell ref="A760:A763"/>
    <mergeCell ref="B1024:G1024"/>
    <mergeCell ref="A1950:A1953"/>
    <mergeCell ref="A1434:A1437"/>
    <mergeCell ref="B3842:G3842"/>
    <mergeCell ref="B60:G60"/>
    <mergeCell ref="B2810:G2810"/>
    <mergeCell ref="B1751:G1751"/>
    <mergeCell ref="B996:G996"/>
    <mergeCell ref="A399:A402"/>
    <mergeCell ref="A455:A458"/>
    <mergeCell ref="A1425:A1428"/>
    <mergeCell ref="A2824:A2827"/>
    <mergeCell ref="B765:G765"/>
    <mergeCell ref="B2875:G2875"/>
    <mergeCell ref="B1088:G1088"/>
    <mergeCell ref="B1530:G1530"/>
    <mergeCell ref="A1821:A1824"/>
    <mergeCell ref="B1079:G1079"/>
    <mergeCell ref="A1498:A1501"/>
    <mergeCell ref="B867:G867"/>
    <mergeCell ref="A3885:A3888"/>
    <mergeCell ref="A1489:A1492"/>
    <mergeCell ref="A2815:A2818"/>
    <mergeCell ref="B2939:G2939"/>
    <mergeCell ref="A2902:G2902"/>
    <mergeCell ref="A3222:A3225"/>
    <mergeCell ref="A922:G922"/>
    <mergeCell ref="A31:G31"/>
    <mergeCell ref="A3707:A3710"/>
    <mergeCell ref="A894:G894"/>
    <mergeCell ref="A2056:G2056"/>
    <mergeCell ref="A2227:A2230"/>
    <mergeCell ref="A3509:A3512"/>
    <mergeCell ref="B968:G968"/>
    <mergeCell ref="B1484:G1484"/>
    <mergeCell ref="A3046:A3049"/>
    <mergeCell ref="B3682:G3682"/>
    <mergeCell ref="B1704:G1704"/>
    <mergeCell ref="B3947:G3947"/>
    <mergeCell ref="A788:A791"/>
    <mergeCell ref="B1014:G1014"/>
    <mergeCell ref="A2641:G2641"/>
    <mergeCell ref="B218:G218"/>
    <mergeCell ref="B1299:G1299"/>
    <mergeCell ref="A3425:A3428"/>
    <mergeCell ref="A3308:G3308"/>
    <mergeCell ref="B3664:G3664"/>
    <mergeCell ref="B709:G709"/>
    <mergeCell ref="B774:G774"/>
    <mergeCell ref="B801:G801"/>
    <mergeCell ref="B1243:G1243"/>
    <mergeCell ref="A2172:A2175"/>
    <mergeCell ref="B3023:G3023"/>
    <mergeCell ref="B3188:G3188"/>
    <mergeCell ref="B1401:G1401"/>
    <mergeCell ref="A2843:A2846"/>
    <mergeCell ref="B1770:G1770"/>
    <mergeCell ref="B2967:G2967"/>
    <mergeCell ref="B1180:G1180"/>
    <mergeCell ref="A928:A931"/>
    <mergeCell ref="A1221:A1224"/>
    <mergeCell ref="B1835:G1835"/>
    <mergeCell ref="A2935:A2938"/>
    <mergeCell ref="A593:A596"/>
    <mergeCell ref="A648:A651"/>
    <mergeCell ref="B3532:G3532"/>
    <mergeCell ref="A1655:A1658"/>
    <mergeCell ref="A2046:G2046"/>
    <mergeCell ref="A816:A819"/>
    <mergeCell ref="A750:A753"/>
    <mergeCell ref="A3727:A3730"/>
    <mergeCell ref="A126:G126"/>
    <mergeCell ref="A2999:A3002"/>
    <mergeCell ref="A1350:A1353"/>
    <mergeCell ref="A3966:G3966"/>
    <mergeCell ref="A1548:G1548"/>
    <mergeCell ref="B1909:G1909"/>
    <mergeCell ref="A3639:A3642"/>
    <mergeCell ref="A1729:A1732"/>
    <mergeCell ref="B727:G727"/>
    <mergeCell ref="A2360:G2360"/>
    <mergeCell ref="A178:A181"/>
    <mergeCell ref="B1134:G1134"/>
    <mergeCell ref="A3889:G3889"/>
    <mergeCell ref="A547:A550"/>
    <mergeCell ref="B2057:G2057"/>
    <mergeCell ref="A2619:A2622"/>
    <mergeCell ref="A1203:A1206"/>
    <mergeCell ref="B829:G829"/>
    <mergeCell ref="A242:A245"/>
    <mergeCell ref="B1198:G1198"/>
    <mergeCell ref="A1239:A1242"/>
    <mergeCell ref="A307:A310"/>
    <mergeCell ref="B3957:G3957"/>
    <mergeCell ref="B2121:G2121"/>
    <mergeCell ref="B3702:G3702"/>
    <mergeCell ref="A2264:A2267"/>
    <mergeCell ref="A3286:A3289"/>
    <mergeCell ref="A113:A116"/>
    <mergeCell ref="A834:A837"/>
    <mergeCell ref="A890:A893"/>
    <mergeCell ref="B2213:G2213"/>
    <mergeCell ref="B2642:G2642"/>
    <mergeCell ref="A1368:A1371"/>
    <mergeCell ref="B3937:G3937"/>
    <mergeCell ref="A529:A532"/>
    <mergeCell ref="A1526:A1529"/>
    <mergeCell ref="A1968:A1971"/>
    <mergeCell ref="B1954:G1954"/>
    <mergeCell ref="B895:G895"/>
    <mergeCell ref="A2291:A2294"/>
    <mergeCell ref="A2660:G2660"/>
    <mergeCell ref="B3909:G3909"/>
    <mergeCell ref="A2791:G2791"/>
    <mergeCell ref="A366:G366"/>
    <mergeCell ref="A3216:G3216"/>
    <mergeCell ref="A1590:A1593"/>
    <mergeCell ref="A3942:A3945"/>
    <mergeCell ref="A3550:G3550"/>
    <mergeCell ref="A2320:A2323"/>
    <mergeCell ref="B2075:G2075"/>
    <mergeCell ref="A1972:G1972"/>
    <mergeCell ref="A1723:G1723"/>
    <mergeCell ref="A1133:G1133"/>
    <mergeCell ref="B450:G450"/>
    <mergeCell ref="B542:G542"/>
    <mergeCell ref="B1549:G1549"/>
    <mergeCell ref="B3494:G3494"/>
    <mergeCell ref="A362:A365"/>
    <mergeCell ref="A620:A623"/>
    <mergeCell ref="B606:G606"/>
    <mergeCell ref="B2241:G2241"/>
    <mergeCell ref="B848:G848"/>
    <mergeCell ref="A918:A921"/>
    <mergeCell ref="B2512:G2512"/>
    <mergeCell ref="B283:G283"/>
    <mergeCell ref="A2480:A2483"/>
    <mergeCell ref="B2670:G2670"/>
    <mergeCell ref="B2912:G2912"/>
    <mergeCell ref="A1719:A1722"/>
    <mergeCell ref="B3337:G3337"/>
    <mergeCell ref="A1877:A1880"/>
    <mergeCell ref="A3791:A3794"/>
    <mergeCell ref="A3962:A3965"/>
    <mergeCell ref="B1317:G1317"/>
    <mergeCell ref="A2246:A2249"/>
    <mergeCell ref="B2370:G2370"/>
    <mergeCell ref="B3429:G3429"/>
    <mergeCell ref="A3443:A3446"/>
    <mergeCell ref="B3560:G3560"/>
    <mergeCell ref="A428:A431"/>
    <mergeCell ref="A695:A698"/>
    <mergeCell ref="A3484:G3484"/>
    <mergeCell ref="A2190:A2193"/>
    <mergeCell ref="A1941:A1944"/>
    <mergeCell ref="A3138:A3141"/>
    <mergeCell ref="A2117:A2120"/>
    <mergeCell ref="A3065:A3068"/>
    <mergeCell ref="B3133:G3133"/>
    <mergeCell ref="A3678:A3681"/>
    <mergeCell ref="A2590:A2593"/>
    <mergeCell ref="B2736:G2736"/>
    <mergeCell ref="A69:G69"/>
    <mergeCell ref="A1166:A1169"/>
    <mergeCell ref="B237:G237"/>
    <mergeCell ref="A3776:G3776"/>
    <mergeCell ref="B2167:G2167"/>
    <mergeCell ref="B209:G209"/>
    <mergeCell ref="A3772:A3775"/>
    <mergeCell ref="B2259:G2259"/>
    <mergeCell ref="B2623:G2623"/>
    <mergeCell ref="B1420:G1420"/>
    <mergeCell ref="B432:G432"/>
    <mergeCell ref="B1927:G1927"/>
    <mergeCell ref="B311:G311"/>
    <mergeCell ref="B680:G680"/>
    <mergeCell ref="B1677:G1677"/>
    <mergeCell ref="B1733:G1733"/>
    <mergeCell ref="A3606:G3606"/>
    <mergeCell ref="A344:A347"/>
    <mergeCell ref="B3749:G3749"/>
    <mergeCell ref="B661:G661"/>
    <mergeCell ref="A1084:A1087"/>
    <mergeCell ref="A639:A642"/>
    <mergeCell ref="A2032:A2035"/>
    <mergeCell ref="A3333:A3336"/>
    <mergeCell ref="A1959:A1962"/>
    <mergeCell ref="B2027:G2027"/>
    <mergeCell ref="B3355:G3355"/>
    <mergeCell ref="B3457:G3457"/>
    <mergeCell ref="A514:G514"/>
    <mergeCell ref="A2366:A2369"/>
    <mergeCell ref="A1148:A1151"/>
    <mergeCell ref="A2145:A2148"/>
    <mergeCell ref="A1896:A1899"/>
    <mergeCell ref="A187:A190"/>
    <mergeCell ref="B2585:G2585"/>
    <mergeCell ref="A103:A106"/>
    <mergeCell ref="A2430:A2433"/>
    <mergeCell ref="A2917:A2920"/>
    <mergeCell ref="A1840:A1843"/>
    <mergeCell ref="A2666:A2669"/>
    <mergeCell ref="A3157:A3160"/>
    <mergeCell ref="A3318:G3318"/>
    <mergeCell ref="A2834:A2837"/>
    <mergeCell ref="A338:G338"/>
    <mergeCell ref="A1335:G1335"/>
    <mergeCell ref="A3249:A3252"/>
    <mergeCell ref="A3918:G3918"/>
    <mergeCell ref="B1290:G1290"/>
    <mergeCell ref="A2926:A2929"/>
    <mergeCell ref="A3578:G3578"/>
    <mergeCell ref="B329:G329"/>
    <mergeCell ref="A55:A58"/>
    <mergeCell ref="B2351:G2351"/>
    <mergeCell ref="B3373:G3373"/>
    <mergeCell ref="B2976:G2976"/>
    <mergeCell ref="A1387:A1390"/>
    <mergeCell ref="B2093:G2093"/>
    <mergeCell ref="B1844:G1844"/>
    <mergeCell ref="B3041:G3041"/>
    <mergeCell ref="B3152:G3152"/>
    <mergeCell ref="A2594:G2594"/>
    <mergeCell ref="B32:G32"/>
    <mergeCell ref="A657:A660"/>
    <mergeCell ref="A1987:A1990"/>
    <mergeCell ref="A955:A958"/>
    <mergeCell ref="A2310:A2313"/>
    <mergeCell ref="B2847:G2847"/>
    <mergeCell ref="B1788:G1788"/>
    <mergeCell ref="B3673:G3673"/>
    <mergeCell ref="A1766:A1769"/>
    <mergeCell ref="A3736:A3739"/>
    <mergeCell ref="B3795:G3795"/>
    <mergeCell ref="B1641:G1641"/>
    <mergeCell ref="A1756:A1759"/>
    <mergeCell ref="A2508:A2511"/>
    <mergeCell ref="A2806:A2809"/>
    <mergeCell ref="A1747:A1750"/>
    <mergeCell ref="B2315:G2315"/>
    <mergeCell ref="A1019:A1022"/>
    <mergeCell ref="A1535:A1538"/>
    <mergeCell ref="A3480:A3483"/>
    <mergeCell ref="B1410:G1410"/>
    <mergeCell ref="A2852:A2855"/>
    <mergeCell ref="A1230:A1233"/>
    <mergeCell ref="A2944:A2947"/>
    <mergeCell ref="B2379:G2379"/>
    <mergeCell ref="A3175:A3178"/>
    <mergeCell ref="A260:A263"/>
    <mergeCell ref="A825:A828"/>
    <mergeCell ref="A2562:A2565"/>
    <mergeCell ref="A2356:A2359"/>
    <mergeCell ref="A3304:A3307"/>
    <mergeCell ref="A1517:A1520"/>
    <mergeCell ref="A3105:G3105"/>
    <mergeCell ref="B1272:G1272"/>
    <mergeCell ref="A3083:A3086"/>
    <mergeCell ref="A3819:A3822"/>
    <mergeCell ref="A2613:G2613"/>
    <mergeCell ref="B2865:G2865"/>
    <mergeCell ref="A3151:G3151"/>
    <mergeCell ref="A2797:A2800"/>
    <mergeCell ref="A1700:A1703"/>
    <mergeCell ref="A2338:A2341"/>
    <mergeCell ref="B1336:G1336"/>
    <mergeCell ref="B2455:G2455"/>
    <mergeCell ref="A3462:A3465"/>
    <mergeCell ref="B108:G108"/>
    <mergeCell ref="B3579:G3579"/>
    <mergeCell ref="A1784:A1787"/>
    <mergeCell ref="A3503:G3503"/>
    <mergeCell ref="A714:A717"/>
    <mergeCell ref="A2444:G2444"/>
    <mergeCell ref="B3060:G3060"/>
    <mergeCell ref="A1248:A1251"/>
    <mergeCell ref="B1438:G1438"/>
    <mergeCell ref="B1742:G1742"/>
    <mergeCell ref="A2609:A2612"/>
    <mergeCell ref="A3193:A3196"/>
    <mergeCell ref="B1807:G1807"/>
    <mergeCell ref="B2755:G2755"/>
    <mergeCell ref="A1775:A1778"/>
    <mergeCell ref="A2972:A2975"/>
    <mergeCell ref="A1185:A1188"/>
    <mergeCell ref="B1033:G1033"/>
    <mergeCell ref="B3851:G3851"/>
    <mergeCell ref="A3895:A3898"/>
    <mergeCell ref="A1443:A1446"/>
    <mergeCell ref="B1567:G1567"/>
    <mergeCell ref="A853:A856"/>
    <mergeCell ref="A1051:G1051"/>
    <mergeCell ref="B904:G904"/>
    <mergeCell ref="A2135:A2138"/>
    <mergeCell ref="B3712:G3712"/>
    <mergeCell ref="B3364:G3364"/>
    <mergeCell ref="A2199:A2202"/>
    <mergeCell ref="A754:G754"/>
    <mergeCell ref="A3271:G3271"/>
    <mergeCell ref="B1391:G1391"/>
    <mergeCell ref="B459:G459"/>
    <mergeCell ref="B1456:G1456"/>
    <mergeCell ref="B2773:G2773"/>
    <mergeCell ref="A1834:G1834"/>
    <mergeCell ref="B98:G98"/>
    <mergeCell ref="A437:A440"/>
    <mergeCell ref="B2158:G2158"/>
    <mergeCell ref="A806:A809"/>
    <mergeCell ref="A629:A632"/>
    <mergeCell ref="B2194:G2194"/>
    <mergeCell ref="B2250:G2250"/>
    <mergeCell ref="A2685:A2688"/>
    <mergeCell ref="A3621:A3624"/>
    <mergeCell ref="B3244:G3244"/>
    <mergeCell ref="A1029:A1032"/>
    <mergeCell ref="A501:A504"/>
    <mergeCell ref="B2921:G2921"/>
    <mergeCell ref="A566:A569"/>
    <mergeCell ref="A1563:A1566"/>
    <mergeCell ref="A764:G764"/>
    <mergeCell ref="B1991:G1991"/>
    <mergeCell ref="A3387:A3390"/>
    <mergeCell ref="A2880:A2883"/>
    <mergeCell ref="B1668:G1668"/>
    <mergeCell ref="B2445:G2445"/>
    <mergeCell ref="B2494:G2494"/>
    <mergeCell ref="A1093:A1096"/>
    <mergeCell ref="B3504:G3504"/>
    <mergeCell ref="B3740:G3740"/>
    <mergeCell ref="A403:G403"/>
    <mergeCell ref="A3324:A3327"/>
    <mergeCell ref="A1627:A1630"/>
    <mergeCell ref="B2018:G2018"/>
    <mergeCell ref="A3653:G3653"/>
    <mergeCell ref="A3419:G3419"/>
    <mergeCell ref="B2397:G2397"/>
    <mergeCell ref="B487:G487"/>
    <mergeCell ref="B3692:G3692"/>
    <mergeCell ref="B414:G414"/>
    <mergeCell ref="B1052:G1052"/>
    <mergeCell ref="A3711:G3711"/>
    <mergeCell ref="B3466:G3466"/>
    <mergeCell ref="A3847:A3850"/>
    <mergeCell ref="A150:A153"/>
    <mergeCell ref="B1106:G1106"/>
    <mergeCell ref="A3184:A3187"/>
    <mergeCell ref="A1157:A1160"/>
    <mergeCell ref="B22:G22"/>
    <mergeCell ref="A584:A587"/>
    <mergeCell ref="B264:G264"/>
    <mergeCell ref="B320:G320"/>
    <mergeCell ref="B885:G885"/>
    <mergeCell ref="B1152:G1152"/>
    <mergeCell ref="A2517:A2520"/>
    <mergeCell ref="B1686:G1686"/>
    <mergeCell ref="B3272:G3272"/>
    <mergeCell ref="A2675:A2678"/>
    <mergeCell ref="A3763:A3766"/>
    <mergeCell ref="B3824:G3824"/>
    <mergeCell ref="B3758:G3758"/>
    <mergeCell ref="A1914:A1917"/>
    <mergeCell ref="A2218:A2221"/>
    <mergeCell ref="B3880:G3880"/>
    <mergeCell ref="B2102:G2102"/>
    <mergeCell ref="A2581:A2584"/>
    <mergeCell ref="A1322:A1325"/>
    <mergeCell ref="B3597:G3597"/>
    <mergeCell ref="A2375:A2378"/>
    <mergeCell ref="A732:A735"/>
    <mergeCell ref="A3565:A3568"/>
    <mergeCell ref="A1978:A1981"/>
    <mergeCell ref="A3022:G3022"/>
    <mergeCell ref="A2347:A2350"/>
    <mergeCell ref="A2014:A2017"/>
    <mergeCell ref="B182:G182"/>
    <mergeCell ref="A2499:A2502"/>
    <mergeCell ref="A2741:A2744"/>
    <mergeCell ref="A3800:A3803"/>
    <mergeCell ref="A2828:G2828"/>
    <mergeCell ref="A3166:A3169"/>
    <mergeCell ref="A3471:A3474"/>
    <mergeCell ref="A3691:G3691"/>
    <mergeCell ref="A633:G633"/>
    <mergeCell ref="B3392:G3392"/>
    <mergeCell ref="B246:G246"/>
    <mergeCell ref="A3003:G3003"/>
    <mergeCell ref="B469:G469"/>
    <mergeCell ref="B811:G811"/>
    <mergeCell ref="B496:G496"/>
    <mergeCell ref="A2698:G2698"/>
    <mergeCell ref="A316:A319"/>
    <mergeCell ref="B164:G164"/>
    <mergeCell ref="B1465:G1465"/>
    <mergeCell ref="A3643:G3643"/>
    <mergeCell ref="B1963:G1963"/>
    <mergeCell ref="A381:A384"/>
    <mergeCell ref="A685:A688"/>
    <mergeCell ref="B2985:G2985"/>
    <mergeCell ref="A46:A49"/>
    <mergeCell ref="A872:A875"/>
    <mergeCell ref="A2464:G2464"/>
    <mergeCell ref="A1341:A1344"/>
    <mergeCell ref="B41:G41"/>
    <mergeCell ref="A666:A669"/>
    <mergeCell ref="A1996:A1999"/>
    <mergeCell ref="A964:A967"/>
    <mergeCell ref="A551:G551"/>
    <mergeCell ref="A1406:A1409"/>
    <mergeCell ref="B1225:G1225"/>
    <mergeCell ref="A2154:A2157"/>
    <mergeCell ref="B404:G404"/>
    <mergeCell ref="B2726:G2726"/>
    <mergeCell ref="A3351:A3354"/>
    <mergeCell ref="A2694:A2697"/>
    <mergeCell ref="A3649:A3652"/>
    <mergeCell ref="A1691:A1694"/>
    <mergeCell ref="A3397:A3400"/>
    <mergeCell ref="A3453:A3456"/>
    <mergeCell ref="A2098:A2101"/>
    <mergeCell ref="A1470:A1473"/>
    <mergeCell ref="A3415:A3418"/>
    <mergeCell ref="B2286:G2286"/>
    <mergeCell ref="A3092:A3095"/>
    <mergeCell ref="A838:G838"/>
    <mergeCell ref="B3087:G3087"/>
    <mergeCell ref="A3697:A3700"/>
    <mergeCell ref="A2963:A2966"/>
    <mergeCell ref="A2208:A2211"/>
    <mergeCell ref="A1295:A1298"/>
    <mergeCell ref="B117:G117"/>
    <mergeCell ref="B524:G524"/>
    <mergeCell ref="A3490:A3493"/>
    <mergeCell ref="B3410:G3410"/>
    <mergeCell ref="A1594:G1594"/>
    <mergeCell ref="A3946:G3946"/>
    <mergeCell ref="B588:G588"/>
    <mergeCell ref="B1881:G1881"/>
    <mergeCell ref="A900:A903"/>
    <mergeCell ref="A3956:G3956"/>
    <mergeCell ref="B1973:G1973"/>
    <mergeCell ref="B367:G367"/>
    <mergeCell ref="A992:A995"/>
    <mergeCell ref="B1576:G1576"/>
    <mergeCell ref="B2268:G2268"/>
    <mergeCell ref="B348:G348"/>
    <mergeCell ref="B652:G652"/>
    <mergeCell ref="A1038:A1041"/>
    <mergeCell ref="A1277:A1280"/>
    <mergeCell ref="B913:G913"/>
    <mergeCell ref="A1400:G1400"/>
    <mergeCell ref="A1396:A1399"/>
    <mergeCell ref="A1646:A1649"/>
    <mergeCell ref="B1714:G1714"/>
    <mergeCell ref="B127:G127"/>
    <mergeCell ref="B394:G394"/>
    <mergeCell ref="A2526:A2529"/>
    <mergeCell ref="B3890:G3890"/>
    <mergeCell ref="A2647:A2650"/>
    <mergeCell ref="A2889:A2892"/>
    <mergeCell ref="B3634:G3634"/>
    <mergeCell ref="B2764:G2764"/>
    <mergeCell ref="A1102:A1105"/>
    <mergeCell ref="B2047:G2047"/>
    <mergeCell ref="B3106:G3106"/>
    <mergeCell ref="B2416:G2416"/>
    <mergeCell ref="A2484:G2484"/>
    <mergeCell ref="A2384:A2387"/>
    <mergeCell ref="A159:A162"/>
    <mergeCell ref="A1474:G1474"/>
    <mergeCell ref="A2571:A2574"/>
    <mergeCell ref="A3866:A3869"/>
    <mergeCell ref="A3518:A3521"/>
    <mergeCell ref="A3203:A3206"/>
    <mergeCell ref="A1923:A1926"/>
    <mergeCell ref="A236:G236"/>
    <mergeCell ref="A2314:G2314"/>
    <mergeCell ref="B1936:G1936"/>
    <mergeCell ref="A2406:G2406"/>
    <mergeCell ref="A1760:G1760"/>
    <mergeCell ref="B2305:G2305"/>
    <mergeCell ref="B3253:G3253"/>
    <mergeCell ref="B1373:G1373"/>
    <mergeCell ref="B783:G783"/>
    <mergeCell ref="B3616:G3616"/>
    <mergeCell ref="B3032:G3032"/>
    <mergeCell ref="B2000:G2000"/>
    <mergeCell ref="B941:G941"/>
    <mergeCell ref="B3124:G3124"/>
    <mergeCell ref="B3013:G3013"/>
    <mergeCell ref="A1713:G1713"/>
    <mergeCell ref="B1475:G1475"/>
    <mergeCell ref="A2062:A2065"/>
    <mergeCell ref="A446:A449"/>
    <mergeCell ref="B2521:G2521"/>
    <mergeCell ref="B1595:G1595"/>
    <mergeCell ref="B2792:G2792"/>
    <mergeCell ref="B2819:G2819"/>
    <mergeCell ref="B2903:G2903"/>
    <mergeCell ref="B1005:G1005"/>
    <mergeCell ref="A1812:A1815"/>
    <mergeCell ref="A2760:A2763"/>
    <mergeCell ref="B2884:G2884"/>
    <mergeCell ref="B3814:G3814"/>
    <mergeCell ref="A1415:A1418"/>
    <mergeCell ref="A2412:A2415"/>
    <mergeCell ref="A1507:A1510"/>
    <mergeCell ref="A2704:A2707"/>
    <mergeCell ref="A575:A578"/>
    <mergeCell ref="A1572:A1575"/>
    <mergeCell ref="A2036:G2036"/>
    <mergeCell ref="A1286:A1289"/>
    <mergeCell ref="A3231:A3234"/>
    <mergeCell ref="B515:G515"/>
    <mergeCell ref="A214:A217"/>
    <mergeCell ref="A2470:A2473"/>
    <mergeCell ref="A1267:A1270"/>
    <mergeCell ref="A1636:A1639"/>
    <mergeCell ref="B3401:G3401"/>
    <mergeCell ref="A2236:A2239"/>
    <mergeCell ref="A107:G107"/>
    <mergeCell ref="A2434:G2434"/>
    <mergeCell ref="A3258:A3261"/>
    <mergeCell ref="A278:A281"/>
    <mergeCell ref="A3556:A3559"/>
    <mergeCell ref="A2111:G2111"/>
    <mergeCell ref="B959:G959"/>
    <mergeCell ref="A3037:A3040"/>
    <mergeCell ref="A3059:G3059"/>
    <mergeCell ref="B3767:G3767"/>
    <mergeCell ref="B2708:G2708"/>
    <mergeCell ref="A464:A467"/>
    <mergeCell ref="B2539:G2539"/>
    <mergeCell ref="B4:G4"/>
    <mergeCell ref="A2874:G2874"/>
    <mergeCell ref="B3475:G3475"/>
    <mergeCell ref="A3856:A3859"/>
    <mergeCell ref="A474:A477"/>
    <mergeCell ref="A1129:A1132"/>
    <mergeCell ref="B227:G227"/>
    <mergeCell ref="B718:G718"/>
    <mergeCell ref="A1170:G1170"/>
    <mergeCell ref="B2231:G2231"/>
    <mergeCell ref="A3111:A3114"/>
    <mergeCell ref="B3179:G3179"/>
    <mergeCell ref="A9:A12"/>
    <mergeCell ref="A1066:A1069"/>
    <mergeCell ref="A538:A541"/>
    <mergeCell ref="B1761:G1761"/>
    <mergeCell ref="B2958:G2958"/>
    <mergeCell ref="A1858:A1861"/>
    <mergeCell ref="B1171:G1171"/>
    <mergeCell ref="B3833:G3833"/>
    <mergeCell ref="A3952:A3955"/>
    <mergeCell ref="B1779:G1779"/>
    <mergeCell ref="B2295:G2295"/>
    <mergeCell ref="B70:G70"/>
    <mergeCell ref="B3541:G3541"/>
    <mergeCell ref="A937:A940"/>
    <mergeCell ref="B3777:G3777"/>
    <mergeCell ref="B1521:G1521"/>
  </mergeCells>
  <conditionalFormatting sqref="A3:G3975">
    <cfRule type="expression" priority="1" dxfId="0">
      <formula>$H3="Non"</formula>
    </cfRule>
  </conditionalFormatting>
  <dataValidations count="1">
    <dataValidation sqref="B1" showDropDown="0" showInputMessage="0" showErrorMessage="1" allowBlank="0" errorTitle="Starter" error="Choisissez une valeur de la liste." type="list">
      <formula1>"Tous,GERMIGNON,HERICENDRE,KAIMINUS"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0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7" customWidth="1" min="3" max="3"/>
    <col width="14" customWidth="1" min="4" max="4"/>
    <col width="16" customWidth="1" min="5" max="5"/>
    <col width="10" customWidth="1" min="6" max="6"/>
    <col width="9" customWidth="1" min="7" max="7"/>
    <col width="9" customWidth="1" min="8" max="8"/>
    <col width="11" customWidth="1" min="9" max="9"/>
    <col hidden="1" width="14" customWidth="1" min="10" max="10"/>
  </cols>
  <sheetData>
    <row r="1" ht="22" customHeight="1">
      <c r="A1" s="26" t="inlineStr">
        <is>
          <t>Zone</t>
        </is>
      </c>
      <c r="B1" s="26" t="inlineStr">
        <is>
          <t>Carte</t>
        </is>
      </c>
      <c r="C1" s="26" t="inlineStr">
        <is>
          <t>Moment</t>
        </is>
      </c>
      <c r="D1" s="26" t="inlineStr">
        <is>
          <t>Méthode</t>
        </is>
      </c>
      <c r="E1" s="26" t="inlineStr">
        <is>
          <t>Espèce</t>
        </is>
      </c>
      <c r="F1" s="26" t="inlineStr">
        <is>
          <t>Taux</t>
        </is>
      </c>
      <c r="G1" s="26" t="inlineStr">
        <is>
          <t>Niv. min</t>
        </is>
      </c>
      <c r="H1" s="26" t="inlineStr">
        <is>
          <t>Niv. max</t>
        </is>
      </c>
      <c r="I1" s="26" t="inlineStr">
        <is>
          <t>Disponible</t>
        </is>
      </c>
      <c r="J1" s="26" t="inlineStr">
        <is>
          <t>Lignée</t>
        </is>
      </c>
    </row>
    <row r="2">
      <c r="A2" s="35" t="inlineStr">
        <is>
          <t>Acajou</t>
        </is>
      </c>
      <c r="B2" s="35" t="inlineStr">
        <is>
          <t>Mahoganytown_hns</t>
        </is>
      </c>
      <c r="C2" s="33" t="inlineStr">
        <is>
          <t>Toute la journée</t>
        </is>
      </c>
      <c r="D2" s="36" t="inlineStr">
        <is>
          <t>Éclate-Roc</t>
        </is>
      </c>
      <c r="E2" s="37" t="inlineStr">
        <is>
          <t>CAPUMAIN</t>
        </is>
      </c>
      <c r="F2" s="38" t="n">
        <v>0.9</v>
      </c>
      <c r="G2" s="39" t="n">
        <v>15</v>
      </c>
      <c r="H2" s="39" t="n">
        <v>15</v>
      </c>
      <c r="I2" s="29">
        <f>IF(OR(COUNTIF('Suivi des rencontres'!$A:$A,$A2)&gt;0,COUNTIF('Suivi des rencontres'!$C:$C,$J2)&gt;0),"Non","Oui")</f>
        <v/>
      </c>
      <c r="J2" s="30" t="inlineStr">
        <is>
          <t>CAPUMAIN</t>
        </is>
      </c>
    </row>
    <row r="3">
      <c r="A3" s="35" t="inlineStr">
        <is>
          <t>Acajou</t>
        </is>
      </c>
      <c r="B3" s="35" t="inlineStr">
        <is>
          <t>Mahoganytown_hns</t>
        </is>
      </c>
      <c r="C3" s="33" t="inlineStr">
        <is>
          <t>Toute la journée</t>
        </is>
      </c>
      <c r="D3" s="36" t="inlineStr">
        <is>
          <t>Éclate-Roc</t>
        </is>
      </c>
      <c r="E3" s="37" t="inlineStr">
        <is>
          <t>POMDEPIK</t>
        </is>
      </c>
      <c r="F3" s="38" t="n">
        <v>0.05</v>
      </c>
      <c r="G3" s="39" t="n">
        <v>15</v>
      </c>
      <c r="H3" s="39" t="n">
        <v>15</v>
      </c>
      <c r="I3" s="29">
        <f>IF(OR(COUNTIF('Suivi des rencontres'!$A:$A,$A3)&gt;0,COUNTIF('Suivi des rencontres'!$C:$C,$J3)&gt;0),"Non","Oui")</f>
        <v/>
      </c>
      <c r="J3" s="30" t="inlineStr">
        <is>
          <t>POMDEPIK</t>
        </is>
      </c>
    </row>
    <row r="4">
      <c r="A4" s="35" t="inlineStr">
        <is>
          <t>Acajou</t>
        </is>
      </c>
      <c r="B4" s="35" t="inlineStr">
        <is>
          <t>Mahoganytown_hns</t>
        </is>
      </c>
      <c r="C4" s="33" t="inlineStr">
        <is>
          <t>Toute la journée</t>
        </is>
      </c>
      <c r="D4" s="36" t="inlineStr">
        <is>
          <t>Éclate-Roc</t>
        </is>
      </c>
      <c r="E4" s="37" t="inlineStr">
        <is>
          <t>SCARHINO</t>
        </is>
      </c>
      <c r="F4" s="38" t="n">
        <v>0.05</v>
      </c>
      <c r="G4" s="39" t="n">
        <v>15</v>
      </c>
      <c r="H4" s="39" t="n">
        <v>15</v>
      </c>
      <c r="I4" s="29">
        <f>IF(OR(COUNTIF('Suivi des rencontres'!$A:$A,$A4)&gt;0,COUNTIF('Suivi des rencontres'!$C:$C,$J4)&gt;0),"Non","Oui")</f>
        <v/>
      </c>
      <c r="J4" s="30" t="inlineStr">
        <is>
          <t>SCARHINO</t>
        </is>
      </c>
    </row>
    <row r="5">
      <c r="A5" s="40" t="inlineStr">
        <is>
          <t>Akala</t>
        </is>
      </c>
      <c r="B5" s="40" t="inlineStr">
        <is>
          <t>AkalaIsle_hns</t>
        </is>
      </c>
      <c r="C5" s="41" t="inlineStr">
        <is>
          <t>Toute la journée</t>
        </is>
      </c>
      <c r="D5" s="42" t="inlineStr">
        <is>
          <t>Herbe</t>
        </is>
      </c>
      <c r="E5" s="43" t="inlineStr">
        <is>
          <t>MAGMAR</t>
        </is>
      </c>
      <c r="F5" s="44" t="n">
        <v>0.2</v>
      </c>
      <c r="G5" s="45" t="n">
        <v>43</v>
      </c>
      <c r="H5" s="45" t="n">
        <v>45</v>
      </c>
      <c r="I5" s="46">
        <f>IF(OR(COUNTIF('Suivi des rencontres'!$A:$A,$A5)&gt;0,COUNTIF('Suivi des rencontres'!$C:$C,$J5)&gt;0),"Non","Oui")</f>
        <v/>
      </c>
      <c r="J5" s="30" t="inlineStr">
        <is>
          <t>MAGBY</t>
        </is>
      </c>
    </row>
    <row r="6">
      <c r="A6" s="47" t="inlineStr">
        <is>
          <t>Akala</t>
        </is>
      </c>
      <c r="B6" s="47" t="inlineStr">
        <is>
          <t>AkalaIsle_hns</t>
        </is>
      </c>
      <c r="C6" s="48" t="inlineStr">
        <is>
          <t>Toute la journée</t>
        </is>
      </c>
      <c r="D6" s="49" t="inlineStr">
        <is>
          <t>Herbe</t>
        </is>
      </c>
      <c r="E6" s="50" t="inlineStr">
        <is>
          <t>TOUDOUDOU</t>
        </is>
      </c>
      <c r="F6" s="51" t="n">
        <v>0.2</v>
      </c>
      <c r="G6" s="52" t="n">
        <v>43</v>
      </c>
      <c r="H6" s="52" t="n">
        <v>45</v>
      </c>
      <c r="I6" s="29">
        <f>IF(OR(COUNTIF('Suivi des rencontres'!$A:$A,$A6)&gt;0,COUNTIF('Suivi des rencontres'!$C:$C,$J6)&gt;0),"Non","Oui")</f>
        <v/>
      </c>
      <c r="J6" s="30" t="inlineStr">
        <is>
          <t>TOUDOUDOU</t>
        </is>
      </c>
    </row>
    <row r="7">
      <c r="A7" s="47" t="inlineStr">
        <is>
          <t>Akala</t>
        </is>
      </c>
      <c r="B7" s="47" t="inlineStr">
        <is>
          <t>AkalaIsle_hns</t>
        </is>
      </c>
      <c r="C7" s="48" t="inlineStr">
        <is>
          <t>Toute la journée</t>
        </is>
      </c>
      <c r="D7" s="49" t="inlineStr">
        <is>
          <t>Herbe</t>
        </is>
      </c>
      <c r="E7" s="50" t="inlineStr">
        <is>
          <t>GOELISE</t>
        </is>
      </c>
      <c r="F7" s="51" t="n">
        <v>0.15</v>
      </c>
      <c r="G7" s="52" t="n">
        <v>43</v>
      </c>
      <c r="H7" s="52" t="n">
        <v>45</v>
      </c>
      <c r="I7" s="29">
        <f>IF(OR(COUNTIF('Suivi des rencontres'!$A:$A,$A7)&gt;0,COUNTIF('Suivi des rencontres'!$C:$C,$J7)&gt;0),"Non","Oui")</f>
        <v/>
      </c>
      <c r="J7" s="30" t="inlineStr">
        <is>
          <t>GOELISE</t>
        </is>
      </c>
    </row>
    <row r="8">
      <c r="A8" s="47" t="inlineStr">
        <is>
          <t>Akala</t>
        </is>
      </c>
      <c r="B8" s="47" t="inlineStr">
        <is>
          <t>AkalaIsle_hns</t>
        </is>
      </c>
      <c r="C8" s="48" t="inlineStr">
        <is>
          <t>Toute la journée</t>
        </is>
      </c>
      <c r="D8" s="49" t="inlineStr">
        <is>
          <t>Herbe</t>
        </is>
      </c>
      <c r="E8" s="50" t="inlineStr">
        <is>
          <t>CAPUMAIN</t>
        </is>
      </c>
      <c r="F8" s="51" t="n">
        <v>0.1</v>
      </c>
      <c r="G8" s="52" t="n">
        <v>43</v>
      </c>
      <c r="H8" s="52" t="n">
        <v>45</v>
      </c>
      <c r="I8" s="29">
        <f>IF(OR(COUNTIF('Suivi des rencontres'!$A:$A,$A8)&gt;0,COUNTIF('Suivi des rencontres'!$C:$C,$J8)&gt;0),"Non","Oui")</f>
        <v/>
      </c>
      <c r="J8" s="30" t="inlineStr">
        <is>
          <t>CAPUMAIN</t>
        </is>
      </c>
    </row>
    <row r="9">
      <c r="A9" s="47" t="inlineStr">
        <is>
          <t>Akala</t>
        </is>
      </c>
      <c r="B9" s="47" t="inlineStr">
        <is>
          <t>AkalaIsle_hns</t>
        </is>
      </c>
      <c r="C9" s="48" t="inlineStr">
        <is>
          <t>Toute la journée</t>
        </is>
      </c>
      <c r="D9" s="49" t="inlineStr">
        <is>
          <t>Herbe</t>
        </is>
      </c>
      <c r="E9" s="50" t="inlineStr">
        <is>
          <t>MAGBY</t>
        </is>
      </c>
      <c r="F9" s="51" t="n">
        <v>0.1</v>
      </c>
      <c r="G9" s="52" t="n">
        <v>43</v>
      </c>
      <c r="H9" s="52" t="n">
        <v>45</v>
      </c>
      <c r="I9" s="29">
        <f>IF(OR(COUNTIF('Suivi des rencontres'!$A:$A,$A9)&gt;0,COUNTIF('Suivi des rencontres'!$C:$C,$J9)&gt;0),"Non","Oui")</f>
        <v/>
      </c>
      <c r="J9" s="30" t="inlineStr">
        <is>
          <t>MAGBY</t>
        </is>
      </c>
    </row>
    <row r="10">
      <c r="A10" s="47" t="inlineStr">
        <is>
          <t>Akala</t>
        </is>
      </c>
      <c r="B10" s="47" t="inlineStr">
        <is>
          <t>AkalaIsle_hns</t>
        </is>
      </c>
      <c r="C10" s="48" t="inlineStr">
        <is>
          <t>Toute la journée</t>
        </is>
      </c>
      <c r="D10" s="49" t="inlineStr">
        <is>
          <t>Herbe</t>
        </is>
      </c>
      <c r="E10" s="50" t="inlineStr">
        <is>
          <t>NATU</t>
        </is>
      </c>
      <c r="F10" s="51" t="n">
        <v>0.1</v>
      </c>
      <c r="G10" s="52" t="n">
        <v>43</v>
      </c>
      <c r="H10" s="52" t="n">
        <v>45</v>
      </c>
      <c r="I10" s="29">
        <f>IF(OR(COUNTIF('Suivi des rencontres'!$A:$A,$A10)&gt;0,COUNTIF('Suivi des rencontres'!$C:$C,$J10)&gt;0),"Non","Oui")</f>
        <v/>
      </c>
      <c r="J10" s="30" t="inlineStr">
        <is>
          <t>NATU</t>
        </is>
      </c>
    </row>
    <row r="11">
      <c r="A11" s="47" t="inlineStr">
        <is>
          <t>Akala</t>
        </is>
      </c>
      <c r="B11" s="47" t="inlineStr">
        <is>
          <t>AkalaIsle_hns</t>
        </is>
      </c>
      <c r="C11" s="48" t="inlineStr">
        <is>
          <t>Toute la journée</t>
        </is>
      </c>
      <c r="D11" s="49" t="inlineStr">
        <is>
          <t>Herbe</t>
        </is>
      </c>
      <c r="E11" s="50" t="inlineStr">
        <is>
          <t>OSSELAIT</t>
        </is>
      </c>
      <c r="F11" s="51" t="n">
        <v>0.09</v>
      </c>
      <c r="G11" s="52" t="n">
        <v>43</v>
      </c>
      <c r="H11" s="52" t="n">
        <v>45</v>
      </c>
      <c r="I11" s="29">
        <f>IF(OR(COUNTIF('Suivi des rencontres'!$A:$A,$A11)&gt;0,COUNTIF('Suivi des rencontres'!$C:$C,$J11)&gt;0),"Non","Oui")</f>
        <v/>
      </c>
      <c r="J11" s="30" t="inlineStr">
        <is>
          <t>OSSELAIT</t>
        </is>
      </c>
    </row>
    <row r="12">
      <c r="A12" s="47" t="inlineStr">
        <is>
          <t>Akala</t>
        </is>
      </c>
      <c r="B12" s="47" t="inlineStr">
        <is>
          <t>AkalaIsle_hns</t>
        </is>
      </c>
      <c r="C12" s="48" t="inlineStr">
        <is>
          <t>Toute la journée</t>
        </is>
      </c>
      <c r="D12" s="49" t="inlineStr">
        <is>
          <t>Herbe</t>
        </is>
      </c>
      <c r="E12" s="50" t="inlineStr">
        <is>
          <t>TARINOR</t>
        </is>
      </c>
      <c r="F12" s="51" t="n">
        <v>0.04</v>
      </c>
      <c r="G12" s="52" t="n">
        <v>43</v>
      </c>
      <c r="H12" s="52" t="n">
        <v>45</v>
      </c>
      <c r="I12" s="29">
        <f>IF(OR(COUNTIF('Suivi des rencontres'!$A:$A,$A12)&gt;0,COUNTIF('Suivi des rencontres'!$C:$C,$J12)&gt;0),"Non","Oui")</f>
        <v/>
      </c>
      <c r="J12" s="30" t="inlineStr">
        <is>
          <t>TARINOR</t>
        </is>
      </c>
    </row>
    <row r="13">
      <c r="A13" s="47" t="inlineStr">
        <is>
          <t>Akala</t>
        </is>
      </c>
      <c r="B13" s="47" t="inlineStr">
        <is>
          <t>AkalaIsle_hns</t>
        </is>
      </c>
      <c r="C13" s="48" t="inlineStr">
        <is>
          <t>Toute la journée</t>
        </is>
      </c>
      <c r="D13" s="49" t="inlineStr">
        <is>
          <t>Herbe</t>
        </is>
      </c>
      <c r="E13" s="50" t="inlineStr">
        <is>
          <t>MAGANON</t>
        </is>
      </c>
      <c r="F13" s="51" t="n">
        <v>0.01</v>
      </c>
      <c r="G13" s="52" t="n">
        <v>43</v>
      </c>
      <c r="H13" s="52" t="n">
        <v>45</v>
      </c>
      <c r="I13" s="29">
        <f>IF(OR(COUNTIF('Suivi des rencontres'!$A:$A,$A13)&gt;0,COUNTIF('Suivi des rencontres'!$C:$C,$J13)&gt;0),"Non","Oui")</f>
        <v/>
      </c>
      <c r="J13" s="30" t="inlineStr">
        <is>
          <t>MAGBY</t>
        </is>
      </c>
    </row>
    <row r="14">
      <c r="A14" s="47" t="inlineStr">
        <is>
          <t>Akala</t>
        </is>
      </c>
      <c r="B14" s="47" t="inlineStr">
        <is>
          <t>AkalaIsle_hns</t>
        </is>
      </c>
      <c r="C14" s="48" t="inlineStr">
        <is>
          <t>Toute la journée</t>
        </is>
      </c>
      <c r="D14" s="49" t="inlineStr">
        <is>
          <t>Herbe</t>
        </is>
      </c>
      <c r="E14" s="50" t="inlineStr">
        <is>
          <t>TARINORME</t>
        </is>
      </c>
      <c r="F14" s="51" t="n">
        <v>0.01</v>
      </c>
      <c r="G14" s="52" t="n">
        <v>43</v>
      </c>
      <c r="H14" s="52" t="n">
        <v>45</v>
      </c>
      <c r="I14" s="29">
        <f>IF(OR(COUNTIF('Suivi des rencontres'!$A:$A,$A14)&gt;0,COUNTIF('Suivi des rencontres'!$C:$C,$J14)&gt;0),"Non","Oui")</f>
        <v/>
      </c>
      <c r="J14" s="30" t="inlineStr">
        <is>
          <t>TARINOR</t>
        </is>
      </c>
    </row>
    <row r="15">
      <c r="A15" s="47" t="inlineStr">
        <is>
          <t>Akala</t>
        </is>
      </c>
      <c r="B15" s="47" t="inlineStr">
        <is>
          <t>AkalaIsle_hns</t>
        </is>
      </c>
      <c r="C15" s="48" t="inlineStr">
        <is>
          <t>Toute la journée</t>
        </is>
      </c>
      <c r="D15" s="53" t="inlineStr">
        <is>
          <t>Surf</t>
        </is>
      </c>
      <c r="E15" s="50" t="inlineStr">
        <is>
          <t>LOKHLASS</t>
        </is>
      </c>
      <c r="F15" s="51" t="n">
        <v>0.6</v>
      </c>
      <c r="G15" s="52" t="n">
        <v>43</v>
      </c>
      <c r="H15" s="52" t="n">
        <v>45</v>
      </c>
      <c r="I15" s="29">
        <f>IF(OR(COUNTIF('Suivi des rencontres'!$A:$A,$A15)&gt;0,COUNTIF('Suivi des rencontres'!$C:$C,$J15)&gt;0),"Non","Oui")</f>
        <v/>
      </c>
      <c r="J15" s="30" t="inlineStr">
        <is>
          <t>LOKHLASS</t>
        </is>
      </c>
    </row>
    <row r="16">
      <c r="A16" s="47" t="inlineStr">
        <is>
          <t>Akala</t>
        </is>
      </c>
      <c r="B16" s="47" t="inlineStr">
        <is>
          <t>AkalaIsle_hns</t>
        </is>
      </c>
      <c r="C16" s="48" t="inlineStr">
        <is>
          <t>Toute la journée</t>
        </is>
      </c>
      <c r="D16" s="53" t="inlineStr">
        <is>
          <t>Surf</t>
        </is>
      </c>
      <c r="E16" s="50" t="inlineStr">
        <is>
          <t>GOELISE</t>
        </is>
      </c>
      <c r="F16" s="51" t="n">
        <v>0.3</v>
      </c>
      <c r="G16" s="52" t="n">
        <v>43</v>
      </c>
      <c r="H16" s="52" t="n">
        <v>45</v>
      </c>
      <c r="I16" s="29">
        <f>IF(OR(COUNTIF('Suivi des rencontres'!$A:$A,$A16)&gt;0,COUNTIF('Suivi des rencontres'!$C:$C,$J16)&gt;0),"Non","Oui")</f>
        <v/>
      </c>
      <c r="J16" s="30" t="inlineStr">
        <is>
          <t>GOELISE</t>
        </is>
      </c>
    </row>
    <row r="17">
      <c r="A17" s="47" t="inlineStr">
        <is>
          <t>Akala</t>
        </is>
      </c>
      <c r="B17" s="47" t="inlineStr">
        <is>
          <t>AkalaIsle_hns</t>
        </is>
      </c>
      <c r="C17" s="48" t="inlineStr">
        <is>
          <t>Toute la journée</t>
        </is>
      </c>
      <c r="D17" s="53" t="inlineStr">
        <is>
          <t>Surf</t>
        </is>
      </c>
      <c r="E17" s="50" t="inlineStr">
        <is>
          <t>STARI</t>
        </is>
      </c>
      <c r="F17" s="51" t="n">
        <v>0.05</v>
      </c>
      <c r="G17" s="52" t="n">
        <v>43</v>
      </c>
      <c r="H17" s="52" t="n">
        <v>45</v>
      </c>
      <c r="I17" s="29">
        <f>IF(OR(COUNTIF('Suivi des rencontres'!$A:$A,$A17)&gt;0,COUNTIF('Suivi des rencontres'!$C:$C,$J17)&gt;0),"Non","Oui")</f>
        <v/>
      </c>
      <c r="J17" s="30" t="inlineStr">
        <is>
          <t>STARI</t>
        </is>
      </c>
    </row>
    <row r="18">
      <c r="A18" s="47" t="inlineStr">
        <is>
          <t>Akala</t>
        </is>
      </c>
      <c r="B18" s="47" t="inlineStr">
        <is>
          <t>AkalaIsle_hns</t>
        </is>
      </c>
      <c r="C18" s="48" t="inlineStr">
        <is>
          <t>Toute la journée</t>
        </is>
      </c>
      <c r="D18" s="53" t="inlineStr">
        <is>
          <t>Surf</t>
        </is>
      </c>
      <c r="E18" s="50" t="inlineStr">
        <is>
          <t>TENTACOOL</t>
        </is>
      </c>
      <c r="F18" s="51" t="n">
        <v>0.05</v>
      </c>
      <c r="G18" s="52" t="n">
        <v>43</v>
      </c>
      <c r="H18" s="52" t="n">
        <v>45</v>
      </c>
      <c r="I18" s="29">
        <f>IF(OR(COUNTIF('Suivi des rencontres'!$A:$A,$A18)&gt;0,COUNTIF('Suivi des rencontres'!$C:$C,$J18)&gt;0),"Non","Oui")</f>
        <v/>
      </c>
      <c r="J18" s="30" t="inlineStr">
        <is>
          <t>TENTACOOL</t>
        </is>
      </c>
    </row>
    <row r="19">
      <c r="A19" s="47" t="inlineStr">
        <is>
          <t>Akala</t>
        </is>
      </c>
      <c r="B19" s="47" t="inlineStr">
        <is>
          <t>AkalaIsle_hns</t>
        </is>
      </c>
      <c r="C19" s="48" t="inlineStr">
        <is>
          <t>Toute la journée</t>
        </is>
      </c>
      <c r="D19" s="54" t="inlineStr">
        <is>
          <t>Vieille Canne</t>
        </is>
      </c>
      <c r="E19" s="50" t="inlineStr">
        <is>
          <t>LOVDISC</t>
        </is>
      </c>
      <c r="F19" s="51" t="n">
        <v>0.7</v>
      </c>
      <c r="G19" s="52" t="n">
        <v>43</v>
      </c>
      <c r="H19" s="52" t="n">
        <v>45</v>
      </c>
      <c r="I19" s="29">
        <f>IF(OR(COUNTIF('Suivi des rencontres'!$A:$A,$A19)&gt;0,COUNTIF('Suivi des rencontres'!$C:$C,$J19)&gt;0),"Non","Oui")</f>
        <v/>
      </c>
      <c r="J19" s="30" t="inlineStr">
        <is>
          <t>LOVDISC</t>
        </is>
      </c>
    </row>
    <row r="20">
      <c r="A20" s="47" t="inlineStr">
        <is>
          <t>Akala</t>
        </is>
      </c>
      <c r="B20" s="47" t="inlineStr">
        <is>
          <t>AkalaIsle_hns</t>
        </is>
      </c>
      <c r="C20" s="48" t="inlineStr">
        <is>
          <t>Toute la journée</t>
        </is>
      </c>
      <c r="D20" s="54" t="inlineStr">
        <is>
          <t>Vieille Canne</t>
        </is>
      </c>
      <c r="E20" s="50" t="inlineStr">
        <is>
          <t>MAGICARPE</t>
        </is>
      </c>
      <c r="F20" s="51" t="n">
        <v>0.3</v>
      </c>
      <c r="G20" s="52" t="n">
        <v>43</v>
      </c>
      <c r="H20" s="52" t="n">
        <v>45</v>
      </c>
      <c r="I20" s="29">
        <f>IF(OR(COUNTIF('Suivi des rencontres'!$A:$A,$A20)&gt;0,COUNTIF('Suivi des rencontres'!$C:$C,$J20)&gt;0),"Non","Oui")</f>
        <v/>
      </c>
      <c r="J20" s="30" t="inlineStr">
        <is>
          <t>MAGICARPE</t>
        </is>
      </c>
    </row>
    <row r="21">
      <c r="A21" s="47" t="inlineStr">
        <is>
          <t>Akala</t>
        </is>
      </c>
      <c r="B21" s="47" t="inlineStr">
        <is>
          <t>AkalaIsle_hns</t>
        </is>
      </c>
      <c r="C21" s="48" t="inlineStr">
        <is>
          <t>Toute la journée</t>
        </is>
      </c>
      <c r="D21" s="55" t="inlineStr">
        <is>
          <t>Bonne Canne</t>
        </is>
      </c>
      <c r="E21" s="50" t="inlineStr">
        <is>
          <t>LOUPIO</t>
        </is>
      </c>
      <c r="F21" s="51" t="n">
        <v>0.6</v>
      </c>
      <c r="G21" s="52" t="n">
        <v>43</v>
      </c>
      <c r="H21" s="52" t="n">
        <v>45</v>
      </c>
      <c r="I21" s="29">
        <f>IF(OR(COUNTIF('Suivi des rencontres'!$A:$A,$A21)&gt;0,COUNTIF('Suivi des rencontres'!$C:$C,$J21)&gt;0),"Non","Oui")</f>
        <v/>
      </c>
      <c r="J21" s="30" t="inlineStr">
        <is>
          <t>LOUPIO</t>
        </is>
      </c>
    </row>
    <row r="22">
      <c r="A22" s="47" t="inlineStr">
        <is>
          <t>Akala</t>
        </is>
      </c>
      <c r="B22" s="47" t="inlineStr">
        <is>
          <t>AkalaIsle_hns</t>
        </is>
      </c>
      <c r="C22" s="48" t="inlineStr">
        <is>
          <t>Toute la journée</t>
        </is>
      </c>
      <c r="D22" s="55" t="inlineStr">
        <is>
          <t>Bonne Canne</t>
        </is>
      </c>
      <c r="E22" s="50" t="inlineStr">
        <is>
          <t>CORAYON</t>
        </is>
      </c>
      <c r="F22" s="51" t="n">
        <v>0.2</v>
      </c>
      <c r="G22" s="52" t="n">
        <v>43</v>
      </c>
      <c r="H22" s="52" t="n">
        <v>45</v>
      </c>
      <c r="I22" s="29">
        <f>IF(OR(COUNTIF('Suivi des rencontres'!$A:$A,$A22)&gt;0,COUNTIF('Suivi des rencontres'!$C:$C,$J22)&gt;0),"Non","Oui")</f>
        <v/>
      </c>
      <c r="J22" s="30" t="inlineStr">
        <is>
          <t>CORAYON</t>
        </is>
      </c>
    </row>
    <row r="23">
      <c r="A23" s="47" t="inlineStr">
        <is>
          <t>Akala</t>
        </is>
      </c>
      <c r="B23" s="47" t="inlineStr">
        <is>
          <t>AkalaIsle_hns</t>
        </is>
      </c>
      <c r="C23" s="48" t="inlineStr">
        <is>
          <t>Toute la journée</t>
        </is>
      </c>
      <c r="D23" s="55" t="inlineStr">
        <is>
          <t>Bonne Canne</t>
        </is>
      </c>
      <c r="E23" s="50" t="inlineStr">
        <is>
          <t>POISSIRENE</t>
        </is>
      </c>
      <c r="F23" s="51" t="n">
        <v>0.2</v>
      </c>
      <c r="G23" s="52" t="n">
        <v>43</v>
      </c>
      <c r="H23" s="52" t="n">
        <v>45</v>
      </c>
      <c r="I23" s="29">
        <f>IF(OR(COUNTIF('Suivi des rencontres'!$A:$A,$A23)&gt;0,COUNTIF('Suivi des rencontres'!$C:$C,$J23)&gt;0),"Non","Oui")</f>
        <v/>
      </c>
      <c r="J23" s="30" t="inlineStr">
        <is>
          <t>POISSIRENE</t>
        </is>
      </c>
    </row>
    <row r="24">
      <c r="A24" s="47" t="inlineStr">
        <is>
          <t>Akala</t>
        </is>
      </c>
      <c r="B24" s="47" t="inlineStr">
        <is>
          <t>AkalaIsle_hns</t>
        </is>
      </c>
      <c r="C24" s="48" t="inlineStr">
        <is>
          <t>Toute la journée</t>
        </is>
      </c>
      <c r="D24" s="56" t="inlineStr">
        <is>
          <t>Super Canne</t>
        </is>
      </c>
      <c r="E24" s="50" t="inlineStr">
        <is>
          <t>LEVIATOR</t>
        </is>
      </c>
      <c r="F24" s="51" t="n">
        <v>0.41</v>
      </c>
      <c r="G24" s="52" t="n">
        <v>43</v>
      </c>
      <c r="H24" s="52" t="n">
        <v>45</v>
      </c>
      <c r="I24" s="29">
        <f>IF(OR(COUNTIF('Suivi des rencontres'!$A:$A,$A24)&gt;0,COUNTIF('Suivi des rencontres'!$C:$C,$J24)&gt;0),"Non","Oui")</f>
        <v/>
      </c>
      <c r="J24" s="30" t="inlineStr">
        <is>
          <t>MAGICARPE</t>
        </is>
      </c>
    </row>
    <row r="25">
      <c r="A25" s="47" t="inlineStr">
        <is>
          <t>Akala</t>
        </is>
      </c>
      <c r="B25" s="47" t="inlineStr">
        <is>
          <t>AkalaIsle_hns</t>
        </is>
      </c>
      <c r="C25" s="48" t="inlineStr">
        <is>
          <t>Toute la journée</t>
        </is>
      </c>
      <c r="D25" s="56" t="inlineStr">
        <is>
          <t>Super Canne</t>
        </is>
      </c>
      <c r="E25" s="50" t="inlineStr">
        <is>
          <t>POISSOROY</t>
        </is>
      </c>
      <c r="F25" s="51" t="n">
        <v>0.4</v>
      </c>
      <c r="G25" s="52" t="n">
        <v>43</v>
      </c>
      <c r="H25" s="52" t="n">
        <v>45</v>
      </c>
      <c r="I25" s="29">
        <f>IF(OR(COUNTIF('Suivi des rencontres'!$A:$A,$A25)&gt;0,COUNTIF('Suivi des rencontres'!$C:$C,$J25)&gt;0),"Non","Oui")</f>
        <v/>
      </c>
      <c r="J25" s="30" t="inlineStr">
        <is>
          <t>POISSIRENE</t>
        </is>
      </c>
    </row>
    <row r="26">
      <c r="A26" s="47" t="inlineStr">
        <is>
          <t>Akala</t>
        </is>
      </c>
      <c r="B26" s="47" t="inlineStr">
        <is>
          <t>AkalaIsle_hns</t>
        </is>
      </c>
      <c r="C26" s="48" t="inlineStr">
        <is>
          <t>Toute la journée</t>
        </is>
      </c>
      <c r="D26" s="56" t="inlineStr">
        <is>
          <t>Super Canne</t>
        </is>
      </c>
      <c r="E26" s="50" t="inlineStr">
        <is>
          <t>LANTURN</t>
        </is>
      </c>
      <c r="F26" s="51" t="n">
        <v>0.15</v>
      </c>
      <c r="G26" s="52" t="n">
        <v>43</v>
      </c>
      <c r="H26" s="52" t="n">
        <v>45</v>
      </c>
      <c r="I26" s="29">
        <f>IF(OR(COUNTIF('Suivi des rencontres'!$A:$A,$A26)&gt;0,COUNTIF('Suivi des rencontres'!$C:$C,$J26)&gt;0),"Non","Oui")</f>
        <v/>
      </c>
      <c r="J26" s="30" t="inlineStr">
        <is>
          <t>LOUPIO</t>
        </is>
      </c>
    </row>
    <row r="27">
      <c r="A27" s="47" t="inlineStr">
        <is>
          <t>Akala</t>
        </is>
      </c>
      <c r="B27" s="47" t="inlineStr">
        <is>
          <t>AkalaIsle_hns</t>
        </is>
      </c>
      <c r="C27" s="48" t="inlineStr">
        <is>
          <t>Toute la journée</t>
        </is>
      </c>
      <c r="D27" s="56" t="inlineStr">
        <is>
          <t>Super Canne</t>
        </is>
      </c>
      <c r="E27" s="50" t="inlineStr">
        <is>
          <t>STAROSS</t>
        </is>
      </c>
      <c r="F27" s="51" t="n">
        <v>0.04</v>
      </c>
      <c r="G27" s="52" t="n">
        <v>43</v>
      </c>
      <c r="H27" s="52" t="n">
        <v>45</v>
      </c>
      <c r="I27" s="29">
        <f>IF(OR(COUNTIF('Suivi des rencontres'!$A:$A,$A27)&gt;0,COUNTIF('Suivi des rencontres'!$C:$C,$J27)&gt;0),"Non","Oui")</f>
        <v/>
      </c>
      <c r="J27" s="30" t="inlineStr">
        <is>
          <t>STARI</t>
        </is>
      </c>
    </row>
    <row r="28">
      <c r="A28" s="57" t="inlineStr">
        <is>
          <t>Antre Noir</t>
        </is>
      </c>
      <c r="B28" s="57" t="inlineStr">
        <is>
          <t>DarkCave_NorthSide_hns</t>
        </is>
      </c>
      <c r="C28" s="58" t="inlineStr">
        <is>
          <t>Matin, jour, soir</t>
        </is>
      </c>
      <c r="D28" s="42" t="inlineStr">
        <is>
          <t>Herbe</t>
        </is>
      </c>
      <c r="E28" s="59" t="inlineStr">
        <is>
          <t>NOSFERAPTI</t>
        </is>
      </c>
      <c r="F28" s="60" t="n">
        <v>0.3</v>
      </c>
      <c r="G28" s="61" t="n">
        <v>33</v>
      </c>
      <c r="H28" s="61" t="n">
        <v>33</v>
      </c>
      <c r="I28" s="46">
        <f>IF(OR(COUNTIF('Suivi des rencontres'!$A:$A,$A28)&gt;0,COUNTIF('Suivi des rencontres'!$C:$C,$J28)&gt;0),"Non","Oui")</f>
        <v/>
      </c>
      <c r="J28" s="30" t="inlineStr">
        <is>
          <t>NOSFERAPTI</t>
        </is>
      </c>
    </row>
    <row r="29">
      <c r="A29" s="35" t="inlineStr">
        <is>
          <t>Antre Noir</t>
        </is>
      </c>
      <c r="B29" s="35" t="inlineStr">
        <is>
          <t>DarkCave_NorthSide_hns</t>
        </is>
      </c>
      <c r="C29" s="33" t="inlineStr">
        <is>
          <t>Matin, jour, soir</t>
        </is>
      </c>
      <c r="D29" s="49" t="inlineStr">
        <is>
          <t>Herbe</t>
        </is>
      </c>
      <c r="E29" s="37" t="inlineStr">
        <is>
          <t>RACAILLOU</t>
        </is>
      </c>
      <c r="F29" s="38" t="n">
        <v>0.3</v>
      </c>
      <c r="G29" s="39" t="n">
        <v>33</v>
      </c>
      <c r="H29" s="39" t="n">
        <v>33</v>
      </c>
      <c r="I29" s="29">
        <f>IF(OR(COUNTIF('Suivi des rencontres'!$A:$A,$A29)&gt;0,COUNTIF('Suivi des rencontres'!$C:$C,$J29)&gt;0),"Non","Oui")</f>
        <v/>
      </c>
      <c r="J29" s="30" t="inlineStr">
        <is>
          <t>RACAILLOU</t>
        </is>
      </c>
    </row>
    <row r="30">
      <c r="A30" s="35" t="inlineStr">
        <is>
          <t>Antre Noir</t>
        </is>
      </c>
      <c r="B30" s="35" t="inlineStr">
        <is>
          <t>DarkCave_NorthSide_hns</t>
        </is>
      </c>
      <c r="C30" s="33" t="inlineStr">
        <is>
          <t>Matin, jour, soir</t>
        </is>
      </c>
      <c r="D30" s="49" t="inlineStr">
        <is>
          <t>Herbe</t>
        </is>
      </c>
      <c r="E30" s="37" t="inlineStr">
        <is>
          <t>URSARING</t>
        </is>
      </c>
      <c r="F30" s="38" t="n">
        <v>0.16</v>
      </c>
      <c r="G30" s="39" t="n">
        <v>30</v>
      </c>
      <c r="H30" s="39" t="n">
        <v>35</v>
      </c>
      <c r="I30" s="29">
        <f>IF(OR(COUNTIF('Suivi des rencontres'!$A:$A,$A30)&gt;0,COUNTIF('Suivi des rencontres'!$C:$C,$J30)&gt;0),"Non","Oui")</f>
        <v/>
      </c>
      <c r="J30" s="30" t="inlineStr">
        <is>
          <t>TEDDIURSA</t>
        </is>
      </c>
    </row>
    <row r="31">
      <c r="A31" s="35" t="inlineStr">
        <is>
          <t>Antre Noir</t>
        </is>
      </c>
      <c r="B31" s="35" t="inlineStr">
        <is>
          <t>DarkCave_NorthSide_hns</t>
        </is>
      </c>
      <c r="C31" s="33" t="inlineStr">
        <is>
          <t>Matin, jour, soir</t>
        </is>
      </c>
      <c r="D31" s="49" t="inlineStr">
        <is>
          <t>Herbe</t>
        </is>
      </c>
      <c r="E31" s="37" t="inlineStr">
        <is>
          <t>GRAVALANCH</t>
        </is>
      </c>
      <c r="F31" s="38" t="n">
        <v>0.15</v>
      </c>
      <c r="G31" s="39" t="n">
        <v>35</v>
      </c>
      <c r="H31" s="39" t="n">
        <v>35</v>
      </c>
      <c r="I31" s="29">
        <f>IF(OR(COUNTIF('Suivi des rencontres'!$A:$A,$A31)&gt;0,COUNTIF('Suivi des rencontres'!$C:$C,$J31)&gt;0),"Non","Oui")</f>
        <v/>
      </c>
      <c r="J31" s="30" t="inlineStr">
        <is>
          <t>RACAILLOU</t>
        </is>
      </c>
    </row>
    <row r="32">
      <c r="A32" s="35" t="inlineStr">
        <is>
          <t>Antre Noir</t>
        </is>
      </c>
      <c r="B32" s="35" t="inlineStr">
        <is>
          <t>DarkCave_NorthSide_hns</t>
        </is>
      </c>
      <c r="C32" s="33" t="inlineStr">
        <is>
          <t>Matin, jour, soir</t>
        </is>
      </c>
      <c r="D32" s="49" t="inlineStr">
        <is>
          <t>Herbe</t>
        </is>
      </c>
      <c r="E32" s="37" t="inlineStr">
        <is>
          <t>NOSFERALTO</t>
        </is>
      </c>
      <c r="F32" s="38" t="n">
        <v>0.09</v>
      </c>
      <c r="G32" s="39" t="n">
        <v>33</v>
      </c>
      <c r="H32" s="39" t="n">
        <v>33</v>
      </c>
      <c r="I32" s="29">
        <f>IF(OR(COUNTIF('Suivi des rencontres'!$A:$A,$A32)&gt;0,COUNTIF('Suivi des rencontres'!$C:$C,$J32)&gt;0),"Non","Oui")</f>
        <v/>
      </c>
      <c r="J32" s="30" t="inlineStr">
        <is>
          <t>NOSFERAPTI</t>
        </is>
      </c>
    </row>
    <row r="33">
      <c r="A33" s="35" t="inlineStr">
        <is>
          <t>Antre Noir</t>
        </is>
      </c>
      <c r="B33" s="35" t="inlineStr">
        <is>
          <t>DarkCave_NorthSide_hns</t>
        </is>
      </c>
      <c r="C33" s="62" t="inlineStr">
        <is>
          <t>Nuit</t>
        </is>
      </c>
      <c r="D33" s="49" t="inlineStr">
        <is>
          <t>Herbe</t>
        </is>
      </c>
      <c r="E33" s="37" t="inlineStr">
        <is>
          <t>NOSFERAPTI</t>
        </is>
      </c>
      <c r="F33" s="38" t="n">
        <v>0.3</v>
      </c>
      <c r="G33" s="39" t="n">
        <v>33</v>
      </c>
      <c r="H33" s="39" t="n">
        <v>33</v>
      </c>
      <c r="I33" s="29">
        <f>IF(OR(COUNTIF('Suivi des rencontres'!$A:$A,$A33)&gt;0,COUNTIF('Suivi des rencontres'!$C:$C,$J33)&gt;0),"Non","Oui")</f>
        <v/>
      </c>
      <c r="J33" s="30" t="inlineStr">
        <is>
          <t>NOSFERAPTI</t>
        </is>
      </c>
    </row>
    <row r="34">
      <c r="A34" s="35" t="inlineStr">
        <is>
          <t>Antre Noir</t>
        </is>
      </c>
      <c r="B34" s="35" t="inlineStr">
        <is>
          <t>DarkCave_NorthSide_hns</t>
        </is>
      </c>
      <c r="C34" s="62" t="inlineStr">
        <is>
          <t>Nuit</t>
        </is>
      </c>
      <c r="D34" s="49" t="inlineStr">
        <is>
          <t>Herbe</t>
        </is>
      </c>
      <c r="E34" s="37" t="inlineStr">
        <is>
          <t>RACAILLOU</t>
        </is>
      </c>
      <c r="F34" s="38" t="n">
        <v>0.3</v>
      </c>
      <c r="G34" s="39" t="n">
        <v>33</v>
      </c>
      <c r="H34" s="39" t="n">
        <v>33</v>
      </c>
      <c r="I34" s="29">
        <f>IF(OR(COUNTIF('Suivi des rencontres'!$A:$A,$A34)&gt;0,COUNTIF('Suivi des rencontres'!$C:$C,$J34)&gt;0),"Non","Oui")</f>
        <v/>
      </c>
      <c r="J34" s="30" t="inlineStr">
        <is>
          <t>RACAILLOU</t>
        </is>
      </c>
    </row>
    <row r="35">
      <c r="A35" s="35" t="inlineStr">
        <is>
          <t>Antre Noir</t>
        </is>
      </c>
      <c r="B35" s="35" t="inlineStr">
        <is>
          <t>DarkCave_NorthSide_hns</t>
        </is>
      </c>
      <c r="C35" s="62" t="inlineStr">
        <is>
          <t>Nuit</t>
        </is>
      </c>
      <c r="D35" s="49" t="inlineStr">
        <is>
          <t>Herbe</t>
        </is>
      </c>
      <c r="E35" s="37" t="inlineStr">
        <is>
          <t>QULBUTOKE</t>
        </is>
      </c>
      <c r="F35" s="38" t="n">
        <v>0.16</v>
      </c>
      <c r="G35" s="39" t="n">
        <v>30</v>
      </c>
      <c r="H35" s="39" t="n">
        <v>35</v>
      </c>
      <c r="I35" s="29">
        <f>IF(OR(COUNTIF('Suivi des rencontres'!$A:$A,$A35)&gt;0,COUNTIF('Suivi des rencontres'!$C:$C,$J35)&gt;0),"Non","Oui")</f>
        <v/>
      </c>
      <c r="J35" s="30" t="inlineStr">
        <is>
          <t>OKEOKE</t>
        </is>
      </c>
    </row>
    <row r="36">
      <c r="A36" s="35" t="inlineStr">
        <is>
          <t>Antre Noir</t>
        </is>
      </c>
      <c r="B36" s="35" t="inlineStr">
        <is>
          <t>DarkCave_NorthSide_hns</t>
        </is>
      </c>
      <c r="C36" s="62" t="inlineStr">
        <is>
          <t>Nuit</t>
        </is>
      </c>
      <c r="D36" s="49" t="inlineStr">
        <is>
          <t>Herbe</t>
        </is>
      </c>
      <c r="E36" s="37" t="inlineStr">
        <is>
          <t>GRAVALANCH</t>
        </is>
      </c>
      <c r="F36" s="38" t="n">
        <v>0.15</v>
      </c>
      <c r="G36" s="39" t="n">
        <v>35</v>
      </c>
      <c r="H36" s="39" t="n">
        <v>35</v>
      </c>
      <c r="I36" s="29">
        <f>IF(OR(COUNTIF('Suivi des rencontres'!$A:$A,$A36)&gt;0,COUNTIF('Suivi des rencontres'!$C:$C,$J36)&gt;0),"Non","Oui")</f>
        <v/>
      </c>
      <c r="J36" s="30" t="inlineStr">
        <is>
          <t>RACAILLOU</t>
        </is>
      </c>
    </row>
    <row r="37">
      <c r="A37" s="35" t="inlineStr">
        <is>
          <t>Antre Noir</t>
        </is>
      </c>
      <c r="B37" s="35" t="inlineStr">
        <is>
          <t>DarkCave_NorthSide_hns</t>
        </is>
      </c>
      <c r="C37" s="62" t="inlineStr">
        <is>
          <t>Nuit</t>
        </is>
      </c>
      <c r="D37" s="49" t="inlineStr">
        <is>
          <t>Herbe</t>
        </is>
      </c>
      <c r="E37" s="37" t="inlineStr">
        <is>
          <t>NOSFERALTO</t>
        </is>
      </c>
      <c r="F37" s="38" t="n">
        <v>0.09</v>
      </c>
      <c r="G37" s="39" t="n">
        <v>33</v>
      </c>
      <c r="H37" s="39" t="n">
        <v>33</v>
      </c>
      <c r="I37" s="29">
        <f>IF(OR(COUNTIF('Suivi des rencontres'!$A:$A,$A37)&gt;0,COUNTIF('Suivi des rencontres'!$C:$C,$J37)&gt;0),"Non","Oui")</f>
        <v/>
      </c>
      <c r="J37" s="30" t="inlineStr">
        <is>
          <t>NOSFERAPTI</t>
        </is>
      </c>
    </row>
    <row r="38">
      <c r="A38" s="35" t="inlineStr">
        <is>
          <t>Antre Noir</t>
        </is>
      </c>
      <c r="B38" s="35" t="inlineStr">
        <is>
          <t>DarkCave_NorthSide_hns</t>
        </is>
      </c>
      <c r="C38" s="33" t="inlineStr">
        <is>
          <t>Matin, jour, soir</t>
        </is>
      </c>
      <c r="D38" s="53" t="inlineStr">
        <is>
          <t>Surf</t>
        </is>
      </c>
      <c r="E38" s="37" t="inlineStr">
        <is>
          <t>MAGICARPE</t>
        </is>
      </c>
      <c r="F38" s="38" t="n">
        <v>1</v>
      </c>
      <c r="G38" s="39" t="n">
        <v>5</v>
      </c>
      <c r="H38" s="39" t="n">
        <v>19</v>
      </c>
      <c r="I38" s="29">
        <f>IF(OR(COUNTIF('Suivi des rencontres'!$A:$A,$A38)&gt;0,COUNTIF('Suivi des rencontres'!$C:$C,$J38)&gt;0),"Non","Oui")</f>
        <v/>
      </c>
      <c r="J38" s="30" t="inlineStr">
        <is>
          <t>MAGICARPE</t>
        </is>
      </c>
    </row>
    <row r="39">
      <c r="A39" s="35" t="inlineStr">
        <is>
          <t>Antre Noir</t>
        </is>
      </c>
      <c r="B39" s="35" t="inlineStr">
        <is>
          <t>DarkCave_NorthSide_hns</t>
        </is>
      </c>
      <c r="C39" s="62" t="inlineStr">
        <is>
          <t>Nuit</t>
        </is>
      </c>
      <c r="D39" s="53" t="inlineStr">
        <is>
          <t>Surf</t>
        </is>
      </c>
      <c r="E39" s="37" t="inlineStr">
        <is>
          <t>MAGICARPE</t>
        </is>
      </c>
      <c r="F39" s="38" t="n">
        <v>1</v>
      </c>
      <c r="G39" s="39" t="n">
        <v>5</v>
      </c>
      <c r="H39" s="39" t="n">
        <v>19</v>
      </c>
      <c r="I39" s="29">
        <f>IF(OR(COUNTIF('Suivi des rencontres'!$A:$A,$A39)&gt;0,COUNTIF('Suivi des rencontres'!$C:$C,$J39)&gt;0),"Non","Oui")</f>
        <v/>
      </c>
      <c r="J39" s="30" t="inlineStr">
        <is>
          <t>MAGICARPE</t>
        </is>
      </c>
    </row>
    <row r="40">
      <c r="A40" s="35" t="inlineStr">
        <is>
          <t>Antre Noir</t>
        </is>
      </c>
      <c r="B40" s="35" t="inlineStr">
        <is>
          <t>DarkCave_NorthSide_hns</t>
        </is>
      </c>
      <c r="C40" s="33" t="inlineStr">
        <is>
          <t>Matin, jour, soir</t>
        </is>
      </c>
      <c r="D40" s="54" t="inlineStr">
        <is>
          <t>Vieille Canne</t>
        </is>
      </c>
      <c r="E40" s="37" t="inlineStr">
        <is>
          <t>MAGICARPE</t>
        </is>
      </c>
      <c r="F40" s="38" t="n">
        <v>0.7</v>
      </c>
      <c r="G40" s="39" t="n">
        <v>10</v>
      </c>
      <c r="H40" s="39" t="n">
        <v>10</v>
      </c>
      <c r="I40" s="29">
        <f>IF(OR(COUNTIF('Suivi des rencontres'!$A:$A,$A40)&gt;0,COUNTIF('Suivi des rencontres'!$C:$C,$J40)&gt;0),"Non","Oui")</f>
        <v/>
      </c>
      <c r="J40" s="30" t="inlineStr">
        <is>
          <t>MAGICARPE</t>
        </is>
      </c>
    </row>
    <row r="41">
      <c r="A41" s="35" t="inlineStr">
        <is>
          <t>Antre Noir</t>
        </is>
      </c>
      <c r="B41" s="35" t="inlineStr">
        <is>
          <t>DarkCave_NorthSide_hns</t>
        </is>
      </c>
      <c r="C41" s="33" t="inlineStr">
        <is>
          <t>Matin, jour, soir</t>
        </is>
      </c>
      <c r="D41" s="54" t="inlineStr">
        <is>
          <t>Vieille Canne</t>
        </is>
      </c>
      <c r="E41" s="37" t="inlineStr">
        <is>
          <t>POISSIRENE</t>
        </is>
      </c>
      <c r="F41" s="38" t="n">
        <v>0.3</v>
      </c>
      <c r="G41" s="39" t="n">
        <v>10</v>
      </c>
      <c r="H41" s="39" t="n">
        <v>10</v>
      </c>
      <c r="I41" s="29">
        <f>IF(OR(COUNTIF('Suivi des rencontres'!$A:$A,$A41)&gt;0,COUNTIF('Suivi des rencontres'!$C:$C,$J41)&gt;0),"Non","Oui")</f>
        <v/>
      </c>
      <c r="J41" s="30" t="inlineStr">
        <is>
          <t>POISSIRENE</t>
        </is>
      </c>
    </row>
    <row r="42">
      <c r="A42" s="35" t="inlineStr">
        <is>
          <t>Antre Noir</t>
        </is>
      </c>
      <c r="B42" s="35" t="inlineStr">
        <is>
          <t>DarkCave_NorthSide_hns</t>
        </is>
      </c>
      <c r="C42" s="62" t="inlineStr">
        <is>
          <t>Nuit</t>
        </is>
      </c>
      <c r="D42" s="54" t="inlineStr">
        <is>
          <t>Vieille Canne</t>
        </is>
      </c>
      <c r="E42" s="37" t="inlineStr">
        <is>
          <t>MAGICARPE</t>
        </is>
      </c>
      <c r="F42" s="38" t="n">
        <v>0.7</v>
      </c>
      <c r="G42" s="39" t="n">
        <v>10</v>
      </c>
      <c r="H42" s="39" t="n">
        <v>10</v>
      </c>
      <c r="I42" s="29">
        <f>IF(OR(COUNTIF('Suivi des rencontres'!$A:$A,$A42)&gt;0,COUNTIF('Suivi des rencontres'!$C:$C,$J42)&gt;0),"Non","Oui")</f>
        <v/>
      </c>
      <c r="J42" s="30" t="inlineStr">
        <is>
          <t>MAGICARPE</t>
        </is>
      </c>
    </row>
    <row r="43">
      <c r="A43" s="35" t="inlineStr">
        <is>
          <t>Antre Noir</t>
        </is>
      </c>
      <c r="B43" s="35" t="inlineStr">
        <is>
          <t>DarkCave_NorthSide_hns</t>
        </is>
      </c>
      <c r="C43" s="62" t="inlineStr">
        <is>
          <t>Nuit</t>
        </is>
      </c>
      <c r="D43" s="54" t="inlineStr">
        <is>
          <t>Vieille Canne</t>
        </is>
      </c>
      <c r="E43" s="37" t="inlineStr">
        <is>
          <t>POISSIRENE</t>
        </is>
      </c>
      <c r="F43" s="38" t="n">
        <v>0.3</v>
      </c>
      <c r="G43" s="39" t="n">
        <v>10</v>
      </c>
      <c r="H43" s="39" t="n">
        <v>10</v>
      </c>
      <c r="I43" s="29">
        <f>IF(OR(COUNTIF('Suivi des rencontres'!$A:$A,$A43)&gt;0,COUNTIF('Suivi des rencontres'!$C:$C,$J43)&gt;0),"Non","Oui")</f>
        <v/>
      </c>
      <c r="J43" s="30" t="inlineStr">
        <is>
          <t>POISSIRENE</t>
        </is>
      </c>
    </row>
    <row r="44">
      <c r="A44" s="35" t="inlineStr">
        <is>
          <t>Antre Noir</t>
        </is>
      </c>
      <c r="B44" s="35" t="inlineStr">
        <is>
          <t>DarkCave_NorthSide_hns</t>
        </is>
      </c>
      <c r="C44" s="33" t="inlineStr">
        <is>
          <t>Matin, jour, soir</t>
        </is>
      </c>
      <c r="D44" s="55" t="inlineStr">
        <is>
          <t>Bonne Canne</t>
        </is>
      </c>
      <c r="E44" s="37" t="inlineStr">
        <is>
          <t>POISSIRENE</t>
        </is>
      </c>
      <c r="F44" s="38" t="n">
        <v>0.8</v>
      </c>
      <c r="G44" s="39" t="n">
        <v>20</v>
      </c>
      <c r="H44" s="39" t="n">
        <v>40</v>
      </c>
      <c r="I44" s="29">
        <f>IF(OR(COUNTIF('Suivi des rencontres'!$A:$A,$A44)&gt;0,COUNTIF('Suivi des rencontres'!$C:$C,$J44)&gt;0),"Non","Oui")</f>
        <v/>
      </c>
      <c r="J44" s="30" t="inlineStr">
        <is>
          <t>POISSIRENE</t>
        </is>
      </c>
    </row>
    <row r="45">
      <c r="A45" s="35" t="inlineStr">
        <is>
          <t>Antre Noir</t>
        </is>
      </c>
      <c r="B45" s="35" t="inlineStr">
        <is>
          <t>DarkCave_NorthSide_hns</t>
        </is>
      </c>
      <c r="C45" s="33" t="inlineStr">
        <is>
          <t>Matin, jour, soir</t>
        </is>
      </c>
      <c r="D45" s="55" t="inlineStr">
        <is>
          <t>Bonne Canne</t>
        </is>
      </c>
      <c r="E45" s="37" t="inlineStr">
        <is>
          <t>MAGICARPE</t>
        </is>
      </c>
      <c r="F45" s="38" t="n">
        <v>0.2</v>
      </c>
      <c r="G45" s="39" t="n">
        <v>20</v>
      </c>
      <c r="H45" s="39" t="n">
        <v>20</v>
      </c>
      <c r="I45" s="29">
        <f>IF(OR(COUNTIF('Suivi des rencontres'!$A:$A,$A45)&gt;0,COUNTIF('Suivi des rencontres'!$C:$C,$J45)&gt;0),"Non","Oui")</f>
        <v/>
      </c>
      <c r="J45" s="30" t="inlineStr">
        <is>
          <t>MAGICARPE</t>
        </is>
      </c>
    </row>
    <row r="46">
      <c r="A46" s="35" t="inlineStr">
        <is>
          <t>Antre Noir</t>
        </is>
      </c>
      <c r="B46" s="35" t="inlineStr">
        <is>
          <t>DarkCave_NorthSide_hns</t>
        </is>
      </c>
      <c r="C46" s="62" t="inlineStr">
        <is>
          <t>Nuit</t>
        </is>
      </c>
      <c r="D46" s="55" t="inlineStr">
        <is>
          <t>Bonne Canne</t>
        </is>
      </c>
      <c r="E46" s="37" t="inlineStr">
        <is>
          <t>POISSIRENE</t>
        </is>
      </c>
      <c r="F46" s="38" t="n">
        <v>0.8</v>
      </c>
      <c r="G46" s="39" t="n">
        <v>20</v>
      </c>
      <c r="H46" s="39" t="n">
        <v>40</v>
      </c>
      <c r="I46" s="29">
        <f>IF(OR(COUNTIF('Suivi des rencontres'!$A:$A,$A46)&gt;0,COUNTIF('Suivi des rencontres'!$C:$C,$J46)&gt;0),"Non","Oui")</f>
        <v/>
      </c>
      <c r="J46" s="30" t="inlineStr">
        <is>
          <t>POISSIRENE</t>
        </is>
      </c>
    </row>
    <row r="47">
      <c r="A47" s="35" t="inlineStr">
        <is>
          <t>Antre Noir</t>
        </is>
      </c>
      <c r="B47" s="35" t="inlineStr">
        <is>
          <t>DarkCave_NorthSide_hns</t>
        </is>
      </c>
      <c r="C47" s="62" t="inlineStr">
        <is>
          <t>Nuit</t>
        </is>
      </c>
      <c r="D47" s="55" t="inlineStr">
        <is>
          <t>Bonne Canne</t>
        </is>
      </c>
      <c r="E47" s="37" t="inlineStr">
        <is>
          <t>MAGICARPE</t>
        </is>
      </c>
      <c r="F47" s="38" t="n">
        <v>0.2</v>
      </c>
      <c r="G47" s="39" t="n">
        <v>20</v>
      </c>
      <c r="H47" s="39" t="n">
        <v>20</v>
      </c>
      <c r="I47" s="29">
        <f>IF(OR(COUNTIF('Suivi des rencontres'!$A:$A,$A47)&gt;0,COUNTIF('Suivi des rencontres'!$C:$C,$J47)&gt;0),"Non","Oui")</f>
        <v/>
      </c>
      <c r="J47" s="30" t="inlineStr">
        <is>
          <t>MAGICARPE</t>
        </is>
      </c>
    </row>
    <row r="48">
      <c r="A48" s="35" t="inlineStr">
        <is>
          <t>Antre Noir</t>
        </is>
      </c>
      <c r="B48" s="35" t="inlineStr">
        <is>
          <t>DarkCave_NorthSide_hns</t>
        </is>
      </c>
      <c r="C48" s="33" t="inlineStr">
        <is>
          <t>Matin, jour, soir</t>
        </is>
      </c>
      <c r="D48" s="56" t="inlineStr">
        <is>
          <t>Super Canne</t>
        </is>
      </c>
      <c r="E48" s="37" t="inlineStr">
        <is>
          <t>MAGICARPE</t>
        </is>
      </c>
      <c r="F48" s="38" t="n">
        <v>0.44</v>
      </c>
      <c r="G48" s="39" t="n">
        <v>40</v>
      </c>
      <c r="H48" s="39" t="n">
        <v>40</v>
      </c>
      <c r="I48" s="29">
        <f>IF(OR(COUNTIF('Suivi des rencontres'!$A:$A,$A48)&gt;0,COUNTIF('Suivi des rencontres'!$C:$C,$J48)&gt;0),"Non","Oui")</f>
        <v/>
      </c>
      <c r="J48" s="30" t="inlineStr">
        <is>
          <t>MAGICARPE</t>
        </is>
      </c>
    </row>
    <row r="49">
      <c r="A49" s="35" t="inlineStr">
        <is>
          <t>Antre Noir</t>
        </is>
      </c>
      <c r="B49" s="35" t="inlineStr">
        <is>
          <t>DarkCave_NorthSide_hns</t>
        </is>
      </c>
      <c r="C49" s="33" t="inlineStr">
        <is>
          <t>Matin, jour, soir</t>
        </is>
      </c>
      <c r="D49" s="56" t="inlineStr">
        <is>
          <t>Super Canne</t>
        </is>
      </c>
      <c r="E49" s="37" t="inlineStr">
        <is>
          <t>POISSOROY</t>
        </is>
      </c>
      <c r="F49" s="38" t="n">
        <v>0.4</v>
      </c>
      <c r="G49" s="39" t="n">
        <v>40</v>
      </c>
      <c r="H49" s="39" t="n">
        <v>40</v>
      </c>
      <c r="I49" s="29">
        <f>IF(OR(COUNTIF('Suivi des rencontres'!$A:$A,$A49)&gt;0,COUNTIF('Suivi des rencontres'!$C:$C,$J49)&gt;0),"Non","Oui")</f>
        <v/>
      </c>
      <c r="J49" s="30" t="inlineStr">
        <is>
          <t>POISSIRENE</t>
        </is>
      </c>
    </row>
    <row r="50">
      <c r="A50" s="35" t="inlineStr">
        <is>
          <t>Antre Noir</t>
        </is>
      </c>
      <c r="B50" s="35" t="inlineStr">
        <is>
          <t>DarkCave_NorthSide_hns</t>
        </is>
      </c>
      <c r="C50" s="33" t="inlineStr">
        <is>
          <t>Matin, jour, soir</t>
        </is>
      </c>
      <c r="D50" s="56" t="inlineStr">
        <is>
          <t>Super Canne</t>
        </is>
      </c>
      <c r="E50" s="37" t="inlineStr">
        <is>
          <t>POISSIRENE</t>
        </is>
      </c>
      <c r="F50" s="38" t="n">
        <v>0.16</v>
      </c>
      <c r="G50" s="39" t="n">
        <v>40</v>
      </c>
      <c r="H50" s="39" t="n">
        <v>40</v>
      </c>
      <c r="I50" s="29">
        <f>IF(OR(COUNTIF('Suivi des rencontres'!$A:$A,$A50)&gt;0,COUNTIF('Suivi des rencontres'!$C:$C,$J50)&gt;0),"Non","Oui")</f>
        <v/>
      </c>
      <c r="J50" s="30" t="inlineStr">
        <is>
          <t>POISSIRENE</t>
        </is>
      </c>
    </row>
    <row r="51">
      <c r="A51" s="35" t="inlineStr">
        <is>
          <t>Antre Noir</t>
        </is>
      </c>
      <c r="B51" s="35" t="inlineStr">
        <is>
          <t>DarkCave_NorthSide_hns</t>
        </is>
      </c>
      <c r="C51" s="62" t="inlineStr">
        <is>
          <t>Nuit</t>
        </is>
      </c>
      <c r="D51" s="56" t="inlineStr">
        <is>
          <t>Super Canne</t>
        </is>
      </c>
      <c r="E51" s="37" t="inlineStr">
        <is>
          <t>MAGICARPE</t>
        </is>
      </c>
      <c r="F51" s="38" t="n">
        <v>0.44</v>
      </c>
      <c r="G51" s="39" t="n">
        <v>40</v>
      </c>
      <c r="H51" s="39" t="n">
        <v>40</v>
      </c>
      <c r="I51" s="29">
        <f>IF(OR(COUNTIF('Suivi des rencontres'!$A:$A,$A51)&gt;0,COUNTIF('Suivi des rencontres'!$C:$C,$J51)&gt;0),"Non","Oui")</f>
        <v/>
      </c>
      <c r="J51" s="30" t="inlineStr">
        <is>
          <t>MAGICARPE</t>
        </is>
      </c>
    </row>
    <row r="52">
      <c r="A52" s="35" t="inlineStr">
        <is>
          <t>Antre Noir</t>
        </is>
      </c>
      <c r="B52" s="35" t="inlineStr">
        <is>
          <t>DarkCave_NorthSide_hns</t>
        </is>
      </c>
      <c r="C52" s="62" t="inlineStr">
        <is>
          <t>Nuit</t>
        </is>
      </c>
      <c r="D52" s="56" t="inlineStr">
        <is>
          <t>Super Canne</t>
        </is>
      </c>
      <c r="E52" s="37" t="inlineStr">
        <is>
          <t>POISSOROY</t>
        </is>
      </c>
      <c r="F52" s="38" t="n">
        <v>0.4</v>
      </c>
      <c r="G52" s="39" t="n">
        <v>40</v>
      </c>
      <c r="H52" s="39" t="n">
        <v>40</v>
      </c>
      <c r="I52" s="29">
        <f>IF(OR(COUNTIF('Suivi des rencontres'!$A:$A,$A52)&gt;0,COUNTIF('Suivi des rencontres'!$C:$C,$J52)&gt;0),"Non","Oui")</f>
        <v/>
      </c>
      <c r="J52" s="30" t="inlineStr">
        <is>
          <t>POISSIRENE</t>
        </is>
      </c>
    </row>
    <row r="53">
      <c r="A53" s="35" t="inlineStr">
        <is>
          <t>Antre Noir</t>
        </is>
      </c>
      <c r="B53" s="35" t="inlineStr">
        <is>
          <t>DarkCave_NorthSide_hns</t>
        </is>
      </c>
      <c r="C53" s="62" t="inlineStr">
        <is>
          <t>Nuit</t>
        </is>
      </c>
      <c r="D53" s="56" t="inlineStr">
        <is>
          <t>Super Canne</t>
        </is>
      </c>
      <c r="E53" s="37" t="inlineStr">
        <is>
          <t>POISSIRENE</t>
        </is>
      </c>
      <c r="F53" s="38" t="n">
        <v>0.16</v>
      </c>
      <c r="G53" s="39" t="n">
        <v>40</v>
      </c>
      <c r="H53" s="39" t="n">
        <v>40</v>
      </c>
      <c r="I53" s="29">
        <f>IF(OR(COUNTIF('Suivi des rencontres'!$A:$A,$A53)&gt;0,COUNTIF('Suivi des rencontres'!$C:$C,$J53)&gt;0),"Non","Oui")</f>
        <v/>
      </c>
      <c r="J53" s="30" t="inlineStr">
        <is>
          <t>POISSIRENE</t>
        </is>
      </c>
    </row>
    <row r="54">
      <c r="A54" s="35" t="inlineStr">
        <is>
          <t>Antre Noir</t>
        </is>
      </c>
      <c r="B54" s="35" t="inlineStr">
        <is>
          <t>DarkCave_SouthSide_hns</t>
        </is>
      </c>
      <c r="C54" s="33" t="inlineStr">
        <is>
          <t>Toute la journée</t>
        </is>
      </c>
      <c r="D54" s="49" t="inlineStr">
        <is>
          <t>Herbe</t>
        </is>
      </c>
      <c r="E54" s="37" t="inlineStr">
        <is>
          <t>NOSFERAPTI</t>
        </is>
      </c>
      <c r="F54" s="38" t="n">
        <v>0.45</v>
      </c>
      <c r="G54" s="39" t="n">
        <v>2</v>
      </c>
      <c r="H54" s="39" t="n">
        <v>4</v>
      </c>
      <c r="I54" s="29">
        <f>IF(OR(COUNTIF('Suivi des rencontres'!$A:$A,$A54)&gt;0,COUNTIF('Suivi des rencontres'!$C:$C,$J54)&gt;0),"Non","Oui")</f>
        <v/>
      </c>
      <c r="J54" s="30" t="inlineStr">
        <is>
          <t>NOSFERAPTI</t>
        </is>
      </c>
    </row>
    <row r="55">
      <c r="A55" s="35" t="inlineStr">
        <is>
          <t>Antre Noir</t>
        </is>
      </c>
      <c r="B55" s="35" t="inlineStr">
        <is>
          <t>DarkCave_SouthSide_hns</t>
        </is>
      </c>
      <c r="C55" s="33" t="inlineStr">
        <is>
          <t>Toute la journée</t>
        </is>
      </c>
      <c r="D55" s="49" t="inlineStr">
        <is>
          <t>Herbe</t>
        </is>
      </c>
      <c r="E55" s="37" t="inlineStr">
        <is>
          <t>RACAILLOU</t>
        </is>
      </c>
      <c r="F55" s="38" t="n">
        <v>0.3</v>
      </c>
      <c r="G55" s="39" t="n">
        <v>3</v>
      </c>
      <c r="H55" s="39" t="n">
        <v>4</v>
      </c>
      <c r="I55" s="29">
        <f>IF(OR(COUNTIF('Suivi des rencontres'!$A:$A,$A55)&gt;0,COUNTIF('Suivi des rencontres'!$C:$C,$J55)&gt;0),"Non","Oui")</f>
        <v/>
      </c>
      <c r="J55" s="30" t="inlineStr">
        <is>
          <t>RACAILLOU</t>
        </is>
      </c>
    </row>
    <row r="56">
      <c r="A56" s="35" t="inlineStr">
        <is>
          <t>Antre Noir</t>
        </is>
      </c>
      <c r="B56" s="35" t="inlineStr">
        <is>
          <t>DarkCave_SouthSide_hns</t>
        </is>
      </c>
      <c r="C56" s="33" t="inlineStr">
        <is>
          <t>Toute la journée</t>
        </is>
      </c>
      <c r="D56" s="49" t="inlineStr">
        <is>
          <t>Herbe</t>
        </is>
      </c>
      <c r="E56" s="37" t="inlineStr">
        <is>
          <t>TEDDIURSA</t>
        </is>
      </c>
      <c r="F56" s="38" t="n">
        <v>0.14</v>
      </c>
      <c r="G56" s="39" t="n">
        <v>2</v>
      </c>
      <c r="H56" s="39" t="n">
        <v>2</v>
      </c>
      <c r="I56" s="29">
        <f>IF(OR(COUNTIF('Suivi des rencontres'!$A:$A,$A56)&gt;0,COUNTIF('Suivi des rencontres'!$C:$C,$J56)&gt;0),"Non","Oui")</f>
        <v/>
      </c>
      <c r="J56" s="30" t="inlineStr">
        <is>
          <t>TEDDIURSA</t>
        </is>
      </c>
    </row>
    <row r="57">
      <c r="A57" s="35" t="inlineStr">
        <is>
          <t>Antre Noir</t>
        </is>
      </c>
      <c r="B57" s="35" t="inlineStr">
        <is>
          <t>DarkCave_SouthSide_hns</t>
        </is>
      </c>
      <c r="C57" s="33" t="inlineStr">
        <is>
          <t>Toute la journée</t>
        </is>
      </c>
      <c r="D57" s="49" t="inlineStr">
        <is>
          <t>Herbe</t>
        </is>
      </c>
      <c r="E57" s="37" t="inlineStr">
        <is>
          <t>INSOLOURDO</t>
        </is>
      </c>
      <c r="F57" s="38" t="n">
        <v>0.06</v>
      </c>
      <c r="G57" s="39" t="n">
        <v>2</v>
      </c>
      <c r="H57" s="39" t="n">
        <v>4</v>
      </c>
      <c r="I57" s="29">
        <f>IF(OR(COUNTIF('Suivi des rencontres'!$A:$A,$A57)&gt;0,COUNTIF('Suivi des rencontres'!$C:$C,$J57)&gt;0),"Non","Oui")</f>
        <v/>
      </c>
      <c r="J57" s="30" t="inlineStr">
        <is>
          <t>INSOLOURDO</t>
        </is>
      </c>
    </row>
    <row r="58">
      <c r="A58" s="35" t="inlineStr">
        <is>
          <t>Antre Noir</t>
        </is>
      </c>
      <c r="B58" s="35" t="inlineStr">
        <is>
          <t>DarkCave_SouthSide_hns</t>
        </is>
      </c>
      <c r="C58" s="33" t="inlineStr">
        <is>
          <t>Toute la journée</t>
        </is>
      </c>
      <c r="D58" s="49" t="inlineStr">
        <is>
          <t>Herbe</t>
        </is>
      </c>
      <c r="E58" s="37" t="inlineStr">
        <is>
          <t>EMBRYLEX</t>
        </is>
      </c>
      <c r="F58" s="38" t="n">
        <v>0.05</v>
      </c>
      <c r="G58" s="39" t="n">
        <v>2</v>
      </c>
      <c r="H58" s="39" t="n">
        <v>4</v>
      </c>
      <c r="I58" s="29">
        <f>IF(OR(COUNTIF('Suivi des rencontres'!$A:$A,$A58)&gt;0,COUNTIF('Suivi des rencontres'!$C:$C,$J58)&gt;0),"Non","Oui")</f>
        <v/>
      </c>
      <c r="J58" s="30" t="inlineStr">
        <is>
          <t>EMBRYLEX</t>
        </is>
      </c>
    </row>
    <row r="59">
      <c r="A59" s="35" t="inlineStr">
        <is>
          <t>Antre Noir</t>
        </is>
      </c>
      <c r="B59" s="35" t="inlineStr">
        <is>
          <t>DarkCave_SouthSide_hns</t>
        </is>
      </c>
      <c r="C59" s="33" t="inlineStr">
        <is>
          <t>Toute la journée</t>
        </is>
      </c>
      <c r="D59" s="53" t="inlineStr">
        <is>
          <t>Surf</t>
        </is>
      </c>
      <c r="E59" s="37" t="inlineStr">
        <is>
          <t>MAGICARPE</t>
        </is>
      </c>
      <c r="F59" s="38" t="n">
        <v>1</v>
      </c>
      <c r="G59" s="39" t="n">
        <v>5</v>
      </c>
      <c r="H59" s="39" t="n">
        <v>19</v>
      </c>
      <c r="I59" s="29">
        <f>IF(OR(COUNTIF('Suivi des rencontres'!$A:$A,$A59)&gt;0,COUNTIF('Suivi des rencontres'!$C:$C,$J59)&gt;0),"Non","Oui")</f>
        <v/>
      </c>
      <c r="J59" s="30" t="inlineStr">
        <is>
          <t>MAGICARPE</t>
        </is>
      </c>
    </row>
    <row r="60">
      <c r="A60" s="35" t="inlineStr">
        <is>
          <t>Antre Noir</t>
        </is>
      </c>
      <c r="B60" s="35" t="inlineStr">
        <is>
          <t>DarkCave_SouthSide_hns</t>
        </is>
      </c>
      <c r="C60" s="33" t="inlineStr">
        <is>
          <t>Toute la journée</t>
        </is>
      </c>
      <c r="D60" s="54" t="inlineStr">
        <is>
          <t>Vieille Canne</t>
        </is>
      </c>
      <c r="E60" s="37" t="inlineStr">
        <is>
          <t>MAGICARPE</t>
        </is>
      </c>
      <c r="F60" s="38" t="n">
        <v>0.7</v>
      </c>
      <c r="G60" s="39" t="n">
        <v>10</v>
      </c>
      <c r="H60" s="39" t="n">
        <v>10</v>
      </c>
      <c r="I60" s="29">
        <f>IF(OR(COUNTIF('Suivi des rencontres'!$A:$A,$A60)&gt;0,COUNTIF('Suivi des rencontres'!$C:$C,$J60)&gt;0),"Non","Oui")</f>
        <v/>
      </c>
      <c r="J60" s="30" t="inlineStr">
        <is>
          <t>MAGICARPE</t>
        </is>
      </c>
    </row>
    <row r="61">
      <c r="A61" s="35" t="inlineStr">
        <is>
          <t>Antre Noir</t>
        </is>
      </c>
      <c r="B61" s="35" t="inlineStr">
        <is>
          <t>DarkCave_SouthSide_hns</t>
        </is>
      </c>
      <c r="C61" s="33" t="inlineStr">
        <is>
          <t>Toute la journée</t>
        </is>
      </c>
      <c r="D61" s="54" t="inlineStr">
        <is>
          <t>Vieille Canne</t>
        </is>
      </c>
      <c r="E61" s="37" t="inlineStr">
        <is>
          <t>POISSIRENE</t>
        </is>
      </c>
      <c r="F61" s="38" t="n">
        <v>0.3</v>
      </c>
      <c r="G61" s="39" t="n">
        <v>10</v>
      </c>
      <c r="H61" s="39" t="n">
        <v>10</v>
      </c>
      <c r="I61" s="29">
        <f>IF(OR(COUNTIF('Suivi des rencontres'!$A:$A,$A61)&gt;0,COUNTIF('Suivi des rencontres'!$C:$C,$J61)&gt;0),"Non","Oui")</f>
        <v/>
      </c>
      <c r="J61" s="30" t="inlineStr">
        <is>
          <t>POISSIRENE</t>
        </is>
      </c>
    </row>
    <row r="62">
      <c r="A62" s="35" t="inlineStr">
        <is>
          <t>Antre Noir</t>
        </is>
      </c>
      <c r="B62" s="35" t="inlineStr">
        <is>
          <t>DarkCave_SouthSide_hns</t>
        </is>
      </c>
      <c r="C62" s="33" t="inlineStr">
        <is>
          <t>Toute la journée</t>
        </is>
      </c>
      <c r="D62" s="55" t="inlineStr">
        <is>
          <t>Bonne Canne</t>
        </is>
      </c>
      <c r="E62" s="37" t="inlineStr">
        <is>
          <t>POISSIRENE</t>
        </is>
      </c>
      <c r="F62" s="38" t="n">
        <v>0.8</v>
      </c>
      <c r="G62" s="39" t="n">
        <v>20</v>
      </c>
      <c r="H62" s="39" t="n">
        <v>40</v>
      </c>
      <c r="I62" s="29">
        <f>IF(OR(COUNTIF('Suivi des rencontres'!$A:$A,$A62)&gt;0,COUNTIF('Suivi des rencontres'!$C:$C,$J62)&gt;0),"Non","Oui")</f>
        <v/>
      </c>
      <c r="J62" s="30" t="inlineStr">
        <is>
          <t>POISSIRENE</t>
        </is>
      </c>
    </row>
    <row r="63">
      <c r="A63" s="35" t="inlineStr">
        <is>
          <t>Antre Noir</t>
        </is>
      </c>
      <c r="B63" s="35" t="inlineStr">
        <is>
          <t>DarkCave_SouthSide_hns</t>
        </is>
      </c>
      <c r="C63" s="33" t="inlineStr">
        <is>
          <t>Toute la journée</t>
        </is>
      </c>
      <c r="D63" s="55" t="inlineStr">
        <is>
          <t>Bonne Canne</t>
        </is>
      </c>
      <c r="E63" s="37" t="inlineStr">
        <is>
          <t>MAGICARPE</t>
        </is>
      </c>
      <c r="F63" s="38" t="n">
        <v>0.2</v>
      </c>
      <c r="G63" s="39" t="n">
        <v>20</v>
      </c>
      <c r="H63" s="39" t="n">
        <v>20</v>
      </c>
      <c r="I63" s="29">
        <f>IF(OR(COUNTIF('Suivi des rencontres'!$A:$A,$A63)&gt;0,COUNTIF('Suivi des rencontres'!$C:$C,$J63)&gt;0),"Non","Oui")</f>
        <v/>
      </c>
      <c r="J63" s="30" t="inlineStr">
        <is>
          <t>MAGICARPE</t>
        </is>
      </c>
    </row>
    <row r="64">
      <c r="A64" s="35" t="inlineStr">
        <is>
          <t>Antre Noir</t>
        </is>
      </c>
      <c r="B64" s="35" t="inlineStr">
        <is>
          <t>DarkCave_SouthSide_hns</t>
        </is>
      </c>
      <c r="C64" s="33" t="inlineStr">
        <is>
          <t>Toute la journée</t>
        </is>
      </c>
      <c r="D64" s="56" t="inlineStr">
        <is>
          <t>Super Canne</t>
        </is>
      </c>
      <c r="E64" s="37" t="inlineStr">
        <is>
          <t>MAGICARPE</t>
        </is>
      </c>
      <c r="F64" s="38" t="n">
        <v>0.59</v>
      </c>
      <c r="G64" s="39" t="n">
        <v>10</v>
      </c>
      <c r="H64" s="39" t="n">
        <v>40</v>
      </c>
      <c r="I64" s="29">
        <f>IF(OR(COUNTIF('Suivi des rencontres'!$A:$A,$A64)&gt;0,COUNTIF('Suivi des rencontres'!$C:$C,$J64)&gt;0),"Non","Oui")</f>
        <v/>
      </c>
      <c r="J64" s="30" t="inlineStr">
        <is>
          <t>MAGICARPE</t>
        </is>
      </c>
    </row>
    <row r="65">
      <c r="A65" s="35" t="inlineStr">
        <is>
          <t>Antre Noir</t>
        </is>
      </c>
      <c r="B65" s="35" t="inlineStr">
        <is>
          <t>DarkCave_SouthSide_hns</t>
        </is>
      </c>
      <c r="C65" s="33" t="inlineStr">
        <is>
          <t>Toute la journée</t>
        </is>
      </c>
      <c r="D65" s="56" t="inlineStr">
        <is>
          <t>Super Canne</t>
        </is>
      </c>
      <c r="E65" s="37" t="inlineStr">
        <is>
          <t>POISSOROY</t>
        </is>
      </c>
      <c r="F65" s="38" t="n">
        <v>0.4</v>
      </c>
      <c r="G65" s="39" t="n">
        <v>40</v>
      </c>
      <c r="H65" s="39" t="n">
        <v>40</v>
      </c>
      <c r="I65" s="29">
        <f>IF(OR(COUNTIF('Suivi des rencontres'!$A:$A,$A65)&gt;0,COUNTIF('Suivi des rencontres'!$C:$C,$J65)&gt;0),"Non","Oui")</f>
        <v/>
      </c>
      <c r="J65" s="30" t="inlineStr">
        <is>
          <t>POISSIRENE</t>
        </is>
      </c>
    </row>
    <row r="66">
      <c r="A66" s="35" t="inlineStr">
        <is>
          <t>Antre Noir</t>
        </is>
      </c>
      <c r="B66" s="35" t="inlineStr">
        <is>
          <t>DarkCave_SouthSide_hns</t>
        </is>
      </c>
      <c r="C66" s="33" t="inlineStr">
        <is>
          <t>Toute la journée</t>
        </is>
      </c>
      <c r="D66" s="56" t="inlineStr">
        <is>
          <t>Super Canne</t>
        </is>
      </c>
      <c r="E66" s="37" t="inlineStr">
        <is>
          <t>POISSIRENE</t>
        </is>
      </c>
      <c r="F66" s="38" t="n">
        <v>0.01</v>
      </c>
      <c r="G66" s="39" t="n">
        <v>40</v>
      </c>
      <c r="H66" s="39" t="n">
        <v>40</v>
      </c>
      <c r="I66" s="29">
        <f>IF(OR(COUNTIF('Suivi des rencontres'!$A:$A,$A66)&gt;0,COUNTIF('Suivi des rencontres'!$C:$C,$J66)&gt;0),"Non","Oui")</f>
        <v/>
      </c>
      <c r="J66" s="30" t="inlineStr">
        <is>
          <t>POISSIRENE</t>
        </is>
      </c>
    </row>
    <row r="67">
      <c r="A67" s="40" t="inlineStr">
        <is>
          <t>Antre du Dragon</t>
        </is>
      </c>
      <c r="B67" s="40" t="inlineStr">
        <is>
          <t>DragonsDen_Cavern_hns</t>
        </is>
      </c>
      <c r="C67" s="41" t="inlineStr">
        <is>
          <t>Matin, jour, soir</t>
        </is>
      </c>
      <c r="D67" s="63" t="inlineStr">
        <is>
          <t>Surf</t>
        </is>
      </c>
      <c r="E67" s="43" t="inlineStr">
        <is>
          <t>MAGICARPE</t>
        </is>
      </c>
      <c r="F67" s="44" t="n">
        <v>0.6</v>
      </c>
      <c r="G67" s="45" t="n">
        <v>10</v>
      </c>
      <c r="H67" s="45" t="n">
        <v>19</v>
      </c>
      <c r="I67" s="46">
        <f>IF(OR(COUNTIF('Suivi des rencontres'!$A:$A,$A67)&gt;0,COUNTIF('Suivi des rencontres'!$C:$C,$J67)&gt;0),"Non","Oui")</f>
        <v/>
      </c>
      <c r="J67" s="30" t="inlineStr">
        <is>
          <t>MAGICARPE</t>
        </is>
      </c>
    </row>
    <row r="68">
      <c r="A68" s="47" t="inlineStr">
        <is>
          <t>Antre du Dragon</t>
        </is>
      </c>
      <c r="B68" s="47" t="inlineStr">
        <is>
          <t>DragonsDen_Cavern_hns</t>
        </is>
      </c>
      <c r="C68" s="48" t="inlineStr">
        <is>
          <t>Matin, jour, soir</t>
        </is>
      </c>
      <c r="D68" s="53" t="inlineStr">
        <is>
          <t>Surf</t>
        </is>
      </c>
      <c r="E68" s="50" t="inlineStr">
        <is>
          <t>HYPOTREMPE</t>
        </is>
      </c>
      <c r="F68" s="51" t="n">
        <v>0.3</v>
      </c>
      <c r="G68" s="52" t="n">
        <v>10</v>
      </c>
      <c r="H68" s="52" t="n">
        <v>14</v>
      </c>
      <c r="I68" s="29">
        <f>IF(OR(COUNTIF('Suivi des rencontres'!$A:$A,$A68)&gt;0,COUNTIF('Suivi des rencontres'!$C:$C,$J68)&gt;0),"Non","Oui")</f>
        <v/>
      </c>
      <c r="J68" s="30" t="inlineStr">
        <is>
          <t>HYPOTREMPE</t>
        </is>
      </c>
    </row>
    <row r="69">
      <c r="A69" s="47" t="inlineStr">
        <is>
          <t>Antre du Dragon</t>
        </is>
      </c>
      <c r="B69" s="47" t="inlineStr">
        <is>
          <t>DragonsDen_Cavern_hns</t>
        </is>
      </c>
      <c r="C69" s="48" t="inlineStr">
        <is>
          <t>Matin, jour, soir</t>
        </is>
      </c>
      <c r="D69" s="53" t="inlineStr">
        <is>
          <t>Surf</t>
        </is>
      </c>
      <c r="E69" s="50" t="inlineStr">
        <is>
          <t>MINIDRACO</t>
        </is>
      </c>
      <c r="F69" s="51" t="n">
        <v>0.1</v>
      </c>
      <c r="G69" s="52" t="n">
        <v>10</v>
      </c>
      <c r="H69" s="52" t="n">
        <v>19</v>
      </c>
      <c r="I69" s="29">
        <f>IF(OR(COUNTIF('Suivi des rencontres'!$A:$A,$A69)&gt;0,COUNTIF('Suivi des rencontres'!$C:$C,$J69)&gt;0),"Non","Oui")</f>
        <v/>
      </c>
      <c r="J69" s="30" t="inlineStr">
        <is>
          <t>MINIDRACO</t>
        </is>
      </c>
    </row>
    <row r="70">
      <c r="A70" s="47" t="inlineStr">
        <is>
          <t>Antre du Dragon</t>
        </is>
      </c>
      <c r="B70" s="47" t="inlineStr">
        <is>
          <t>DragonsDen_Cavern_hns</t>
        </is>
      </c>
      <c r="C70" s="62" t="inlineStr">
        <is>
          <t>Nuit</t>
        </is>
      </c>
      <c r="D70" s="53" t="inlineStr">
        <is>
          <t>Surf</t>
        </is>
      </c>
      <c r="E70" s="50" t="inlineStr">
        <is>
          <t>MAGICARPE</t>
        </is>
      </c>
      <c r="F70" s="51" t="n">
        <v>0.66</v>
      </c>
      <c r="G70" s="52" t="n">
        <v>10</v>
      </c>
      <c r="H70" s="52" t="n">
        <v>19</v>
      </c>
      <c r="I70" s="29">
        <f>IF(OR(COUNTIF('Suivi des rencontres'!$A:$A,$A70)&gt;0,COUNTIF('Suivi des rencontres'!$C:$C,$J70)&gt;0),"Non","Oui")</f>
        <v/>
      </c>
      <c r="J70" s="30" t="inlineStr">
        <is>
          <t>MAGICARPE</t>
        </is>
      </c>
    </row>
    <row r="71">
      <c r="A71" s="47" t="inlineStr">
        <is>
          <t>Antre du Dragon</t>
        </is>
      </c>
      <c r="B71" s="47" t="inlineStr">
        <is>
          <t>DragonsDen_Cavern_hns</t>
        </is>
      </c>
      <c r="C71" s="62" t="inlineStr">
        <is>
          <t>Nuit</t>
        </is>
      </c>
      <c r="D71" s="53" t="inlineStr">
        <is>
          <t>Surf</t>
        </is>
      </c>
      <c r="E71" s="50" t="inlineStr">
        <is>
          <t>MINIDRACO</t>
        </is>
      </c>
      <c r="F71" s="51" t="n">
        <v>0.34</v>
      </c>
      <c r="G71" s="52" t="n">
        <v>10</v>
      </c>
      <c r="H71" s="52" t="n">
        <v>14</v>
      </c>
      <c r="I71" s="29">
        <f>IF(OR(COUNTIF('Suivi des rencontres'!$A:$A,$A71)&gt;0,COUNTIF('Suivi des rencontres'!$C:$C,$J71)&gt;0),"Non","Oui")</f>
        <v/>
      </c>
      <c r="J71" s="30" t="inlineStr">
        <is>
          <t>MINIDRACO</t>
        </is>
      </c>
    </row>
    <row r="72">
      <c r="A72" s="47" t="inlineStr">
        <is>
          <t>Antre du Dragon</t>
        </is>
      </c>
      <c r="B72" s="47" t="inlineStr">
        <is>
          <t>DragonsDen_Cavern_hns</t>
        </is>
      </c>
      <c r="C72" s="48" t="inlineStr">
        <is>
          <t>Matin, jour, soir</t>
        </is>
      </c>
      <c r="D72" s="54" t="inlineStr">
        <is>
          <t>Vieille Canne</t>
        </is>
      </c>
      <c r="E72" s="50" t="inlineStr">
        <is>
          <t>MAGICARPE</t>
        </is>
      </c>
      <c r="F72" s="51" t="n">
        <v>1</v>
      </c>
      <c r="G72" s="52" t="n">
        <v>10</v>
      </c>
      <c r="H72" s="52" t="n">
        <v>10</v>
      </c>
      <c r="I72" s="29">
        <f>IF(OR(COUNTIF('Suivi des rencontres'!$A:$A,$A72)&gt;0,COUNTIF('Suivi des rencontres'!$C:$C,$J72)&gt;0),"Non","Oui")</f>
        <v/>
      </c>
      <c r="J72" s="30" t="inlineStr">
        <is>
          <t>MAGICARPE</t>
        </is>
      </c>
    </row>
    <row r="73">
      <c r="A73" s="47" t="inlineStr">
        <is>
          <t>Antre du Dragon</t>
        </is>
      </c>
      <c r="B73" s="47" t="inlineStr">
        <is>
          <t>DragonsDen_Cavern_hns</t>
        </is>
      </c>
      <c r="C73" s="62" t="inlineStr">
        <is>
          <t>Nuit</t>
        </is>
      </c>
      <c r="D73" s="54" t="inlineStr">
        <is>
          <t>Vieille Canne</t>
        </is>
      </c>
      <c r="E73" s="50" t="inlineStr">
        <is>
          <t>MAGICARPE</t>
        </is>
      </c>
      <c r="F73" s="51" t="n">
        <v>1</v>
      </c>
      <c r="G73" s="52" t="n">
        <v>10</v>
      </c>
      <c r="H73" s="52" t="n">
        <v>10</v>
      </c>
      <c r="I73" s="29">
        <f>IF(OR(COUNTIF('Suivi des rencontres'!$A:$A,$A73)&gt;0,COUNTIF('Suivi des rencontres'!$C:$C,$J73)&gt;0),"Non","Oui")</f>
        <v/>
      </c>
      <c r="J73" s="30" t="inlineStr">
        <is>
          <t>MAGICARPE</t>
        </is>
      </c>
    </row>
    <row r="74">
      <c r="A74" s="47" t="inlineStr">
        <is>
          <t>Antre du Dragon</t>
        </is>
      </c>
      <c r="B74" s="47" t="inlineStr">
        <is>
          <t>DragonsDen_Cavern_hns</t>
        </is>
      </c>
      <c r="C74" s="48" t="inlineStr">
        <is>
          <t>Matin, jour, soir</t>
        </is>
      </c>
      <c r="D74" s="55" t="inlineStr">
        <is>
          <t>Bonne Canne</t>
        </is>
      </c>
      <c r="E74" s="50" t="inlineStr">
        <is>
          <t>MAGICARPE</t>
        </is>
      </c>
      <c r="F74" s="51" t="n">
        <v>0.8</v>
      </c>
      <c r="G74" s="52" t="n">
        <v>20</v>
      </c>
      <c r="H74" s="52" t="n">
        <v>20</v>
      </c>
      <c r="I74" s="29">
        <f>IF(OR(COUNTIF('Suivi des rencontres'!$A:$A,$A74)&gt;0,COUNTIF('Suivi des rencontres'!$C:$C,$J74)&gt;0),"Non","Oui")</f>
        <v/>
      </c>
      <c r="J74" s="30" t="inlineStr">
        <is>
          <t>MAGICARPE</t>
        </is>
      </c>
    </row>
    <row r="75">
      <c r="A75" s="47" t="inlineStr">
        <is>
          <t>Antre du Dragon</t>
        </is>
      </c>
      <c r="B75" s="47" t="inlineStr">
        <is>
          <t>DragonsDen_Cavern_hns</t>
        </is>
      </c>
      <c r="C75" s="48" t="inlineStr">
        <is>
          <t>Matin, jour, soir</t>
        </is>
      </c>
      <c r="D75" s="55" t="inlineStr">
        <is>
          <t>Bonne Canne</t>
        </is>
      </c>
      <c r="E75" s="50" t="inlineStr">
        <is>
          <t>MINIDRACO</t>
        </is>
      </c>
      <c r="F75" s="51" t="n">
        <v>0.2</v>
      </c>
      <c r="G75" s="52" t="n">
        <v>20</v>
      </c>
      <c r="H75" s="52" t="n">
        <v>20</v>
      </c>
      <c r="I75" s="29">
        <f>IF(OR(COUNTIF('Suivi des rencontres'!$A:$A,$A75)&gt;0,COUNTIF('Suivi des rencontres'!$C:$C,$J75)&gt;0),"Non","Oui")</f>
        <v/>
      </c>
      <c r="J75" s="30" t="inlineStr">
        <is>
          <t>MINIDRACO</t>
        </is>
      </c>
    </row>
    <row r="76">
      <c r="A76" s="47" t="inlineStr">
        <is>
          <t>Antre du Dragon</t>
        </is>
      </c>
      <c r="B76" s="47" t="inlineStr">
        <is>
          <t>DragonsDen_Cavern_hns</t>
        </is>
      </c>
      <c r="C76" s="62" t="inlineStr">
        <is>
          <t>Nuit</t>
        </is>
      </c>
      <c r="D76" s="55" t="inlineStr">
        <is>
          <t>Bonne Canne</t>
        </is>
      </c>
      <c r="E76" s="50" t="inlineStr">
        <is>
          <t>MAGICARPE</t>
        </is>
      </c>
      <c r="F76" s="51" t="n">
        <v>0.8</v>
      </c>
      <c r="G76" s="52" t="n">
        <v>20</v>
      </c>
      <c r="H76" s="52" t="n">
        <v>40</v>
      </c>
      <c r="I76" s="29">
        <f>IF(OR(COUNTIF('Suivi des rencontres'!$A:$A,$A76)&gt;0,COUNTIF('Suivi des rencontres'!$C:$C,$J76)&gt;0),"Non","Oui")</f>
        <v/>
      </c>
      <c r="J76" s="30" t="inlineStr">
        <is>
          <t>MAGICARPE</t>
        </is>
      </c>
    </row>
    <row r="77">
      <c r="A77" s="47" t="inlineStr">
        <is>
          <t>Antre du Dragon</t>
        </is>
      </c>
      <c r="B77" s="47" t="inlineStr">
        <is>
          <t>DragonsDen_Cavern_hns</t>
        </is>
      </c>
      <c r="C77" s="62" t="inlineStr">
        <is>
          <t>Nuit</t>
        </is>
      </c>
      <c r="D77" s="55" t="inlineStr">
        <is>
          <t>Bonne Canne</t>
        </is>
      </c>
      <c r="E77" s="50" t="inlineStr">
        <is>
          <t>MINIDRACO</t>
        </is>
      </c>
      <c r="F77" s="51" t="n">
        <v>0.2</v>
      </c>
      <c r="G77" s="52" t="n">
        <v>20</v>
      </c>
      <c r="H77" s="52" t="n">
        <v>20</v>
      </c>
      <c r="I77" s="29">
        <f>IF(OR(COUNTIF('Suivi des rencontres'!$A:$A,$A77)&gt;0,COUNTIF('Suivi des rencontres'!$C:$C,$J77)&gt;0),"Non","Oui")</f>
        <v/>
      </c>
      <c r="J77" s="30" t="inlineStr">
        <is>
          <t>MINIDRACO</t>
        </is>
      </c>
    </row>
    <row r="78">
      <c r="A78" s="47" t="inlineStr">
        <is>
          <t>Antre du Dragon</t>
        </is>
      </c>
      <c r="B78" s="47" t="inlineStr">
        <is>
          <t>DragonsDen_Cavern_hns</t>
        </is>
      </c>
      <c r="C78" s="48" t="inlineStr">
        <is>
          <t>Matin, jour, soir</t>
        </is>
      </c>
      <c r="D78" s="56" t="inlineStr">
        <is>
          <t>Super Canne</t>
        </is>
      </c>
      <c r="E78" s="50" t="inlineStr">
        <is>
          <t>MINIDRACO</t>
        </is>
      </c>
      <c r="F78" s="51" t="n">
        <v>0.8</v>
      </c>
      <c r="G78" s="52" t="n">
        <v>30</v>
      </c>
      <c r="H78" s="52" t="n">
        <v>30</v>
      </c>
      <c r="I78" s="29">
        <f>IF(OR(COUNTIF('Suivi des rencontres'!$A:$A,$A78)&gt;0,COUNTIF('Suivi des rencontres'!$C:$C,$J78)&gt;0),"Non","Oui")</f>
        <v/>
      </c>
      <c r="J78" s="30" t="inlineStr">
        <is>
          <t>MINIDRACO</t>
        </is>
      </c>
    </row>
    <row r="79">
      <c r="A79" s="47" t="inlineStr">
        <is>
          <t>Antre du Dragon</t>
        </is>
      </c>
      <c r="B79" s="47" t="inlineStr">
        <is>
          <t>DragonsDen_Cavern_hns</t>
        </is>
      </c>
      <c r="C79" s="48" t="inlineStr">
        <is>
          <t>Matin, jour, soir</t>
        </is>
      </c>
      <c r="D79" s="56" t="inlineStr">
        <is>
          <t>Super Canne</t>
        </is>
      </c>
      <c r="E79" s="50" t="inlineStr">
        <is>
          <t>HYPOCEAN</t>
        </is>
      </c>
      <c r="F79" s="51" t="n">
        <v>0.15</v>
      </c>
      <c r="G79" s="52" t="n">
        <v>30</v>
      </c>
      <c r="H79" s="52" t="n">
        <v>30</v>
      </c>
      <c r="I79" s="29">
        <f>IF(OR(COUNTIF('Suivi des rencontres'!$A:$A,$A79)&gt;0,COUNTIF('Suivi des rencontres'!$C:$C,$J79)&gt;0),"Non","Oui")</f>
        <v/>
      </c>
      <c r="J79" s="30" t="inlineStr">
        <is>
          <t>HYPOTREMPE</t>
        </is>
      </c>
    </row>
    <row r="80">
      <c r="A80" s="47" t="inlineStr">
        <is>
          <t>Antre du Dragon</t>
        </is>
      </c>
      <c r="B80" s="47" t="inlineStr">
        <is>
          <t>DragonsDen_Cavern_hns</t>
        </is>
      </c>
      <c r="C80" s="48" t="inlineStr">
        <is>
          <t>Matin, jour, soir</t>
        </is>
      </c>
      <c r="D80" s="56" t="inlineStr">
        <is>
          <t>Super Canne</t>
        </is>
      </c>
      <c r="E80" s="50" t="inlineStr">
        <is>
          <t>DRACO</t>
        </is>
      </c>
      <c r="F80" s="51" t="n">
        <v>0.05</v>
      </c>
      <c r="G80" s="52" t="n">
        <v>30</v>
      </c>
      <c r="H80" s="52" t="n">
        <v>30</v>
      </c>
      <c r="I80" s="29">
        <f>IF(OR(COUNTIF('Suivi des rencontres'!$A:$A,$A80)&gt;0,COUNTIF('Suivi des rencontres'!$C:$C,$J80)&gt;0),"Non","Oui")</f>
        <v/>
      </c>
      <c r="J80" s="30" t="inlineStr">
        <is>
          <t>MINIDRACO</t>
        </is>
      </c>
    </row>
    <row r="81">
      <c r="A81" s="47" t="inlineStr">
        <is>
          <t>Antre du Dragon</t>
        </is>
      </c>
      <c r="B81" s="47" t="inlineStr">
        <is>
          <t>DragonsDen_Cavern_hns</t>
        </is>
      </c>
      <c r="C81" s="62" t="inlineStr">
        <is>
          <t>Nuit</t>
        </is>
      </c>
      <c r="D81" s="56" t="inlineStr">
        <is>
          <t>Super Canne</t>
        </is>
      </c>
      <c r="E81" s="50" t="inlineStr">
        <is>
          <t>MINIDRACO</t>
        </is>
      </c>
      <c r="F81" s="51" t="n">
        <v>0.44</v>
      </c>
      <c r="G81" s="52" t="n">
        <v>40</v>
      </c>
      <c r="H81" s="52" t="n">
        <v>40</v>
      </c>
      <c r="I81" s="29">
        <f>IF(OR(COUNTIF('Suivi des rencontres'!$A:$A,$A81)&gt;0,COUNTIF('Suivi des rencontres'!$C:$C,$J81)&gt;0),"Non","Oui")</f>
        <v/>
      </c>
      <c r="J81" s="30" t="inlineStr">
        <is>
          <t>MINIDRACO</t>
        </is>
      </c>
    </row>
    <row r="82">
      <c r="A82" s="47" t="inlineStr">
        <is>
          <t>Antre du Dragon</t>
        </is>
      </c>
      <c r="B82" s="47" t="inlineStr">
        <is>
          <t>DragonsDen_Cavern_hns</t>
        </is>
      </c>
      <c r="C82" s="62" t="inlineStr">
        <is>
          <t>Nuit</t>
        </is>
      </c>
      <c r="D82" s="56" t="inlineStr">
        <is>
          <t>Super Canne</t>
        </is>
      </c>
      <c r="E82" s="50" t="inlineStr">
        <is>
          <t>MAGICARPE</t>
        </is>
      </c>
      <c r="F82" s="51" t="n">
        <v>0.41</v>
      </c>
      <c r="G82" s="52" t="n">
        <v>40</v>
      </c>
      <c r="H82" s="52" t="n">
        <v>40</v>
      </c>
      <c r="I82" s="29">
        <f>IF(OR(COUNTIF('Suivi des rencontres'!$A:$A,$A82)&gt;0,COUNTIF('Suivi des rencontres'!$C:$C,$J82)&gt;0),"Non","Oui")</f>
        <v/>
      </c>
      <c r="J82" s="30" t="inlineStr">
        <is>
          <t>MAGICARPE</t>
        </is>
      </c>
    </row>
    <row r="83">
      <c r="A83" s="47" t="inlineStr">
        <is>
          <t>Antre du Dragon</t>
        </is>
      </c>
      <c r="B83" s="47" t="inlineStr">
        <is>
          <t>DragonsDen_Cavern_hns</t>
        </is>
      </c>
      <c r="C83" s="62" t="inlineStr">
        <is>
          <t>Nuit</t>
        </is>
      </c>
      <c r="D83" s="56" t="inlineStr">
        <is>
          <t>Super Canne</t>
        </is>
      </c>
      <c r="E83" s="50" t="inlineStr">
        <is>
          <t>DRACO</t>
        </is>
      </c>
      <c r="F83" s="51" t="n">
        <v>0.15</v>
      </c>
      <c r="G83" s="52" t="n">
        <v>40</v>
      </c>
      <c r="H83" s="52" t="n">
        <v>40</v>
      </c>
      <c r="I83" s="29">
        <f>IF(OR(COUNTIF('Suivi des rencontres'!$A:$A,$A83)&gt;0,COUNTIF('Suivi des rencontres'!$C:$C,$J83)&gt;0),"Non","Oui")</f>
        <v/>
      </c>
      <c r="J83" s="30" t="inlineStr">
        <is>
          <t>MINIDRACO</t>
        </is>
      </c>
    </row>
    <row r="84">
      <c r="A84" s="57" t="inlineStr">
        <is>
          <t>Argenta</t>
        </is>
      </c>
      <c r="B84" s="57" t="inlineStr">
        <is>
          <t>PewterCity_hns</t>
        </is>
      </c>
      <c r="C84" s="58" t="inlineStr">
        <is>
          <t>Toute la journée</t>
        </is>
      </c>
      <c r="D84" s="64" t="inlineStr">
        <is>
          <t>Éclate-Roc</t>
        </is>
      </c>
      <c r="E84" s="59" t="inlineStr">
        <is>
          <t>POMDEPIK</t>
        </is>
      </c>
      <c r="F84" s="60" t="n">
        <v>0.6</v>
      </c>
      <c r="G84" s="61" t="n">
        <v>41</v>
      </c>
      <c r="H84" s="61" t="n">
        <v>43</v>
      </c>
      <c r="I84" s="46">
        <f>IF(OR(COUNTIF('Suivi des rencontres'!$A:$A,$A84)&gt;0,COUNTIF('Suivi des rencontres'!$C:$C,$J84)&gt;0),"Non","Oui")</f>
        <v/>
      </c>
      <c r="J84" s="30" t="inlineStr">
        <is>
          <t>POMDEPIK</t>
        </is>
      </c>
    </row>
    <row r="85">
      <c r="A85" s="35" t="inlineStr">
        <is>
          <t>Argenta</t>
        </is>
      </c>
      <c r="B85" s="35" t="inlineStr">
        <is>
          <t>PewterCity_hns</t>
        </is>
      </c>
      <c r="C85" s="33" t="inlineStr">
        <is>
          <t>Toute la journée</t>
        </is>
      </c>
      <c r="D85" s="36" t="inlineStr">
        <is>
          <t>Éclate-Roc</t>
        </is>
      </c>
      <c r="E85" s="37" t="inlineStr">
        <is>
          <t>NOEUNOEUF</t>
        </is>
      </c>
      <c r="F85" s="38" t="n">
        <v>0.3</v>
      </c>
      <c r="G85" s="39" t="n">
        <v>41</v>
      </c>
      <c r="H85" s="39" t="n">
        <v>43</v>
      </c>
      <c r="I85" s="29">
        <f>IF(OR(COUNTIF('Suivi des rencontres'!$A:$A,$A85)&gt;0,COUNTIF('Suivi des rencontres'!$C:$C,$J85)&gt;0),"Non","Oui")</f>
        <v/>
      </c>
      <c r="J85" s="30" t="inlineStr">
        <is>
          <t>NOEUNOEUF</t>
        </is>
      </c>
    </row>
    <row r="86">
      <c r="A86" s="35" t="inlineStr">
        <is>
          <t>Argenta</t>
        </is>
      </c>
      <c r="B86" s="35" t="inlineStr">
        <is>
          <t>PewterCity_hns</t>
        </is>
      </c>
      <c r="C86" s="33" t="inlineStr">
        <is>
          <t>Toute la journée</t>
        </is>
      </c>
      <c r="D86" s="36" t="inlineStr">
        <is>
          <t>Éclate-Roc</t>
        </is>
      </c>
      <c r="E86" s="37" t="inlineStr">
        <is>
          <t>COXY</t>
        </is>
      </c>
      <c r="F86" s="38" t="n">
        <v>0.05</v>
      </c>
      <c r="G86" s="39" t="n">
        <v>41</v>
      </c>
      <c r="H86" s="39" t="n">
        <v>43</v>
      </c>
      <c r="I86" s="29">
        <f>IF(OR(COUNTIF('Suivi des rencontres'!$A:$A,$A86)&gt;0,COUNTIF('Suivi des rencontres'!$C:$C,$J86)&gt;0),"Non","Oui")</f>
        <v/>
      </c>
      <c r="J86" s="30" t="inlineStr">
        <is>
          <t>COXY</t>
        </is>
      </c>
    </row>
    <row r="87">
      <c r="A87" s="35" t="inlineStr">
        <is>
          <t>Argenta</t>
        </is>
      </c>
      <c r="B87" s="35" t="inlineStr">
        <is>
          <t>PewterCity_hns</t>
        </is>
      </c>
      <c r="C87" s="33" t="inlineStr">
        <is>
          <t>Toute la journée</t>
        </is>
      </c>
      <c r="D87" s="36" t="inlineStr">
        <is>
          <t>Éclate-Roc</t>
        </is>
      </c>
      <c r="E87" s="37" t="inlineStr">
        <is>
          <t>MIMIGAL</t>
        </is>
      </c>
      <c r="F87" s="38" t="n">
        <v>0.05</v>
      </c>
      <c r="G87" s="39" t="n">
        <v>41</v>
      </c>
      <c r="H87" s="39" t="n">
        <v>43</v>
      </c>
      <c r="I87" s="29">
        <f>IF(OR(COUNTIF('Suivi des rencontres'!$A:$A,$A87)&gt;0,COUNTIF('Suivi des rencontres'!$C:$C,$J87)&gt;0),"Non","Oui")</f>
        <v/>
      </c>
      <c r="J87" s="30" t="inlineStr">
        <is>
          <t>MIMIGAL</t>
        </is>
      </c>
    </row>
    <row r="88">
      <c r="A88" s="40" t="inlineStr">
        <is>
          <t>Azuria</t>
        </is>
      </c>
      <c r="B88" s="40" t="inlineStr">
        <is>
          <t>CeruleanCity_hns</t>
        </is>
      </c>
      <c r="C88" s="41" t="inlineStr">
        <is>
          <t>Matin, jour, soir</t>
        </is>
      </c>
      <c r="D88" s="63" t="inlineStr">
        <is>
          <t>Surf</t>
        </is>
      </c>
      <c r="E88" s="43" t="inlineStr">
        <is>
          <t>POISSIRENE</t>
        </is>
      </c>
      <c r="F88" s="44" t="n">
        <v>0.96</v>
      </c>
      <c r="G88" s="45" t="n">
        <v>45</v>
      </c>
      <c r="H88" s="45" t="n">
        <v>47</v>
      </c>
      <c r="I88" s="46">
        <f>IF(OR(COUNTIF('Suivi des rencontres'!$A:$A,$A88)&gt;0,COUNTIF('Suivi des rencontres'!$C:$C,$J88)&gt;0),"Non","Oui")</f>
        <v/>
      </c>
      <c r="J88" s="30" t="inlineStr">
        <is>
          <t>POISSIRENE</t>
        </is>
      </c>
    </row>
    <row r="89">
      <c r="A89" s="47" t="inlineStr">
        <is>
          <t>Azuria</t>
        </is>
      </c>
      <c r="B89" s="47" t="inlineStr">
        <is>
          <t>CeruleanCity_hns</t>
        </is>
      </c>
      <c r="C89" s="48" t="inlineStr">
        <is>
          <t>Matin, jour, soir</t>
        </is>
      </c>
      <c r="D89" s="53" t="inlineStr">
        <is>
          <t>Surf</t>
        </is>
      </c>
      <c r="E89" s="50" t="inlineStr">
        <is>
          <t>POISSOROY</t>
        </is>
      </c>
      <c r="F89" s="51" t="n">
        <v>0.04</v>
      </c>
      <c r="G89" s="52" t="n">
        <v>41</v>
      </c>
      <c r="H89" s="52" t="n">
        <v>47</v>
      </c>
      <c r="I89" s="29">
        <f>IF(OR(COUNTIF('Suivi des rencontres'!$A:$A,$A89)&gt;0,COUNTIF('Suivi des rencontres'!$C:$C,$J89)&gt;0),"Non","Oui")</f>
        <v/>
      </c>
      <c r="J89" s="30" t="inlineStr">
        <is>
          <t>POISSIRENE</t>
        </is>
      </c>
    </row>
    <row r="90">
      <c r="A90" s="47" t="inlineStr">
        <is>
          <t>Azuria</t>
        </is>
      </c>
      <c r="B90" s="47" t="inlineStr">
        <is>
          <t>CeruleanCity_hns</t>
        </is>
      </c>
      <c r="C90" s="62" t="inlineStr">
        <is>
          <t>Nuit</t>
        </is>
      </c>
      <c r="D90" s="53" t="inlineStr">
        <is>
          <t>Surf</t>
        </is>
      </c>
      <c r="E90" s="50" t="inlineStr">
        <is>
          <t>POISSIRENE</t>
        </is>
      </c>
      <c r="F90" s="51" t="n">
        <v>0.96</v>
      </c>
      <c r="G90" s="52" t="n">
        <v>45</v>
      </c>
      <c r="H90" s="52" t="n">
        <v>47</v>
      </c>
      <c r="I90" s="29">
        <f>IF(OR(COUNTIF('Suivi des rencontres'!$A:$A,$A90)&gt;0,COUNTIF('Suivi des rencontres'!$C:$C,$J90)&gt;0),"Non","Oui")</f>
        <v/>
      </c>
      <c r="J90" s="30" t="inlineStr">
        <is>
          <t>POISSIRENE</t>
        </is>
      </c>
    </row>
    <row r="91">
      <c r="A91" s="47" t="inlineStr">
        <is>
          <t>Azuria</t>
        </is>
      </c>
      <c r="B91" s="47" t="inlineStr">
        <is>
          <t>CeruleanCity_hns</t>
        </is>
      </c>
      <c r="C91" s="62" t="inlineStr">
        <is>
          <t>Nuit</t>
        </is>
      </c>
      <c r="D91" s="53" t="inlineStr">
        <is>
          <t>Surf</t>
        </is>
      </c>
      <c r="E91" s="50" t="inlineStr">
        <is>
          <t>POISSOROY</t>
        </is>
      </c>
      <c r="F91" s="51" t="n">
        <v>0.04</v>
      </c>
      <c r="G91" s="52" t="n">
        <v>41</v>
      </c>
      <c r="H91" s="52" t="n">
        <v>47</v>
      </c>
      <c r="I91" s="29">
        <f>IF(OR(COUNTIF('Suivi des rencontres'!$A:$A,$A91)&gt;0,COUNTIF('Suivi des rencontres'!$C:$C,$J91)&gt;0),"Non","Oui")</f>
        <v/>
      </c>
      <c r="J91" s="30" t="inlineStr">
        <is>
          <t>POISSIRENE</t>
        </is>
      </c>
    </row>
    <row r="92">
      <c r="A92" s="47" t="inlineStr">
        <is>
          <t>Azuria</t>
        </is>
      </c>
      <c r="B92" s="47" t="inlineStr">
        <is>
          <t>CeruleanCity_hns</t>
        </is>
      </c>
      <c r="C92" s="48" t="inlineStr">
        <is>
          <t>Matin, jour, soir</t>
        </is>
      </c>
      <c r="D92" s="36" t="inlineStr">
        <is>
          <t>Éclate-Roc</t>
        </is>
      </c>
      <c r="E92" s="50" t="inlineStr">
        <is>
          <t>POMDEPIK</t>
        </is>
      </c>
      <c r="F92" s="51" t="n">
        <v>0.6</v>
      </c>
      <c r="G92" s="52" t="n">
        <v>41</v>
      </c>
      <c r="H92" s="52" t="n">
        <v>43</v>
      </c>
      <c r="I92" s="29">
        <f>IF(OR(COUNTIF('Suivi des rencontres'!$A:$A,$A92)&gt;0,COUNTIF('Suivi des rencontres'!$C:$C,$J92)&gt;0),"Non","Oui")</f>
        <v/>
      </c>
      <c r="J92" s="30" t="inlineStr">
        <is>
          <t>POMDEPIK</t>
        </is>
      </c>
    </row>
    <row r="93">
      <c r="A93" s="47" t="inlineStr">
        <is>
          <t>Azuria</t>
        </is>
      </c>
      <c r="B93" s="47" t="inlineStr">
        <is>
          <t>CeruleanCity_hns</t>
        </is>
      </c>
      <c r="C93" s="48" t="inlineStr">
        <is>
          <t>Matin, jour, soir</t>
        </is>
      </c>
      <c r="D93" s="36" t="inlineStr">
        <is>
          <t>Éclate-Roc</t>
        </is>
      </c>
      <c r="E93" s="50" t="inlineStr">
        <is>
          <t>NOEUNOEUF</t>
        </is>
      </c>
      <c r="F93" s="51" t="n">
        <v>0.3</v>
      </c>
      <c r="G93" s="52" t="n">
        <v>41</v>
      </c>
      <c r="H93" s="52" t="n">
        <v>43</v>
      </c>
      <c r="I93" s="29">
        <f>IF(OR(COUNTIF('Suivi des rencontres'!$A:$A,$A93)&gt;0,COUNTIF('Suivi des rencontres'!$C:$C,$J93)&gt;0),"Non","Oui")</f>
        <v/>
      </c>
      <c r="J93" s="30" t="inlineStr">
        <is>
          <t>NOEUNOEUF</t>
        </is>
      </c>
    </row>
    <row r="94">
      <c r="A94" s="47" t="inlineStr">
        <is>
          <t>Azuria</t>
        </is>
      </c>
      <c r="B94" s="47" t="inlineStr">
        <is>
          <t>CeruleanCity_hns</t>
        </is>
      </c>
      <c r="C94" s="48" t="inlineStr">
        <is>
          <t>Matin, jour, soir</t>
        </is>
      </c>
      <c r="D94" s="36" t="inlineStr">
        <is>
          <t>Éclate-Roc</t>
        </is>
      </c>
      <c r="E94" s="50" t="inlineStr">
        <is>
          <t>COXY</t>
        </is>
      </c>
      <c r="F94" s="51" t="n">
        <v>0.05</v>
      </c>
      <c r="G94" s="52" t="n">
        <v>41</v>
      </c>
      <c r="H94" s="52" t="n">
        <v>43</v>
      </c>
      <c r="I94" s="29">
        <f>IF(OR(COUNTIF('Suivi des rencontres'!$A:$A,$A94)&gt;0,COUNTIF('Suivi des rencontres'!$C:$C,$J94)&gt;0),"Non","Oui")</f>
        <v/>
      </c>
      <c r="J94" s="30" t="inlineStr">
        <is>
          <t>COXY</t>
        </is>
      </c>
    </row>
    <row r="95">
      <c r="A95" s="47" t="inlineStr">
        <is>
          <t>Azuria</t>
        </is>
      </c>
      <c r="B95" s="47" t="inlineStr">
        <is>
          <t>CeruleanCity_hns</t>
        </is>
      </c>
      <c r="C95" s="48" t="inlineStr">
        <is>
          <t>Matin, jour, soir</t>
        </is>
      </c>
      <c r="D95" s="36" t="inlineStr">
        <is>
          <t>Éclate-Roc</t>
        </is>
      </c>
      <c r="E95" s="50" t="inlineStr">
        <is>
          <t>MIMIGAL</t>
        </is>
      </c>
      <c r="F95" s="51" t="n">
        <v>0.05</v>
      </c>
      <c r="G95" s="52" t="n">
        <v>41</v>
      </c>
      <c r="H95" s="52" t="n">
        <v>43</v>
      </c>
      <c r="I95" s="29">
        <f>IF(OR(COUNTIF('Suivi des rencontres'!$A:$A,$A95)&gt;0,COUNTIF('Suivi des rencontres'!$C:$C,$J95)&gt;0),"Non","Oui")</f>
        <v/>
      </c>
      <c r="J95" s="30" t="inlineStr">
        <is>
          <t>MIMIGAL</t>
        </is>
      </c>
    </row>
    <row r="96">
      <c r="A96" s="47" t="inlineStr">
        <is>
          <t>Azuria</t>
        </is>
      </c>
      <c r="B96" s="47" t="inlineStr">
        <is>
          <t>CeruleanCity_hns</t>
        </is>
      </c>
      <c r="C96" s="62" t="inlineStr">
        <is>
          <t>Nuit</t>
        </is>
      </c>
      <c r="D96" s="36" t="inlineStr">
        <is>
          <t>Éclate-Roc</t>
        </is>
      </c>
      <c r="E96" s="50" t="inlineStr">
        <is>
          <t>POMDEPIK</t>
        </is>
      </c>
      <c r="F96" s="51" t="n">
        <v>0.6</v>
      </c>
      <c r="G96" s="52" t="n">
        <v>41</v>
      </c>
      <c r="H96" s="52" t="n">
        <v>43</v>
      </c>
      <c r="I96" s="29">
        <f>IF(OR(COUNTIF('Suivi des rencontres'!$A:$A,$A96)&gt;0,COUNTIF('Suivi des rencontres'!$C:$C,$J96)&gt;0),"Non","Oui")</f>
        <v/>
      </c>
      <c r="J96" s="30" t="inlineStr">
        <is>
          <t>POMDEPIK</t>
        </is>
      </c>
    </row>
    <row r="97">
      <c r="A97" s="47" t="inlineStr">
        <is>
          <t>Azuria</t>
        </is>
      </c>
      <c r="B97" s="47" t="inlineStr">
        <is>
          <t>CeruleanCity_hns</t>
        </is>
      </c>
      <c r="C97" s="62" t="inlineStr">
        <is>
          <t>Nuit</t>
        </is>
      </c>
      <c r="D97" s="36" t="inlineStr">
        <is>
          <t>Éclate-Roc</t>
        </is>
      </c>
      <c r="E97" s="50" t="inlineStr">
        <is>
          <t>NOEUNOEUF</t>
        </is>
      </c>
      <c r="F97" s="51" t="n">
        <v>0.3</v>
      </c>
      <c r="G97" s="52" t="n">
        <v>41</v>
      </c>
      <c r="H97" s="52" t="n">
        <v>43</v>
      </c>
      <c r="I97" s="29">
        <f>IF(OR(COUNTIF('Suivi des rencontres'!$A:$A,$A97)&gt;0,COUNTIF('Suivi des rencontres'!$C:$C,$J97)&gt;0),"Non","Oui")</f>
        <v/>
      </c>
      <c r="J97" s="30" t="inlineStr">
        <is>
          <t>NOEUNOEUF</t>
        </is>
      </c>
    </row>
    <row r="98">
      <c r="A98" s="47" t="inlineStr">
        <is>
          <t>Azuria</t>
        </is>
      </c>
      <c r="B98" s="47" t="inlineStr">
        <is>
          <t>CeruleanCity_hns</t>
        </is>
      </c>
      <c r="C98" s="62" t="inlineStr">
        <is>
          <t>Nuit</t>
        </is>
      </c>
      <c r="D98" s="36" t="inlineStr">
        <is>
          <t>Éclate-Roc</t>
        </is>
      </c>
      <c r="E98" s="50" t="inlineStr">
        <is>
          <t>COXY</t>
        </is>
      </c>
      <c r="F98" s="51" t="n">
        <v>0.05</v>
      </c>
      <c r="G98" s="52" t="n">
        <v>41</v>
      </c>
      <c r="H98" s="52" t="n">
        <v>43</v>
      </c>
      <c r="I98" s="29">
        <f>IF(OR(COUNTIF('Suivi des rencontres'!$A:$A,$A98)&gt;0,COUNTIF('Suivi des rencontres'!$C:$C,$J98)&gt;0),"Non","Oui")</f>
        <v/>
      </c>
      <c r="J98" s="30" t="inlineStr">
        <is>
          <t>COXY</t>
        </is>
      </c>
    </row>
    <row r="99">
      <c r="A99" s="47" t="inlineStr">
        <is>
          <t>Azuria</t>
        </is>
      </c>
      <c r="B99" s="47" t="inlineStr">
        <is>
          <t>CeruleanCity_hns</t>
        </is>
      </c>
      <c r="C99" s="62" t="inlineStr">
        <is>
          <t>Nuit</t>
        </is>
      </c>
      <c r="D99" s="36" t="inlineStr">
        <is>
          <t>Éclate-Roc</t>
        </is>
      </c>
      <c r="E99" s="50" t="inlineStr">
        <is>
          <t>MIMIGAL</t>
        </is>
      </c>
      <c r="F99" s="51" t="n">
        <v>0.05</v>
      </c>
      <c r="G99" s="52" t="n">
        <v>41</v>
      </c>
      <c r="H99" s="52" t="n">
        <v>43</v>
      </c>
      <c r="I99" s="29">
        <f>IF(OR(COUNTIF('Suivi des rencontres'!$A:$A,$A99)&gt;0,COUNTIF('Suivi des rencontres'!$C:$C,$J99)&gt;0),"Non","Oui")</f>
        <v/>
      </c>
      <c r="J99" s="30" t="inlineStr">
        <is>
          <t>MIMIGAL</t>
        </is>
      </c>
    </row>
    <row r="100">
      <c r="A100" s="47" t="inlineStr">
        <is>
          <t>Azuria</t>
        </is>
      </c>
      <c r="B100" s="47" t="inlineStr">
        <is>
          <t>CeruleanCity_hns</t>
        </is>
      </c>
      <c r="C100" s="48" t="inlineStr">
        <is>
          <t>Matin, jour, soir</t>
        </is>
      </c>
      <c r="D100" s="54" t="inlineStr">
        <is>
          <t>Vieille Canne</t>
        </is>
      </c>
      <c r="E100" s="50" t="inlineStr">
        <is>
          <t>MAGICARPE</t>
        </is>
      </c>
      <c r="F100" s="51" t="n">
        <v>0.7</v>
      </c>
      <c r="G100" s="52" t="n">
        <v>41</v>
      </c>
      <c r="H100" s="52" t="n">
        <v>43</v>
      </c>
      <c r="I100" s="29">
        <f>IF(OR(COUNTIF('Suivi des rencontres'!$A:$A,$A100)&gt;0,COUNTIF('Suivi des rencontres'!$C:$C,$J100)&gt;0),"Non","Oui")</f>
        <v/>
      </c>
      <c r="J100" s="30" t="inlineStr">
        <is>
          <t>MAGICARPE</t>
        </is>
      </c>
    </row>
    <row r="101">
      <c r="A101" s="47" t="inlineStr">
        <is>
          <t>Azuria</t>
        </is>
      </c>
      <c r="B101" s="47" t="inlineStr">
        <is>
          <t>CeruleanCity_hns</t>
        </is>
      </c>
      <c r="C101" s="48" t="inlineStr">
        <is>
          <t>Matin, jour, soir</t>
        </is>
      </c>
      <c r="D101" s="54" t="inlineStr">
        <is>
          <t>Vieille Canne</t>
        </is>
      </c>
      <c r="E101" s="50" t="inlineStr">
        <is>
          <t>PTITARD</t>
        </is>
      </c>
      <c r="F101" s="51" t="n">
        <v>0.3</v>
      </c>
      <c r="G101" s="52" t="n">
        <v>41</v>
      </c>
      <c r="H101" s="52" t="n">
        <v>43</v>
      </c>
      <c r="I101" s="29">
        <f>IF(OR(COUNTIF('Suivi des rencontres'!$A:$A,$A101)&gt;0,COUNTIF('Suivi des rencontres'!$C:$C,$J101)&gt;0),"Non","Oui")</f>
        <v/>
      </c>
      <c r="J101" s="30" t="inlineStr">
        <is>
          <t>PTITARD</t>
        </is>
      </c>
    </row>
    <row r="102">
      <c r="A102" s="47" t="inlineStr">
        <is>
          <t>Azuria</t>
        </is>
      </c>
      <c r="B102" s="47" t="inlineStr">
        <is>
          <t>CeruleanCity_hns</t>
        </is>
      </c>
      <c r="C102" s="62" t="inlineStr">
        <is>
          <t>Nuit</t>
        </is>
      </c>
      <c r="D102" s="54" t="inlineStr">
        <is>
          <t>Vieille Canne</t>
        </is>
      </c>
      <c r="E102" s="50" t="inlineStr">
        <is>
          <t>MAGICARPE</t>
        </is>
      </c>
      <c r="F102" s="51" t="n">
        <v>0.7</v>
      </c>
      <c r="G102" s="52" t="n">
        <v>41</v>
      </c>
      <c r="H102" s="52" t="n">
        <v>43</v>
      </c>
      <c r="I102" s="29">
        <f>IF(OR(COUNTIF('Suivi des rencontres'!$A:$A,$A102)&gt;0,COUNTIF('Suivi des rencontres'!$C:$C,$J102)&gt;0),"Non","Oui")</f>
        <v/>
      </c>
      <c r="J102" s="30" t="inlineStr">
        <is>
          <t>MAGICARPE</t>
        </is>
      </c>
    </row>
    <row r="103">
      <c r="A103" s="47" t="inlineStr">
        <is>
          <t>Azuria</t>
        </is>
      </c>
      <c r="B103" s="47" t="inlineStr">
        <is>
          <t>CeruleanCity_hns</t>
        </is>
      </c>
      <c r="C103" s="62" t="inlineStr">
        <is>
          <t>Nuit</t>
        </is>
      </c>
      <c r="D103" s="54" t="inlineStr">
        <is>
          <t>Vieille Canne</t>
        </is>
      </c>
      <c r="E103" s="50" t="inlineStr">
        <is>
          <t>PTITARD</t>
        </is>
      </c>
      <c r="F103" s="51" t="n">
        <v>0.3</v>
      </c>
      <c r="G103" s="52" t="n">
        <v>41</v>
      </c>
      <c r="H103" s="52" t="n">
        <v>43</v>
      </c>
      <c r="I103" s="29">
        <f>IF(OR(COUNTIF('Suivi des rencontres'!$A:$A,$A103)&gt;0,COUNTIF('Suivi des rencontres'!$C:$C,$J103)&gt;0),"Non","Oui")</f>
        <v/>
      </c>
      <c r="J103" s="30" t="inlineStr">
        <is>
          <t>PTITARD</t>
        </is>
      </c>
    </row>
    <row r="104">
      <c r="A104" s="47" t="inlineStr">
        <is>
          <t>Azuria</t>
        </is>
      </c>
      <c r="B104" s="47" t="inlineStr">
        <is>
          <t>CeruleanCity_hns</t>
        </is>
      </c>
      <c r="C104" s="48" t="inlineStr">
        <is>
          <t>Matin, jour, soir</t>
        </is>
      </c>
      <c r="D104" s="55" t="inlineStr">
        <is>
          <t>Bonne Canne</t>
        </is>
      </c>
      <c r="E104" s="50" t="inlineStr">
        <is>
          <t>PTITARD</t>
        </is>
      </c>
      <c r="F104" s="51" t="n">
        <v>0.8</v>
      </c>
      <c r="G104" s="52" t="n">
        <v>42</v>
      </c>
      <c r="H104" s="52" t="n">
        <v>44</v>
      </c>
      <c r="I104" s="29">
        <f>IF(OR(COUNTIF('Suivi des rencontres'!$A:$A,$A104)&gt;0,COUNTIF('Suivi des rencontres'!$C:$C,$J104)&gt;0),"Non","Oui")</f>
        <v/>
      </c>
      <c r="J104" s="30" t="inlineStr">
        <is>
          <t>PTITARD</t>
        </is>
      </c>
    </row>
    <row r="105">
      <c r="A105" s="47" t="inlineStr">
        <is>
          <t>Azuria</t>
        </is>
      </c>
      <c r="B105" s="47" t="inlineStr">
        <is>
          <t>CeruleanCity_hns</t>
        </is>
      </c>
      <c r="C105" s="48" t="inlineStr">
        <is>
          <t>Matin, jour, soir</t>
        </is>
      </c>
      <c r="D105" s="55" t="inlineStr">
        <is>
          <t>Bonne Canne</t>
        </is>
      </c>
      <c r="E105" s="50" t="inlineStr">
        <is>
          <t>MAGICARPE</t>
        </is>
      </c>
      <c r="F105" s="51" t="n">
        <v>0.2</v>
      </c>
      <c r="G105" s="52" t="n">
        <v>42</v>
      </c>
      <c r="H105" s="52" t="n">
        <v>44</v>
      </c>
      <c r="I105" s="29">
        <f>IF(OR(COUNTIF('Suivi des rencontres'!$A:$A,$A105)&gt;0,COUNTIF('Suivi des rencontres'!$C:$C,$J105)&gt;0),"Non","Oui")</f>
        <v/>
      </c>
      <c r="J105" s="30" t="inlineStr">
        <is>
          <t>MAGICARPE</t>
        </is>
      </c>
    </row>
    <row r="106">
      <c r="A106" s="47" t="inlineStr">
        <is>
          <t>Azuria</t>
        </is>
      </c>
      <c r="B106" s="47" t="inlineStr">
        <is>
          <t>CeruleanCity_hns</t>
        </is>
      </c>
      <c r="C106" s="62" t="inlineStr">
        <is>
          <t>Nuit</t>
        </is>
      </c>
      <c r="D106" s="55" t="inlineStr">
        <is>
          <t>Bonne Canne</t>
        </is>
      </c>
      <c r="E106" s="50" t="inlineStr">
        <is>
          <t>PTITARD</t>
        </is>
      </c>
      <c r="F106" s="51" t="n">
        <v>0.8</v>
      </c>
      <c r="G106" s="52" t="n">
        <v>42</v>
      </c>
      <c r="H106" s="52" t="n">
        <v>44</v>
      </c>
      <c r="I106" s="29">
        <f>IF(OR(COUNTIF('Suivi des rencontres'!$A:$A,$A106)&gt;0,COUNTIF('Suivi des rencontres'!$C:$C,$J106)&gt;0),"Non","Oui")</f>
        <v/>
      </c>
      <c r="J106" s="30" t="inlineStr">
        <is>
          <t>PTITARD</t>
        </is>
      </c>
    </row>
    <row r="107">
      <c r="A107" s="47" t="inlineStr">
        <is>
          <t>Azuria</t>
        </is>
      </c>
      <c r="B107" s="47" t="inlineStr">
        <is>
          <t>CeruleanCity_hns</t>
        </is>
      </c>
      <c r="C107" s="62" t="inlineStr">
        <is>
          <t>Nuit</t>
        </is>
      </c>
      <c r="D107" s="55" t="inlineStr">
        <is>
          <t>Bonne Canne</t>
        </is>
      </c>
      <c r="E107" s="50" t="inlineStr">
        <is>
          <t>MAGICARPE</t>
        </is>
      </c>
      <c r="F107" s="51" t="n">
        <v>0.2</v>
      </c>
      <c r="G107" s="52" t="n">
        <v>42</v>
      </c>
      <c r="H107" s="52" t="n">
        <v>44</v>
      </c>
      <c r="I107" s="29">
        <f>IF(OR(COUNTIF('Suivi des rencontres'!$A:$A,$A107)&gt;0,COUNTIF('Suivi des rencontres'!$C:$C,$J107)&gt;0),"Non","Oui")</f>
        <v/>
      </c>
      <c r="J107" s="30" t="inlineStr">
        <is>
          <t>MAGICARPE</t>
        </is>
      </c>
    </row>
    <row r="108">
      <c r="A108" s="47" t="inlineStr">
        <is>
          <t>Azuria</t>
        </is>
      </c>
      <c r="B108" s="47" t="inlineStr">
        <is>
          <t>CeruleanCity_hns</t>
        </is>
      </c>
      <c r="C108" s="48" t="inlineStr">
        <is>
          <t>Matin, jour, soir</t>
        </is>
      </c>
      <c r="D108" s="56" t="inlineStr">
        <is>
          <t>Super Canne</t>
        </is>
      </c>
      <c r="E108" s="50" t="inlineStr">
        <is>
          <t>PTITARD</t>
        </is>
      </c>
      <c r="F108" s="51" t="n">
        <v>0.55</v>
      </c>
      <c r="G108" s="52" t="n">
        <v>40</v>
      </c>
      <c r="H108" s="52" t="n">
        <v>40</v>
      </c>
      <c r="I108" s="29">
        <f>IF(OR(COUNTIF('Suivi des rencontres'!$A:$A,$A108)&gt;0,COUNTIF('Suivi des rencontres'!$C:$C,$J108)&gt;0),"Non","Oui")</f>
        <v/>
      </c>
      <c r="J108" s="30" t="inlineStr">
        <is>
          <t>PTITARD</t>
        </is>
      </c>
    </row>
    <row r="109">
      <c r="A109" s="47" t="inlineStr">
        <is>
          <t>Azuria</t>
        </is>
      </c>
      <c r="B109" s="47" t="inlineStr">
        <is>
          <t>CeruleanCity_hns</t>
        </is>
      </c>
      <c r="C109" s="48" t="inlineStr">
        <is>
          <t>Matin, jour, soir</t>
        </is>
      </c>
      <c r="D109" s="56" t="inlineStr">
        <is>
          <t>Super Canne</t>
        </is>
      </c>
      <c r="E109" s="50" t="inlineStr">
        <is>
          <t>MAGICARPE</t>
        </is>
      </c>
      <c r="F109" s="51" t="n">
        <v>0.44</v>
      </c>
      <c r="G109" s="52" t="n">
        <v>40</v>
      </c>
      <c r="H109" s="52" t="n">
        <v>44</v>
      </c>
      <c r="I109" s="29">
        <f>IF(OR(COUNTIF('Suivi des rencontres'!$A:$A,$A109)&gt;0,COUNTIF('Suivi des rencontres'!$C:$C,$J109)&gt;0),"Non","Oui")</f>
        <v/>
      </c>
      <c r="J109" s="30" t="inlineStr">
        <is>
          <t>MAGICARPE</t>
        </is>
      </c>
    </row>
    <row r="110">
      <c r="A110" s="47" t="inlineStr">
        <is>
          <t>Azuria</t>
        </is>
      </c>
      <c r="B110" s="47" t="inlineStr">
        <is>
          <t>CeruleanCity_hns</t>
        </is>
      </c>
      <c r="C110" s="48" t="inlineStr">
        <is>
          <t>Matin, jour, soir</t>
        </is>
      </c>
      <c r="D110" s="56" t="inlineStr">
        <is>
          <t>Super Canne</t>
        </is>
      </c>
      <c r="E110" s="50" t="inlineStr">
        <is>
          <t>TETARTE</t>
        </is>
      </c>
      <c r="F110" s="51" t="n">
        <v>0.01</v>
      </c>
      <c r="G110" s="52" t="n">
        <v>40</v>
      </c>
      <c r="H110" s="52" t="n">
        <v>40</v>
      </c>
      <c r="I110" s="29">
        <f>IF(OR(COUNTIF('Suivi des rencontres'!$A:$A,$A110)&gt;0,COUNTIF('Suivi des rencontres'!$C:$C,$J110)&gt;0),"Non","Oui")</f>
        <v/>
      </c>
      <c r="J110" s="30" t="inlineStr">
        <is>
          <t>PTITARD</t>
        </is>
      </c>
    </row>
    <row r="111">
      <c r="A111" s="47" t="inlineStr">
        <is>
          <t>Azuria</t>
        </is>
      </c>
      <c r="B111" s="47" t="inlineStr">
        <is>
          <t>CeruleanCity_hns</t>
        </is>
      </c>
      <c r="C111" s="62" t="inlineStr">
        <is>
          <t>Nuit</t>
        </is>
      </c>
      <c r="D111" s="56" t="inlineStr">
        <is>
          <t>Super Canne</t>
        </is>
      </c>
      <c r="E111" s="50" t="inlineStr">
        <is>
          <t>PTITARD</t>
        </is>
      </c>
      <c r="F111" s="51" t="n">
        <v>0.55</v>
      </c>
      <c r="G111" s="52" t="n">
        <v>40</v>
      </c>
      <c r="H111" s="52" t="n">
        <v>40</v>
      </c>
      <c r="I111" s="29">
        <f>IF(OR(COUNTIF('Suivi des rencontres'!$A:$A,$A111)&gt;0,COUNTIF('Suivi des rencontres'!$C:$C,$J111)&gt;0),"Non","Oui")</f>
        <v/>
      </c>
      <c r="J111" s="30" t="inlineStr">
        <is>
          <t>PTITARD</t>
        </is>
      </c>
    </row>
    <row r="112">
      <c r="A112" s="47" t="inlineStr">
        <is>
          <t>Azuria</t>
        </is>
      </c>
      <c r="B112" s="47" t="inlineStr">
        <is>
          <t>CeruleanCity_hns</t>
        </is>
      </c>
      <c r="C112" s="62" t="inlineStr">
        <is>
          <t>Nuit</t>
        </is>
      </c>
      <c r="D112" s="56" t="inlineStr">
        <is>
          <t>Super Canne</t>
        </is>
      </c>
      <c r="E112" s="50" t="inlineStr">
        <is>
          <t>MAGICARPE</t>
        </is>
      </c>
      <c r="F112" s="51" t="n">
        <v>0.44</v>
      </c>
      <c r="G112" s="52" t="n">
        <v>40</v>
      </c>
      <c r="H112" s="52" t="n">
        <v>44</v>
      </c>
      <c r="I112" s="29">
        <f>IF(OR(COUNTIF('Suivi des rencontres'!$A:$A,$A112)&gt;0,COUNTIF('Suivi des rencontres'!$C:$C,$J112)&gt;0),"Non","Oui")</f>
        <v/>
      </c>
      <c r="J112" s="30" t="inlineStr">
        <is>
          <t>MAGICARPE</t>
        </is>
      </c>
    </row>
    <row r="113">
      <c r="A113" s="47" t="inlineStr">
        <is>
          <t>Azuria</t>
        </is>
      </c>
      <c r="B113" s="47" t="inlineStr">
        <is>
          <t>CeruleanCity_hns</t>
        </is>
      </c>
      <c r="C113" s="62" t="inlineStr">
        <is>
          <t>Nuit</t>
        </is>
      </c>
      <c r="D113" s="56" t="inlineStr">
        <is>
          <t>Super Canne</t>
        </is>
      </c>
      <c r="E113" s="50" t="inlineStr">
        <is>
          <t>TETARTE</t>
        </is>
      </c>
      <c r="F113" s="51" t="n">
        <v>0.01</v>
      </c>
      <c r="G113" s="52" t="n">
        <v>40</v>
      </c>
      <c r="H113" s="52" t="n">
        <v>40</v>
      </c>
      <c r="I113" s="29">
        <f>IF(OR(COUNTIF('Suivi des rencontres'!$A:$A,$A113)&gt;0,COUNTIF('Suivi des rencontres'!$C:$C,$J113)&gt;0),"Non","Oui")</f>
        <v/>
      </c>
      <c r="J113" s="30" t="inlineStr">
        <is>
          <t>PTITARD</t>
        </is>
      </c>
    </row>
    <row r="114">
      <c r="A114" s="57" t="inlineStr">
        <is>
          <t>Bois aux Chênes</t>
        </is>
      </c>
      <c r="B114" s="57" t="inlineStr">
        <is>
          <t>IlexForest_hns</t>
        </is>
      </c>
      <c r="C114" s="58" t="inlineStr">
        <is>
          <t>Matin, jour, soir</t>
        </is>
      </c>
      <c r="D114" s="42" t="inlineStr">
        <is>
          <t>Herbe</t>
        </is>
      </c>
      <c r="E114" s="59" t="inlineStr">
        <is>
          <t>ASPICOT</t>
        </is>
      </c>
      <c r="F114" s="60" t="n">
        <v>0.3</v>
      </c>
      <c r="G114" s="61" t="n">
        <v>8</v>
      </c>
      <c r="H114" s="61" t="n">
        <v>8</v>
      </c>
      <c r="I114" s="46">
        <f>IF(OR(COUNTIF('Suivi des rencontres'!$A:$A,$A114)&gt;0,COUNTIF('Suivi des rencontres'!$C:$C,$J114)&gt;0),"Non","Oui")</f>
        <v/>
      </c>
      <c r="J114" s="30" t="inlineStr">
        <is>
          <t>ASPICOT</t>
        </is>
      </c>
    </row>
    <row r="115">
      <c r="A115" s="35" t="inlineStr">
        <is>
          <t>Bois aux Chênes</t>
        </is>
      </c>
      <c r="B115" s="35" t="inlineStr">
        <is>
          <t>IlexForest_hns</t>
        </is>
      </c>
      <c r="C115" s="33" t="inlineStr">
        <is>
          <t>Matin, jour, soir</t>
        </is>
      </c>
      <c r="D115" s="49" t="inlineStr">
        <is>
          <t>Herbe</t>
        </is>
      </c>
      <c r="E115" s="37" t="inlineStr">
        <is>
          <t>CHENIPAN</t>
        </is>
      </c>
      <c r="F115" s="38" t="n">
        <v>0.3</v>
      </c>
      <c r="G115" s="39" t="n">
        <v>8</v>
      </c>
      <c r="H115" s="39" t="n">
        <v>8</v>
      </c>
      <c r="I115" s="29">
        <f>IF(OR(COUNTIF('Suivi des rencontres'!$A:$A,$A115)&gt;0,COUNTIF('Suivi des rencontres'!$C:$C,$J115)&gt;0),"Non","Oui")</f>
        <v/>
      </c>
      <c r="J115" s="30" t="inlineStr">
        <is>
          <t>CHENIPAN</t>
        </is>
      </c>
    </row>
    <row r="116">
      <c r="A116" s="35" t="inlineStr">
        <is>
          <t>Bois aux Chênes</t>
        </is>
      </c>
      <c r="B116" s="35" t="inlineStr">
        <is>
          <t>IlexForest_hns</t>
        </is>
      </c>
      <c r="C116" s="33" t="inlineStr">
        <is>
          <t>Matin, jour, soir</t>
        </is>
      </c>
      <c r="D116" s="49" t="inlineStr">
        <is>
          <t>Herbe</t>
        </is>
      </c>
      <c r="E116" s="37" t="inlineStr">
        <is>
          <t>PARAS</t>
        </is>
      </c>
      <c r="F116" s="38" t="n">
        <v>0.14</v>
      </c>
      <c r="G116" s="39" t="n">
        <v>12</v>
      </c>
      <c r="H116" s="39" t="n">
        <v>13</v>
      </c>
      <c r="I116" s="29">
        <f>IF(OR(COUNTIF('Suivi des rencontres'!$A:$A,$A116)&gt;0,COUNTIF('Suivi des rencontres'!$C:$C,$J116)&gt;0),"Non","Oui")</f>
        <v/>
      </c>
      <c r="J116" s="30" t="inlineStr">
        <is>
          <t>PARAS</t>
        </is>
      </c>
    </row>
    <row r="117">
      <c r="A117" s="35" t="inlineStr">
        <is>
          <t>Bois aux Chênes</t>
        </is>
      </c>
      <c r="B117" s="35" t="inlineStr">
        <is>
          <t>IlexForest_hns</t>
        </is>
      </c>
      <c r="C117" s="33" t="inlineStr">
        <is>
          <t>Matin, jour, soir</t>
        </is>
      </c>
      <c r="D117" s="49" t="inlineStr">
        <is>
          <t>Herbe</t>
        </is>
      </c>
      <c r="E117" s="37" t="inlineStr">
        <is>
          <t>CHRYSACIER</t>
        </is>
      </c>
      <c r="F117" s="38" t="n">
        <v>0.1</v>
      </c>
      <c r="G117" s="39" t="n">
        <v>12</v>
      </c>
      <c r="H117" s="39" t="n">
        <v>13</v>
      </c>
      <c r="I117" s="29">
        <f>IF(OR(COUNTIF('Suivi des rencontres'!$A:$A,$A117)&gt;0,COUNTIF('Suivi des rencontres'!$C:$C,$J117)&gt;0),"Non","Oui")</f>
        <v/>
      </c>
      <c r="J117" s="30" t="inlineStr">
        <is>
          <t>CHENIPAN</t>
        </is>
      </c>
    </row>
    <row r="118">
      <c r="A118" s="35" t="inlineStr">
        <is>
          <t>Bois aux Chênes</t>
        </is>
      </c>
      <c r="B118" s="35" t="inlineStr">
        <is>
          <t>IlexForest_hns</t>
        </is>
      </c>
      <c r="C118" s="33" t="inlineStr">
        <is>
          <t>Matin, jour, soir</t>
        </is>
      </c>
      <c r="D118" s="49" t="inlineStr">
        <is>
          <t>Herbe</t>
        </is>
      </c>
      <c r="E118" s="37" t="inlineStr">
        <is>
          <t>MYSTHERBE</t>
        </is>
      </c>
      <c r="F118" s="38" t="n">
        <v>0.1</v>
      </c>
      <c r="G118" s="39" t="n">
        <v>12</v>
      </c>
      <c r="H118" s="39" t="n">
        <v>12</v>
      </c>
      <c r="I118" s="29">
        <f>IF(OR(COUNTIF('Suivi des rencontres'!$A:$A,$A118)&gt;0,COUNTIF('Suivi des rencontres'!$C:$C,$J118)&gt;0),"Non","Oui")</f>
        <v/>
      </c>
      <c r="J118" s="30" t="inlineStr">
        <is>
          <t>MYSTHERBE</t>
        </is>
      </c>
    </row>
    <row r="119">
      <c r="A119" s="35" t="inlineStr">
        <is>
          <t>Bois aux Chênes</t>
        </is>
      </c>
      <c r="B119" s="35" t="inlineStr">
        <is>
          <t>IlexForest_hns</t>
        </is>
      </c>
      <c r="C119" s="33" t="inlineStr">
        <is>
          <t>Matin, jour, soir</t>
        </is>
      </c>
      <c r="D119" s="49" t="inlineStr">
        <is>
          <t>Herbe</t>
        </is>
      </c>
      <c r="E119" s="37" t="inlineStr">
        <is>
          <t>COCONFORT</t>
        </is>
      </c>
      <c r="F119" s="38" t="n">
        <v>0.06</v>
      </c>
      <c r="G119" s="39" t="n">
        <v>9</v>
      </c>
      <c r="H119" s="39" t="n">
        <v>9</v>
      </c>
      <c r="I119" s="29">
        <f>IF(OR(COUNTIF('Suivi des rencontres'!$A:$A,$A119)&gt;0,COUNTIF('Suivi des rencontres'!$C:$C,$J119)&gt;0),"Non","Oui")</f>
        <v/>
      </c>
      <c r="J119" s="30" t="inlineStr">
        <is>
          <t>ASPICOT</t>
        </is>
      </c>
    </row>
    <row r="120">
      <c r="A120" s="35" t="inlineStr">
        <is>
          <t>Bois aux Chênes</t>
        </is>
      </c>
      <c r="B120" s="35" t="inlineStr">
        <is>
          <t>IlexForest_hns</t>
        </is>
      </c>
      <c r="C120" s="62" t="inlineStr">
        <is>
          <t>Nuit</t>
        </is>
      </c>
      <c r="D120" s="49" t="inlineStr">
        <is>
          <t>Herbe</t>
        </is>
      </c>
      <c r="E120" s="37" t="inlineStr">
        <is>
          <t>MYSTHERBE</t>
        </is>
      </c>
      <c r="F120" s="38" t="n">
        <v>0.34</v>
      </c>
      <c r="G120" s="39" t="n">
        <v>12</v>
      </c>
      <c r="H120" s="39" t="n">
        <v>13</v>
      </c>
      <c r="I120" s="29">
        <f>IF(OR(COUNTIF('Suivi des rencontres'!$A:$A,$A120)&gt;0,COUNTIF('Suivi des rencontres'!$C:$C,$J120)&gt;0),"Non","Oui")</f>
        <v/>
      </c>
      <c r="J120" s="30" t="inlineStr">
        <is>
          <t>MYSTHERBE</t>
        </is>
      </c>
    </row>
    <row r="121">
      <c r="A121" s="35" t="inlineStr">
        <is>
          <t>Bois aux Chênes</t>
        </is>
      </c>
      <c r="B121" s="35" t="inlineStr">
        <is>
          <t>IlexForest_hns</t>
        </is>
      </c>
      <c r="C121" s="62" t="inlineStr">
        <is>
          <t>Nuit</t>
        </is>
      </c>
      <c r="D121" s="49" t="inlineStr">
        <is>
          <t>Herbe</t>
        </is>
      </c>
      <c r="E121" s="37" t="inlineStr">
        <is>
          <t>MIMITOSS</t>
        </is>
      </c>
      <c r="F121" s="38" t="n">
        <v>0.3</v>
      </c>
      <c r="G121" s="39" t="n">
        <v>12</v>
      </c>
      <c r="H121" s="39" t="n">
        <v>12</v>
      </c>
      <c r="I121" s="29">
        <f>IF(OR(COUNTIF('Suivi des rencontres'!$A:$A,$A121)&gt;0,COUNTIF('Suivi des rencontres'!$C:$C,$J121)&gt;0),"Non","Oui")</f>
        <v/>
      </c>
      <c r="J121" s="30" t="inlineStr">
        <is>
          <t>MIMITOSS</t>
        </is>
      </c>
    </row>
    <row r="122">
      <c r="A122" s="35" t="inlineStr">
        <is>
          <t>Bois aux Chênes</t>
        </is>
      </c>
      <c r="B122" s="35" t="inlineStr">
        <is>
          <t>IlexForest_hns</t>
        </is>
      </c>
      <c r="C122" s="62" t="inlineStr">
        <is>
          <t>Nuit</t>
        </is>
      </c>
      <c r="D122" s="49" t="inlineStr">
        <is>
          <t>Herbe</t>
        </is>
      </c>
      <c r="E122" s="37" t="inlineStr">
        <is>
          <t>PARAS</t>
        </is>
      </c>
      <c r="F122" s="38" t="n">
        <v>0.25</v>
      </c>
      <c r="G122" s="39" t="n">
        <v>12</v>
      </c>
      <c r="H122" s="39" t="n">
        <v>13</v>
      </c>
      <c r="I122" s="29">
        <f>IF(OR(COUNTIF('Suivi des rencontres'!$A:$A,$A122)&gt;0,COUNTIF('Suivi des rencontres'!$C:$C,$J122)&gt;0),"Non","Oui")</f>
        <v/>
      </c>
      <c r="J122" s="30" t="inlineStr">
        <is>
          <t>PARAS</t>
        </is>
      </c>
    </row>
    <row r="123">
      <c r="A123" s="35" t="inlineStr">
        <is>
          <t>Bois aux Chênes</t>
        </is>
      </c>
      <c r="B123" s="35" t="inlineStr">
        <is>
          <t>IlexForest_hns</t>
        </is>
      </c>
      <c r="C123" s="62" t="inlineStr">
        <is>
          <t>Nuit</t>
        </is>
      </c>
      <c r="D123" s="49" t="inlineStr">
        <is>
          <t>Herbe</t>
        </is>
      </c>
      <c r="E123" s="37" t="inlineStr">
        <is>
          <t>HOOTHOOT</t>
        </is>
      </c>
      <c r="F123" s="38" t="n">
        <v>0.09</v>
      </c>
      <c r="G123" s="39" t="n">
        <v>12</v>
      </c>
      <c r="H123" s="39" t="n">
        <v>12</v>
      </c>
      <c r="I123" s="29">
        <f>IF(OR(COUNTIF('Suivi des rencontres'!$A:$A,$A123)&gt;0,COUNTIF('Suivi des rencontres'!$C:$C,$J123)&gt;0),"Non","Oui")</f>
        <v/>
      </c>
      <c r="J123" s="30" t="inlineStr">
        <is>
          <t>HOOTHOOT</t>
        </is>
      </c>
    </row>
    <row r="124">
      <c r="A124" s="35" t="inlineStr">
        <is>
          <t>Bois aux Chênes</t>
        </is>
      </c>
      <c r="B124" s="35" t="inlineStr">
        <is>
          <t>IlexForest_hns</t>
        </is>
      </c>
      <c r="C124" s="62" t="inlineStr">
        <is>
          <t>Nuit</t>
        </is>
      </c>
      <c r="D124" s="49" t="inlineStr">
        <is>
          <t>Herbe</t>
        </is>
      </c>
      <c r="E124" s="37" t="inlineStr">
        <is>
          <t>PSYKOKWAK</t>
        </is>
      </c>
      <c r="F124" s="38" t="n">
        <v>0.02</v>
      </c>
      <c r="G124" s="39" t="n">
        <v>13</v>
      </c>
      <c r="H124" s="39" t="n">
        <v>13</v>
      </c>
      <c r="I124" s="29">
        <f>IF(OR(COUNTIF('Suivi des rencontres'!$A:$A,$A124)&gt;0,COUNTIF('Suivi des rencontres'!$C:$C,$J124)&gt;0),"Non","Oui")</f>
        <v/>
      </c>
      <c r="J124" s="30" t="inlineStr">
        <is>
          <t>PSYKOKWAK</t>
        </is>
      </c>
    </row>
    <row r="125">
      <c r="A125" s="35" t="inlineStr">
        <is>
          <t>Bois aux Chênes</t>
        </is>
      </c>
      <c r="B125" s="35" t="inlineStr">
        <is>
          <t>IlexForest_hns</t>
        </is>
      </c>
      <c r="C125" s="33" t="inlineStr">
        <is>
          <t>Matin, jour, soir</t>
        </is>
      </c>
      <c r="D125" s="53" t="inlineStr">
        <is>
          <t>Surf</t>
        </is>
      </c>
      <c r="E125" s="37" t="inlineStr">
        <is>
          <t>PSYKOKWAK</t>
        </is>
      </c>
      <c r="F125" s="38" t="n">
        <v>0.95</v>
      </c>
      <c r="G125" s="39" t="n">
        <v>10</v>
      </c>
      <c r="H125" s="39" t="n">
        <v>19</v>
      </c>
      <c r="I125" s="29">
        <f>IF(OR(COUNTIF('Suivi des rencontres'!$A:$A,$A125)&gt;0,COUNTIF('Suivi des rencontres'!$C:$C,$J125)&gt;0),"Non","Oui")</f>
        <v/>
      </c>
      <c r="J125" s="30" t="inlineStr">
        <is>
          <t>PSYKOKWAK</t>
        </is>
      </c>
    </row>
    <row r="126">
      <c r="A126" s="35" t="inlineStr">
        <is>
          <t>Bois aux Chênes</t>
        </is>
      </c>
      <c r="B126" s="35" t="inlineStr">
        <is>
          <t>IlexForest_hns</t>
        </is>
      </c>
      <c r="C126" s="33" t="inlineStr">
        <is>
          <t>Matin, jour, soir</t>
        </is>
      </c>
      <c r="D126" s="53" t="inlineStr">
        <is>
          <t>Surf</t>
        </is>
      </c>
      <c r="E126" s="37" t="inlineStr">
        <is>
          <t>AKWAKWAK</t>
        </is>
      </c>
      <c r="F126" s="38" t="n">
        <v>0.05</v>
      </c>
      <c r="G126" s="39" t="n">
        <v>15</v>
      </c>
      <c r="H126" s="39" t="n">
        <v>19</v>
      </c>
      <c r="I126" s="29">
        <f>IF(OR(COUNTIF('Suivi des rencontres'!$A:$A,$A126)&gt;0,COUNTIF('Suivi des rencontres'!$C:$C,$J126)&gt;0),"Non","Oui")</f>
        <v/>
      </c>
      <c r="J126" s="30" t="inlineStr">
        <is>
          <t>PSYKOKWAK</t>
        </is>
      </c>
    </row>
    <row r="127">
      <c r="A127" s="35" t="inlineStr">
        <is>
          <t>Bois aux Chênes</t>
        </is>
      </c>
      <c r="B127" s="35" t="inlineStr">
        <is>
          <t>IlexForest_hns</t>
        </is>
      </c>
      <c r="C127" s="62" t="inlineStr">
        <is>
          <t>Nuit</t>
        </is>
      </c>
      <c r="D127" s="53" t="inlineStr">
        <is>
          <t>Surf</t>
        </is>
      </c>
      <c r="E127" s="37" t="inlineStr">
        <is>
          <t>PSYKOKWAK</t>
        </is>
      </c>
      <c r="F127" s="38" t="n">
        <v>0.95</v>
      </c>
      <c r="G127" s="39" t="n">
        <v>10</v>
      </c>
      <c r="H127" s="39" t="n">
        <v>19</v>
      </c>
      <c r="I127" s="29">
        <f>IF(OR(COUNTIF('Suivi des rencontres'!$A:$A,$A127)&gt;0,COUNTIF('Suivi des rencontres'!$C:$C,$J127)&gt;0),"Non","Oui")</f>
        <v/>
      </c>
      <c r="J127" s="30" t="inlineStr">
        <is>
          <t>PSYKOKWAK</t>
        </is>
      </c>
    </row>
    <row r="128">
      <c r="A128" s="35" t="inlineStr">
        <is>
          <t>Bois aux Chênes</t>
        </is>
      </c>
      <c r="B128" s="35" t="inlineStr">
        <is>
          <t>IlexForest_hns</t>
        </is>
      </c>
      <c r="C128" s="62" t="inlineStr">
        <is>
          <t>Nuit</t>
        </is>
      </c>
      <c r="D128" s="53" t="inlineStr">
        <is>
          <t>Surf</t>
        </is>
      </c>
      <c r="E128" s="37" t="inlineStr">
        <is>
          <t>AKWAKWAK</t>
        </is>
      </c>
      <c r="F128" s="38" t="n">
        <v>0.05</v>
      </c>
      <c r="G128" s="39" t="n">
        <v>15</v>
      </c>
      <c r="H128" s="39" t="n">
        <v>19</v>
      </c>
      <c r="I128" s="29">
        <f>IF(OR(COUNTIF('Suivi des rencontres'!$A:$A,$A128)&gt;0,COUNTIF('Suivi des rencontres'!$C:$C,$J128)&gt;0),"Non","Oui")</f>
        <v/>
      </c>
      <c r="J128" s="30" t="inlineStr">
        <is>
          <t>PSYKOKWAK</t>
        </is>
      </c>
    </row>
    <row r="129">
      <c r="A129" s="35" t="inlineStr">
        <is>
          <t>Bois aux Chênes</t>
        </is>
      </c>
      <c r="B129" s="35" t="inlineStr">
        <is>
          <t>IlexForest_hns</t>
        </is>
      </c>
      <c r="C129" s="33" t="inlineStr">
        <is>
          <t>Matin, jour, soir</t>
        </is>
      </c>
      <c r="D129" s="36" t="inlineStr">
        <is>
          <t>Éclate-Roc</t>
        </is>
      </c>
      <c r="E129" s="37" t="inlineStr">
        <is>
          <t>POMDEPIK</t>
        </is>
      </c>
      <c r="F129" s="38" t="n">
        <v>0.6</v>
      </c>
      <c r="G129" s="39" t="n">
        <v>10</v>
      </c>
      <c r="H129" s="39" t="n">
        <v>10</v>
      </c>
      <c r="I129" s="29">
        <f>IF(OR(COUNTIF('Suivi des rencontres'!$A:$A,$A129)&gt;0,COUNTIF('Suivi des rencontres'!$C:$C,$J129)&gt;0),"Non","Oui")</f>
        <v/>
      </c>
      <c r="J129" s="30" t="inlineStr">
        <is>
          <t>POMDEPIK</t>
        </is>
      </c>
    </row>
    <row r="130">
      <c r="A130" s="35" t="inlineStr">
        <is>
          <t>Bois aux Chênes</t>
        </is>
      </c>
      <c r="B130" s="35" t="inlineStr">
        <is>
          <t>IlexForest_hns</t>
        </is>
      </c>
      <c r="C130" s="33" t="inlineStr">
        <is>
          <t>Matin, jour, soir</t>
        </is>
      </c>
      <c r="D130" s="36" t="inlineStr">
        <is>
          <t>Éclate-Roc</t>
        </is>
      </c>
      <c r="E130" s="37" t="inlineStr">
        <is>
          <t>NOEUNOEUF</t>
        </is>
      </c>
      <c r="F130" s="38" t="n">
        <v>0.3</v>
      </c>
      <c r="G130" s="39" t="n">
        <v>10</v>
      </c>
      <c r="H130" s="39" t="n">
        <v>10</v>
      </c>
      <c r="I130" s="29">
        <f>IF(OR(COUNTIF('Suivi des rencontres'!$A:$A,$A130)&gt;0,COUNTIF('Suivi des rencontres'!$C:$C,$J130)&gt;0),"Non","Oui")</f>
        <v/>
      </c>
      <c r="J130" s="30" t="inlineStr">
        <is>
          <t>NOEUNOEUF</t>
        </is>
      </c>
    </row>
    <row r="131">
      <c r="A131" s="35" t="inlineStr">
        <is>
          <t>Bois aux Chênes</t>
        </is>
      </c>
      <c r="B131" s="35" t="inlineStr">
        <is>
          <t>IlexForest_hns</t>
        </is>
      </c>
      <c r="C131" s="33" t="inlineStr">
        <is>
          <t>Matin, jour, soir</t>
        </is>
      </c>
      <c r="D131" s="36" t="inlineStr">
        <is>
          <t>Éclate-Roc</t>
        </is>
      </c>
      <c r="E131" s="37" t="inlineStr">
        <is>
          <t>DARDARGNAN</t>
        </is>
      </c>
      <c r="F131" s="38" t="n">
        <v>0.05</v>
      </c>
      <c r="G131" s="39" t="n">
        <v>10</v>
      </c>
      <c r="H131" s="39" t="n">
        <v>10</v>
      </c>
      <c r="I131" s="29">
        <f>IF(OR(COUNTIF('Suivi des rencontres'!$A:$A,$A131)&gt;0,COUNTIF('Suivi des rencontres'!$C:$C,$J131)&gt;0),"Non","Oui")</f>
        <v/>
      </c>
      <c r="J131" s="30" t="inlineStr">
        <is>
          <t>ASPICOT</t>
        </is>
      </c>
    </row>
    <row r="132">
      <c r="A132" s="35" t="inlineStr">
        <is>
          <t>Bois aux Chênes</t>
        </is>
      </c>
      <c r="B132" s="35" t="inlineStr">
        <is>
          <t>IlexForest_hns</t>
        </is>
      </c>
      <c r="C132" s="33" t="inlineStr">
        <is>
          <t>Matin, jour, soir</t>
        </is>
      </c>
      <c r="D132" s="36" t="inlineStr">
        <is>
          <t>Éclate-Roc</t>
        </is>
      </c>
      <c r="E132" s="37" t="inlineStr">
        <is>
          <t>PAPILUSION</t>
        </is>
      </c>
      <c r="F132" s="38" t="n">
        <v>0.05</v>
      </c>
      <c r="G132" s="39" t="n">
        <v>10</v>
      </c>
      <c r="H132" s="39" t="n">
        <v>10</v>
      </c>
      <c r="I132" s="29">
        <f>IF(OR(COUNTIF('Suivi des rencontres'!$A:$A,$A132)&gt;0,COUNTIF('Suivi des rencontres'!$C:$C,$J132)&gt;0),"Non","Oui")</f>
        <v/>
      </c>
      <c r="J132" s="30" t="inlineStr">
        <is>
          <t>CHENIPAN</t>
        </is>
      </c>
    </row>
    <row r="133">
      <c r="A133" s="35" t="inlineStr">
        <is>
          <t>Bois aux Chênes</t>
        </is>
      </c>
      <c r="B133" s="35" t="inlineStr">
        <is>
          <t>IlexForest_hns</t>
        </is>
      </c>
      <c r="C133" s="62" t="inlineStr">
        <is>
          <t>Nuit</t>
        </is>
      </c>
      <c r="D133" s="36" t="inlineStr">
        <is>
          <t>Éclate-Roc</t>
        </is>
      </c>
      <c r="E133" s="37" t="inlineStr">
        <is>
          <t>POMDEPIK</t>
        </is>
      </c>
      <c r="F133" s="38" t="n">
        <v>0.6</v>
      </c>
      <c r="G133" s="39" t="n">
        <v>10</v>
      </c>
      <c r="H133" s="39" t="n">
        <v>10</v>
      </c>
      <c r="I133" s="29">
        <f>IF(OR(COUNTIF('Suivi des rencontres'!$A:$A,$A133)&gt;0,COUNTIF('Suivi des rencontres'!$C:$C,$J133)&gt;0),"Non","Oui")</f>
        <v/>
      </c>
      <c r="J133" s="30" t="inlineStr">
        <is>
          <t>POMDEPIK</t>
        </is>
      </c>
    </row>
    <row r="134">
      <c r="A134" s="35" t="inlineStr">
        <is>
          <t>Bois aux Chênes</t>
        </is>
      </c>
      <c r="B134" s="35" t="inlineStr">
        <is>
          <t>IlexForest_hns</t>
        </is>
      </c>
      <c r="C134" s="62" t="inlineStr">
        <is>
          <t>Nuit</t>
        </is>
      </c>
      <c r="D134" s="36" t="inlineStr">
        <is>
          <t>Éclate-Roc</t>
        </is>
      </c>
      <c r="E134" s="37" t="inlineStr">
        <is>
          <t>NOEUNOEUF</t>
        </is>
      </c>
      <c r="F134" s="38" t="n">
        <v>0.3</v>
      </c>
      <c r="G134" s="39" t="n">
        <v>10</v>
      </c>
      <c r="H134" s="39" t="n">
        <v>10</v>
      </c>
      <c r="I134" s="29">
        <f>IF(OR(COUNTIF('Suivi des rencontres'!$A:$A,$A134)&gt;0,COUNTIF('Suivi des rencontres'!$C:$C,$J134)&gt;0),"Non","Oui")</f>
        <v/>
      </c>
      <c r="J134" s="30" t="inlineStr">
        <is>
          <t>NOEUNOEUF</t>
        </is>
      </c>
    </row>
    <row r="135">
      <c r="A135" s="35" t="inlineStr">
        <is>
          <t>Bois aux Chênes</t>
        </is>
      </c>
      <c r="B135" s="35" t="inlineStr">
        <is>
          <t>IlexForest_hns</t>
        </is>
      </c>
      <c r="C135" s="62" t="inlineStr">
        <is>
          <t>Nuit</t>
        </is>
      </c>
      <c r="D135" s="36" t="inlineStr">
        <is>
          <t>Éclate-Roc</t>
        </is>
      </c>
      <c r="E135" s="37" t="inlineStr">
        <is>
          <t>DARDARGNAN</t>
        </is>
      </c>
      <c r="F135" s="38" t="n">
        <v>0.05</v>
      </c>
      <c r="G135" s="39" t="n">
        <v>10</v>
      </c>
      <c r="H135" s="39" t="n">
        <v>10</v>
      </c>
      <c r="I135" s="29">
        <f>IF(OR(COUNTIF('Suivi des rencontres'!$A:$A,$A135)&gt;0,COUNTIF('Suivi des rencontres'!$C:$C,$J135)&gt;0),"Non","Oui")</f>
        <v/>
      </c>
      <c r="J135" s="30" t="inlineStr">
        <is>
          <t>ASPICOT</t>
        </is>
      </c>
    </row>
    <row r="136">
      <c r="A136" s="35" t="inlineStr">
        <is>
          <t>Bois aux Chênes</t>
        </is>
      </c>
      <c r="B136" s="35" t="inlineStr">
        <is>
          <t>IlexForest_hns</t>
        </is>
      </c>
      <c r="C136" s="62" t="inlineStr">
        <is>
          <t>Nuit</t>
        </is>
      </c>
      <c r="D136" s="36" t="inlineStr">
        <is>
          <t>Éclate-Roc</t>
        </is>
      </c>
      <c r="E136" s="37" t="inlineStr">
        <is>
          <t>PAPILUSION</t>
        </is>
      </c>
      <c r="F136" s="38" t="n">
        <v>0.05</v>
      </c>
      <c r="G136" s="39" t="n">
        <v>10</v>
      </c>
      <c r="H136" s="39" t="n">
        <v>10</v>
      </c>
      <c r="I136" s="29">
        <f>IF(OR(COUNTIF('Suivi des rencontres'!$A:$A,$A136)&gt;0,COUNTIF('Suivi des rencontres'!$C:$C,$J136)&gt;0),"Non","Oui")</f>
        <v/>
      </c>
      <c r="J136" s="30" t="inlineStr">
        <is>
          <t>CHENIPAN</t>
        </is>
      </c>
    </row>
    <row r="137">
      <c r="A137" s="35" t="inlineStr">
        <is>
          <t>Bois aux Chênes</t>
        </is>
      </c>
      <c r="B137" s="35" t="inlineStr">
        <is>
          <t>IlexForest_hns</t>
        </is>
      </c>
      <c r="C137" s="33" t="inlineStr">
        <is>
          <t>Matin, jour, soir</t>
        </is>
      </c>
      <c r="D137" s="54" t="inlineStr">
        <is>
          <t>Vieille Canne</t>
        </is>
      </c>
      <c r="E137" s="37" t="inlineStr">
        <is>
          <t>MAGICARPE</t>
        </is>
      </c>
      <c r="F137" s="38" t="n">
        <v>0.7</v>
      </c>
      <c r="G137" s="39" t="n">
        <v>10</v>
      </c>
      <c r="H137" s="39" t="n">
        <v>10</v>
      </c>
      <c r="I137" s="29">
        <f>IF(OR(COUNTIF('Suivi des rencontres'!$A:$A,$A137)&gt;0,COUNTIF('Suivi des rencontres'!$C:$C,$J137)&gt;0),"Non","Oui")</f>
        <v/>
      </c>
      <c r="J137" s="30" t="inlineStr">
        <is>
          <t>MAGICARPE</t>
        </is>
      </c>
    </row>
    <row r="138">
      <c r="A138" s="35" t="inlineStr">
        <is>
          <t>Bois aux Chênes</t>
        </is>
      </c>
      <c r="B138" s="35" t="inlineStr">
        <is>
          <t>IlexForest_hns</t>
        </is>
      </c>
      <c r="C138" s="33" t="inlineStr">
        <is>
          <t>Matin, jour, soir</t>
        </is>
      </c>
      <c r="D138" s="54" t="inlineStr">
        <is>
          <t>Vieille Canne</t>
        </is>
      </c>
      <c r="E138" s="37" t="inlineStr">
        <is>
          <t>PTITARD</t>
        </is>
      </c>
      <c r="F138" s="38" t="n">
        <v>0.3</v>
      </c>
      <c r="G138" s="39" t="n">
        <v>10</v>
      </c>
      <c r="H138" s="39" t="n">
        <v>10</v>
      </c>
      <c r="I138" s="29">
        <f>IF(OR(COUNTIF('Suivi des rencontres'!$A:$A,$A138)&gt;0,COUNTIF('Suivi des rencontres'!$C:$C,$J138)&gt;0),"Non","Oui")</f>
        <v/>
      </c>
      <c r="J138" s="30" t="inlineStr">
        <is>
          <t>PTITARD</t>
        </is>
      </c>
    </row>
    <row r="139">
      <c r="A139" s="35" t="inlineStr">
        <is>
          <t>Bois aux Chênes</t>
        </is>
      </c>
      <c r="B139" s="35" t="inlineStr">
        <is>
          <t>IlexForest_hns</t>
        </is>
      </c>
      <c r="C139" s="62" t="inlineStr">
        <is>
          <t>Nuit</t>
        </is>
      </c>
      <c r="D139" s="54" t="inlineStr">
        <is>
          <t>Vieille Canne</t>
        </is>
      </c>
      <c r="E139" s="37" t="inlineStr">
        <is>
          <t>MAGICARPE</t>
        </is>
      </c>
      <c r="F139" s="38" t="n">
        <v>0.7</v>
      </c>
      <c r="G139" s="39" t="n">
        <v>10</v>
      </c>
      <c r="H139" s="39" t="n">
        <v>10</v>
      </c>
      <c r="I139" s="29">
        <f>IF(OR(COUNTIF('Suivi des rencontres'!$A:$A,$A139)&gt;0,COUNTIF('Suivi des rencontres'!$C:$C,$J139)&gt;0),"Non","Oui")</f>
        <v/>
      </c>
      <c r="J139" s="30" t="inlineStr">
        <is>
          <t>MAGICARPE</t>
        </is>
      </c>
    </row>
    <row r="140">
      <c r="A140" s="35" t="inlineStr">
        <is>
          <t>Bois aux Chênes</t>
        </is>
      </c>
      <c r="B140" s="35" t="inlineStr">
        <is>
          <t>IlexForest_hns</t>
        </is>
      </c>
      <c r="C140" s="62" t="inlineStr">
        <is>
          <t>Nuit</t>
        </is>
      </c>
      <c r="D140" s="54" t="inlineStr">
        <is>
          <t>Vieille Canne</t>
        </is>
      </c>
      <c r="E140" s="37" t="inlineStr">
        <is>
          <t>PTITARD</t>
        </is>
      </c>
      <c r="F140" s="38" t="n">
        <v>0.3</v>
      </c>
      <c r="G140" s="39" t="n">
        <v>10</v>
      </c>
      <c r="H140" s="39" t="n">
        <v>10</v>
      </c>
      <c r="I140" s="29">
        <f>IF(OR(COUNTIF('Suivi des rencontres'!$A:$A,$A140)&gt;0,COUNTIF('Suivi des rencontres'!$C:$C,$J140)&gt;0),"Non","Oui")</f>
        <v/>
      </c>
      <c r="J140" s="30" t="inlineStr">
        <is>
          <t>PTITARD</t>
        </is>
      </c>
    </row>
    <row r="141">
      <c r="A141" s="35" t="inlineStr">
        <is>
          <t>Bois aux Chênes</t>
        </is>
      </c>
      <c r="B141" s="35" t="inlineStr">
        <is>
          <t>IlexForest_hns</t>
        </is>
      </c>
      <c r="C141" s="33" t="inlineStr">
        <is>
          <t>Matin, jour, soir</t>
        </is>
      </c>
      <c r="D141" s="55" t="inlineStr">
        <is>
          <t>Bonne Canne</t>
        </is>
      </c>
      <c r="E141" s="37" t="inlineStr">
        <is>
          <t>PTITARD</t>
        </is>
      </c>
      <c r="F141" s="38" t="n">
        <v>0.8</v>
      </c>
      <c r="G141" s="39" t="n">
        <v>20</v>
      </c>
      <c r="H141" s="39" t="n">
        <v>40</v>
      </c>
      <c r="I141" s="29">
        <f>IF(OR(COUNTIF('Suivi des rencontres'!$A:$A,$A141)&gt;0,COUNTIF('Suivi des rencontres'!$C:$C,$J141)&gt;0),"Non","Oui")</f>
        <v/>
      </c>
      <c r="J141" s="30" t="inlineStr">
        <is>
          <t>PTITARD</t>
        </is>
      </c>
    </row>
    <row r="142">
      <c r="A142" s="35" t="inlineStr">
        <is>
          <t>Bois aux Chênes</t>
        </is>
      </c>
      <c r="B142" s="35" t="inlineStr">
        <is>
          <t>IlexForest_hns</t>
        </is>
      </c>
      <c r="C142" s="33" t="inlineStr">
        <is>
          <t>Matin, jour, soir</t>
        </is>
      </c>
      <c r="D142" s="55" t="inlineStr">
        <is>
          <t>Bonne Canne</t>
        </is>
      </c>
      <c r="E142" s="37" t="inlineStr">
        <is>
          <t>MAGICARPE</t>
        </is>
      </c>
      <c r="F142" s="38" t="n">
        <v>0.2</v>
      </c>
      <c r="G142" s="39" t="n">
        <v>20</v>
      </c>
      <c r="H142" s="39" t="n">
        <v>20</v>
      </c>
      <c r="I142" s="29">
        <f>IF(OR(COUNTIF('Suivi des rencontres'!$A:$A,$A142)&gt;0,COUNTIF('Suivi des rencontres'!$C:$C,$J142)&gt;0),"Non","Oui")</f>
        <v/>
      </c>
      <c r="J142" s="30" t="inlineStr">
        <is>
          <t>MAGICARPE</t>
        </is>
      </c>
    </row>
    <row r="143">
      <c r="A143" s="35" t="inlineStr">
        <is>
          <t>Bois aux Chênes</t>
        </is>
      </c>
      <c r="B143" s="35" t="inlineStr">
        <is>
          <t>IlexForest_hns</t>
        </is>
      </c>
      <c r="C143" s="62" t="inlineStr">
        <is>
          <t>Nuit</t>
        </is>
      </c>
      <c r="D143" s="55" t="inlineStr">
        <is>
          <t>Bonne Canne</t>
        </is>
      </c>
      <c r="E143" s="37" t="inlineStr">
        <is>
          <t>PTITARD</t>
        </is>
      </c>
      <c r="F143" s="38" t="n">
        <v>0.8</v>
      </c>
      <c r="G143" s="39" t="n">
        <v>20</v>
      </c>
      <c r="H143" s="39" t="n">
        <v>40</v>
      </c>
      <c r="I143" s="29">
        <f>IF(OR(COUNTIF('Suivi des rencontres'!$A:$A,$A143)&gt;0,COUNTIF('Suivi des rencontres'!$C:$C,$J143)&gt;0),"Non","Oui")</f>
        <v/>
      </c>
      <c r="J143" s="30" t="inlineStr">
        <is>
          <t>PTITARD</t>
        </is>
      </c>
    </row>
    <row r="144">
      <c r="A144" s="35" t="inlineStr">
        <is>
          <t>Bois aux Chênes</t>
        </is>
      </c>
      <c r="B144" s="35" t="inlineStr">
        <is>
          <t>IlexForest_hns</t>
        </is>
      </c>
      <c r="C144" s="62" t="inlineStr">
        <is>
          <t>Nuit</t>
        </is>
      </c>
      <c r="D144" s="55" t="inlineStr">
        <is>
          <t>Bonne Canne</t>
        </is>
      </c>
      <c r="E144" s="37" t="inlineStr">
        <is>
          <t>MAGICARPE</t>
        </is>
      </c>
      <c r="F144" s="38" t="n">
        <v>0.2</v>
      </c>
      <c r="G144" s="39" t="n">
        <v>20</v>
      </c>
      <c r="H144" s="39" t="n">
        <v>20</v>
      </c>
      <c r="I144" s="29">
        <f>IF(OR(COUNTIF('Suivi des rencontres'!$A:$A,$A144)&gt;0,COUNTIF('Suivi des rencontres'!$C:$C,$J144)&gt;0),"Non","Oui")</f>
        <v/>
      </c>
      <c r="J144" s="30" t="inlineStr">
        <is>
          <t>MAGICARPE</t>
        </is>
      </c>
    </row>
    <row r="145">
      <c r="A145" s="35" t="inlineStr">
        <is>
          <t>Bois aux Chênes</t>
        </is>
      </c>
      <c r="B145" s="35" t="inlineStr">
        <is>
          <t>IlexForest_hns</t>
        </is>
      </c>
      <c r="C145" s="33" t="inlineStr">
        <is>
          <t>Matin, jour, soir</t>
        </is>
      </c>
      <c r="D145" s="56" t="inlineStr">
        <is>
          <t>Super Canne</t>
        </is>
      </c>
      <c r="E145" s="37" t="inlineStr">
        <is>
          <t>MAGICARPE</t>
        </is>
      </c>
      <c r="F145" s="38" t="n">
        <v>0.44</v>
      </c>
      <c r="G145" s="39" t="n">
        <v>10</v>
      </c>
      <c r="H145" s="39" t="n">
        <v>40</v>
      </c>
      <c r="I145" s="29">
        <f>IF(OR(COUNTIF('Suivi des rencontres'!$A:$A,$A145)&gt;0,COUNTIF('Suivi des rencontres'!$C:$C,$J145)&gt;0),"Non","Oui")</f>
        <v/>
      </c>
      <c r="J145" s="30" t="inlineStr">
        <is>
          <t>MAGICARPE</t>
        </is>
      </c>
    </row>
    <row r="146">
      <c r="A146" s="35" t="inlineStr">
        <is>
          <t>Bois aux Chênes</t>
        </is>
      </c>
      <c r="B146" s="35" t="inlineStr">
        <is>
          <t>IlexForest_hns</t>
        </is>
      </c>
      <c r="C146" s="33" t="inlineStr">
        <is>
          <t>Matin, jour, soir</t>
        </is>
      </c>
      <c r="D146" s="56" t="inlineStr">
        <is>
          <t>Super Canne</t>
        </is>
      </c>
      <c r="E146" s="37" t="inlineStr">
        <is>
          <t>TETARTE</t>
        </is>
      </c>
      <c r="F146" s="38" t="n">
        <v>0.4</v>
      </c>
      <c r="G146" s="39" t="n">
        <v>40</v>
      </c>
      <c r="H146" s="39" t="n">
        <v>40</v>
      </c>
      <c r="I146" s="29">
        <f>IF(OR(COUNTIF('Suivi des rencontres'!$A:$A,$A146)&gt;0,COUNTIF('Suivi des rencontres'!$C:$C,$J146)&gt;0),"Non","Oui")</f>
        <v/>
      </c>
      <c r="J146" s="30" t="inlineStr">
        <is>
          <t>PTITARD</t>
        </is>
      </c>
    </row>
    <row r="147">
      <c r="A147" s="35" t="inlineStr">
        <is>
          <t>Bois aux Chênes</t>
        </is>
      </c>
      <c r="B147" s="35" t="inlineStr">
        <is>
          <t>IlexForest_hns</t>
        </is>
      </c>
      <c r="C147" s="33" t="inlineStr">
        <is>
          <t>Matin, jour, soir</t>
        </is>
      </c>
      <c r="D147" s="56" t="inlineStr">
        <is>
          <t>Super Canne</t>
        </is>
      </c>
      <c r="E147" s="37" t="inlineStr">
        <is>
          <t>PTITARD</t>
        </is>
      </c>
      <c r="F147" s="38" t="n">
        <v>0.16</v>
      </c>
      <c r="G147" s="39" t="n">
        <v>20</v>
      </c>
      <c r="H147" s="39" t="n">
        <v>40</v>
      </c>
      <c r="I147" s="29">
        <f>IF(OR(COUNTIF('Suivi des rencontres'!$A:$A,$A147)&gt;0,COUNTIF('Suivi des rencontres'!$C:$C,$J147)&gt;0),"Non","Oui")</f>
        <v/>
      </c>
      <c r="J147" s="30" t="inlineStr">
        <is>
          <t>PTITARD</t>
        </is>
      </c>
    </row>
    <row r="148">
      <c r="A148" s="35" t="inlineStr">
        <is>
          <t>Bois aux Chênes</t>
        </is>
      </c>
      <c r="B148" s="35" t="inlineStr">
        <is>
          <t>IlexForest_hns</t>
        </is>
      </c>
      <c r="C148" s="62" t="inlineStr">
        <is>
          <t>Nuit</t>
        </is>
      </c>
      <c r="D148" s="56" t="inlineStr">
        <is>
          <t>Super Canne</t>
        </is>
      </c>
      <c r="E148" s="37" t="inlineStr">
        <is>
          <t>MAGICARPE</t>
        </is>
      </c>
      <c r="F148" s="38" t="n">
        <v>0.44</v>
      </c>
      <c r="G148" s="39" t="n">
        <v>10</v>
      </c>
      <c r="H148" s="39" t="n">
        <v>40</v>
      </c>
      <c r="I148" s="29">
        <f>IF(OR(COUNTIF('Suivi des rencontres'!$A:$A,$A148)&gt;0,COUNTIF('Suivi des rencontres'!$C:$C,$J148)&gt;0),"Non","Oui")</f>
        <v/>
      </c>
      <c r="J148" s="30" t="inlineStr">
        <is>
          <t>MAGICARPE</t>
        </is>
      </c>
    </row>
    <row r="149">
      <c r="A149" s="35" t="inlineStr">
        <is>
          <t>Bois aux Chênes</t>
        </is>
      </c>
      <c r="B149" s="35" t="inlineStr">
        <is>
          <t>IlexForest_hns</t>
        </is>
      </c>
      <c r="C149" s="62" t="inlineStr">
        <is>
          <t>Nuit</t>
        </is>
      </c>
      <c r="D149" s="56" t="inlineStr">
        <is>
          <t>Super Canne</t>
        </is>
      </c>
      <c r="E149" s="37" t="inlineStr">
        <is>
          <t>TETARTE</t>
        </is>
      </c>
      <c r="F149" s="38" t="n">
        <v>0.4</v>
      </c>
      <c r="G149" s="39" t="n">
        <v>40</v>
      </c>
      <c r="H149" s="39" t="n">
        <v>40</v>
      </c>
      <c r="I149" s="29">
        <f>IF(OR(COUNTIF('Suivi des rencontres'!$A:$A,$A149)&gt;0,COUNTIF('Suivi des rencontres'!$C:$C,$J149)&gt;0),"Non","Oui")</f>
        <v/>
      </c>
      <c r="J149" s="30" t="inlineStr">
        <is>
          <t>PTITARD</t>
        </is>
      </c>
    </row>
    <row r="150">
      <c r="A150" s="35" t="inlineStr">
        <is>
          <t>Bois aux Chênes</t>
        </is>
      </c>
      <c r="B150" s="35" t="inlineStr">
        <is>
          <t>IlexForest_hns</t>
        </is>
      </c>
      <c r="C150" s="62" t="inlineStr">
        <is>
          <t>Nuit</t>
        </is>
      </c>
      <c r="D150" s="56" t="inlineStr">
        <is>
          <t>Super Canne</t>
        </is>
      </c>
      <c r="E150" s="37" t="inlineStr">
        <is>
          <t>PTITARD</t>
        </is>
      </c>
      <c r="F150" s="38" t="n">
        <v>0.16</v>
      </c>
      <c r="G150" s="39" t="n">
        <v>20</v>
      </c>
      <c r="H150" s="39" t="n">
        <v>40</v>
      </c>
      <c r="I150" s="29">
        <f>IF(OR(COUNTIF('Suivi des rencontres'!$A:$A,$A150)&gt;0,COUNTIF('Suivi des rencontres'!$C:$C,$J150)&gt;0),"Non","Oui")</f>
        <v/>
      </c>
      <c r="J150" s="30" t="inlineStr">
        <is>
          <t>PTITARD</t>
        </is>
      </c>
    </row>
    <row r="151">
      <c r="A151" s="40" t="inlineStr">
        <is>
          <t>Bourg Geon</t>
        </is>
      </c>
      <c r="B151" s="40" t="inlineStr">
        <is>
          <t>NewBarkTown_hns</t>
        </is>
      </c>
      <c r="C151" s="41" t="inlineStr">
        <is>
          <t>Matin, jour, soir</t>
        </is>
      </c>
      <c r="D151" s="63" t="inlineStr">
        <is>
          <t>Surf</t>
        </is>
      </c>
      <c r="E151" s="43" t="inlineStr">
        <is>
          <t>TENTACOOL</t>
        </is>
      </c>
      <c r="F151" s="44" t="n">
        <v>1</v>
      </c>
      <c r="G151" s="45" t="n">
        <v>25</v>
      </c>
      <c r="H151" s="45" t="n">
        <v>29</v>
      </c>
      <c r="I151" s="46">
        <f>IF(OR(COUNTIF('Suivi des rencontres'!$A:$A,$A151)&gt;0,COUNTIF('Suivi des rencontres'!$C:$C,$J151)&gt;0),"Non","Oui")</f>
        <v/>
      </c>
      <c r="J151" s="30" t="inlineStr">
        <is>
          <t>TENTACOOL</t>
        </is>
      </c>
    </row>
    <row r="152">
      <c r="A152" s="47" t="inlineStr">
        <is>
          <t>Bourg Geon</t>
        </is>
      </c>
      <c r="B152" s="47" t="inlineStr">
        <is>
          <t>NewBarkTown_hns</t>
        </is>
      </c>
      <c r="C152" s="62" t="inlineStr">
        <is>
          <t>Nuit</t>
        </is>
      </c>
      <c r="D152" s="53" t="inlineStr">
        <is>
          <t>Surf</t>
        </is>
      </c>
      <c r="E152" s="50" t="inlineStr">
        <is>
          <t>TENTACOOL</t>
        </is>
      </c>
      <c r="F152" s="51" t="n">
        <v>1</v>
      </c>
      <c r="G152" s="52" t="n">
        <v>25</v>
      </c>
      <c r="H152" s="52" t="n">
        <v>29</v>
      </c>
      <c r="I152" s="29">
        <f>IF(OR(COUNTIF('Suivi des rencontres'!$A:$A,$A152)&gt;0,COUNTIF('Suivi des rencontres'!$C:$C,$J152)&gt;0),"Non","Oui")</f>
        <v/>
      </c>
      <c r="J152" s="30" t="inlineStr">
        <is>
          <t>TENTACOOL</t>
        </is>
      </c>
    </row>
    <row r="153">
      <c r="A153" s="47" t="inlineStr">
        <is>
          <t>Bourg Geon</t>
        </is>
      </c>
      <c r="B153" s="47" t="inlineStr">
        <is>
          <t>NewBarkTown_hns</t>
        </is>
      </c>
      <c r="C153" s="48" t="inlineStr">
        <is>
          <t>Matin, jour, soir</t>
        </is>
      </c>
      <c r="D153" s="36" t="inlineStr">
        <is>
          <t>Éclate-Roc</t>
        </is>
      </c>
      <c r="E153" s="50" t="inlineStr">
        <is>
          <t>POMDEPIK</t>
        </is>
      </c>
      <c r="F153" s="51" t="n">
        <v>0.6</v>
      </c>
      <c r="G153" s="52" t="n">
        <v>10</v>
      </c>
      <c r="H153" s="52" t="n">
        <v>10</v>
      </c>
      <c r="I153" s="29">
        <f>IF(OR(COUNTIF('Suivi des rencontres'!$A:$A,$A153)&gt;0,COUNTIF('Suivi des rencontres'!$C:$C,$J153)&gt;0),"Non","Oui")</f>
        <v/>
      </c>
      <c r="J153" s="30" t="inlineStr">
        <is>
          <t>POMDEPIK</t>
        </is>
      </c>
    </row>
    <row r="154">
      <c r="A154" s="47" t="inlineStr">
        <is>
          <t>Bourg Geon</t>
        </is>
      </c>
      <c r="B154" s="47" t="inlineStr">
        <is>
          <t>NewBarkTown_hns</t>
        </is>
      </c>
      <c r="C154" s="48" t="inlineStr">
        <is>
          <t>Matin, jour, soir</t>
        </is>
      </c>
      <c r="D154" s="36" t="inlineStr">
        <is>
          <t>Éclate-Roc</t>
        </is>
      </c>
      <c r="E154" s="50" t="inlineStr">
        <is>
          <t>NOEUNOEUF</t>
        </is>
      </c>
      <c r="F154" s="51" t="n">
        <v>0.3</v>
      </c>
      <c r="G154" s="52" t="n">
        <v>10</v>
      </c>
      <c r="H154" s="52" t="n">
        <v>10</v>
      </c>
      <c r="I154" s="29">
        <f>IF(OR(COUNTIF('Suivi des rencontres'!$A:$A,$A154)&gt;0,COUNTIF('Suivi des rencontres'!$C:$C,$J154)&gt;0),"Non","Oui")</f>
        <v/>
      </c>
      <c r="J154" s="30" t="inlineStr">
        <is>
          <t>NOEUNOEUF</t>
        </is>
      </c>
    </row>
    <row r="155">
      <c r="A155" s="47" t="inlineStr">
        <is>
          <t>Bourg Geon</t>
        </is>
      </c>
      <c r="B155" s="47" t="inlineStr">
        <is>
          <t>NewBarkTown_hns</t>
        </is>
      </c>
      <c r="C155" s="48" t="inlineStr">
        <is>
          <t>Matin, jour, soir</t>
        </is>
      </c>
      <c r="D155" s="36" t="inlineStr">
        <is>
          <t>Éclate-Roc</t>
        </is>
      </c>
      <c r="E155" s="50" t="inlineStr">
        <is>
          <t>COXY</t>
        </is>
      </c>
      <c r="F155" s="51" t="n">
        <v>0.05</v>
      </c>
      <c r="G155" s="52" t="n">
        <v>10</v>
      </c>
      <c r="H155" s="52" t="n">
        <v>10</v>
      </c>
      <c r="I155" s="29">
        <f>IF(OR(COUNTIF('Suivi des rencontres'!$A:$A,$A155)&gt;0,COUNTIF('Suivi des rencontres'!$C:$C,$J155)&gt;0),"Non","Oui")</f>
        <v/>
      </c>
      <c r="J155" s="30" t="inlineStr">
        <is>
          <t>COXY</t>
        </is>
      </c>
    </row>
    <row r="156">
      <c r="A156" s="47" t="inlineStr">
        <is>
          <t>Bourg Geon</t>
        </is>
      </c>
      <c r="B156" s="47" t="inlineStr">
        <is>
          <t>NewBarkTown_hns</t>
        </is>
      </c>
      <c r="C156" s="48" t="inlineStr">
        <is>
          <t>Matin, jour, soir</t>
        </is>
      </c>
      <c r="D156" s="36" t="inlineStr">
        <is>
          <t>Éclate-Roc</t>
        </is>
      </c>
      <c r="E156" s="50" t="inlineStr">
        <is>
          <t>MIMIGAL</t>
        </is>
      </c>
      <c r="F156" s="51" t="n">
        <v>0.05</v>
      </c>
      <c r="G156" s="52" t="n">
        <v>10</v>
      </c>
      <c r="H156" s="52" t="n">
        <v>10</v>
      </c>
      <c r="I156" s="29">
        <f>IF(OR(COUNTIF('Suivi des rencontres'!$A:$A,$A156)&gt;0,COUNTIF('Suivi des rencontres'!$C:$C,$J156)&gt;0),"Non","Oui")</f>
        <v/>
      </c>
      <c r="J156" s="30" t="inlineStr">
        <is>
          <t>MIMIGAL</t>
        </is>
      </c>
    </row>
    <row r="157">
      <c r="A157" s="47" t="inlineStr">
        <is>
          <t>Bourg Geon</t>
        </is>
      </c>
      <c r="B157" s="47" t="inlineStr">
        <is>
          <t>NewBarkTown_hns</t>
        </is>
      </c>
      <c r="C157" s="62" t="inlineStr">
        <is>
          <t>Nuit</t>
        </is>
      </c>
      <c r="D157" s="36" t="inlineStr">
        <is>
          <t>Éclate-Roc</t>
        </is>
      </c>
      <c r="E157" s="50" t="inlineStr">
        <is>
          <t>POMDEPIK</t>
        </is>
      </c>
      <c r="F157" s="51" t="n">
        <v>0.6</v>
      </c>
      <c r="G157" s="52" t="n">
        <v>10</v>
      </c>
      <c r="H157" s="52" t="n">
        <v>10</v>
      </c>
      <c r="I157" s="29">
        <f>IF(OR(COUNTIF('Suivi des rencontres'!$A:$A,$A157)&gt;0,COUNTIF('Suivi des rencontres'!$C:$C,$J157)&gt;0),"Non","Oui")</f>
        <v/>
      </c>
      <c r="J157" s="30" t="inlineStr">
        <is>
          <t>POMDEPIK</t>
        </is>
      </c>
    </row>
    <row r="158">
      <c r="A158" s="47" t="inlineStr">
        <is>
          <t>Bourg Geon</t>
        </is>
      </c>
      <c r="B158" s="47" t="inlineStr">
        <is>
          <t>NewBarkTown_hns</t>
        </is>
      </c>
      <c r="C158" s="62" t="inlineStr">
        <is>
          <t>Nuit</t>
        </is>
      </c>
      <c r="D158" s="36" t="inlineStr">
        <is>
          <t>Éclate-Roc</t>
        </is>
      </c>
      <c r="E158" s="50" t="inlineStr">
        <is>
          <t>NOEUNOEUF</t>
        </is>
      </c>
      <c r="F158" s="51" t="n">
        <v>0.3</v>
      </c>
      <c r="G158" s="52" t="n">
        <v>10</v>
      </c>
      <c r="H158" s="52" t="n">
        <v>10</v>
      </c>
      <c r="I158" s="29">
        <f>IF(OR(COUNTIF('Suivi des rencontres'!$A:$A,$A158)&gt;0,COUNTIF('Suivi des rencontres'!$C:$C,$J158)&gt;0),"Non","Oui")</f>
        <v/>
      </c>
      <c r="J158" s="30" t="inlineStr">
        <is>
          <t>NOEUNOEUF</t>
        </is>
      </c>
    </row>
    <row r="159">
      <c r="A159" s="47" t="inlineStr">
        <is>
          <t>Bourg Geon</t>
        </is>
      </c>
      <c r="B159" s="47" t="inlineStr">
        <is>
          <t>NewBarkTown_hns</t>
        </is>
      </c>
      <c r="C159" s="62" t="inlineStr">
        <is>
          <t>Nuit</t>
        </is>
      </c>
      <c r="D159" s="36" t="inlineStr">
        <is>
          <t>Éclate-Roc</t>
        </is>
      </c>
      <c r="E159" s="50" t="inlineStr">
        <is>
          <t>COXY</t>
        </is>
      </c>
      <c r="F159" s="51" t="n">
        <v>0.05</v>
      </c>
      <c r="G159" s="52" t="n">
        <v>10</v>
      </c>
      <c r="H159" s="52" t="n">
        <v>10</v>
      </c>
      <c r="I159" s="29">
        <f>IF(OR(COUNTIF('Suivi des rencontres'!$A:$A,$A159)&gt;0,COUNTIF('Suivi des rencontres'!$C:$C,$J159)&gt;0),"Non","Oui")</f>
        <v/>
      </c>
      <c r="J159" s="30" t="inlineStr">
        <is>
          <t>COXY</t>
        </is>
      </c>
    </row>
    <row r="160">
      <c r="A160" s="47" t="inlineStr">
        <is>
          <t>Bourg Geon</t>
        </is>
      </c>
      <c r="B160" s="47" t="inlineStr">
        <is>
          <t>NewBarkTown_hns</t>
        </is>
      </c>
      <c r="C160" s="62" t="inlineStr">
        <is>
          <t>Nuit</t>
        </is>
      </c>
      <c r="D160" s="36" t="inlineStr">
        <is>
          <t>Éclate-Roc</t>
        </is>
      </c>
      <c r="E160" s="50" t="inlineStr">
        <is>
          <t>MIMIGAL</t>
        </is>
      </c>
      <c r="F160" s="51" t="n">
        <v>0.05</v>
      </c>
      <c r="G160" s="52" t="n">
        <v>10</v>
      </c>
      <c r="H160" s="52" t="n">
        <v>10</v>
      </c>
      <c r="I160" s="29">
        <f>IF(OR(COUNTIF('Suivi des rencontres'!$A:$A,$A160)&gt;0,COUNTIF('Suivi des rencontres'!$C:$C,$J160)&gt;0),"Non","Oui")</f>
        <v/>
      </c>
      <c r="J160" s="30" t="inlineStr">
        <is>
          <t>MIMIGAL</t>
        </is>
      </c>
    </row>
    <row r="161">
      <c r="A161" s="47" t="inlineStr">
        <is>
          <t>Bourg Geon</t>
        </is>
      </c>
      <c r="B161" s="47" t="inlineStr">
        <is>
          <t>NewBarkTown_hns</t>
        </is>
      </c>
      <c r="C161" s="48" t="inlineStr">
        <is>
          <t>Matin, jour, soir</t>
        </is>
      </c>
      <c r="D161" s="54" t="inlineStr">
        <is>
          <t>Vieille Canne</t>
        </is>
      </c>
      <c r="E161" s="50" t="inlineStr">
        <is>
          <t>MAGICARPE</t>
        </is>
      </c>
      <c r="F161" s="51" t="n">
        <v>0.7</v>
      </c>
      <c r="G161" s="52" t="n">
        <v>10</v>
      </c>
      <c r="H161" s="52" t="n">
        <v>10</v>
      </c>
      <c r="I161" s="29">
        <f>IF(OR(COUNTIF('Suivi des rencontres'!$A:$A,$A161)&gt;0,COUNTIF('Suivi des rencontres'!$C:$C,$J161)&gt;0),"Non","Oui")</f>
        <v/>
      </c>
      <c r="J161" s="30" t="inlineStr">
        <is>
          <t>MAGICARPE</t>
        </is>
      </c>
    </row>
    <row r="162">
      <c r="A162" s="47" t="inlineStr">
        <is>
          <t>Bourg Geon</t>
        </is>
      </c>
      <c r="B162" s="47" t="inlineStr">
        <is>
          <t>NewBarkTown_hns</t>
        </is>
      </c>
      <c r="C162" s="48" t="inlineStr">
        <is>
          <t>Matin, jour, soir</t>
        </is>
      </c>
      <c r="D162" s="54" t="inlineStr">
        <is>
          <t>Vieille Canne</t>
        </is>
      </c>
      <c r="E162" s="50" t="inlineStr">
        <is>
          <t>TENTACOOL</t>
        </is>
      </c>
      <c r="F162" s="51" t="n">
        <v>0.3</v>
      </c>
      <c r="G162" s="52" t="n">
        <v>10</v>
      </c>
      <c r="H162" s="52" t="n">
        <v>10</v>
      </c>
      <c r="I162" s="29">
        <f>IF(OR(COUNTIF('Suivi des rencontres'!$A:$A,$A162)&gt;0,COUNTIF('Suivi des rencontres'!$C:$C,$J162)&gt;0),"Non","Oui")</f>
        <v/>
      </c>
      <c r="J162" s="30" t="inlineStr">
        <is>
          <t>TENTACOOL</t>
        </is>
      </c>
    </row>
    <row r="163">
      <c r="A163" s="47" t="inlineStr">
        <is>
          <t>Bourg Geon</t>
        </is>
      </c>
      <c r="B163" s="47" t="inlineStr">
        <is>
          <t>NewBarkTown_hns</t>
        </is>
      </c>
      <c r="C163" s="62" t="inlineStr">
        <is>
          <t>Nuit</t>
        </is>
      </c>
      <c r="D163" s="54" t="inlineStr">
        <is>
          <t>Vieille Canne</t>
        </is>
      </c>
      <c r="E163" s="50" t="inlineStr">
        <is>
          <t>MAGICARPE</t>
        </is>
      </c>
      <c r="F163" s="51" t="n">
        <v>0.7</v>
      </c>
      <c r="G163" s="52" t="n">
        <v>10</v>
      </c>
      <c r="H163" s="52" t="n">
        <v>10</v>
      </c>
      <c r="I163" s="29">
        <f>IF(OR(COUNTIF('Suivi des rencontres'!$A:$A,$A163)&gt;0,COUNTIF('Suivi des rencontres'!$C:$C,$J163)&gt;0),"Non","Oui")</f>
        <v/>
      </c>
      <c r="J163" s="30" t="inlineStr">
        <is>
          <t>MAGICARPE</t>
        </is>
      </c>
    </row>
    <row r="164">
      <c r="A164" s="47" t="inlineStr">
        <is>
          <t>Bourg Geon</t>
        </is>
      </c>
      <c r="B164" s="47" t="inlineStr">
        <is>
          <t>NewBarkTown_hns</t>
        </is>
      </c>
      <c r="C164" s="62" t="inlineStr">
        <is>
          <t>Nuit</t>
        </is>
      </c>
      <c r="D164" s="54" t="inlineStr">
        <is>
          <t>Vieille Canne</t>
        </is>
      </c>
      <c r="E164" s="50" t="inlineStr">
        <is>
          <t>TENTACOOL</t>
        </is>
      </c>
      <c r="F164" s="51" t="n">
        <v>0.3</v>
      </c>
      <c r="G164" s="52" t="n">
        <v>10</v>
      </c>
      <c r="H164" s="52" t="n">
        <v>10</v>
      </c>
      <c r="I164" s="29">
        <f>IF(OR(COUNTIF('Suivi des rencontres'!$A:$A,$A164)&gt;0,COUNTIF('Suivi des rencontres'!$C:$C,$J164)&gt;0),"Non","Oui")</f>
        <v/>
      </c>
      <c r="J164" s="30" t="inlineStr">
        <is>
          <t>TENTACOOL</t>
        </is>
      </c>
    </row>
    <row r="165">
      <c r="A165" s="47" t="inlineStr">
        <is>
          <t>Bourg Geon</t>
        </is>
      </c>
      <c r="B165" s="47" t="inlineStr">
        <is>
          <t>NewBarkTown_hns</t>
        </is>
      </c>
      <c r="C165" s="48" t="inlineStr">
        <is>
          <t>Matin, jour, soir</t>
        </is>
      </c>
      <c r="D165" s="55" t="inlineStr">
        <is>
          <t>Bonne Canne</t>
        </is>
      </c>
      <c r="E165" s="50" t="inlineStr">
        <is>
          <t>MAGICARPE</t>
        </is>
      </c>
      <c r="F165" s="51" t="n">
        <v>0.6</v>
      </c>
      <c r="G165" s="52" t="n">
        <v>20</v>
      </c>
      <c r="H165" s="52" t="n">
        <v>20</v>
      </c>
      <c r="I165" s="29">
        <f>IF(OR(COUNTIF('Suivi des rencontres'!$A:$A,$A165)&gt;0,COUNTIF('Suivi des rencontres'!$C:$C,$J165)&gt;0),"Non","Oui")</f>
        <v/>
      </c>
      <c r="J165" s="30" t="inlineStr">
        <is>
          <t>MAGICARPE</t>
        </is>
      </c>
    </row>
    <row r="166">
      <c r="A166" s="47" t="inlineStr">
        <is>
          <t>Bourg Geon</t>
        </is>
      </c>
      <c r="B166" s="47" t="inlineStr">
        <is>
          <t>NewBarkTown_hns</t>
        </is>
      </c>
      <c r="C166" s="48" t="inlineStr">
        <is>
          <t>Matin, jour, soir</t>
        </is>
      </c>
      <c r="D166" s="55" t="inlineStr">
        <is>
          <t>Bonne Canne</t>
        </is>
      </c>
      <c r="E166" s="50" t="inlineStr">
        <is>
          <t>LOUPIO</t>
        </is>
      </c>
      <c r="F166" s="51" t="n">
        <v>0.2</v>
      </c>
      <c r="G166" s="52" t="n">
        <v>20</v>
      </c>
      <c r="H166" s="52" t="n">
        <v>20</v>
      </c>
      <c r="I166" s="29">
        <f>IF(OR(COUNTIF('Suivi des rencontres'!$A:$A,$A166)&gt;0,COUNTIF('Suivi des rencontres'!$C:$C,$J166)&gt;0),"Non","Oui")</f>
        <v/>
      </c>
      <c r="J166" s="30" t="inlineStr">
        <is>
          <t>LOUPIO</t>
        </is>
      </c>
    </row>
    <row r="167">
      <c r="A167" s="47" t="inlineStr">
        <is>
          <t>Bourg Geon</t>
        </is>
      </c>
      <c r="B167" s="47" t="inlineStr">
        <is>
          <t>NewBarkTown_hns</t>
        </is>
      </c>
      <c r="C167" s="48" t="inlineStr">
        <is>
          <t>Matin, jour, soir</t>
        </is>
      </c>
      <c r="D167" s="55" t="inlineStr">
        <is>
          <t>Bonne Canne</t>
        </is>
      </c>
      <c r="E167" s="50" t="inlineStr">
        <is>
          <t>TENTACOOL</t>
        </is>
      </c>
      <c r="F167" s="51" t="n">
        <v>0.2</v>
      </c>
      <c r="G167" s="52" t="n">
        <v>20</v>
      </c>
      <c r="H167" s="52" t="n">
        <v>20</v>
      </c>
      <c r="I167" s="29">
        <f>IF(OR(COUNTIF('Suivi des rencontres'!$A:$A,$A167)&gt;0,COUNTIF('Suivi des rencontres'!$C:$C,$J167)&gt;0),"Non","Oui")</f>
        <v/>
      </c>
      <c r="J167" s="30" t="inlineStr">
        <is>
          <t>TENTACOOL</t>
        </is>
      </c>
    </row>
    <row r="168">
      <c r="A168" s="47" t="inlineStr">
        <is>
          <t>Bourg Geon</t>
        </is>
      </c>
      <c r="B168" s="47" t="inlineStr">
        <is>
          <t>NewBarkTown_hns</t>
        </is>
      </c>
      <c r="C168" s="62" t="inlineStr">
        <is>
          <t>Nuit</t>
        </is>
      </c>
      <c r="D168" s="55" t="inlineStr">
        <is>
          <t>Bonne Canne</t>
        </is>
      </c>
      <c r="E168" s="50" t="inlineStr">
        <is>
          <t>MAGICARPE</t>
        </is>
      </c>
      <c r="F168" s="51" t="n">
        <v>0.6</v>
      </c>
      <c r="G168" s="52" t="n">
        <v>20</v>
      </c>
      <c r="H168" s="52" t="n">
        <v>20</v>
      </c>
      <c r="I168" s="29">
        <f>IF(OR(COUNTIF('Suivi des rencontres'!$A:$A,$A168)&gt;0,COUNTIF('Suivi des rencontres'!$C:$C,$J168)&gt;0),"Non","Oui")</f>
        <v/>
      </c>
      <c r="J168" s="30" t="inlineStr">
        <is>
          <t>MAGICARPE</t>
        </is>
      </c>
    </row>
    <row r="169">
      <c r="A169" s="47" t="inlineStr">
        <is>
          <t>Bourg Geon</t>
        </is>
      </c>
      <c r="B169" s="47" t="inlineStr">
        <is>
          <t>NewBarkTown_hns</t>
        </is>
      </c>
      <c r="C169" s="62" t="inlineStr">
        <is>
          <t>Nuit</t>
        </is>
      </c>
      <c r="D169" s="55" t="inlineStr">
        <is>
          <t>Bonne Canne</t>
        </is>
      </c>
      <c r="E169" s="50" t="inlineStr">
        <is>
          <t>LOUPIO</t>
        </is>
      </c>
      <c r="F169" s="51" t="n">
        <v>0.2</v>
      </c>
      <c r="G169" s="52" t="n">
        <v>20</v>
      </c>
      <c r="H169" s="52" t="n">
        <v>20</v>
      </c>
      <c r="I169" s="29">
        <f>IF(OR(COUNTIF('Suivi des rencontres'!$A:$A,$A169)&gt;0,COUNTIF('Suivi des rencontres'!$C:$C,$J169)&gt;0),"Non","Oui")</f>
        <v/>
      </c>
      <c r="J169" s="30" t="inlineStr">
        <is>
          <t>LOUPIO</t>
        </is>
      </c>
    </row>
    <row r="170">
      <c r="A170" s="47" t="inlineStr">
        <is>
          <t>Bourg Geon</t>
        </is>
      </c>
      <c r="B170" s="47" t="inlineStr">
        <is>
          <t>NewBarkTown_hns</t>
        </is>
      </c>
      <c r="C170" s="62" t="inlineStr">
        <is>
          <t>Nuit</t>
        </is>
      </c>
      <c r="D170" s="55" t="inlineStr">
        <is>
          <t>Bonne Canne</t>
        </is>
      </c>
      <c r="E170" s="50" t="inlineStr">
        <is>
          <t>TENTACOOL</t>
        </is>
      </c>
      <c r="F170" s="51" t="n">
        <v>0.2</v>
      </c>
      <c r="G170" s="52" t="n">
        <v>20</v>
      </c>
      <c r="H170" s="52" t="n">
        <v>20</v>
      </c>
      <c r="I170" s="29">
        <f>IF(OR(COUNTIF('Suivi des rencontres'!$A:$A,$A170)&gt;0,COUNTIF('Suivi des rencontres'!$C:$C,$J170)&gt;0),"Non","Oui")</f>
        <v/>
      </c>
      <c r="J170" s="30" t="inlineStr">
        <is>
          <t>TENTACOOL</t>
        </is>
      </c>
    </row>
    <row r="171">
      <c r="A171" s="47" t="inlineStr">
        <is>
          <t>Bourg Geon</t>
        </is>
      </c>
      <c r="B171" s="47" t="inlineStr">
        <is>
          <t>NewBarkTown_hns</t>
        </is>
      </c>
      <c r="C171" s="48" t="inlineStr">
        <is>
          <t>Matin, jour, soir</t>
        </is>
      </c>
      <c r="D171" s="56" t="inlineStr">
        <is>
          <t>Super Canne</t>
        </is>
      </c>
      <c r="E171" s="50" t="inlineStr">
        <is>
          <t>KOKIYAS</t>
        </is>
      </c>
      <c r="F171" s="51" t="n">
        <v>0.55</v>
      </c>
      <c r="G171" s="52" t="n">
        <v>20</v>
      </c>
      <c r="H171" s="52" t="n">
        <v>40</v>
      </c>
      <c r="I171" s="29">
        <f>IF(OR(COUNTIF('Suivi des rencontres'!$A:$A,$A171)&gt;0,COUNTIF('Suivi des rencontres'!$C:$C,$J171)&gt;0),"Non","Oui")</f>
        <v/>
      </c>
      <c r="J171" s="30" t="inlineStr">
        <is>
          <t>KOKIYAS</t>
        </is>
      </c>
    </row>
    <row r="172">
      <c r="A172" s="47" t="inlineStr">
        <is>
          <t>Bourg Geon</t>
        </is>
      </c>
      <c r="B172" s="47" t="inlineStr">
        <is>
          <t>NewBarkTown_hns</t>
        </is>
      </c>
      <c r="C172" s="48" t="inlineStr">
        <is>
          <t>Matin, jour, soir</t>
        </is>
      </c>
      <c r="D172" s="56" t="inlineStr">
        <is>
          <t>Super Canne</t>
        </is>
      </c>
      <c r="E172" s="50" t="inlineStr">
        <is>
          <t>LOUPIO</t>
        </is>
      </c>
      <c r="F172" s="51" t="n">
        <v>0.4</v>
      </c>
      <c r="G172" s="52" t="n">
        <v>40</v>
      </c>
      <c r="H172" s="52" t="n">
        <v>40</v>
      </c>
      <c r="I172" s="29">
        <f>IF(OR(COUNTIF('Suivi des rencontres'!$A:$A,$A172)&gt;0,COUNTIF('Suivi des rencontres'!$C:$C,$J172)&gt;0),"Non","Oui")</f>
        <v/>
      </c>
      <c r="J172" s="30" t="inlineStr">
        <is>
          <t>LOUPIO</t>
        </is>
      </c>
    </row>
    <row r="173">
      <c r="A173" s="47" t="inlineStr">
        <is>
          <t>Bourg Geon</t>
        </is>
      </c>
      <c r="B173" s="47" t="inlineStr">
        <is>
          <t>NewBarkTown_hns</t>
        </is>
      </c>
      <c r="C173" s="48" t="inlineStr">
        <is>
          <t>Matin, jour, soir</t>
        </is>
      </c>
      <c r="D173" s="56" t="inlineStr">
        <is>
          <t>Super Canne</t>
        </is>
      </c>
      <c r="E173" s="50" t="inlineStr">
        <is>
          <t>TENTACRUEL</t>
        </is>
      </c>
      <c r="F173" s="51" t="n">
        <v>0.04</v>
      </c>
      <c r="G173" s="52" t="n">
        <v>40</v>
      </c>
      <c r="H173" s="52" t="n">
        <v>40</v>
      </c>
      <c r="I173" s="29">
        <f>IF(OR(COUNTIF('Suivi des rencontres'!$A:$A,$A173)&gt;0,COUNTIF('Suivi des rencontres'!$C:$C,$J173)&gt;0),"Non","Oui")</f>
        <v/>
      </c>
      <c r="J173" s="30" t="inlineStr">
        <is>
          <t>TENTACOOL</t>
        </is>
      </c>
    </row>
    <row r="174">
      <c r="A174" s="47" t="inlineStr">
        <is>
          <t>Bourg Geon</t>
        </is>
      </c>
      <c r="B174" s="47" t="inlineStr">
        <is>
          <t>NewBarkTown_hns</t>
        </is>
      </c>
      <c r="C174" s="48" t="inlineStr">
        <is>
          <t>Matin, jour, soir</t>
        </is>
      </c>
      <c r="D174" s="56" t="inlineStr">
        <is>
          <t>Super Canne</t>
        </is>
      </c>
      <c r="E174" s="50" t="inlineStr">
        <is>
          <t>LANTURN</t>
        </is>
      </c>
      <c r="F174" s="51" t="n">
        <v>0.01</v>
      </c>
      <c r="G174" s="52" t="n">
        <v>40</v>
      </c>
      <c r="H174" s="52" t="n">
        <v>40</v>
      </c>
      <c r="I174" s="29">
        <f>IF(OR(COUNTIF('Suivi des rencontres'!$A:$A,$A174)&gt;0,COUNTIF('Suivi des rencontres'!$C:$C,$J174)&gt;0),"Non","Oui")</f>
        <v/>
      </c>
      <c r="J174" s="30" t="inlineStr">
        <is>
          <t>LOUPIO</t>
        </is>
      </c>
    </row>
    <row r="175">
      <c r="A175" s="47" t="inlineStr">
        <is>
          <t>Bourg Geon</t>
        </is>
      </c>
      <c r="B175" s="47" t="inlineStr">
        <is>
          <t>NewBarkTown_hns</t>
        </is>
      </c>
      <c r="C175" s="62" t="inlineStr">
        <is>
          <t>Nuit</t>
        </is>
      </c>
      <c r="D175" s="56" t="inlineStr">
        <is>
          <t>Super Canne</t>
        </is>
      </c>
      <c r="E175" s="50" t="inlineStr">
        <is>
          <t>KOKIYAS</t>
        </is>
      </c>
      <c r="F175" s="51" t="n">
        <v>0.55</v>
      </c>
      <c r="G175" s="52" t="n">
        <v>20</v>
      </c>
      <c r="H175" s="52" t="n">
        <v>40</v>
      </c>
      <c r="I175" s="29">
        <f>IF(OR(COUNTIF('Suivi des rencontres'!$A:$A,$A175)&gt;0,COUNTIF('Suivi des rencontres'!$C:$C,$J175)&gt;0),"Non","Oui")</f>
        <v/>
      </c>
      <c r="J175" s="30" t="inlineStr">
        <is>
          <t>KOKIYAS</t>
        </is>
      </c>
    </row>
    <row r="176">
      <c r="A176" s="47" t="inlineStr">
        <is>
          <t>Bourg Geon</t>
        </is>
      </c>
      <c r="B176" s="47" t="inlineStr">
        <is>
          <t>NewBarkTown_hns</t>
        </is>
      </c>
      <c r="C176" s="62" t="inlineStr">
        <is>
          <t>Nuit</t>
        </is>
      </c>
      <c r="D176" s="56" t="inlineStr">
        <is>
          <t>Super Canne</t>
        </is>
      </c>
      <c r="E176" s="50" t="inlineStr">
        <is>
          <t>LOUPIO</t>
        </is>
      </c>
      <c r="F176" s="51" t="n">
        <v>0.4</v>
      </c>
      <c r="G176" s="52" t="n">
        <v>40</v>
      </c>
      <c r="H176" s="52" t="n">
        <v>40</v>
      </c>
      <c r="I176" s="29">
        <f>IF(OR(COUNTIF('Suivi des rencontres'!$A:$A,$A176)&gt;0,COUNTIF('Suivi des rencontres'!$C:$C,$J176)&gt;0),"Non","Oui")</f>
        <v/>
      </c>
      <c r="J176" s="30" t="inlineStr">
        <is>
          <t>LOUPIO</t>
        </is>
      </c>
    </row>
    <row r="177">
      <c r="A177" s="47" t="inlineStr">
        <is>
          <t>Bourg Geon</t>
        </is>
      </c>
      <c r="B177" s="47" t="inlineStr">
        <is>
          <t>NewBarkTown_hns</t>
        </is>
      </c>
      <c r="C177" s="62" t="inlineStr">
        <is>
          <t>Nuit</t>
        </is>
      </c>
      <c r="D177" s="56" t="inlineStr">
        <is>
          <t>Super Canne</t>
        </is>
      </c>
      <c r="E177" s="50" t="inlineStr">
        <is>
          <t>TENTACRUEL</t>
        </is>
      </c>
      <c r="F177" s="51" t="n">
        <v>0.04</v>
      </c>
      <c r="G177" s="52" t="n">
        <v>40</v>
      </c>
      <c r="H177" s="52" t="n">
        <v>40</v>
      </c>
      <c r="I177" s="29">
        <f>IF(OR(COUNTIF('Suivi des rencontres'!$A:$A,$A177)&gt;0,COUNTIF('Suivi des rencontres'!$C:$C,$J177)&gt;0),"Non","Oui")</f>
        <v/>
      </c>
      <c r="J177" s="30" t="inlineStr">
        <is>
          <t>TENTACOOL</t>
        </is>
      </c>
    </row>
    <row r="178">
      <c r="A178" s="47" t="inlineStr">
        <is>
          <t>Bourg Geon</t>
        </is>
      </c>
      <c r="B178" s="47" t="inlineStr">
        <is>
          <t>NewBarkTown_hns</t>
        </is>
      </c>
      <c r="C178" s="62" t="inlineStr">
        <is>
          <t>Nuit</t>
        </is>
      </c>
      <c r="D178" s="56" t="inlineStr">
        <is>
          <t>Super Canne</t>
        </is>
      </c>
      <c r="E178" s="50" t="inlineStr">
        <is>
          <t>LANTURN</t>
        </is>
      </c>
      <c r="F178" s="51" t="n">
        <v>0.01</v>
      </c>
      <c r="G178" s="52" t="n">
        <v>40</v>
      </c>
      <c r="H178" s="52" t="n">
        <v>40</v>
      </c>
      <c r="I178" s="29">
        <f>IF(OR(COUNTIF('Suivi des rencontres'!$A:$A,$A178)&gt;0,COUNTIF('Suivi des rencontres'!$C:$C,$J178)&gt;0),"Non","Oui")</f>
        <v/>
      </c>
      <c r="J178" s="30" t="inlineStr">
        <is>
          <t>LOUPIO</t>
        </is>
      </c>
    </row>
    <row r="179">
      <c r="A179" s="57" t="inlineStr">
        <is>
          <t>Bourg Palette</t>
        </is>
      </c>
      <c r="B179" s="57" t="inlineStr">
        <is>
          <t>PalletTown_hns</t>
        </is>
      </c>
      <c r="C179" s="58" t="inlineStr">
        <is>
          <t>Toute la journée</t>
        </is>
      </c>
      <c r="D179" s="64" t="inlineStr">
        <is>
          <t>Éclate-Roc</t>
        </is>
      </c>
      <c r="E179" s="59" t="inlineStr">
        <is>
          <t>POMDEPIK</t>
        </is>
      </c>
      <c r="F179" s="60" t="n">
        <v>0.6</v>
      </c>
      <c r="G179" s="61" t="n">
        <v>41</v>
      </c>
      <c r="H179" s="61" t="n">
        <v>43</v>
      </c>
      <c r="I179" s="46">
        <f>IF(OR(COUNTIF('Suivi des rencontres'!$A:$A,$A179)&gt;0,COUNTIF('Suivi des rencontres'!$C:$C,$J179)&gt;0),"Non","Oui")</f>
        <v/>
      </c>
      <c r="J179" s="30" t="inlineStr">
        <is>
          <t>POMDEPIK</t>
        </is>
      </c>
    </row>
    <row r="180">
      <c r="A180" s="35" t="inlineStr">
        <is>
          <t>Bourg Palette</t>
        </is>
      </c>
      <c r="B180" s="35" t="inlineStr">
        <is>
          <t>PalletTown_hns</t>
        </is>
      </c>
      <c r="C180" s="33" t="inlineStr">
        <is>
          <t>Toute la journée</t>
        </is>
      </c>
      <c r="D180" s="36" t="inlineStr">
        <is>
          <t>Éclate-Roc</t>
        </is>
      </c>
      <c r="E180" s="37" t="inlineStr">
        <is>
          <t>NOEUNOEUF</t>
        </is>
      </c>
      <c r="F180" s="38" t="n">
        <v>0.3</v>
      </c>
      <c r="G180" s="39" t="n">
        <v>41</v>
      </c>
      <c r="H180" s="39" t="n">
        <v>43</v>
      </c>
      <c r="I180" s="29">
        <f>IF(OR(COUNTIF('Suivi des rencontres'!$A:$A,$A180)&gt;0,COUNTIF('Suivi des rencontres'!$C:$C,$J180)&gt;0),"Non","Oui")</f>
        <v/>
      </c>
      <c r="J180" s="30" t="inlineStr">
        <is>
          <t>NOEUNOEUF</t>
        </is>
      </c>
    </row>
    <row r="181">
      <c r="A181" s="35" t="inlineStr">
        <is>
          <t>Bourg Palette</t>
        </is>
      </c>
      <c r="B181" s="35" t="inlineStr">
        <is>
          <t>PalletTown_hns</t>
        </is>
      </c>
      <c r="C181" s="33" t="inlineStr">
        <is>
          <t>Toute la journée</t>
        </is>
      </c>
      <c r="D181" s="36" t="inlineStr">
        <is>
          <t>Éclate-Roc</t>
        </is>
      </c>
      <c r="E181" s="37" t="inlineStr">
        <is>
          <t>COXY</t>
        </is>
      </c>
      <c r="F181" s="38" t="n">
        <v>0.05</v>
      </c>
      <c r="G181" s="39" t="n">
        <v>41</v>
      </c>
      <c r="H181" s="39" t="n">
        <v>43</v>
      </c>
      <c r="I181" s="29">
        <f>IF(OR(COUNTIF('Suivi des rencontres'!$A:$A,$A181)&gt;0,COUNTIF('Suivi des rencontres'!$C:$C,$J181)&gt;0),"Non","Oui")</f>
        <v/>
      </c>
      <c r="J181" s="30" t="inlineStr">
        <is>
          <t>COXY</t>
        </is>
      </c>
    </row>
    <row r="182">
      <c r="A182" s="35" t="inlineStr">
        <is>
          <t>Bourg Palette</t>
        </is>
      </c>
      <c r="B182" s="35" t="inlineStr">
        <is>
          <t>PalletTown_hns</t>
        </is>
      </c>
      <c r="C182" s="33" t="inlineStr">
        <is>
          <t>Toute la journée</t>
        </is>
      </c>
      <c r="D182" s="36" t="inlineStr">
        <is>
          <t>Éclate-Roc</t>
        </is>
      </c>
      <c r="E182" s="37" t="inlineStr">
        <is>
          <t>MIMIGAL</t>
        </is>
      </c>
      <c r="F182" s="38" t="n">
        <v>0.05</v>
      </c>
      <c r="G182" s="39" t="n">
        <v>41</v>
      </c>
      <c r="H182" s="39" t="n">
        <v>43</v>
      </c>
      <c r="I182" s="29">
        <f>IF(OR(COUNTIF('Suivi des rencontres'!$A:$A,$A182)&gt;0,COUNTIF('Suivi des rencontres'!$C:$C,$J182)&gt;0),"Non","Oui")</f>
        <v/>
      </c>
      <c r="J182" s="30" t="inlineStr">
        <is>
          <t>MIMIGAL</t>
        </is>
      </c>
    </row>
    <row r="183">
      <c r="A183" s="35" t="inlineStr">
        <is>
          <t>Bourg Palette</t>
        </is>
      </c>
      <c r="B183" s="35" t="inlineStr">
        <is>
          <t>PalletTown_hns</t>
        </is>
      </c>
      <c r="C183" s="33" t="inlineStr">
        <is>
          <t>Toute la journée</t>
        </is>
      </c>
      <c r="D183" s="54" t="inlineStr">
        <is>
          <t>Vieille Canne</t>
        </is>
      </c>
      <c r="E183" s="37" t="inlineStr">
        <is>
          <t>MAGICARPE</t>
        </is>
      </c>
      <c r="F183" s="38" t="n">
        <v>0.7</v>
      </c>
      <c r="G183" s="39" t="n">
        <v>41</v>
      </c>
      <c r="H183" s="39" t="n">
        <v>43</v>
      </c>
      <c r="I183" s="29">
        <f>IF(OR(COUNTIF('Suivi des rencontres'!$A:$A,$A183)&gt;0,COUNTIF('Suivi des rencontres'!$C:$C,$J183)&gt;0),"Non","Oui")</f>
        <v/>
      </c>
      <c r="J183" s="30" t="inlineStr">
        <is>
          <t>MAGICARPE</t>
        </is>
      </c>
    </row>
    <row r="184">
      <c r="A184" s="35" t="inlineStr">
        <is>
          <t>Bourg Palette</t>
        </is>
      </c>
      <c r="B184" s="35" t="inlineStr">
        <is>
          <t>PalletTown_hns</t>
        </is>
      </c>
      <c r="C184" s="33" t="inlineStr">
        <is>
          <t>Toute la journée</t>
        </is>
      </c>
      <c r="D184" s="54" t="inlineStr">
        <is>
          <t>Vieille Canne</t>
        </is>
      </c>
      <c r="E184" s="37" t="inlineStr">
        <is>
          <t>TENTACOOL</t>
        </is>
      </c>
      <c r="F184" s="38" t="n">
        <v>0.3</v>
      </c>
      <c r="G184" s="39" t="n">
        <v>41</v>
      </c>
      <c r="H184" s="39" t="n">
        <v>43</v>
      </c>
      <c r="I184" s="29">
        <f>IF(OR(COUNTIF('Suivi des rencontres'!$A:$A,$A184)&gt;0,COUNTIF('Suivi des rencontres'!$C:$C,$J184)&gt;0),"Non","Oui")</f>
        <v/>
      </c>
      <c r="J184" s="30" t="inlineStr">
        <is>
          <t>TENTACOOL</t>
        </is>
      </c>
    </row>
    <row r="185">
      <c r="A185" s="35" t="inlineStr">
        <is>
          <t>Bourg Palette</t>
        </is>
      </c>
      <c r="B185" s="35" t="inlineStr">
        <is>
          <t>PalletTown_hns</t>
        </is>
      </c>
      <c r="C185" s="33" t="inlineStr">
        <is>
          <t>Toute la journée</t>
        </is>
      </c>
      <c r="D185" s="55" t="inlineStr">
        <is>
          <t>Bonne Canne</t>
        </is>
      </c>
      <c r="E185" s="37" t="inlineStr">
        <is>
          <t>MAGICARPE</t>
        </is>
      </c>
      <c r="F185" s="38" t="n">
        <v>0.6</v>
      </c>
      <c r="G185" s="39" t="n">
        <v>42</v>
      </c>
      <c r="H185" s="39" t="n">
        <v>44</v>
      </c>
      <c r="I185" s="29">
        <f>IF(OR(COUNTIF('Suivi des rencontres'!$A:$A,$A185)&gt;0,COUNTIF('Suivi des rencontres'!$C:$C,$J185)&gt;0),"Non","Oui")</f>
        <v/>
      </c>
      <c r="J185" s="30" t="inlineStr">
        <is>
          <t>MAGICARPE</t>
        </is>
      </c>
    </row>
    <row r="186">
      <c r="A186" s="35" t="inlineStr">
        <is>
          <t>Bourg Palette</t>
        </is>
      </c>
      <c r="B186" s="35" t="inlineStr">
        <is>
          <t>PalletTown_hns</t>
        </is>
      </c>
      <c r="C186" s="33" t="inlineStr">
        <is>
          <t>Toute la journée</t>
        </is>
      </c>
      <c r="D186" s="55" t="inlineStr">
        <is>
          <t>Bonne Canne</t>
        </is>
      </c>
      <c r="E186" s="37" t="inlineStr">
        <is>
          <t>ECRAPINCE</t>
        </is>
      </c>
      <c r="F186" s="38" t="n">
        <v>0.2</v>
      </c>
      <c r="G186" s="39" t="n">
        <v>42</v>
      </c>
      <c r="H186" s="39" t="n">
        <v>44</v>
      </c>
      <c r="I186" s="29">
        <f>IF(OR(COUNTIF('Suivi des rencontres'!$A:$A,$A186)&gt;0,COUNTIF('Suivi des rencontres'!$C:$C,$J186)&gt;0),"Non","Oui")</f>
        <v/>
      </c>
      <c r="J186" s="30" t="inlineStr">
        <is>
          <t>ECRAPINCE</t>
        </is>
      </c>
    </row>
    <row r="187">
      <c r="A187" s="35" t="inlineStr">
        <is>
          <t>Bourg Palette</t>
        </is>
      </c>
      <c r="B187" s="35" t="inlineStr">
        <is>
          <t>PalletTown_hns</t>
        </is>
      </c>
      <c r="C187" s="33" t="inlineStr">
        <is>
          <t>Toute la journée</t>
        </is>
      </c>
      <c r="D187" s="55" t="inlineStr">
        <is>
          <t>Bonne Canne</t>
        </is>
      </c>
      <c r="E187" s="37" t="inlineStr">
        <is>
          <t>TENTACOOL</t>
        </is>
      </c>
      <c r="F187" s="38" t="n">
        <v>0.2</v>
      </c>
      <c r="G187" s="39" t="n">
        <v>42</v>
      </c>
      <c r="H187" s="39" t="n">
        <v>44</v>
      </c>
      <c r="I187" s="29">
        <f>IF(OR(COUNTIF('Suivi des rencontres'!$A:$A,$A187)&gt;0,COUNTIF('Suivi des rencontres'!$C:$C,$J187)&gt;0),"Non","Oui")</f>
        <v/>
      </c>
      <c r="J187" s="30" t="inlineStr">
        <is>
          <t>TENTACOOL</t>
        </is>
      </c>
    </row>
    <row r="188">
      <c r="A188" s="35" t="inlineStr">
        <is>
          <t>Bourg Palette</t>
        </is>
      </c>
      <c r="B188" s="35" t="inlineStr">
        <is>
          <t>PalletTown_hns</t>
        </is>
      </c>
      <c r="C188" s="33" t="inlineStr">
        <is>
          <t>Toute la journée</t>
        </is>
      </c>
      <c r="D188" s="56" t="inlineStr">
        <is>
          <t>Super Canne</t>
        </is>
      </c>
      <c r="E188" s="37" t="inlineStr">
        <is>
          <t>MARAISTE</t>
        </is>
      </c>
      <c r="F188" s="38" t="n">
        <v>0.8</v>
      </c>
      <c r="G188" s="39" t="n">
        <v>40</v>
      </c>
      <c r="H188" s="39" t="n">
        <v>44</v>
      </c>
      <c r="I188" s="29">
        <f>IF(OR(COUNTIF('Suivi des rencontres'!$A:$A,$A188)&gt;0,COUNTIF('Suivi des rencontres'!$C:$C,$J188)&gt;0),"Non","Oui")</f>
        <v/>
      </c>
      <c r="J188" s="30" t="inlineStr">
        <is>
          <t>AXOLOTO</t>
        </is>
      </c>
    </row>
    <row r="189">
      <c r="A189" s="35" t="inlineStr">
        <is>
          <t>Bourg Palette</t>
        </is>
      </c>
      <c r="B189" s="35" t="inlineStr">
        <is>
          <t>PalletTown_hns</t>
        </is>
      </c>
      <c r="C189" s="33" t="inlineStr">
        <is>
          <t>Toute la journée</t>
        </is>
      </c>
      <c r="D189" s="56" t="inlineStr">
        <is>
          <t>Super Canne</t>
        </is>
      </c>
      <c r="E189" s="37" t="inlineStr">
        <is>
          <t>ECRAPINCE</t>
        </is>
      </c>
      <c r="F189" s="38" t="n">
        <v>0.2</v>
      </c>
      <c r="G189" s="39" t="n">
        <v>40</v>
      </c>
      <c r="H189" s="39" t="n">
        <v>40</v>
      </c>
      <c r="I189" s="29">
        <f>IF(OR(COUNTIF('Suivi des rencontres'!$A:$A,$A189)&gt;0,COUNTIF('Suivi des rencontres'!$C:$C,$J189)&gt;0),"Non","Oui")</f>
        <v/>
      </c>
      <c r="J189" s="30" t="inlineStr">
        <is>
          <t>ECRAPINCE</t>
        </is>
      </c>
    </row>
    <row r="190">
      <c r="A190" s="40" t="inlineStr">
        <is>
          <t>Carmin sur Mer</t>
        </is>
      </c>
      <c r="B190" s="40" t="inlineStr">
        <is>
          <t>VermilionCity_PortOutside_hns</t>
        </is>
      </c>
      <c r="C190" s="41" t="inlineStr">
        <is>
          <t>Matin, jour, soir</t>
        </is>
      </c>
      <c r="D190" s="63" t="inlineStr">
        <is>
          <t>Surf</t>
        </is>
      </c>
      <c r="E190" s="43" t="inlineStr">
        <is>
          <t>TENTACOOL</t>
        </is>
      </c>
      <c r="F190" s="44" t="n">
        <v>0.96</v>
      </c>
      <c r="G190" s="45" t="n">
        <v>43</v>
      </c>
      <c r="H190" s="45" t="n">
        <v>45</v>
      </c>
      <c r="I190" s="46">
        <f>IF(OR(COUNTIF('Suivi des rencontres'!$A:$A,$A190)&gt;0,COUNTIF('Suivi des rencontres'!$C:$C,$J190)&gt;0),"Non","Oui")</f>
        <v/>
      </c>
      <c r="J190" s="30" t="inlineStr">
        <is>
          <t>TENTACOOL</t>
        </is>
      </c>
    </row>
    <row r="191">
      <c r="A191" s="47" t="inlineStr">
        <is>
          <t>Carmin sur Mer</t>
        </is>
      </c>
      <c r="B191" s="47" t="inlineStr">
        <is>
          <t>VermilionCity_PortOutside_hns</t>
        </is>
      </c>
      <c r="C191" s="48" t="inlineStr">
        <is>
          <t>Matin, jour, soir</t>
        </is>
      </c>
      <c r="D191" s="53" t="inlineStr">
        <is>
          <t>Surf</t>
        </is>
      </c>
      <c r="E191" s="50" t="inlineStr">
        <is>
          <t>TENTACRUEL</t>
        </is>
      </c>
      <c r="F191" s="51" t="n">
        <v>0.04</v>
      </c>
      <c r="G191" s="52" t="n">
        <v>48</v>
      </c>
      <c r="H191" s="52" t="n">
        <v>48</v>
      </c>
      <c r="I191" s="29">
        <f>IF(OR(COUNTIF('Suivi des rencontres'!$A:$A,$A191)&gt;0,COUNTIF('Suivi des rencontres'!$C:$C,$J191)&gt;0),"Non","Oui")</f>
        <v/>
      </c>
      <c r="J191" s="30" t="inlineStr">
        <is>
          <t>TENTACOOL</t>
        </is>
      </c>
    </row>
    <row r="192">
      <c r="A192" s="47" t="inlineStr">
        <is>
          <t>Carmin sur Mer</t>
        </is>
      </c>
      <c r="B192" s="47" t="inlineStr">
        <is>
          <t>VermilionCity_PortOutside_hns</t>
        </is>
      </c>
      <c r="C192" s="62" t="inlineStr">
        <is>
          <t>Nuit</t>
        </is>
      </c>
      <c r="D192" s="53" t="inlineStr">
        <is>
          <t>Surf</t>
        </is>
      </c>
      <c r="E192" s="50" t="inlineStr">
        <is>
          <t>TENTACOOL</t>
        </is>
      </c>
      <c r="F192" s="51" t="n">
        <v>0.96</v>
      </c>
      <c r="G192" s="52" t="n">
        <v>43</v>
      </c>
      <c r="H192" s="52" t="n">
        <v>45</v>
      </c>
      <c r="I192" s="29">
        <f>IF(OR(COUNTIF('Suivi des rencontres'!$A:$A,$A192)&gt;0,COUNTIF('Suivi des rencontres'!$C:$C,$J192)&gt;0),"Non","Oui")</f>
        <v/>
      </c>
      <c r="J192" s="30" t="inlineStr">
        <is>
          <t>TENTACOOL</t>
        </is>
      </c>
    </row>
    <row r="193">
      <c r="A193" s="47" t="inlineStr">
        <is>
          <t>Carmin sur Mer</t>
        </is>
      </c>
      <c r="B193" s="47" t="inlineStr">
        <is>
          <t>VermilionCity_PortOutside_hns</t>
        </is>
      </c>
      <c r="C193" s="62" t="inlineStr">
        <is>
          <t>Nuit</t>
        </is>
      </c>
      <c r="D193" s="53" t="inlineStr">
        <is>
          <t>Surf</t>
        </is>
      </c>
      <c r="E193" s="50" t="inlineStr">
        <is>
          <t>TENTACRUEL</t>
        </is>
      </c>
      <c r="F193" s="51" t="n">
        <v>0.04</v>
      </c>
      <c r="G193" s="52" t="n">
        <v>48</v>
      </c>
      <c r="H193" s="52" t="n">
        <v>48</v>
      </c>
      <c r="I193" s="29">
        <f>IF(OR(COUNTIF('Suivi des rencontres'!$A:$A,$A193)&gt;0,COUNTIF('Suivi des rencontres'!$C:$C,$J193)&gt;0),"Non","Oui")</f>
        <v/>
      </c>
      <c r="J193" s="30" t="inlineStr">
        <is>
          <t>TENTACOOL</t>
        </is>
      </c>
    </row>
    <row r="194">
      <c r="A194" s="47" t="inlineStr">
        <is>
          <t>Carmin sur Mer</t>
        </is>
      </c>
      <c r="B194" s="47" t="inlineStr">
        <is>
          <t>VermilionCity_PortOutside_hns</t>
        </is>
      </c>
      <c r="C194" s="48" t="inlineStr">
        <is>
          <t>Matin, jour, soir</t>
        </is>
      </c>
      <c r="D194" s="54" t="inlineStr">
        <is>
          <t>Vieille Canne</t>
        </is>
      </c>
      <c r="E194" s="50" t="inlineStr">
        <is>
          <t>MAGICARPE</t>
        </is>
      </c>
      <c r="F194" s="51" t="n">
        <v>0.7</v>
      </c>
      <c r="G194" s="52" t="n">
        <v>41</v>
      </c>
      <c r="H194" s="52" t="n">
        <v>43</v>
      </c>
      <c r="I194" s="29">
        <f>IF(OR(COUNTIF('Suivi des rencontres'!$A:$A,$A194)&gt;0,COUNTIF('Suivi des rencontres'!$C:$C,$J194)&gt;0),"Non","Oui")</f>
        <v/>
      </c>
      <c r="J194" s="30" t="inlineStr">
        <is>
          <t>MAGICARPE</t>
        </is>
      </c>
    </row>
    <row r="195">
      <c r="A195" s="47" t="inlineStr">
        <is>
          <t>Carmin sur Mer</t>
        </is>
      </c>
      <c r="B195" s="47" t="inlineStr">
        <is>
          <t>VermilionCity_PortOutside_hns</t>
        </is>
      </c>
      <c r="C195" s="48" t="inlineStr">
        <is>
          <t>Matin, jour, soir</t>
        </is>
      </c>
      <c r="D195" s="54" t="inlineStr">
        <is>
          <t>Vieille Canne</t>
        </is>
      </c>
      <c r="E195" s="50" t="inlineStr">
        <is>
          <t>TENTACOOL</t>
        </is>
      </c>
      <c r="F195" s="51" t="n">
        <v>0.3</v>
      </c>
      <c r="G195" s="52" t="n">
        <v>41</v>
      </c>
      <c r="H195" s="52" t="n">
        <v>43</v>
      </c>
      <c r="I195" s="29">
        <f>IF(OR(COUNTIF('Suivi des rencontres'!$A:$A,$A195)&gt;0,COUNTIF('Suivi des rencontres'!$C:$C,$J195)&gt;0),"Non","Oui")</f>
        <v/>
      </c>
      <c r="J195" s="30" t="inlineStr">
        <is>
          <t>TENTACOOL</t>
        </is>
      </c>
    </row>
    <row r="196">
      <c r="A196" s="47" t="inlineStr">
        <is>
          <t>Carmin sur Mer</t>
        </is>
      </c>
      <c r="B196" s="47" t="inlineStr">
        <is>
          <t>VermilionCity_PortOutside_hns</t>
        </is>
      </c>
      <c r="C196" s="62" t="inlineStr">
        <is>
          <t>Nuit</t>
        </is>
      </c>
      <c r="D196" s="54" t="inlineStr">
        <is>
          <t>Vieille Canne</t>
        </is>
      </c>
      <c r="E196" s="50" t="inlineStr">
        <is>
          <t>MAGICARPE</t>
        </is>
      </c>
      <c r="F196" s="51" t="n">
        <v>0.7</v>
      </c>
      <c r="G196" s="52" t="n">
        <v>41</v>
      </c>
      <c r="H196" s="52" t="n">
        <v>43</v>
      </c>
      <c r="I196" s="29">
        <f>IF(OR(COUNTIF('Suivi des rencontres'!$A:$A,$A196)&gt;0,COUNTIF('Suivi des rencontres'!$C:$C,$J196)&gt;0),"Non","Oui")</f>
        <v/>
      </c>
      <c r="J196" s="30" t="inlineStr">
        <is>
          <t>MAGICARPE</t>
        </is>
      </c>
    </row>
    <row r="197">
      <c r="A197" s="47" t="inlineStr">
        <is>
          <t>Carmin sur Mer</t>
        </is>
      </c>
      <c r="B197" s="47" t="inlineStr">
        <is>
          <t>VermilionCity_PortOutside_hns</t>
        </is>
      </c>
      <c r="C197" s="62" t="inlineStr">
        <is>
          <t>Nuit</t>
        </is>
      </c>
      <c r="D197" s="54" t="inlineStr">
        <is>
          <t>Vieille Canne</t>
        </is>
      </c>
      <c r="E197" s="50" t="inlineStr">
        <is>
          <t>TENTACOOL</t>
        </is>
      </c>
      <c r="F197" s="51" t="n">
        <v>0.3</v>
      </c>
      <c r="G197" s="52" t="n">
        <v>41</v>
      </c>
      <c r="H197" s="52" t="n">
        <v>43</v>
      </c>
      <c r="I197" s="29">
        <f>IF(OR(COUNTIF('Suivi des rencontres'!$A:$A,$A197)&gt;0,COUNTIF('Suivi des rencontres'!$C:$C,$J197)&gt;0),"Non","Oui")</f>
        <v/>
      </c>
      <c r="J197" s="30" t="inlineStr">
        <is>
          <t>TENTACOOL</t>
        </is>
      </c>
    </row>
    <row r="198">
      <c r="A198" s="47" t="inlineStr">
        <is>
          <t>Carmin sur Mer</t>
        </is>
      </c>
      <c r="B198" s="47" t="inlineStr">
        <is>
          <t>VermilionCity_PortOutside_hns</t>
        </is>
      </c>
      <c r="C198" s="48" t="inlineStr">
        <is>
          <t>Matin, jour, soir</t>
        </is>
      </c>
      <c r="D198" s="55" t="inlineStr">
        <is>
          <t>Bonne Canne</t>
        </is>
      </c>
      <c r="E198" s="50" t="inlineStr">
        <is>
          <t>MAGICARPE</t>
        </is>
      </c>
      <c r="F198" s="51" t="n">
        <v>0.6</v>
      </c>
      <c r="G198" s="52" t="n">
        <v>42</v>
      </c>
      <c r="H198" s="52" t="n">
        <v>44</v>
      </c>
      <c r="I198" s="29">
        <f>IF(OR(COUNTIF('Suivi des rencontres'!$A:$A,$A198)&gt;0,COUNTIF('Suivi des rencontres'!$C:$C,$J198)&gt;0),"Non","Oui")</f>
        <v/>
      </c>
      <c r="J198" s="30" t="inlineStr">
        <is>
          <t>MAGICARPE</t>
        </is>
      </c>
    </row>
    <row r="199">
      <c r="A199" s="47" t="inlineStr">
        <is>
          <t>Carmin sur Mer</t>
        </is>
      </c>
      <c r="B199" s="47" t="inlineStr">
        <is>
          <t>VermilionCity_PortOutside_hns</t>
        </is>
      </c>
      <c r="C199" s="48" t="inlineStr">
        <is>
          <t>Matin, jour, soir</t>
        </is>
      </c>
      <c r="D199" s="55" t="inlineStr">
        <is>
          <t>Bonne Canne</t>
        </is>
      </c>
      <c r="E199" s="50" t="inlineStr">
        <is>
          <t>LOUPIO</t>
        </is>
      </c>
      <c r="F199" s="51" t="n">
        <v>0.2</v>
      </c>
      <c r="G199" s="52" t="n">
        <v>42</v>
      </c>
      <c r="H199" s="52" t="n">
        <v>44</v>
      </c>
      <c r="I199" s="29">
        <f>IF(OR(COUNTIF('Suivi des rencontres'!$A:$A,$A199)&gt;0,COUNTIF('Suivi des rencontres'!$C:$C,$J199)&gt;0),"Non","Oui")</f>
        <v/>
      </c>
      <c r="J199" s="30" t="inlineStr">
        <is>
          <t>LOUPIO</t>
        </is>
      </c>
    </row>
    <row r="200">
      <c r="A200" s="47" t="inlineStr">
        <is>
          <t>Carmin sur Mer</t>
        </is>
      </c>
      <c r="B200" s="47" t="inlineStr">
        <is>
          <t>VermilionCity_PortOutside_hns</t>
        </is>
      </c>
      <c r="C200" s="48" t="inlineStr">
        <is>
          <t>Matin, jour, soir</t>
        </is>
      </c>
      <c r="D200" s="55" t="inlineStr">
        <is>
          <t>Bonne Canne</t>
        </is>
      </c>
      <c r="E200" s="50" t="inlineStr">
        <is>
          <t>TENTACOOL</t>
        </is>
      </c>
      <c r="F200" s="51" t="n">
        <v>0.2</v>
      </c>
      <c r="G200" s="52" t="n">
        <v>42</v>
      </c>
      <c r="H200" s="52" t="n">
        <v>44</v>
      </c>
      <c r="I200" s="29">
        <f>IF(OR(COUNTIF('Suivi des rencontres'!$A:$A,$A200)&gt;0,COUNTIF('Suivi des rencontres'!$C:$C,$J200)&gt;0),"Non","Oui")</f>
        <v/>
      </c>
      <c r="J200" s="30" t="inlineStr">
        <is>
          <t>TENTACOOL</t>
        </is>
      </c>
    </row>
    <row r="201">
      <c r="A201" s="47" t="inlineStr">
        <is>
          <t>Carmin sur Mer</t>
        </is>
      </c>
      <c r="B201" s="47" t="inlineStr">
        <is>
          <t>VermilionCity_PortOutside_hns</t>
        </is>
      </c>
      <c r="C201" s="62" t="inlineStr">
        <is>
          <t>Nuit</t>
        </is>
      </c>
      <c r="D201" s="55" t="inlineStr">
        <is>
          <t>Bonne Canne</t>
        </is>
      </c>
      <c r="E201" s="50" t="inlineStr">
        <is>
          <t>MAGICARPE</t>
        </is>
      </c>
      <c r="F201" s="51" t="n">
        <v>0.6</v>
      </c>
      <c r="G201" s="52" t="n">
        <v>42</v>
      </c>
      <c r="H201" s="52" t="n">
        <v>44</v>
      </c>
      <c r="I201" s="29">
        <f>IF(OR(COUNTIF('Suivi des rencontres'!$A:$A,$A201)&gt;0,COUNTIF('Suivi des rencontres'!$C:$C,$J201)&gt;0),"Non","Oui")</f>
        <v/>
      </c>
      <c r="J201" s="30" t="inlineStr">
        <is>
          <t>MAGICARPE</t>
        </is>
      </c>
    </row>
    <row r="202">
      <c r="A202" s="47" t="inlineStr">
        <is>
          <t>Carmin sur Mer</t>
        </is>
      </c>
      <c r="B202" s="47" t="inlineStr">
        <is>
          <t>VermilionCity_PortOutside_hns</t>
        </is>
      </c>
      <c r="C202" s="62" t="inlineStr">
        <is>
          <t>Nuit</t>
        </is>
      </c>
      <c r="D202" s="55" t="inlineStr">
        <is>
          <t>Bonne Canne</t>
        </is>
      </c>
      <c r="E202" s="50" t="inlineStr">
        <is>
          <t>LOUPIO</t>
        </is>
      </c>
      <c r="F202" s="51" t="n">
        <v>0.2</v>
      </c>
      <c r="G202" s="52" t="n">
        <v>42</v>
      </c>
      <c r="H202" s="52" t="n">
        <v>44</v>
      </c>
      <c r="I202" s="29">
        <f>IF(OR(COUNTIF('Suivi des rencontres'!$A:$A,$A202)&gt;0,COUNTIF('Suivi des rencontres'!$C:$C,$J202)&gt;0),"Non","Oui")</f>
        <v/>
      </c>
      <c r="J202" s="30" t="inlineStr">
        <is>
          <t>LOUPIO</t>
        </is>
      </c>
    </row>
    <row r="203">
      <c r="A203" s="47" t="inlineStr">
        <is>
          <t>Carmin sur Mer</t>
        </is>
      </c>
      <c r="B203" s="47" t="inlineStr">
        <is>
          <t>VermilionCity_PortOutside_hns</t>
        </is>
      </c>
      <c r="C203" s="62" t="inlineStr">
        <is>
          <t>Nuit</t>
        </is>
      </c>
      <c r="D203" s="55" t="inlineStr">
        <is>
          <t>Bonne Canne</t>
        </is>
      </c>
      <c r="E203" s="50" t="inlineStr">
        <is>
          <t>TENTACOOL</t>
        </is>
      </c>
      <c r="F203" s="51" t="n">
        <v>0.2</v>
      </c>
      <c r="G203" s="52" t="n">
        <v>42</v>
      </c>
      <c r="H203" s="52" t="n">
        <v>44</v>
      </c>
      <c r="I203" s="29">
        <f>IF(OR(COUNTIF('Suivi des rencontres'!$A:$A,$A203)&gt;0,COUNTIF('Suivi des rencontres'!$C:$C,$J203)&gt;0),"Non","Oui")</f>
        <v/>
      </c>
      <c r="J203" s="30" t="inlineStr">
        <is>
          <t>TENTACOOL</t>
        </is>
      </c>
    </row>
    <row r="204">
      <c r="A204" s="47" t="inlineStr">
        <is>
          <t>Carmin sur Mer</t>
        </is>
      </c>
      <c r="B204" s="47" t="inlineStr">
        <is>
          <t>VermilionCity_PortOutside_hns</t>
        </is>
      </c>
      <c r="C204" s="48" t="inlineStr">
        <is>
          <t>Matin, jour, soir</t>
        </is>
      </c>
      <c r="D204" s="56" t="inlineStr">
        <is>
          <t>Super Canne</t>
        </is>
      </c>
      <c r="E204" s="50" t="inlineStr">
        <is>
          <t>KOKIYAS</t>
        </is>
      </c>
      <c r="F204" s="51" t="n">
        <v>0.55</v>
      </c>
      <c r="G204" s="52" t="n">
        <v>40</v>
      </c>
      <c r="H204" s="52" t="n">
        <v>44</v>
      </c>
      <c r="I204" s="29">
        <f>IF(OR(COUNTIF('Suivi des rencontres'!$A:$A,$A204)&gt;0,COUNTIF('Suivi des rencontres'!$C:$C,$J204)&gt;0),"Non","Oui")</f>
        <v/>
      </c>
      <c r="J204" s="30" t="inlineStr">
        <is>
          <t>KOKIYAS</t>
        </is>
      </c>
    </row>
    <row r="205">
      <c r="A205" s="47" t="inlineStr">
        <is>
          <t>Carmin sur Mer</t>
        </is>
      </c>
      <c r="B205" s="47" t="inlineStr">
        <is>
          <t>VermilionCity_PortOutside_hns</t>
        </is>
      </c>
      <c r="C205" s="48" t="inlineStr">
        <is>
          <t>Matin, jour, soir</t>
        </is>
      </c>
      <c r="D205" s="56" t="inlineStr">
        <is>
          <t>Super Canne</t>
        </is>
      </c>
      <c r="E205" s="50" t="inlineStr">
        <is>
          <t>LOUPIO</t>
        </is>
      </c>
      <c r="F205" s="51" t="n">
        <v>0.4</v>
      </c>
      <c r="G205" s="52" t="n">
        <v>40</v>
      </c>
      <c r="H205" s="52" t="n">
        <v>40</v>
      </c>
      <c r="I205" s="29">
        <f>IF(OR(COUNTIF('Suivi des rencontres'!$A:$A,$A205)&gt;0,COUNTIF('Suivi des rencontres'!$C:$C,$J205)&gt;0),"Non","Oui")</f>
        <v/>
      </c>
      <c r="J205" s="30" t="inlineStr">
        <is>
          <t>LOUPIO</t>
        </is>
      </c>
    </row>
    <row r="206">
      <c r="A206" s="47" t="inlineStr">
        <is>
          <t>Carmin sur Mer</t>
        </is>
      </c>
      <c r="B206" s="47" t="inlineStr">
        <is>
          <t>VermilionCity_PortOutside_hns</t>
        </is>
      </c>
      <c r="C206" s="48" t="inlineStr">
        <is>
          <t>Matin, jour, soir</t>
        </is>
      </c>
      <c r="D206" s="56" t="inlineStr">
        <is>
          <t>Super Canne</t>
        </is>
      </c>
      <c r="E206" s="50" t="inlineStr">
        <is>
          <t>TENTACRUEL</t>
        </is>
      </c>
      <c r="F206" s="51" t="n">
        <v>0.04</v>
      </c>
      <c r="G206" s="52" t="n">
        <v>40</v>
      </c>
      <c r="H206" s="52" t="n">
        <v>40</v>
      </c>
      <c r="I206" s="29">
        <f>IF(OR(COUNTIF('Suivi des rencontres'!$A:$A,$A206)&gt;0,COUNTIF('Suivi des rencontres'!$C:$C,$J206)&gt;0),"Non","Oui")</f>
        <v/>
      </c>
      <c r="J206" s="30" t="inlineStr">
        <is>
          <t>TENTACOOL</t>
        </is>
      </c>
    </row>
    <row r="207">
      <c r="A207" s="47" t="inlineStr">
        <is>
          <t>Carmin sur Mer</t>
        </is>
      </c>
      <c r="B207" s="47" t="inlineStr">
        <is>
          <t>VermilionCity_PortOutside_hns</t>
        </is>
      </c>
      <c r="C207" s="48" t="inlineStr">
        <is>
          <t>Matin, jour, soir</t>
        </is>
      </c>
      <c r="D207" s="56" t="inlineStr">
        <is>
          <t>Super Canne</t>
        </is>
      </c>
      <c r="E207" s="50" t="inlineStr">
        <is>
          <t>LANTURN</t>
        </is>
      </c>
      <c r="F207" s="51" t="n">
        <v>0.01</v>
      </c>
      <c r="G207" s="52" t="n">
        <v>40</v>
      </c>
      <c r="H207" s="52" t="n">
        <v>40</v>
      </c>
      <c r="I207" s="29">
        <f>IF(OR(COUNTIF('Suivi des rencontres'!$A:$A,$A207)&gt;0,COUNTIF('Suivi des rencontres'!$C:$C,$J207)&gt;0),"Non","Oui")</f>
        <v/>
      </c>
      <c r="J207" s="30" t="inlineStr">
        <is>
          <t>LOUPIO</t>
        </is>
      </c>
    </row>
    <row r="208">
      <c r="A208" s="47" t="inlineStr">
        <is>
          <t>Carmin sur Mer</t>
        </is>
      </c>
      <c r="B208" s="47" t="inlineStr">
        <is>
          <t>VermilionCity_PortOutside_hns</t>
        </is>
      </c>
      <c r="C208" s="62" t="inlineStr">
        <is>
          <t>Nuit</t>
        </is>
      </c>
      <c r="D208" s="56" t="inlineStr">
        <is>
          <t>Super Canne</t>
        </is>
      </c>
      <c r="E208" s="50" t="inlineStr">
        <is>
          <t>KOKIYAS</t>
        </is>
      </c>
      <c r="F208" s="51" t="n">
        <v>0.55</v>
      </c>
      <c r="G208" s="52" t="n">
        <v>40</v>
      </c>
      <c r="H208" s="52" t="n">
        <v>44</v>
      </c>
      <c r="I208" s="29">
        <f>IF(OR(COUNTIF('Suivi des rencontres'!$A:$A,$A208)&gt;0,COUNTIF('Suivi des rencontres'!$C:$C,$J208)&gt;0),"Non","Oui")</f>
        <v/>
      </c>
      <c r="J208" s="30" t="inlineStr">
        <is>
          <t>KOKIYAS</t>
        </is>
      </c>
    </row>
    <row r="209">
      <c r="A209" s="47" t="inlineStr">
        <is>
          <t>Carmin sur Mer</t>
        </is>
      </c>
      <c r="B209" s="47" t="inlineStr">
        <is>
          <t>VermilionCity_PortOutside_hns</t>
        </is>
      </c>
      <c r="C209" s="62" t="inlineStr">
        <is>
          <t>Nuit</t>
        </is>
      </c>
      <c r="D209" s="56" t="inlineStr">
        <is>
          <t>Super Canne</t>
        </is>
      </c>
      <c r="E209" s="50" t="inlineStr">
        <is>
          <t>LOUPIO</t>
        </is>
      </c>
      <c r="F209" s="51" t="n">
        <v>0.4</v>
      </c>
      <c r="G209" s="52" t="n">
        <v>40</v>
      </c>
      <c r="H209" s="52" t="n">
        <v>40</v>
      </c>
      <c r="I209" s="29">
        <f>IF(OR(COUNTIF('Suivi des rencontres'!$A:$A,$A209)&gt;0,COUNTIF('Suivi des rencontres'!$C:$C,$J209)&gt;0),"Non","Oui")</f>
        <v/>
      </c>
      <c r="J209" s="30" t="inlineStr">
        <is>
          <t>LOUPIO</t>
        </is>
      </c>
    </row>
    <row r="210">
      <c r="A210" s="47" t="inlineStr">
        <is>
          <t>Carmin sur Mer</t>
        </is>
      </c>
      <c r="B210" s="47" t="inlineStr">
        <is>
          <t>VermilionCity_PortOutside_hns</t>
        </is>
      </c>
      <c r="C210" s="62" t="inlineStr">
        <is>
          <t>Nuit</t>
        </is>
      </c>
      <c r="D210" s="56" t="inlineStr">
        <is>
          <t>Super Canne</t>
        </is>
      </c>
      <c r="E210" s="50" t="inlineStr">
        <is>
          <t>TENTACRUEL</t>
        </is>
      </c>
      <c r="F210" s="51" t="n">
        <v>0.04</v>
      </c>
      <c r="G210" s="52" t="n">
        <v>40</v>
      </c>
      <c r="H210" s="52" t="n">
        <v>40</v>
      </c>
      <c r="I210" s="29">
        <f>IF(OR(COUNTIF('Suivi des rencontres'!$A:$A,$A210)&gt;0,COUNTIF('Suivi des rencontres'!$C:$C,$J210)&gt;0),"Non","Oui")</f>
        <v/>
      </c>
      <c r="J210" s="30" t="inlineStr">
        <is>
          <t>TENTACOOL</t>
        </is>
      </c>
    </row>
    <row r="211">
      <c r="A211" s="47" t="inlineStr">
        <is>
          <t>Carmin sur Mer</t>
        </is>
      </c>
      <c r="B211" s="47" t="inlineStr">
        <is>
          <t>VermilionCity_PortOutside_hns</t>
        </is>
      </c>
      <c r="C211" s="62" t="inlineStr">
        <is>
          <t>Nuit</t>
        </is>
      </c>
      <c r="D211" s="56" t="inlineStr">
        <is>
          <t>Super Canne</t>
        </is>
      </c>
      <c r="E211" s="50" t="inlineStr">
        <is>
          <t>LANTURN</t>
        </is>
      </c>
      <c r="F211" s="51" t="n">
        <v>0.01</v>
      </c>
      <c r="G211" s="52" t="n">
        <v>40</v>
      </c>
      <c r="H211" s="52" t="n">
        <v>40</v>
      </c>
      <c r="I211" s="29">
        <f>IF(OR(COUNTIF('Suivi des rencontres'!$A:$A,$A211)&gt;0,COUNTIF('Suivi des rencontres'!$C:$C,$J211)&gt;0),"Non","Oui")</f>
        <v/>
      </c>
      <c r="J211" s="30" t="inlineStr">
        <is>
          <t>LOUPIO</t>
        </is>
      </c>
    </row>
    <row r="212">
      <c r="A212" s="47" t="inlineStr">
        <is>
          <t>Carmin sur Mer</t>
        </is>
      </c>
      <c r="B212" s="47" t="inlineStr">
        <is>
          <t>VermilionCity_hns</t>
        </is>
      </c>
      <c r="C212" s="48" t="inlineStr">
        <is>
          <t>Matin, jour, soir</t>
        </is>
      </c>
      <c r="D212" s="53" t="inlineStr">
        <is>
          <t>Surf</t>
        </is>
      </c>
      <c r="E212" s="50" t="inlineStr">
        <is>
          <t>TENTACOOL</t>
        </is>
      </c>
      <c r="F212" s="51" t="n">
        <v>0.96</v>
      </c>
      <c r="G212" s="52" t="n">
        <v>43</v>
      </c>
      <c r="H212" s="52" t="n">
        <v>45</v>
      </c>
      <c r="I212" s="29">
        <f>IF(OR(COUNTIF('Suivi des rencontres'!$A:$A,$A212)&gt;0,COUNTIF('Suivi des rencontres'!$C:$C,$J212)&gt;0),"Non","Oui")</f>
        <v/>
      </c>
      <c r="J212" s="30" t="inlineStr">
        <is>
          <t>TENTACOOL</t>
        </is>
      </c>
    </row>
    <row r="213">
      <c r="A213" s="47" t="inlineStr">
        <is>
          <t>Carmin sur Mer</t>
        </is>
      </c>
      <c r="B213" s="47" t="inlineStr">
        <is>
          <t>VermilionCity_hns</t>
        </is>
      </c>
      <c r="C213" s="48" t="inlineStr">
        <is>
          <t>Matin, jour, soir</t>
        </is>
      </c>
      <c r="D213" s="53" t="inlineStr">
        <is>
          <t>Surf</t>
        </is>
      </c>
      <c r="E213" s="50" t="inlineStr">
        <is>
          <t>TENTACRUEL</t>
        </is>
      </c>
      <c r="F213" s="51" t="n">
        <v>0.04</v>
      </c>
      <c r="G213" s="52" t="n">
        <v>48</v>
      </c>
      <c r="H213" s="52" t="n">
        <v>48</v>
      </c>
      <c r="I213" s="29">
        <f>IF(OR(COUNTIF('Suivi des rencontres'!$A:$A,$A213)&gt;0,COUNTIF('Suivi des rencontres'!$C:$C,$J213)&gt;0),"Non","Oui")</f>
        <v/>
      </c>
      <c r="J213" s="30" t="inlineStr">
        <is>
          <t>TENTACOOL</t>
        </is>
      </c>
    </row>
    <row r="214">
      <c r="A214" s="47" t="inlineStr">
        <is>
          <t>Carmin sur Mer</t>
        </is>
      </c>
      <c r="B214" s="47" t="inlineStr">
        <is>
          <t>VermilionCity_hns</t>
        </is>
      </c>
      <c r="C214" s="62" t="inlineStr">
        <is>
          <t>Nuit</t>
        </is>
      </c>
      <c r="D214" s="53" t="inlineStr">
        <is>
          <t>Surf</t>
        </is>
      </c>
      <c r="E214" s="50" t="inlineStr">
        <is>
          <t>TENTACOOL</t>
        </is>
      </c>
      <c r="F214" s="51" t="n">
        <v>0.96</v>
      </c>
      <c r="G214" s="52" t="n">
        <v>43</v>
      </c>
      <c r="H214" s="52" t="n">
        <v>45</v>
      </c>
      <c r="I214" s="29">
        <f>IF(OR(COUNTIF('Suivi des rencontres'!$A:$A,$A214)&gt;0,COUNTIF('Suivi des rencontres'!$C:$C,$J214)&gt;0),"Non","Oui")</f>
        <v/>
      </c>
      <c r="J214" s="30" t="inlineStr">
        <is>
          <t>TENTACOOL</t>
        </is>
      </c>
    </row>
    <row r="215">
      <c r="A215" s="47" t="inlineStr">
        <is>
          <t>Carmin sur Mer</t>
        </is>
      </c>
      <c r="B215" s="47" t="inlineStr">
        <is>
          <t>VermilionCity_hns</t>
        </is>
      </c>
      <c r="C215" s="62" t="inlineStr">
        <is>
          <t>Nuit</t>
        </is>
      </c>
      <c r="D215" s="53" t="inlineStr">
        <is>
          <t>Surf</t>
        </is>
      </c>
      <c r="E215" s="50" t="inlineStr">
        <is>
          <t>TENTACRUEL</t>
        </is>
      </c>
      <c r="F215" s="51" t="n">
        <v>0.04</v>
      </c>
      <c r="G215" s="52" t="n">
        <v>48</v>
      </c>
      <c r="H215" s="52" t="n">
        <v>48</v>
      </c>
      <c r="I215" s="29">
        <f>IF(OR(COUNTIF('Suivi des rencontres'!$A:$A,$A215)&gt;0,COUNTIF('Suivi des rencontres'!$C:$C,$J215)&gt;0),"Non","Oui")</f>
        <v/>
      </c>
      <c r="J215" s="30" t="inlineStr">
        <is>
          <t>TENTACOOL</t>
        </is>
      </c>
    </row>
    <row r="216">
      <c r="A216" s="47" t="inlineStr">
        <is>
          <t>Carmin sur Mer</t>
        </is>
      </c>
      <c r="B216" s="47" t="inlineStr">
        <is>
          <t>VermilionCity_hns</t>
        </is>
      </c>
      <c r="C216" s="48" t="inlineStr">
        <is>
          <t>Matin, jour, soir</t>
        </is>
      </c>
      <c r="D216" s="36" t="inlineStr">
        <is>
          <t>Éclate-Roc</t>
        </is>
      </c>
      <c r="E216" s="50" t="inlineStr">
        <is>
          <t>RACAILLOU</t>
        </is>
      </c>
      <c r="F216" s="51" t="n">
        <v>0.95</v>
      </c>
      <c r="G216" s="52" t="n">
        <v>42</v>
      </c>
      <c r="H216" s="52" t="n">
        <v>46</v>
      </c>
      <c r="I216" s="29">
        <f>IF(OR(COUNTIF('Suivi des rencontres'!$A:$A,$A216)&gt;0,COUNTIF('Suivi des rencontres'!$C:$C,$J216)&gt;0),"Non","Oui")</f>
        <v/>
      </c>
      <c r="J216" s="30" t="inlineStr">
        <is>
          <t>RACAILLOU</t>
        </is>
      </c>
    </row>
    <row r="217">
      <c r="A217" s="47" t="inlineStr">
        <is>
          <t>Carmin sur Mer</t>
        </is>
      </c>
      <c r="B217" s="47" t="inlineStr">
        <is>
          <t>VermilionCity_hns</t>
        </is>
      </c>
      <c r="C217" s="48" t="inlineStr">
        <is>
          <t>Matin, jour, soir</t>
        </is>
      </c>
      <c r="D217" s="36" t="inlineStr">
        <is>
          <t>Éclate-Roc</t>
        </is>
      </c>
      <c r="E217" s="50" t="inlineStr">
        <is>
          <t>CARATROC</t>
        </is>
      </c>
      <c r="F217" s="51" t="n">
        <v>0.05</v>
      </c>
      <c r="G217" s="52" t="n">
        <v>42</v>
      </c>
      <c r="H217" s="52" t="n">
        <v>46</v>
      </c>
      <c r="I217" s="29">
        <f>IF(OR(COUNTIF('Suivi des rencontres'!$A:$A,$A217)&gt;0,COUNTIF('Suivi des rencontres'!$C:$C,$J217)&gt;0),"Non","Oui")</f>
        <v/>
      </c>
      <c r="J217" s="30" t="inlineStr">
        <is>
          <t>CARATROC</t>
        </is>
      </c>
    </row>
    <row r="218">
      <c r="A218" s="47" t="inlineStr">
        <is>
          <t>Carmin sur Mer</t>
        </is>
      </c>
      <c r="B218" s="47" t="inlineStr">
        <is>
          <t>VermilionCity_hns</t>
        </is>
      </c>
      <c r="C218" s="62" t="inlineStr">
        <is>
          <t>Nuit</t>
        </is>
      </c>
      <c r="D218" s="36" t="inlineStr">
        <is>
          <t>Éclate-Roc</t>
        </is>
      </c>
      <c r="E218" s="50" t="inlineStr">
        <is>
          <t>RACAILLOU</t>
        </is>
      </c>
      <c r="F218" s="51" t="n">
        <v>0.95</v>
      </c>
      <c r="G218" s="52" t="n">
        <v>42</v>
      </c>
      <c r="H218" s="52" t="n">
        <v>46</v>
      </c>
      <c r="I218" s="29">
        <f>IF(OR(COUNTIF('Suivi des rencontres'!$A:$A,$A218)&gt;0,COUNTIF('Suivi des rencontres'!$C:$C,$J218)&gt;0),"Non","Oui")</f>
        <v/>
      </c>
      <c r="J218" s="30" t="inlineStr">
        <is>
          <t>RACAILLOU</t>
        </is>
      </c>
    </row>
    <row r="219">
      <c r="A219" s="47" t="inlineStr">
        <is>
          <t>Carmin sur Mer</t>
        </is>
      </c>
      <c r="B219" s="47" t="inlineStr">
        <is>
          <t>VermilionCity_hns</t>
        </is>
      </c>
      <c r="C219" s="62" t="inlineStr">
        <is>
          <t>Nuit</t>
        </is>
      </c>
      <c r="D219" s="36" t="inlineStr">
        <is>
          <t>Éclate-Roc</t>
        </is>
      </c>
      <c r="E219" s="50" t="inlineStr">
        <is>
          <t>CARATROC</t>
        </is>
      </c>
      <c r="F219" s="51" t="n">
        <v>0.05</v>
      </c>
      <c r="G219" s="52" t="n">
        <v>42</v>
      </c>
      <c r="H219" s="52" t="n">
        <v>46</v>
      </c>
      <c r="I219" s="29">
        <f>IF(OR(COUNTIF('Suivi des rencontres'!$A:$A,$A219)&gt;0,COUNTIF('Suivi des rencontres'!$C:$C,$J219)&gt;0),"Non","Oui")</f>
        <v/>
      </c>
      <c r="J219" s="30" t="inlineStr">
        <is>
          <t>CARATROC</t>
        </is>
      </c>
    </row>
    <row r="220">
      <c r="A220" s="47" t="inlineStr">
        <is>
          <t>Carmin sur Mer</t>
        </is>
      </c>
      <c r="B220" s="47" t="inlineStr">
        <is>
          <t>VermilionCity_hns</t>
        </is>
      </c>
      <c r="C220" s="48" t="inlineStr">
        <is>
          <t>Matin, jour, soir</t>
        </is>
      </c>
      <c r="D220" s="54" t="inlineStr">
        <is>
          <t>Vieille Canne</t>
        </is>
      </c>
      <c r="E220" s="50" t="inlineStr">
        <is>
          <t>MAGICARPE</t>
        </is>
      </c>
      <c r="F220" s="51" t="n">
        <v>0.7</v>
      </c>
      <c r="G220" s="52" t="n">
        <v>41</v>
      </c>
      <c r="H220" s="52" t="n">
        <v>43</v>
      </c>
      <c r="I220" s="29">
        <f>IF(OR(COUNTIF('Suivi des rencontres'!$A:$A,$A220)&gt;0,COUNTIF('Suivi des rencontres'!$C:$C,$J220)&gt;0),"Non","Oui")</f>
        <v/>
      </c>
      <c r="J220" s="30" t="inlineStr">
        <is>
          <t>MAGICARPE</t>
        </is>
      </c>
    </row>
    <row r="221">
      <c r="A221" s="47" t="inlineStr">
        <is>
          <t>Carmin sur Mer</t>
        </is>
      </c>
      <c r="B221" s="47" t="inlineStr">
        <is>
          <t>VermilionCity_hns</t>
        </is>
      </c>
      <c r="C221" s="48" t="inlineStr">
        <is>
          <t>Matin, jour, soir</t>
        </is>
      </c>
      <c r="D221" s="54" t="inlineStr">
        <is>
          <t>Vieille Canne</t>
        </is>
      </c>
      <c r="E221" s="50" t="inlineStr">
        <is>
          <t>TENTACOOL</t>
        </is>
      </c>
      <c r="F221" s="51" t="n">
        <v>0.3</v>
      </c>
      <c r="G221" s="52" t="n">
        <v>41</v>
      </c>
      <c r="H221" s="52" t="n">
        <v>43</v>
      </c>
      <c r="I221" s="29">
        <f>IF(OR(COUNTIF('Suivi des rencontres'!$A:$A,$A221)&gt;0,COUNTIF('Suivi des rencontres'!$C:$C,$J221)&gt;0),"Non","Oui")</f>
        <v/>
      </c>
      <c r="J221" s="30" t="inlineStr">
        <is>
          <t>TENTACOOL</t>
        </is>
      </c>
    </row>
    <row r="222">
      <c r="A222" s="47" t="inlineStr">
        <is>
          <t>Carmin sur Mer</t>
        </is>
      </c>
      <c r="B222" s="47" t="inlineStr">
        <is>
          <t>VermilionCity_hns</t>
        </is>
      </c>
      <c r="C222" s="62" t="inlineStr">
        <is>
          <t>Nuit</t>
        </is>
      </c>
      <c r="D222" s="54" t="inlineStr">
        <is>
          <t>Vieille Canne</t>
        </is>
      </c>
      <c r="E222" s="50" t="inlineStr">
        <is>
          <t>MAGICARPE</t>
        </is>
      </c>
      <c r="F222" s="51" t="n">
        <v>0.7</v>
      </c>
      <c r="G222" s="52" t="n">
        <v>41</v>
      </c>
      <c r="H222" s="52" t="n">
        <v>43</v>
      </c>
      <c r="I222" s="29">
        <f>IF(OR(COUNTIF('Suivi des rencontres'!$A:$A,$A222)&gt;0,COUNTIF('Suivi des rencontres'!$C:$C,$J222)&gt;0),"Non","Oui")</f>
        <v/>
      </c>
      <c r="J222" s="30" t="inlineStr">
        <is>
          <t>MAGICARPE</t>
        </is>
      </c>
    </row>
    <row r="223">
      <c r="A223" s="47" t="inlineStr">
        <is>
          <t>Carmin sur Mer</t>
        </is>
      </c>
      <c r="B223" s="47" t="inlineStr">
        <is>
          <t>VermilionCity_hns</t>
        </is>
      </c>
      <c r="C223" s="62" t="inlineStr">
        <is>
          <t>Nuit</t>
        </is>
      </c>
      <c r="D223" s="54" t="inlineStr">
        <is>
          <t>Vieille Canne</t>
        </is>
      </c>
      <c r="E223" s="50" t="inlineStr">
        <is>
          <t>TENTACOOL</t>
        </is>
      </c>
      <c r="F223" s="51" t="n">
        <v>0.3</v>
      </c>
      <c r="G223" s="52" t="n">
        <v>41</v>
      </c>
      <c r="H223" s="52" t="n">
        <v>43</v>
      </c>
      <c r="I223" s="29">
        <f>IF(OR(COUNTIF('Suivi des rencontres'!$A:$A,$A223)&gt;0,COUNTIF('Suivi des rencontres'!$C:$C,$J223)&gt;0),"Non","Oui")</f>
        <v/>
      </c>
      <c r="J223" s="30" t="inlineStr">
        <is>
          <t>TENTACOOL</t>
        </is>
      </c>
    </row>
    <row r="224">
      <c r="A224" s="47" t="inlineStr">
        <is>
          <t>Carmin sur Mer</t>
        </is>
      </c>
      <c r="B224" s="47" t="inlineStr">
        <is>
          <t>VermilionCity_hns</t>
        </is>
      </c>
      <c r="C224" s="48" t="inlineStr">
        <is>
          <t>Matin, jour, soir</t>
        </is>
      </c>
      <c r="D224" s="55" t="inlineStr">
        <is>
          <t>Bonne Canne</t>
        </is>
      </c>
      <c r="E224" s="50" t="inlineStr">
        <is>
          <t>MAGICARPE</t>
        </is>
      </c>
      <c r="F224" s="51" t="n">
        <v>0.6</v>
      </c>
      <c r="G224" s="52" t="n">
        <v>42</v>
      </c>
      <c r="H224" s="52" t="n">
        <v>44</v>
      </c>
      <c r="I224" s="29">
        <f>IF(OR(COUNTIF('Suivi des rencontres'!$A:$A,$A224)&gt;0,COUNTIF('Suivi des rencontres'!$C:$C,$J224)&gt;0),"Non","Oui")</f>
        <v/>
      </c>
      <c r="J224" s="30" t="inlineStr">
        <is>
          <t>MAGICARPE</t>
        </is>
      </c>
    </row>
    <row r="225">
      <c r="A225" s="47" t="inlineStr">
        <is>
          <t>Carmin sur Mer</t>
        </is>
      </c>
      <c r="B225" s="47" t="inlineStr">
        <is>
          <t>VermilionCity_hns</t>
        </is>
      </c>
      <c r="C225" s="48" t="inlineStr">
        <is>
          <t>Matin, jour, soir</t>
        </is>
      </c>
      <c r="D225" s="55" t="inlineStr">
        <is>
          <t>Bonne Canne</t>
        </is>
      </c>
      <c r="E225" s="50" t="inlineStr">
        <is>
          <t>LOUPIO</t>
        </is>
      </c>
      <c r="F225" s="51" t="n">
        <v>0.2</v>
      </c>
      <c r="G225" s="52" t="n">
        <v>42</v>
      </c>
      <c r="H225" s="52" t="n">
        <v>44</v>
      </c>
      <c r="I225" s="29">
        <f>IF(OR(COUNTIF('Suivi des rencontres'!$A:$A,$A225)&gt;0,COUNTIF('Suivi des rencontres'!$C:$C,$J225)&gt;0),"Non","Oui")</f>
        <v/>
      </c>
      <c r="J225" s="30" t="inlineStr">
        <is>
          <t>LOUPIO</t>
        </is>
      </c>
    </row>
    <row r="226">
      <c r="A226" s="47" t="inlineStr">
        <is>
          <t>Carmin sur Mer</t>
        </is>
      </c>
      <c r="B226" s="47" t="inlineStr">
        <is>
          <t>VermilionCity_hns</t>
        </is>
      </c>
      <c r="C226" s="48" t="inlineStr">
        <is>
          <t>Matin, jour, soir</t>
        </is>
      </c>
      <c r="D226" s="55" t="inlineStr">
        <is>
          <t>Bonne Canne</t>
        </is>
      </c>
      <c r="E226" s="50" t="inlineStr">
        <is>
          <t>TENTACOOL</t>
        </is>
      </c>
      <c r="F226" s="51" t="n">
        <v>0.2</v>
      </c>
      <c r="G226" s="52" t="n">
        <v>42</v>
      </c>
      <c r="H226" s="52" t="n">
        <v>44</v>
      </c>
      <c r="I226" s="29">
        <f>IF(OR(COUNTIF('Suivi des rencontres'!$A:$A,$A226)&gt;0,COUNTIF('Suivi des rencontres'!$C:$C,$J226)&gt;0),"Non","Oui")</f>
        <v/>
      </c>
      <c r="J226" s="30" t="inlineStr">
        <is>
          <t>TENTACOOL</t>
        </is>
      </c>
    </row>
    <row r="227">
      <c r="A227" s="47" t="inlineStr">
        <is>
          <t>Carmin sur Mer</t>
        </is>
      </c>
      <c r="B227" s="47" t="inlineStr">
        <is>
          <t>VermilionCity_hns</t>
        </is>
      </c>
      <c r="C227" s="62" t="inlineStr">
        <is>
          <t>Nuit</t>
        </is>
      </c>
      <c r="D227" s="55" t="inlineStr">
        <is>
          <t>Bonne Canne</t>
        </is>
      </c>
      <c r="E227" s="50" t="inlineStr">
        <is>
          <t>MAGICARPE</t>
        </is>
      </c>
      <c r="F227" s="51" t="n">
        <v>0.6</v>
      </c>
      <c r="G227" s="52" t="n">
        <v>42</v>
      </c>
      <c r="H227" s="52" t="n">
        <v>44</v>
      </c>
      <c r="I227" s="29">
        <f>IF(OR(COUNTIF('Suivi des rencontres'!$A:$A,$A227)&gt;0,COUNTIF('Suivi des rencontres'!$C:$C,$J227)&gt;0),"Non","Oui")</f>
        <v/>
      </c>
      <c r="J227" s="30" t="inlineStr">
        <is>
          <t>MAGICARPE</t>
        </is>
      </c>
    </row>
    <row r="228">
      <c r="A228" s="47" t="inlineStr">
        <is>
          <t>Carmin sur Mer</t>
        </is>
      </c>
      <c r="B228" s="47" t="inlineStr">
        <is>
          <t>VermilionCity_hns</t>
        </is>
      </c>
      <c r="C228" s="62" t="inlineStr">
        <is>
          <t>Nuit</t>
        </is>
      </c>
      <c r="D228" s="55" t="inlineStr">
        <is>
          <t>Bonne Canne</t>
        </is>
      </c>
      <c r="E228" s="50" t="inlineStr">
        <is>
          <t>LOUPIO</t>
        </is>
      </c>
      <c r="F228" s="51" t="n">
        <v>0.2</v>
      </c>
      <c r="G228" s="52" t="n">
        <v>42</v>
      </c>
      <c r="H228" s="52" t="n">
        <v>44</v>
      </c>
      <c r="I228" s="29">
        <f>IF(OR(COUNTIF('Suivi des rencontres'!$A:$A,$A228)&gt;0,COUNTIF('Suivi des rencontres'!$C:$C,$J228)&gt;0),"Non","Oui")</f>
        <v/>
      </c>
      <c r="J228" s="30" t="inlineStr">
        <is>
          <t>LOUPIO</t>
        </is>
      </c>
    </row>
    <row r="229">
      <c r="A229" s="47" t="inlineStr">
        <is>
          <t>Carmin sur Mer</t>
        </is>
      </c>
      <c r="B229" s="47" t="inlineStr">
        <is>
          <t>VermilionCity_hns</t>
        </is>
      </c>
      <c r="C229" s="62" t="inlineStr">
        <is>
          <t>Nuit</t>
        </is>
      </c>
      <c r="D229" s="55" t="inlineStr">
        <is>
          <t>Bonne Canne</t>
        </is>
      </c>
      <c r="E229" s="50" t="inlineStr">
        <is>
          <t>TENTACOOL</t>
        </is>
      </c>
      <c r="F229" s="51" t="n">
        <v>0.2</v>
      </c>
      <c r="G229" s="52" t="n">
        <v>42</v>
      </c>
      <c r="H229" s="52" t="n">
        <v>44</v>
      </c>
      <c r="I229" s="29">
        <f>IF(OR(COUNTIF('Suivi des rencontres'!$A:$A,$A229)&gt;0,COUNTIF('Suivi des rencontres'!$C:$C,$J229)&gt;0),"Non","Oui")</f>
        <v/>
      </c>
      <c r="J229" s="30" t="inlineStr">
        <is>
          <t>TENTACOOL</t>
        </is>
      </c>
    </row>
    <row r="230">
      <c r="A230" s="47" t="inlineStr">
        <is>
          <t>Carmin sur Mer</t>
        </is>
      </c>
      <c r="B230" s="47" t="inlineStr">
        <is>
          <t>VermilionCity_hns</t>
        </is>
      </c>
      <c r="C230" s="48" t="inlineStr">
        <is>
          <t>Matin, jour, soir</t>
        </is>
      </c>
      <c r="D230" s="56" t="inlineStr">
        <is>
          <t>Super Canne</t>
        </is>
      </c>
      <c r="E230" s="50" t="inlineStr">
        <is>
          <t>KOKIYAS</t>
        </is>
      </c>
      <c r="F230" s="51" t="n">
        <v>0.55</v>
      </c>
      <c r="G230" s="52" t="n">
        <v>40</v>
      </c>
      <c r="H230" s="52" t="n">
        <v>44</v>
      </c>
      <c r="I230" s="29">
        <f>IF(OR(COUNTIF('Suivi des rencontres'!$A:$A,$A230)&gt;0,COUNTIF('Suivi des rencontres'!$C:$C,$J230)&gt;0),"Non","Oui")</f>
        <v/>
      </c>
      <c r="J230" s="30" t="inlineStr">
        <is>
          <t>KOKIYAS</t>
        </is>
      </c>
    </row>
    <row r="231">
      <c r="A231" s="47" t="inlineStr">
        <is>
          <t>Carmin sur Mer</t>
        </is>
      </c>
      <c r="B231" s="47" t="inlineStr">
        <is>
          <t>VermilionCity_hns</t>
        </is>
      </c>
      <c r="C231" s="48" t="inlineStr">
        <is>
          <t>Matin, jour, soir</t>
        </is>
      </c>
      <c r="D231" s="56" t="inlineStr">
        <is>
          <t>Super Canne</t>
        </is>
      </c>
      <c r="E231" s="50" t="inlineStr">
        <is>
          <t>LOUPIO</t>
        </is>
      </c>
      <c r="F231" s="51" t="n">
        <v>0.4</v>
      </c>
      <c r="G231" s="52" t="n">
        <v>40</v>
      </c>
      <c r="H231" s="52" t="n">
        <v>40</v>
      </c>
      <c r="I231" s="29">
        <f>IF(OR(COUNTIF('Suivi des rencontres'!$A:$A,$A231)&gt;0,COUNTIF('Suivi des rencontres'!$C:$C,$J231)&gt;0),"Non","Oui")</f>
        <v/>
      </c>
      <c r="J231" s="30" t="inlineStr">
        <is>
          <t>LOUPIO</t>
        </is>
      </c>
    </row>
    <row r="232">
      <c r="A232" s="47" t="inlineStr">
        <is>
          <t>Carmin sur Mer</t>
        </is>
      </c>
      <c r="B232" s="47" t="inlineStr">
        <is>
          <t>VermilionCity_hns</t>
        </is>
      </c>
      <c r="C232" s="48" t="inlineStr">
        <is>
          <t>Matin, jour, soir</t>
        </is>
      </c>
      <c r="D232" s="56" t="inlineStr">
        <is>
          <t>Super Canne</t>
        </is>
      </c>
      <c r="E232" s="50" t="inlineStr">
        <is>
          <t>TENTACRUEL</t>
        </is>
      </c>
      <c r="F232" s="51" t="n">
        <v>0.04</v>
      </c>
      <c r="G232" s="52" t="n">
        <v>40</v>
      </c>
      <c r="H232" s="52" t="n">
        <v>40</v>
      </c>
      <c r="I232" s="29">
        <f>IF(OR(COUNTIF('Suivi des rencontres'!$A:$A,$A232)&gt;0,COUNTIF('Suivi des rencontres'!$C:$C,$J232)&gt;0),"Non","Oui")</f>
        <v/>
      </c>
      <c r="J232" s="30" t="inlineStr">
        <is>
          <t>TENTACOOL</t>
        </is>
      </c>
    </row>
    <row r="233">
      <c r="A233" s="47" t="inlineStr">
        <is>
          <t>Carmin sur Mer</t>
        </is>
      </c>
      <c r="B233" s="47" t="inlineStr">
        <is>
          <t>VermilionCity_hns</t>
        </is>
      </c>
      <c r="C233" s="48" t="inlineStr">
        <is>
          <t>Matin, jour, soir</t>
        </is>
      </c>
      <c r="D233" s="56" t="inlineStr">
        <is>
          <t>Super Canne</t>
        </is>
      </c>
      <c r="E233" s="50" t="inlineStr">
        <is>
          <t>LANTURN</t>
        </is>
      </c>
      <c r="F233" s="51" t="n">
        <v>0.01</v>
      </c>
      <c r="G233" s="52" t="n">
        <v>40</v>
      </c>
      <c r="H233" s="52" t="n">
        <v>40</v>
      </c>
      <c r="I233" s="29">
        <f>IF(OR(COUNTIF('Suivi des rencontres'!$A:$A,$A233)&gt;0,COUNTIF('Suivi des rencontres'!$C:$C,$J233)&gt;0),"Non","Oui")</f>
        <v/>
      </c>
      <c r="J233" s="30" t="inlineStr">
        <is>
          <t>LOUPIO</t>
        </is>
      </c>
    </row>
    <row r="234">
      <c r="A234" s="47" t="inlineStr">
        <is>
          <t>Carmin sur Mer</t>
        </is>
      </c>
      <c r="B234" s="47" t="inlineStr">
        <is>
          <t>VermilionCity_hns</t>
        </is>
      </c>
      <c r="C234" s="62" t="inlineStr">
        <is>
          <t>Nuit</t>
        </is>
      </c>
      <c r="D234" s="56" t="inlineStr">
        <is>
          <t>Super Canne</t>
        </is>
      </c>
      <c r="E234" s="50" t="inlineStr">
        <is>
          <t>KOKIYAS</t>
        </is>
      </c>
      <c r="F234" s="51" t="n">
        <v>0.55</v>
      </c>
      <c r="G234" s="52" t="n">
        <v>40</v>
      </c>
      <c r="H234" s="52" t="n">
        <v>44</v>
      </c>
      <c r="I234" s="29">
        <f>IF(OR(COUNTIF('Suivi des rencontres'!$A:$A,$A234)&gt;0,COUNTIF('Suivi des rencontres'!$C:$C,$J234)&gt;0),"Non","Oui")</f>
        <v/>
      </c>
      <c r="J234" s="30" t="inlineStr">
        <is>
          <t>KOKIYAS</t>
        </is>
      </c>
    </row>
    <row r="235">
      <c r="A235" s="47" t="inlineStr">
        <is>
          <t>Carmin sur Mer</t>
        </is>
      </c>
      <c r="B235" s="47" t="inlineStr">
        <is>
          <t>VermilionCity_hns</t>
        </is>
      </c>
      <c r="C235" s="62" t="inlineStr">
        <is>
          <t>Nuit</t>
        </is>
      </c>
      <c r="D235" s="56" t="inlineStr">
        <is>
          <t>Super Canne</t>
        </is>
      </c>
      <c r="E235" s="50" t="inlineStr">
        <is>
          <t>LOUPIO</t>
        </is>
      </c>
      <c r="F235" s="51" t="n">
        <v>0.4</v>
      </c>
      <c r="G235" s="52" t="n">
        <v>40</v>
      </c>
      <c r="H235" s="52" t="n">
        <v>40</v>
      </c>
      <c r="I235" s="29">
        <f>IF(OR(COUNTIF('Suivi des rencontres'!$A:$A,$A235)&gt;0,COUNTIF('Suivi des rencontres'!$C:$C,$J235)&gt;0),"Non","Oui")</f>
        <v/>
      </c>
      <c r="J235" s="30" t="inlineStr">
        <is>
          <t>LOUPIO</t>
        </is>
      </c>
    </row>
    <row r="236">
      <c r="A236" s="47" t="inlineStr">
        <is>
          <t>Carmin sur Mer</t>
        </is>
      </c>
      <c r="B236" s="47" t="inlineStr">
        <is>
          <t>VermilionCity_hns</t>
        </is>
      </c>
      <c r="C236" s="62" t="inlineStr">
        <is>
          <t>Nuit</t>
        </is>
      </c>
      <c r="D236" s="56" t="inlineStr">
        <is>
          <t>Super Canne</t>
        </is>
      </c>
      <c r="E236" s="50" t="inlineStr">
        <is>
          <t>TENTACRUEL</t>
        </is>
      </c>
      <c r="F236" s="51" t="n">
        <v>0.04</v>
      </c>
      <c r="G236" s="52" t="n">
        <v>40</v>
      </c>
      <c r="H236" s="52" t="n">
        <v>40</v>
      </c>
      <c r="I236" s="29">
        <f>IF(OR(COUNTIF('Suivi des rencontres'!$A:$A,$A236)&gt;0,COUNTIF('Suivi des rencontres'!$C:$C,$J236)&gt;0),"Non","Oui")</f>
        <v/>
      </c>
      <c r="J236" s="30" t="inlineStr">
        <is>
          <t>TENTACOOL</t>
        </is>
      </c>
    </row>
    <row r="237">
      <c r="A237" s="47" t="inlineStr">
        <is>
          <t>Carmin sur Mer</t>
        </is>
      </c>
      <c r="B237" s="47" t="inlineStr">
        <is>
          <t>VermilionCity_hns</t>
        </is>
      </c>
      <c r="C237" s="62" t="inlineStr">
        <is>
          <t>Nuit</t>
        </is>
      </c>
      <c r="D237" s="56" t="inlineStr">
        <is>
          <t>Super Canne</t>
        </is>
      </c>
      <c r="E237" s="50" t="inlineStr">
        <is>
          <t>LANTURN</t>
        </is>
      </c>
      <c r="F237" s="51" t="n">
        <v>0.01</v>
      </c>
      <c r="G237" s="52" t="n">
        <v>40</v>
      </c>
      <c r="H237" s="52" t="n">
        <v>40</v>
      </c>
      <c r="I237" s="29">
        <f>IF(OR(COUNTIF('Suivi des rencontres'!$A:$A,$A237)&gt;0,COUNTIF('Suivi des rencontres'!$C:$C,$J237)&gt;0),"Non","Oui")</f>
        <v/>
      </c>
      <c r="J237" s="30" t="inlineStr">
        <is>
          <t>LOUPIO</t>
        </is>
      </c>
    </row>
    <row r="238">
      <c r="A238" s="57" t="inlineStr">
        <is>
          <t>Cave TAUPIQUEUR</t>
        </is>
      </c>
      <c r="B238" s="57" t="inlineStr">
        <is>
          <t>DiglettsCave_Tunnel_hns</t>
        </is>
      </c>
      <c r="C238" s="58" t="inlineStr">
        <is>
          <t>Matin, jour, soir</t>
        </is>
      </c>
      <c r="D238" s="42" t="inlineStr">
        <is>
          <t>Herbe</t>
        </is>
      </c>
      <c r="E238" s="59" t="inlineStr">
        <is>
          <t>TAUPIQUEUR</t>
        </is>
      </c>
      <c r="F238" s="60" t="n">
        <v>0.85</v>
      </c>
      <c r="G238" s="61" t="n">
        <v>42</v>
      </c>
      <c r="H238" s="61" t="n">
        <v>49</v>
      </c>
      <c r="I238" s="46">
        <f>IF(OR(COUNTIF('Suivi des rencontres'!$A:$A,$A238)&gt;0,COUNTIF('Suivi des rencontres'!$C:$C,$J238)&gt;0),"Non","Oui")</f>
        <v/>
      </c>
      <c r="J238" s="30" t="inlineStr">
        <is>
          <t>TAUPIQUEUR</t>
        </is>
      </c>
    </row>
    <row r="239">
      <c r="A239" s="35" t="inlineStr">
        <is>
          <t>Cave TAUPIQUEUR</t>
        </is>
      </c>
      <c r="B239" s="35" t="inlineStr">
        <is>
          <t>DiglettsCave_Tunnel_hns</t>
        </is>
      </c>
      <c r="C239" s="33" t="inlineStr">
        <is>
          <t>Matin, jour, soir</t>
        </is>
      </c>
      <c r="D239" s="49" t="inlineStr">
        <is>
          <t>Herbe</t>
        </is>
      </c>
      <c r="E239" s="37" t="inlineStr">
        <is>
          <t>TRIOPIKEUR</t>
        </is>
      </c>
      <c r="F239" s="38" t="n">
        <v>0.15</v>
      </c>
      <c r="G239" s="39" t="n">
        <v>47</v>
      </c>
      <c r="H239" s="39" t="n">
        <v>49</v>
      </c>
      <c r="I239" s="29">
        <f>IF(OR(COUNTIF('Suivi des rencontres'!$A:$A,$A239)&gt;0,COUNTIF('Suivi des rencontres'!$C:$C,$J239)&gt;0),"Non","Oui")</f>
        <v/>
      </c>
      <c r="J239" s="30" t="inlineStr">
        <is>
          <t>TAUPIQUEUR</t>
        </is>
      </c>
    </row>
    <row r="240">
      <c r="A240" s="35" t="inlineStr">
        <is>
          <t>Cave TAUPIQUEUR</t>
        </is>
      </c>
      <c r="B240" s="35" t="inlineStr">
        <is>
          <t>DiglettsCave_Tunnel_hns</t>
        </is>
      </c>
      <c r="C240" s="62" t="inlineStr">
        <is>
          <t>Nuit</t>
        </is>
      </c>
      <c r="D240" s="49" t="inlineStr">
        <is>
          <t>Herbe</t>
        </is>
      </c>
      <c r="E240" s="37" t="inlineStr">
        <is>
          <t>TAUPIQUEUR</t>
        </is>
      </c>
      <c r="F240" s="38" t="n">
        <v>0.85</v>
      </c>
      <c r="G240" s="39" t="n">
        <v>44</v>
      </c>
      <c r="H240" s="39" t="n">
        <v>47</v>
      </c>
      <c r="I240" s="29">
        <f>IF(OR(COUNTIF('Suivi des rencontres'!$A:$A,$A240)&gt;0,COUNTIF('Suivi des rencontres'!$C:$C,$J240)&gt;0),"Non","Oui")</f>
        <v/>
      </c>
      <c r="J240" s="30" t="inlineStr">
        <is>
          <t>TAUPIQUEUR</t>
        </is>
      </c>
    </row>
    <row r="241">
      <c r="A241" s="35" t="inlineStr">
        <is>
          <t>Cave TAUPIQUEUR</t>
        </is>
      </c>
      <c r="B241" s="35" t="inlineStr">
        <is>
          <t>DiglettsCave_Tunnel_hns</t>
        </is>
      </c>
      <c r="C241" s="62" t="inlineStr">
        <is>
          <t>Nuit</t>
        </is>
      </c>
      <c r="D241" s="49" t="inlineStr">
        <is>
          <t>Herbe</t>
        </is>
      </c>
      <c r="E241" s="37" t="inlineStr">
        <is>
          <t>TRIOPIKEUR</t>
        </is>
      </c>
      <c r="F241" s="38" t="n">
        <v>0.15</v>
      </c>
      <c r="G241" s="39" t="n">
        <v>45</v>
      </c>
      <c r="H241" s="39" t="n">
        <v>47</v>
      </c>
      <c r="I241" s="29">
        <f>IF(OR(COUNTIF('Suivi des rencontres'!$A:$A,$A241)&gt;0,COUNTIF('Suivi des rencontres'!$C:$C,$J241)&gt;0),"Non","Oui")</f>
        <v/>
      </c>
      <c r="J241" s="30" t="inlineStr">
        <is>
          <t>TAUPIQUEUR</t>
        </is>
      </c>
    </row>
    <row r="242">
      <c r="A242" s="40" t="inlineStr">
        <is>
          <t>Caverne Azurée</t>
        </is>
      </c>
      <c r="B242" s="40" t="inlineStr">
        <is>
          <t>CeruleanCave_1F_hns</t>
        </is>
      </c>
      <c r="C242" s="41" t="inlineStr">
        <is>
          <t>Toute la journée</t>
        </is>
      </c>
      <c r="D242" s="42" t="inlineStr">
        <is>
          <t>Herbe</t>
        </is>
      </c>
      <c r="E242" s="43" t="inlineStr">
        <is>
          <t>PARASECT</t>
        </is>
      </c>
      <c r="F242" s="44" t="n">
        <v>0.25</v>
      </c>
      <c r="G242" s="45" t="n">
        <v>49</v>
      </c>
      <c r="H242" s="45" t="n">
        <v>58</v>
      </c>
      <c r="I242" s="46">
        <f>IF(OR(COUNTIF('Suivi des rencontres'!$A:$A,$A242)&gt;0,COUNTIF('Suivi des rencontres'!$C:$C,$J242)&gt;0),"Non","Oui")</f>
        <v/>
      </c>
      <c r="J242" s="30" t="inlineStr">
        <is>
          <t>PARAS</t>
        </is>
      </c>
    </row>
    <row r="243">
      <c r="A243" s="47" t="inlineStr">
        <is>
          <t>Caverne Azurée</t>
        </is>
      </c>
      <c r="B243" s="47" t="inlineStr">
        <is>
          <t>CeruleanCave_1F_hns</t>
        </is>
      </c>
      <c r="C243" s="48" t="inlineStr">
        <is>
          <t>Toute la journée</t>
        </is>
      </c>
      <c r="D243" s="49" t="inlineStr">
        <is>
          <t>Herbe</t>
        </is>
      </c>
      <c r="E243" s="50" t="inlineStr">
        <is>
          <t>MAGNETON</t>
        </is>
      </c>
      <c r="F243" s="51" t="n">
        <v>0.2</v>
      </c>
      <c r="G243" s="52" t="n">
        <v>49</v>
      </c>
      <c r="H243" s="52" t="n">
        <v>58</v>
      </c>
      <c r="I243" s="29">
        <f>IF(OR(COUNTIF('Suivi des rencontres'!$A:$A,$A243)&gt;0,COUNTIF('Suivi des rencontres'!$C:$C,$J243)&gt;0),"Non","Oui")</f>
        <v/>
      </c>
      <c r="J243" s="30" t="inlineStr">
        <is>
          <t>MAGNETI</t>
        </is>
      </c>
    </row>
    <row r="244">
      <c r="A244" s="47" t="inlineStr">
        <is>
          <t>Caverne Azurée</t>
        </is>
      </c>
      <c r="B244" s="47" t="inlineStr">
        <is>
          <t>CeruleanCave_1F_hns</t>
        </is>
      </c>
      <c r="C244" s="48" t="inlineStr">
        <is>
          <t>Toute la journée</t>
        </is>
      </c>
      <c r="D244" s="49" t="inlineStr">
        <is>
          <t>Herbe</t>
        </is>
      </c>
      <c r="E244" s="50" t="inlineStr">
        <is>
          <t>NOSFERALTO</t>
        </is>
      </c>
      <c r="F244" s="51" t="n">
        <v>0.14</v>
      </c>
      <c r="G244" s="52" t="n">
        <v>49</v>
      </c>
      <c r="H244" s="52" t="n">
        <v>55</v>
      </c>
      <c r="I244" s="29">
        <f>IF(OR(COUNTIF('Suivi des rencontres'!$A:$A,$A244)&gt;0,COUNTIF('Suivi des rencontres'!$C:$C,$J244)&gt;0),"Non","Oui")</f>
        <v/>
      </c>
      <c r="J244" s="30" t="inlineStr">
        <is>
          <t>NOSFERAPTI</t>
        </is>
      </c>
    </row>
    <row r="245">
      <c r="A245" s="47" t="inlineStr">
        <is>
          <t>Caverne Azurée</t>
        </is>
      </c>
      <c r="B245" s="47" t="inlineStr">
        <is>
          <t>CeruleanCave_1F_hns</t>
        </is>
      </c>
      <c r="C245" s="48" t="inlineStr">
        <is>
          <t>Toute la journée</t>
        </is>
      </c>
      <c r="D245" s="49" t="inlineStr">
        <is>
          <t>Herbe</t>
        </is>
      </c>
      <c r="E245" s="50" t="inlineStr">
        <is>
          <t>METAMORPH</t>
        </is>
      </c>
      <c r="F245" s="51" t="n">
        <v>0.11</v>
      </c>
      <c r="G245" s="52" t="n">
        <v>52</v>
      </c>
      <c r="H245" s="52" t="n">
        <v>61</v>
      </c>
      <c r="I245" s="29">
        <f>IF(OR(COUNTIF('Suivi des rencontres'!$A:$A,$A245)&gt;0,COUNTIF('Suivi des rencontres'!$C:$C,$J245)&gt;0),"Non","Oui")</f>
        <v/>
      </c>
      <c r="J245" s="30" t="inlineStr">
        <is>
          <t>METAMORPH</t>
        </is>
      </c>
    </row>
    <row r="246">
      <c r="A246" s="47" t="inlineStr">
        <is>
          <t>Caverne Azurée</t>
        </is>
      </c>
      <c r="B246" s="47" t="inlineStr">
        <is>
          <t>CeruleanCave_1F_hns</t>
        </is>
      </c>
      <c r="C246" s="48" t="inlineStr">
        <is>
          <t>Toute la journée</t>
        </is>
      </c>
      <c r="D246" s="49" t="inlineStr">
        <is>
          <t>Herbe</t>
        </is>
      </c>
      <c r="E246" s="50" t="inlineStr">
        <is>
          <t>COLOSSINGE</t>
        </is>
      </c>
      <c r="F246" s="51" t="n">
        <v>0.1</v>
      </c>
      <c r="G246" s="52" t="n">
        <v>52</v>
      </c>
      <c r="H246" s="52" t="n">
        <v>61</v>
      </c>
      <c r="I246" s="29">
        <f>IF(OR(COUNTIF('Suivi des rencontres'!$A:$A,$A246)&gt;0,COUNTIF('Suivi des rencontres'!$C:$C,$J246)&gt;0),"Non","Oui")</f>
        <v/>
      </c>
      <c r="J246" s="30" t="inlineStr">
        <is>
          <t>FEROSINGE</t>
        </is>
      </c>
    </row>
    <row r="247">
      <c r="A247" s="47" t="inlineStr">
        <is>
          <t>Caverne Azurée</t>
        </is>
      </c>
      <c r="B247" s="47" t="inlineStr">
        <is>
          <t>CeruleanCave_1F_hns</t>
        </is>
      </c>
      <c r="C247" s="48" t="inlineStr">
        <is>
          <t>Toute la journée</t>
        </is>
      </c>
      <c r="D247" s="49" t="inlineStr">
        <is>
          <t>Herbe</t>
        </is>
      </c>
      <c r="E247" s="50" t="inlineStr">
        <is>
          <t>MACHOPEUR</t>
        </is>
      </c>
      <c r="F247" s="51" t="n">
        <v>0.1</v>
      </c>
      <c r="G247" s="52" t="n">
        <v>46</v>
      </c>
      <c r="H247" s="52" t="n">
        <v>55</v>
      </c>
      <c r="I247" s="29">
        <f>IF(OR(COUNTIF('Suivi des rencontres'!$A:$A,$A247)&gt;0,COUNTIF('Suivi des rencontres'!$C:$C,$J247)&gt;0),"Non","Oui")</f>
        <v/>
      </c>
      <c r="J247" s="30" t="inlineStr">
        <is>
          <t>MACHOC</t>
        </is>
      </c>
    </row>
    <row r="248">
      <c r="A248" s="47" t="inlineStr">
        <is>
          <t>Caverne Azurée</t>
        </is>
      </c>
      <c r="B248" s="47" t="inlineStr">
        <is>
          <t>CeruleanCave_1F_hns</t>
        </is>
      </c>
      <c r="C248" s="48" t="inlineStr">
        <is>
          <t>Toute la journée</t>
        </is>
      </c>
      <c r="D248" s="49" t="inlineStr">
        <is>
          <t>Herbe</t>
        </is>
      </c>
      <c r="E248" s="50" t="inlineStr">
        <is>
          <t>ELECTRODE</t>
        </is>
      </c>
      <c r="F248" s="51" t="n">
        <v>0.05</v>
      </c>
      <c r="G248" s="52" t="n">
        <v>58</v>
      </c>
      <c r="H248" s="52" t="n">
        <v>61</v>
      </c>
      <c r="I248" s="29">
        <f>IF(OR(COUNTIF('Suivi des rencontres'!$A:$A,$A248)&gt;0,COUNTIF('Suivi des rencontres'!$C:$C,$J248)&gt;0),"Non","Oui")</f>
        <v/>
      </c>
      <c r="J248" s="30" t="inlineStr">
        <is>
          <t>VOLTORBE</t>
        </is>
      </c>
    </row>
    <row r="249">
      <c r="A249" s="47" t="inlineStr">
        <is>
          <t>Caverne Azurée</t>
        </is>
      </c>
      <c r="B249" s="47" t="inlineStr">
        <is>
          <t>CeruleanCave_1F_hns</t>
        </is>
      </c>
      <c r="C249" s="48" t="inlineStr">
        <is>
          <t>Toute la journée</t>
        </is>
      </c>
      <c r="D249" s="49" t="inlineStr">
        <is>
          <t>Herbe</t>
        </is>
      </c>
      <c r="E249" s="50" t="inlineStr">
        <is>
          <t>QULBUTOKE</t>
        </is>
      </c>
      <c r="F249" s="51" t="n">
        <v>0.04</v>
      </c>
      <c r="G249" s="52" t="n">
        <v>52</v>
      </c>
      <c r="H249" s="52" t="n">
        <v>58</v>
      </c>
      <c r="I249" s="29">
        <f>IF(OR(COUNTIF('Suivi des rencontres'!$A:$A,$A249)&gt;0,COUNTIF('Suivi des rencontres'!$C:$C,$J249)&gt;0),"Non","Oui")</f>
        <v/>
      </c>
      <c r="J249" s="30" t="inlineStr">
        <is>
          <t>OKEOKE</t>
        </is>
      </c>
    </row>
    <row r="250">
      <c r="A250" s="47" t="inlineStr">
        <is>
          <t>Caverne Azurée</t>
        </is>
      </c>
      <c r="B250" s="47" t="inlineStr">
        <is>
          <t>CeruleanCave_1F_hns</t>
        </is>
      </c>
      <c r="C250" s="48" t="inlineStr">
        <is>
          <t>Toute la journée</t>
        </is>
      </c>
      <c r="D250" s="49" t="inlineStr">
        <is>
          <t>Herbe</t>
        </is>
      </c>
      <c r="E250" s="50" t="inlineStr">
        <is>
          <t>MACKOGNEUR</t>
        </is>
      </c>
      <c r="F250" s="51" t="n">
        <v>0.01</v>
      </c>
      <c r="G250" s="52" t="n">
        <v>52</v>
      </c>
      <c r="H250" s="52" t="n">
        <v>61</v>
      </c>
      <c r="I250" s="29">
        <f>IF(OR(COUNTIF('Suivi des rencontres'!$A:$A,$A250)&gt;0,COUNTIF('Suivi des rencontres'!$C:$C,$J250)&gt;0),"Non","Oui")</f>
        <v/>
      </c>
      <c r="J250" s="30" t="inlineStr">
        <is>
          <t>MACHOC</t>
        </is>
      </c>
    </row>
    <row r="251">
      <c r="A251" s="47" t="inlineStr">
        <is>
          <t>Caverne Azurée</t>
        </is>
      </c>
      <c r="B251" s="47" t="inlineStr">
        <is>
          <t>CeruleanCave_1F_hns</t>
        </is>
      </c>
      <c r="C251" s="48" t="inlineStr">
        <is>
          <t>Toute la journée</t>
        </is>
      </c>
      <c r="D251" s="53" t="inlineStr">
        <is>
          <t>Surf</t>
        </is>
      </c>
      <c r="E251" s="50" t="inlineStr">
        <is>
          <t>PSYKOKWAK</t>
        </is>
      </c>
      <c r="F251" s="51" t="n">
        <v>0.65</v>
      </c>
      <c r="G251" s="52" t="n">
        <v>50</v>
      </c>
      <c r="H251" s="52" t="n">
        <v>58</v>
      </c>
      <c r="I251" s="29">
        <f>IF(OR(COUNTIF('Suivi des rencontres'!$A:$A,$A251)&gt;0,COUNTIF('Suivi des rencontres'!$C:$C,$J251)&gt;0),"Non","Oui")</f>
        <v/>
      </c>
      <c r="J251" s="30" t="inlineStr">
        <is>
          <t>PSYKOKWAK</t>
        </is>
      </c>
    </row>
    <row r="252">
      <c r="A252" s="47" t="inlineStr">
        <is>
          <t>Caverne Azurée</t>
        </is>
      </c>
      <c r="B252" s="47" t="inlineStr">
        <is>
          <t>CeruleanCave_1F_hns</t>
        </is>
      </c>
      <c r="C252" s="48" t="inlineStr">
        <is>
          <t>Toute la journée</t>
        </is>
      </c>
      <c r="D252" s="53" t="inlineStr">
        <is>
          <t>Surf</t>
        </is>
      </c>
      <c r="E252" s="50" t="inlineStr">
        <is>
          <t>AKWAKWAK</t>
        </is>
      </c>
      <c r="F252" s="51" t="n">
        <v>0.35</v>
      </c>
      <c r="G252" s="52" t="n">
        <v>50</v>
      </c>
      <c r="H252" s="52" t="n">
        <v>58</v>
      </c>
      <c r="I252" s="29">
        <f>IF(OR(COUNTIF('Suivi des rencontres'!$A:$A,$A252)&gt;0,COUNTIF('Suivi des rencontres'!$C:$C,$J252)&gt;0),"Non","Oui")</f>
        <v/>
      </c>
      <c r="J252" s="30" t="inlineStr">
        <is>
          <t>PSYKOKWAK</t>
        </is>
      </c>
    </row>
    <row r="253">
      <c r="A253" s="47" t="inlineStr">
        <is>
          <t>Caverne Azurée</t>
        </is>
      </c>
      <c r="B253" s="47" t="inlineStr">
        <is>
          <t>CeruleanCave_1F_hns</t>
        </is>
      </c>
      <c r="C253" s="48" t="inlineStr">
        <is>
          <t>Toute la journée</t>
        </is>
      </c>
      <c r="D253" s="36" t="inlineStr">
        <is>
          <t>Éclate-Roc</t>
        </is>
      </c>
      <c r="E253" s="50" t="inlineStr">
        <is>
          <t>RACAILLOU</t>
        </is>
      </c>
      <c r="F253" s="51" t="n">
        <v>0.65</v>
      </c>
      <c r="G253" s="52" t="n">
        <v>55</v>
      </c>
      <c r="H253" s="52" t="n">
        <v>55</v>
      </c>
      <c r="I253" s="29">
        <f>IF(OR(COUNTIF('Suivi des rencontres'!$A:$A,$A253)&gt;0,COUNTIF('Suivi des rencontres'!$C:$C,$J253)&gt;0),"Non","Oui")</f>
        <v/>
      </c>
      <c r="J253" s="30" t="inlineStr">
        <is>
          <t>RACAILLOU</t>
        </is>
      </c>
    </row>
    <row r="254">
      <c r="A254" s="47" t="inlineStr">
        <is>
          <t>Caverne Azurée</t>
        </is>
      </c>
      <c r="B254" s="47" t="inlineStr">
        <is>
          <t>CeruleanCave_1F_hns</t>
        </is>
      </c>
      <c r="C254" s="48" t="inlineStr">
        <is>
          <t>Toute la journée</t>
        </is>
      </c>
      <c r="D254" s="36" t="inlineStr">
        <is>
          <t>Éclate-Roc</t>
        </is>
      </c>
      <c r="E254" s="50" t="inlineStr">
        <is>
          <t>GRAVALANCH</t>
        </is>
      </c>
      <c r="F254" s="51" t="n">
        <v>0.35</v>
      </c>
      <c r="G254" s="52" t="n">
        <v>55</v>
      </c>
      <c r="H254" s="52" t="n">
        <v>55</v>
      </c>
      <c r="I254" s="29">
        <f>IF(OR(COUNTIF('Suivi des rencontres'!$A:$A,$A254)&gt;0,COUNTIF('Suivi des rencontres'!$C:$C,$J254)&gt;0),"Non","Oui")</f>
        <v/>
      </c>
      <c r="J254" s="30" t="inlineStr">
        <is>
          <t>RACAILLOU</t>
        </is>
      </c>
    </row>
    <row r="255">
      <c r="A255" s="47" t="inlineStr">
        <is>
          <t>Caverne Azurée</t>
        </is>
      </c>
      <c r="B255" s="47" t="inlineStr">
        <is>
          <t>CeruleanCave_1F_hns</t>
        </is>
      </c>
      <c r="C255" s="48" t="inlineStr">
        <is>
          <t>Toute la journée</t>
        </is>
      </c>
      <c r="D255" s="54" t="inlineStr">
        <is>
          <t>Vieille Canne</t>
        </is>
      </c>
      <c r="E255" s="50" t="inlineStr">
        <is>
          <t>MAGICARPE</t>
        </is>
      </c>
      <c r="F255" s="51" t="n">
        <v>1</v>
      </c>
      <c r="G255" s="52" t="n">
        <v>41</v>
      </c>
      <c r="H255" s="52" t="n">
        <v>60</v>
      </c>
      <c r="I255" s="29">
        <f>IF(OR(COUNTIF('Suivi des rencontres'!$A:$A,$A255)&gt;0,COUNTIF('Suivi des rencontres'!$C:$C,$J255)&gt;0),"Non","Oui")</f>
        <v/>
      </c>
      <c r="J255" s="30" t="inlineStr">
        <is>
          <t>MAGICARPE</t>
        </is>
      </c>
    </row>
    <row r="256">
      <c r="A256" s="47" t="inlineStr">
        <is>
          <t>Caverne Azurée</t>
        </is>
      </c>
      <c r="B256" s="47" t="inlineStr">
        <is>
          <t>CeruleanCave_1F_hns</t>
        </is>
      </c>
      <c r="C256" s="48" t="inlineStr">
        <is>
          <t>Toute la journée</t>
        </is>
      </c>
      <c r="D256" s="55" t="inlineStr">
        <is>
          <t>Bonne Canne</t>
        </is>
      </c>
      <c r="E256" s="50" t="inlineStr">
        <is>
          <t>PTITARD</t>
        </is>
      </c>
      <c r="F256" s="51" t="n">
        <v>0.6</v>
      </c>
      <c r="G256" s="52" t="n">
        <v>43</v>
      </c>
      <c r="H256" s="52" t="n">
        <v>50</v>
      </c>
      <c r="I256" s="29">
        <f>IF(OR(COUNTIF('Suivi des rencontres'!$A:$A,$A256)&gt;0,COUNTIF('Suivi des rencontres'!$C:$C,$J256)&gt;0),"Non","Oui")</f>
        <v/>
      </c>
      <c r="J256" s="30" t="inlineStr">
        <is>
          <t>PTITARD</t>
        </is>
      </c>
    </row>
    <row r="257">
      <c r="A257" s="47" t="inlineStr">
        <is>
          <t>Caverne Azurée</t>
        </is>
      </c>
      <c r="B257" s="47" t="inlineStr">
        <is>
          <t>CeruleanCave_1F_hns</t>
        </is>
      </c>
      <c r="C257" s="48" t="inlineStr">
        <is>
          <t>Toute la journée</t>
        </is>
      </c>
      <c r="D257" s="55" t="inlineStr">
        <is>
          <t>Bonne Canne</t>
        </is>
      </c>
      <c r="E257" s="50" t="inlineStr">
        <is>
          <t>MAGICARPE</t>
        </is>
      </c>
      <c r="F257" s="51" t="n">
        <v>0.2</v>
      </c>
      <c r="G257" s="52" t="n">
        <v>43</v>
      </c>
      <c r="H257" s="52" t="n">
        <v>60</v>
      </c>
      <c r="I257" s="29">
        <f>IF(OR(COUNTIF('Suivi des rencontres'!$A:$A,$A257)&gt;0,COUNTIF('Suivi des rencontres'!$C:$C,$J257)&gt;0),"Non","Oui")</f>
        <v/>
      </c>
      <c r="J257" s="30" t="inlineStr">
        <is>
          <t>MAGICARPE</t>
        </is>
      </c>
    </row>
    <row r="258">
      <c r="A258" s="47" t="inlineStr">
        <is>
          <t>Caverne Azurée</t>
        </is>
      </c>
      <c r="B258" s="47" t="inlineStr">
        <is>
          <t>CeruleanCave_1F_hns</t>
        </is>
      </c>
      <c r="C258" s="48" t="inlineStr">
        <is>
          <t>Toute la journée</t>
        </is>
      </c>
      <c r="D258" s="55" t="inlineStr">
        <is>
          <t>Bonne Canne</t>
        </is>
      </c>
      <c r="E258" s="50" t="inlineStr">
        <is>
          <t>POISSIRENE</t>
        </is>
      </c>
      <c r="F258" s="51" t="n">
        <v>0.2</v>
      </c>
      <c r="G258" s="52" t="n">
        <v>43</v>
      </c>
      <c r="H258" s="52" t="n">
        <v>50</v>
      </c>
      <c r="I258" s="29">
        <f>IF(OR(COUNTIF('Suivi des rencontres'!$A:$A,$A258)&gt;0,COUNTIF('Suivi des rencontres'!$C:$C,$J258)&gt;0),"Non","Oui")</f>
        <v/>
      </c>
      <c r="J258" s="30" t="inlineStr">
        <is>
          <t>POISSIRENE</t>
        </is>
      </c>
    </row>
    <row r="259">
      <c r="A259" s="47" t="inlineStr">
        <is>
          <t>Caverne Azurée</t>
        </is>
      </c>
      <c r="B259" s="47" t="inlineStr">
        <is>
          <t>CeruleanCave_1F_hns</t>
        </is>
      </c>
      <c r="C259" s="48" t="inlineStr">
        <is>
          <t>Toute la journée</t>
        </is>
      </c>
      <c r="D259" s="56" t="inlineStr">
        <is>
          <t>Super Canne</t>
        </is>
      </c>
      <c r="E259" s="50" t="inlineStr">
        <is>
          <t>PTITARD</t>
        </is>
      </c>
      <c r="F259" s="51" t="n">
        <v>0.4</v>
      </c>
      <c r="G259" s="52" t="n">
        <v>50</v>
      </c>
      <c r="H259" s="52" t="n">
        <v>50</v>
      </c>
      <c r="I259" s="29">
        <f>IF(OR(COUNTIF('Suivi des rencontres'!$A:$A,$A259)&gt;0,COUNTIF('Suivi des rencontres'!$C:$C,$J259)&gt;0),"Non","Oui")</f>
        <v/>
      </c>
      <c r="J259" s="30" t="inlineStr">
        <is>
          <t>PTITARD</t>
        </is>
      </c>
    </row>
    <row r="260">
      <c r="A260" s="47" t="inlineStr">
        <is>
          <t>Caverne Azurée</t>
        </is>
      </c>
      <c r="B260" s="47" t="inlineStr">
        <is>
          <t>CeruleanCave_1F_hns</t>
        </is>
      </c>
      <c r="C260" s="48" t="inlineStr">
        <is>
          <t>Toute la journée</t>
        </is>
      </c>
      <c r="D260" s="56" t="inlineStr">
        <is>
          <t>Super Canne</t>
        </is>
      </c>
      <c r="E260" s="50" t="inlineStr">
        <is>
          <t>TETARTE</t>
        </is>
      </c>
      <c r="F260" s="51" t="n">
        <v>0.4</v>
      </c>
      <c r="G260" s="52" t="n">
        <v>50</v>
      </c>
      <c r="H260" s="52" t="n">
        <v>58</v>
      </c>
      <c r="I260" s="29">
        <f>IF(OR(COUNTIF('Suivi des rencontres'!$A:$A,$A260)&gt;0,COUNTIF('Suivi des rencontres'!$C:$C,$J260)&gt;0),"Non","Oui")</f>
        <v/>
      </c>
      <c r="J260" s="30" t="inlineStr">
        <is>
          <t>PTITARD</t>
        </is>
      </c>
    </row>
    <row r="261">
      <c r="A261" s="47" t="inlineStr">
        <is>
          <t>Caverne Azurée</t>
        </is>
      </c>
      <c r="B261" s="47" t="inlineStr">
        <is>
          <t>CeruleanCave_1F_hns</t>
        </is>
      </c>
      <c r="C261" s="48" t="inlineStr">
        <is>
          <t>Toute la journée</t>
        </is>
      </c>
      <c r="D261" s="56" t="inlineStr">
        <is>
          <t>Super Canne</t>
        </is>
      </c>
      <c r="E261" s="50" t="inlineStr">
        <is>
          <t>LEVIATOR</t>
        </is>
      </c>
      <c r="F261" s="51" t="n">
        <v>0.15</v>
      </c>
      <c r="G261" s="52" t="n">
        <v>60</v>
      </c>
      <c r="H261" s="52" t="n">
        <v>62</v>
      </c>
      <c r="I261" s="29">
        <f>IF(OR(COUNTIF('Suivi des rencontres'!$A:$A,$A261)&gt;0,COUNTIF('Suivi des rencontres'!$C:$C,$J261)&gt;0),"Non","Oui")</f>
        <v/>
      </c>
      <c r="J261" s="30" t="inlineStr">
        <is>
          <t>MAGICARPE</t>
        </is>
      </c>
    </row>
    <row r="262">
      <c r="A262" s="47" t="inlineStr">
        <is>
          <t>Caverne Azurée</t>
        </is>
      </c>
      <c r="B262" s="47" t="inlineStr">
        <is>
          <t>CeruleanCave_1F_hns</t>
        </is>
      </c>
      <c r="C262" s="48" t="inlineStr">
        <is>
          <t>Toute la journée</t>
        </is>
      </c>
      <c r="D262" s="56" t="inlineStr">
        <is>
          <t>Super Canne</t>
        </is>
      </c>
      <c r="E262" s="50" t="inlineStr">
        <is>
          <t>PSYKOKWAK</t>
        </is>
      </c>
      <c r="F262" s="51" t="n">
        <v>0.05</v>
      </c>
      <c r="G262" s="52" t="n">
        <v>43</v>
      </c>
      <c r="H262" s="52" t="n">
        <v>50</v>
      </c>
      <c r="I262" s="29">
        <f>IF(OR(COUNTIF('Suivi des rencontres'!$A:$A,$A262)&gt;0,COUNTIF('Suivi des rencontres'!$C:$C,$J262)&gt;0),"Non","Oui")</f>
        <v/>
      </c>
      <c r="J262" s="30" t="inlineStr">
        <is>
          <t>PSYKOKWAK</t>
        </is>
      </c>
    </row>
    <row r="263">
      <c r="A263" s="47" t="inlineStr">
        <is>
          <t>Caverne Azurée</t>
        </is>
      </c>
      <c r="B263" s="47" t="inlineStr">
        <is>
          <t>CeruleanCave_B1F_hns</t>
        </is>
      </c>
      <c r="C263" s="48" t="inlineStr">
        <is>
          <t>Toute la journée</t>
        </is>
      </c>
      <c r="D263" s="49" t="inlineStr">
        <is>
          <t>Herbe</t>
        </is>
      </c>
      <c r="E263" s="50" t="inlineStr">
        <is>
          <t>MACHOPEUR</t>
        </is>
      </c>
      <c r="F263" s="51" t="n">
        <v>0.2</v>
      </c>
      <c r="G263" s="52" t="n">
        <v>49</v>
      </c>
      <c r="H263" s="52" t="n">
        <v>56</v>
      </c>
      <c r="I263" s="29">
        <f>IF(OR(COUNTIF('Suivi des rencontres'!$A:$A,$A263)&gt;0,COUNTIF('Suivi des rencontres'!$C:$C,$J263)&gt;0),"Non","Oui")</f>
        <v/>
      </c>
      <c r="J263" s="30" t="inlineStr">
        <is>
          <t>MACHOC</t>
        </is>
      </c>
    </row>
    <row r="264">
      <c r="A264" s="47" t="inlineStr">
        <is>
          <t>Caverne Azurée</t>
        </is>
      </c>
      <c r="B264" s="47" t="inlineStr">
        <is>
          <t>CeruleanCave_B1F_hns</t>
        </is>
      </c>
      <c r="C264" s="48" t="inlineStr">
        <is>
          <t>Toute la journée</t>
        </is>
      </c>
      <c r="D264" s="49" t="inlineStr">
        <is>
          <t>Herbe</t>
        </is>
      </c>
      <c r="E264" s="50" t="inlineStr">
        <is>
          <t>NOSFERALTO</t>
        </is>
      </c>
      <c r="F264" s="51" t="n">
        <v>0.2</v>
      </c>
      <c r="G264" s="52" t="n">
        <v>49</v>
      </c>
      <c r="H264" s="52" t="n">
        <v>58</v>
      </c>
      <c r="I264" s="29">
        <f>IF(OR(COUNTIF('Suivi des rencontres'!$A:$A,$A264)&gt;0,COUNTIF('Suivi des rencontres'!$C:$C,$J264)&gt;0),"Non","Oui")</f>
        <v/>
      </c>
      <c r="J264" s="30" t="inlineStr">
        <is>
          <t>NOSFERAPTI</t>
        </is>
      </c>
    </row>
    <row r="265">
      <c r="A265" s="47" t="inlineStr">
        <is>
          <t>Caverne Azurée</t>
        </is>
      </c>
      <c r="B265" s="47" t="inlineStr">
        <is>
          <t>CeruleanCave_B1F_hns</t>
        </is>
      </c>
      <c r="C265" s="48" t="inlineStr">
        <is>
          <t>Toute la journée</t>
        </is>
      </c>
      <c r="D265" s="49" t="inlineStr">
        <is>
          <t>Herbe</t>
        </is>
      </c>
      <c r="E265" s="50" t="inlineStr">
        <is>
          <t>PARASECT</t>
        </is>
      </c>
      <c r="F265" s="51" t="n">
        <v>0.14</v>
      </c>
      <c r="G265" s="52" t="n">
        <v>52</v>
      </c>
      <c r="H265" s="52" t="n">
        <v>61</v>
      </c>
      <c r="I265" s="29">
        <f>IF(OR(COUNTIF('Suivi des rencontres'!$A:$A,$A265)&gt;0,COUNTIF('Suivi des rencontres'!$C:$C,$J265)&gt;0),"Non","Oui")</f>
        <v/>
      </c>
      <c r="J265" s="30" t="inlineStr">
        <is>
          <t>PARAS</t>
        </is>
      </c>
    </row>
    <row r="266">
      <c r="A266" s="47" t="inlineStr">
        <is>
          <t>Caverne Azurée</t>
        </is>
      </c>
      <c r="B266" s="47" t="inlineStr">
        <is>
          <t>CeruleanCave_B1F_hns</t>
        </is>
      </c>
      <c r="C266" s="48" t="inlineStr">
        <is>
          <t>Toute la journée</t>
        </is>
      </c>
      <c r="D266" s="49" t="inlineStr">
        <is>
          <t>Herbe</t>
        </is>
      </c>
      <c r="E266" s="50" t="inlineStr">
        <is>
          <t>KADABRA</t>
        </is>
      </c>
      <c r="F266" s="51" t="n">
        <v>0.1</v>
      </c>
      <c r="G266" s="52" t="n">
        <v>55</v>
      </c>
      <c r="H266" s="52" t="n">
        <v>64</v>
      </c>
      <c r="I266" s="29">
        <f>IF(OR(COUNTIF('Suivi des rencontres'!$A:$A,$A266)&gt;0,COUNTIF('Suivi des rencontres'!$C:$C,$J266)&gt;0),"Non","Oui")</f>
        <v/>
      </c>
      <c r="J266" s="30" t="inlineStr">
        <is>
          <t>ABRA</t>
        </is>
      </c>
    </row>
    <row r="267">
      <c r="A267" s="47" t="inlineStr">
        <is>
          <t>Caverne Azurée</t>
        </is>
      </c>
      <c r="B267" s="47" t="inlineStr">
        <is>
          <t>CeruleanCave_B1F_hns</t>
        </is>
      </c>
      <c r="C267" s="48" t="inlineStr">
        <is>
          <t>Toute la journée</t>
        </is>
      </c>
      <c r="D267" s="49" t="inlineStr">
        <is>
          <t>Herbe</t>
        </is>
      </c>
      <c r="E267" s="50" t="inlineStr">
        <is>
          <t>MAGNETON</t>
        </is>
      </c>
      <c r="F267" s="51" t="n">
        <v>0.1</v>
      </c>
      <c r="G267" s="52" t="n">
        <v>52</v>
      </c>
      <c r="H267" s="52" t="n">
        <v>53</v>
      </c>
      <c r="I267" s="29">
        <f>IF(OR(COUNTIF('Suivi des rencontres'!$A:$A,$A267)&gt;0,COUNTIF('Suivi des rencontres'!$C:$C,$J267)&gt;0),"Non","Oui")</f>
        <v/>
      </c>
      <c r="J267" s="30" t="inlineStr">
        <is>
          <t>MAGNETI</t>
        </is>
      </c>
    </row>
    <row r="268">
      <c r="A268" s="47" t="inlineStr">
        <is>
          <t>Caverne Azurée</t>
        </is>
      </c>
      <c r="B268" s="47" t="inlineStr">
        <is>
          <t>CeruleanCave_B1F_hns</t>
        </is>
      </c>
      <c r="C268" s="48" t="inlineStr">
        <is>
          <t>Toute la journée</t>
        </is>
      </c>
      <c r="D268" s="49" t="inlineStr">
        <is>
          <t>Herbe</t>
        </is>
      </c>
      <c r="E268" s="50" t="inlineStr">
        <is>
          <t>METAMORPH</t>
        </is>
      </c>
      <c r="F268" s="51" t="n">
        <v>0.1</v>
      </c>
      <c r="G268" s="52" t="n">
        <v>55</v>
      </c>
      <c r="H268" s="52" t="n">
        <v>64</v>
      </c>
      <c r="I268" s="29">
        <f>IF(OR(COUNTIF('Suivi des rencontres'!$A:$A,$A268)&gt;0,COUNTIF('Suivi des rencontres'!$C:$C,$J268)&gt;0),"Non","Oui")</f>
        <v/>
      </c>
      <c r="J268" s="30" t="inlineStr">
        <is>
          <t>METAMORPH</t>
        </is>
      </c>
    </row>
    <row r="269">
      <c r="A269" s="47" t="inlineStr">
        <is>
          <t>Caverne Azurée</t>
        </is>
      </c>
      <c r="B269" s="47" t="inlineStr">
        <is>
          <t>CeruleanCave_B1F_hns</t>
        </is>
      </c>
      <c r="C269" s="48" t="inlineStr">
        <is>
          <t>Toute la journée</t>
        </is>
      </c>
      <c r="D269" s="49" t="inlineStr">
        <is>
          <t>Herbe</t>
        </is>
      </c>
      <c r="E269" s="50" t="inlineStr">
        <is>
          <t>NOSTENFER</t>
        </is>
      </c>
      <c r="F269" s="51" t="n">
        <v>0.05</v>
      </c>
      <c r="G269" s="52" t="n">
        <v>55</v>
      </c>
      <c r="H269" s="52" t="n">
        <v>62</v>
      </c>
      <c r="I269" s="29">
        <f>IF(OR(COUNTIF('Suivi des rencontres'!$A:$A,$A269)&gt;0,COUNTIF('Suivi des rencontres'!$C:$C,$J269)&gt;0),"Non","Oui")</f>
        <v/>
      </c>
      <c r="J269" s="30" t="inlineStr">
        <is>
          <t>NOSFERAPTI</t>
        </is>
      </c>
    </row>
    <row r="270">
      <c r="A270" s="47" t="inlineStr">
        <is>
          <t>Caverne Azurée</t>
        </is>
      </c>
      <c r="B270" s="47" t="inlineStr">
        <is>
          <t>CeruleanCave_B1F_hns</t>
        </is>
      </c>
      <c r="C270" s="48" t="inlineStr">
        <is>
          <t>Toute la journée</t>
        </is>
      </c>
      <c r="D270" s="49" t="inlineStr">
        <is>
          <t>Herbe</t>
        </is>
      </c>
      <c r="E270" s="50" t="inlineStr">
        <is>
          <t>QULBUTOKE</t>
        </is>
      </c>
      <c r="F270" s="51" t="n">
        <v>0.05</v>
      </c>
      <c r="G270" s="52" t="n">
        <v>58</v>
      </c>
      <c r="H270" s="52" t="n">
        <v>58</v>
      </c>
      <c r="I270" s="29">
        <f>IF(OR(COUNTIF('Suivi des rencontres'!$A:$A,$A270)&gt;0,COUNTIF('Suivi des rencontres'!$C:$C,$J270)&gt;0),"Non","Oui")</f>
        <v/>
      </c>
      <c r="J270" s="30" t="inlineStr">
        <is>
          <t>OKEOKE</t>
        </is>
      </c>
    </row>
    <row r="271">
      <c r="A271" s="47" t="inlineStr">
        <is>
          <t>Caverne Azurée</t>
        </is>
      </c>
      <c r="B271" s="47" t="inlineStr">
        <is>
          <t>CeruleanCave_B1F_hns</t>
        </is>
      </c>
      <c r="C271" s="48" t="inlineStr">
        <is>
          <t>Toute la journée</t>
        </is>
      </c>
      <c r="D271" s="49" t="inlineStr">
        <is>
          <t>Herbe</t>
        </is>
      </c>
      <c r="E271" s="50" t="inlineStr">
        <is>
          <t>ELECTRODE</t>
        </is>
      </c>
      <c r="F271" s="51" t="n">
        <v>0.04</v>
      </c>
      <c r="G271" s="52" t="n">
        <v>61</v>
      </c>
      <c r="H271" s="52" t="n">
        <v>61</v>
      </c>
      <c r="I271" s="29">
        <f>IF(OR(COUNTIF('Suivi des rencontres'!$A:$A,$A271)&gt;0,COUNTIF('Suivi des rencontres'!$C:$C,$J271)&gt;0),"Non","Oui")</f>
        <v/>
      </c>
      <c r="J271" s="30" t="inlineStr">
        <is>
          <t>VOLTORBE</t>
        </is>
      </c>
    </row>
    <row r="272">
      <c r="A272" s="47" t="inlineStr">
        <is>
          <t>Caverne Azurée</t>
        </is>
      </c>
      <c r="B272" s="47" t="inlineStr">
        <is>
          <t>CeruleanCave_B1F_hns</t>
        </is>
      </c>
      <c r="C272" s="48" t="inlineStr">
        <is>
          <t>Toute la journée</t>
        </is>
      </c>
      <c r="D272" s="49" t="inlineStr">
        <is>
          <t>Herbe</t>
        </is>
      </c>
      <c r="E272" s="50" t="inlineStr">
        <is>
          <t>ALAKAZAM</t>
        </is>
      </c>
      <c r="F272" s="51" t="n">
        <v>0.01</v>
      </c>
      <c r="G272" s="52" t="n">
        <v>64</v>
      </c>
      <c r="H272" s="52" t="n">
        <v>64</v>
      </c>
      <c r="I272" s="29">
        <f>IF(OR(COUNTIF('Suivi des rencontres'!$A:$A,$A272)&gt;0,COUNTIF('Suivi des rencontres'!$C:$C,$J272)&gt;0),"Non","Oui")</f>
        <v/>
      </c>
      <c r="J272" s="30" t="inlineStr">
        <is>
          <t>ABRA</t>
        </is>
      </c>
    </row>
    <row r="273">
      <c r="A273" s="47" t="inlineStr">
        <is>
          <t>Caverne Azurée</t>
        </is>
      </c>
      <c r="B273" s="47" t="inlineStr">
        <is>
          <t>CeruleanCave_B1F_hns</t>
        </is>
      </c>
      <c r="C273" s="48" t="inlineStr">
        <is>
          <t>Toute la journée</t>
        </is>
      </c>
      <c r="D273" s="49" t="inlineStr">
        <is>
          <t>Herbe</t>
        </is>
      </c>
      <c r="E273" s="50" t="inlineStr">
        <is>
          <t>MAGNEZONE</t>
        </is>
      </c>
      <c r="F273" s="51" t="n">
        <v>0.01</v>
      </c>
      <c r="G273" s="52" t="n">
        <v>55</v>
      </c>
      <c r="H273" s="52" t="n">
        <v>64</v>
      </c>
      <c r="I273" s="29">
        <f>IF(OR(COUNTIF('Suivi des rencontres'!$A:$A,$A273)&gt;0,COUNTIF('Suivi des rencontres'!$C:$C,$J273)&gt;0),"Non","Oui")</f>
        <v/>
      </c>
      <c r="J273" s="30" t="inlineStr">
        <is>
          <t>MAGNETI</t>
        </is>
      </c>
    </row>
    <row r="274">
      <c r="A274" s="47" t="inlineStr">
        <is>
          <t>Caverne Azurée</t>
        </is>
      </c>
      <c r="B274" s="47" t="inlineStr">
        <is>
          <t>CeruleanCave_B1F_hns</t>
        </is>
      </c>
      <c r="C274" s="48" t="inlineStr">
        <is>
          <t>Toute la journée</t>
        </is>
      </c>
      <c r="D274" s="53" t="inlineStr">
        <is>
          <t>Surf</t>
        </is>
      </c>
      <c r="E274" s="50" t="inlineStr">
        <is>
          <t>PSYKOKWAK</t>
        </is>
      </c>
      <c r="F274" s="51" t="n">
        <v>0.65</v>
      </c>
      <c r="G274" s="52" t="n">
        <v>50</v>
      </c>
      <c r="H274" s="52" t="n">
        <v>58</v>
      </c>
      <c r="I274" s="29">
        <f>IF(OR(COUNTIF('Suivi des rencontres'!$A:$A,$A274)&gt;0,COUNTIF('Suivi des rencontres'!$C:$C,$J274)&gt;0),"Non","Oui")</f>
        <v/>
      </c>
      <c r="J274" s="30" t="inlineStr">
        <is>
          <t>PSYKOKWAK</t>
        </is>
      </c>
    </row>
    <row r="275">
      <c r="A275" s="47" t="inlineStr">
        <is>
          <t>Caverne Azurée</t>
        </is>
      </c>
      <c r="B275" s="47" t="inlineStr">
        <is>
          <t>CeruleanCave_B1F_hns</t>
        </is>
      </c>
      <c r="C275" s="48" t="inlineStr">
        <is>
          <t>Toute la journée</t>
        </is>
      </c>
      <c r="D275" s="53" t="inlineStr">
        <is>
          <t>Surf</t>
        </is>
      </c>
      <c r="E275" s="50" t="inlineStr">
        <is>
          <t>AKWAKWAK</t>
        </is>
      </c>
      <c r="F275" s="51" t="n">
        <v>0.35</v>
      </c>
      <c r="G275" s="52" t="n">
        <v>50</v>
      </c>
      <c r="H275" s="52" t="n">
        <v>58</v>
      </c>
      <c r="I275" s="29">
        <f>IF(OR(COUNTIF('Suivi des rencontres'!$A:$A,$A275)&gt;0,COUNTIF('Suivi des rencontres'!$C:$C,$J275)&gt;0),"Non","Oui")</f>
        <v/>
      </c>
      <c r="J275" s="30" t="inlineStr">
        <is>
          <t>PSYKOKWAK</t>
        </is>
      </c>
    </row>
    <row r="276">
      <c r="A276" s="47" t="inlineStr">
        <is>
          <t>Caverne Azurée</t>
        </is>
      </c>
      <c r="B276" s="47" t="inlineStr">
        <is>
          <t>CeruleanCave_B1F_hns</t>
        </is>
      </c>
      <c r="C276" s="48" t="inlineStr">
        <is>
          <t>Toute la journée</t>
        </is>
      </c>
      <c r="D276" s="36" t="inlineStr">
        <is>
          <t>Éclate-Roc</t>
        </is>
      </c>
      <c r="E276" s="50" t="inlineStr">
        <is>
          <t>RACAILLOU</t>
        </is>
      </c>
      <c r="F276" s="51" t="n">
        <v>0.65</v>
      </c>
      <c r="G276" s="52" t="n">
        <v>55</v>
      </c>
      <c r="H276" s="52" t="n">
        <v>55</v>
      </c>
      <c r="I276" s="29">
        <f>IF(OR(COUNTIF('Suivi des rencontres'!$A:$A,$A276)&gt;0,COUNTIF('Suivi des rencontres'!$C:$C,$J276)&gt;0),"Non","Oui")</f>
        <v/>
      </c>
      <c r="J276" s="30" t="inlineStr">
        <is>
          <t>RACAILLOU</t>
        </is>
      </c>
    </row>
    <row r="277">
      <c r="A277" s="47" t="inlineStr">
        <is>
          <t>Caverne Azurée</t>
        </is>
      </c>
      <c r="B277" s="47" t="inlineStr">
        <is>
          <t>CeruleanCave_B1F_hns</t>
        </is>
      </c>
      <c r="C277" s="48" t="inlineStr">
        <is>
          <t>Toute la journée</t>
        </is>
      </c>
      <c r="D277" s="36" t="inlineStr">
        <is>
          <t>Éclate-Roc</t>
        </is>
      </c>
      <c r="E277" s="50" t="inlineStr">
        <is>
          <t>GRAVALANCH</t>
        </is>
      </c>
      <c r="F277" s="51" t="n">
        <v>0.35</v>
      </c>
      <c r="G277" s="52" t="n">
        <v>55</v>
      </c>
      <c r="H277" s="52" t="n">
        <v>55</v>
      </c>
      <c r="I277" s="29">
        <f>IF(OR(COUNTIF('Suivi des rencontres'!$A:$A,$A277)&gt;0,COUNTIF('Suivi des rencontres'!$C:$C,$J277)&gt;0),"Non","Oui")</f>
        <v/>
      </c>
      <c r="J277" s="30" t="inlineStr">
        <is>
          <t>RACAILLOU</t>
        </is>
      </c>
    </row>
    <row r="278">
      <c r="A278" s="47" t="inlineStr">
        <is>
          <t>Caverne Azurée</t>
        </is>
      </c>
      <c r="B278" s="47" t="inlineStr">
        <is>
          <t>CeruleanCave_B1F_hns</t>
        </is>
      </c>
      <c r="C278" s="48" t="inlineStr">
        <is>
          <t>Toute la journée</t>
        </is>
      </c>
      <c r="D278" s="54" t="inlineStr">
        <is>
          <t>Vieille Canne</t>
        </is>
      </c>
      <c r="E278" s="50" t="inlineStr">
        <is>
          <t>MAGICARPE</t>
        </is>
      </c>
      <c r="F278" s="51" t="n">
        <v>1</v>
      </c>
      <c r="G278" s="52" t="n">
        <v>45</v>
      </c>
      <c r="H278" s="52" t="n">
        <v>47</v>
      </c>
      <c r="I278" s="29">
        <f>IF(OR(COUNTIF('Suivi des rencontres'!$A:$A,$A278)&gt;0,COUNTIF('Suivi des rencontres'!$C:$C,$J278)&gt;0),"Non","Oui")</f>
        <v/>
      </c>
      <c r="J278" s="30" t="inlineStr">
        <is>
          <t>MAGICARPE</t>
        </is>
      </c>
    </row>
    <row r="279">
      <c r="A279" s="47" t="inlineStr">
        <is>
          <t>Caverne Azurée</t>
        </is>
      </c>
      <c r="B279" s="47" t="inlineStr">
        <is>
          <t>CeruleanCave_B1F_hns</t>
        </is>
      </c>
      <c r="C279" s="48" t="inlineStr">
        <is>
          <t>Toute la journée</t>
        </is>
      </c>
      <c r="D279" s="55" t="inlineStr">
        <is>
          <t>Bonne Canne</t>
        </is>
      </c>
      <c r="E279" s="50" t="inlineStr">
        <is>
          <t>PTITARD</t>
        </is>
      </c>
      <c r="F279" s="51" t="n">
        <v>0.6</v>
      </c>
      <c r="G279" s="52" t="n">
        <v>46</v>
      </c>
      <c r="H279" s="52" t="n">
        <v>48</v>
      </c>
      <c r="I279" s="29">
        <f>IF(OR(COUNTIF('Suivi des rencontres'!$A:$A,$A279)&gt;0,COUNTIF('Suivi des rencontres'!$C:$C,$J279)&gt;0),"Non","Oui")</f>
        <v/>
      </c>
      <c r="J279" s="30" t="inlineStr">
        <is>
          <t>PTITARD</t>
        </is>
      </c>
    </row>
    <row r="280">
      <c r="A280" s="47" t="inlineStr">
        <is>
          <t>Caverne Azurée</t>
        </is>
      </c>
      <c r="B280" s="47" t="inlineStr">
        <is>
          <t>CeruleanCave_B1F_hns</t>
        </is>
      </c>
      <c r="C280" s="48" t="inlineStr">
        <is>
          <t>Toute la journée</t>
        </is>
      </c>
      <c r="D280" s="55" t="inlineStr">
        <is>
          <t>Bonne Canne</t>
        </is>
      </c>
      <c r="E280" s="50" t="inlineStr">
        <is>
          <t>MAGICARPE</t>
        </is>
      </c>
      <c r="F280" s="51" t="n">
        <v>0.2</v>
      </c>
      <c r="G280" s="52" t="n">
        <v>46</v>
      </c>
      <c r="H280" s="52" t="n">
        <v>49</v>
      </c>
      <c r="I280" s="29">
        <f>IF(OR(COUNTIF('Suivi des rencontres'!$A:$A,$A280)&gt;0,COUNTIF('Suivi des rencontres'!$C:$C,$J280)&gt;0),"Non","Oui")</f>
        <v/>
      </c>
      <c r="J280" s="30" t="inlineStr">
        <is>
          <t>MAGICARPE</t>
        </is>
      </c>
    </row>
    <row r="281">
      <c r="A281" s="47" t="inlineStr">
        <is>
          <t>Caverne Azurée</t>
        </is>
      </c>
      <c r="B281" s="47" t="inlineStr">
        <is>
          <t>CeruleanCave_B1F_hns</t>
        </is>
      </c>
      <c r="C281" s="48" t="inlineStr">
        <is>
          <t>Toute la journée</t>
        </is>
      </c>
      <c r="D281" s="55" t="inlineStr">
        <is>
          <t>Bonne Canne</t>
        </is>
      </c>
      <c r="E281" s="50" t="inlineStr">
        <is>
          <t>POISSIRENE</t>
        </is>
      </c>
      <c r="F281" s="51" t="n">
        <v>0.2</v>
      </c>
      <c r="G281" s="52" t="n">
        <v>46</v>
      </c>
      <c r="H281" s="52" t="n">
        <v>48</v>
      </c>
      <c r="I281" s="29">
        <f>IF(OR(COUNTIF('Suivi des rencontres'!$A:$A,$A281)&gt;0,COUNTIF('Suivi des rencontres'!$C:$C,$J281)&gt;0),"Non","Oui")</f>
        <v/>
      </c>
      <c r="J281" s="30" t="inlineStr">
        <is>
          <t>POISSIRENE</t>
        </is>
      </c>
    </row>
    <row r="282">
      <c r="A282" s="47" t="inlineStr">
        <is>
          <t>Caverne Azurée</t>
        </is>
      </c>
      <c r="B282" s="47" t="inlineStr">
        <is>
          <t>CeruleanCave_B1F_hns</t>
        </is>
      </c>
      <c r="C282" s="48" t="inlineStr">
        <is>
          <t>Toute la journée</t>
        </is>
      </c>
      <c r="D282" s="56" t="inlineStr">
        <is>
          <t>Super Canne</t>
        </is>
      </c>
      <c r="E282" s="50" t="inlineStr">
        <is>
          <t>PTITARD</t>
        </is>
      </c>
      <c r="F282" s="51" t="n">
        <v>0.4</v>
      </c>
      <c r="G282" s="52" t="n">
        <v>47</v>
      </c>
      <c r="H282" s="52" t="n">
        <v>49</v>
      </c>
      <c r="I282" s="29">
        <f>IF(OR(COUNTIF('Suivi des rencontres'!$A:$A,$A282)&gt;0,COUNTIF('Suivi des rencontres'!$C:$C,$J282)&gt;0),"Non","Oui")</f>
        <v/>
      </c>
      <c r="J282" s="30" t="inlineStr">
        <is>
          <t>PTITARD</t>
        </is>
      </c>
    </row>
    <row r="283">
      <c r="A283" s="47" t="inlineStr">
        <is>
          <t>Caverne Azurée</t>
        </is>
      </c>
      <c r="B283" s="47" t="inlineStr">
        <is>
          <t>CeruleanCave_B1F_hns</t>
        </is>
      </c>
      <c r="C283" s="48" t="inlineStr">
        <is>
          <t>Toute la journée</t>
        </is>
      </c>
      <c r="D283" s="56" t="inlineStr">
        <is>
          <t>Super Canne</t>
        </is>
      </c>
      <c r="E283" s="50" t="inlineStr">
        <is>
          <t>TETARTE</t>
        </is>
      </c>
      <c r="F283" s="51" t="n">
        <v>0.4</v>
      </c>
      <c r="G283" s="52" t="n">
        <v>47</v>
      </c>
      <c r="H283" s="52" t="n">
        <v>49</v>
      </c>
      <c r="I283" s="29">
        <f>IF(OR(COUNTIF('Suivi des rencontres'!$A:$A,$A283)&gt;0,COUNTIF('Suivi des rencontres'!$C:$C,$J283)&gt;0),"Non","Oui")</f>
        <v/>
      </c>
      <c r="J283" s="30" t="inlineStr">
        <is>
          <t>PTITARD</t>
        </is>
      </c>
    </row>
    <row r="284">
      <c r="A284" s="47" t="inlineStr">
        <is>
          <t>Caverne Azurée</t>
        </is>
      </c>
      <c r="B284" s="47" t="inlineStr">
        <is>
          <t>CeruleanCave_B1F_hns</t>
        </is>
      </c>
      <c r="C284" s="48" t="inlineStr">
        <is>
          <t>Toute la journée</t>
        </is>
      </c>
      <c r="D284" s="56" t="inlineStr">
        <is>
          <t>Super Canne</t>
        </is>
      </c>
      <c r="E284" s="50" t="inlineStr">
        <is>
          <t>LEVIATOR</t>
        </is>
      </c>
      <c r="F284" s="51" t="n">
        <v>0.15</v>
      </c>
      <c r="G284" s="52" t="n">
        <v>47</v>
      </c>
      <c r="H284" s="52" t="n">
        <v>49</v>
      </c>
      <c r="I284" s="29">
        <f>IF(OR(COUNTIF('Suivi des rencontres'!$A:$A,$A284)&gt;0,COUNTIF('Suivi des rencontres'!$C:$C,$J284)&gt;0),"Non","Oui")</f>
        <v/>
      </c>
      <c r="J284" s="30" t="inlineStr">
        <is>
          <t>MAGICARPE</t>
        </is>
      </c>
    </row>
    <row r="285">
      <c r="A285" s="47" t="inlineStr">
        <is>
          <t>Caverne Azurée</t>
        </is>
      </c>
      <c r="B285" s="47" t="inlineStr">
        <is>
          <t>CeruleanCave_B1F_hns</t>
        </is>
      </c>
      <c r="C285" s="48" t="inlineStr">
        <is>
          <t>Toute la journée</t>
        </is>
      </c>
      <c r="D285" s="56" t="inlineStr">
        <is>
          <t>Super Canne</t>
        </is>
      </c>
      <c r="E285" s="50" t="inlineStr">
        <is>
          <t>PSYKOKWAK</t>
        </is>
      </c>
      <c r="F285" s="51" t="n">
        <v>0.05</v>
      </c>
      <c r="G285" s="52" t="n">
        <v>48</v>
      </c>
      <c r="H285" s="52" t="n">
        <v>50</v>
      </c>
      <c r="I285" s="29">
        <f>IF(OR(COUNTIF('Suivi des rencontres'!$A:$A,$A285)&gt;0,COUNTIF('Suivi des rencontres'!$C:$C,$J285)&gt;0),"Non","Oui")</f>
        <v/>
      </c>
      <c r="J285" s="30" t="inlineStr">
        <is>
          <t>PSYKOKWAK</t>
        </is>
      </c>
    </row>
    <row r="286">
      <c r="A286" s="47" t="inlineStr">
        <is>
          <t>Caverne Azurée</t>
        </is>
      </c>
      <c r="B286" s="47" t="inlineStr">
        <is>
          <t>CeruleanCave_B2F_hns</t>
        </is>
      </c>
      <c r="C286" s="48" t="inlineStr">
        <is>
          <t>Toute la journée</t>
        </is>
      </c>
      <c r="D286" s="49" t="inlineStr">
        <is>
          <t>Herbe</t>
        </is>
      </c>
      <c r="E286" s="50" t="inlineStr">
        <is>
          <t>KADABRA</t>
        </is>
      </c>
      <c r="F286" s="51" t="n">
        <v>0.25</v>
      </c>
      <c r="G286" s="52" t="n">
        <v>58</v>
      </c>
      <c r="H286" s="52" t="n">
        <v>67</v>
      </c>
      <c r="I286" s="29">
        <f>IF(OR(COUNTIF('Suivi des rencontres'!$A:$A,$A286)&gt;0,COUNTIF('Suivi des rencontres'!$C:$C,$J286)&gt;0),"Non","Oui")</f>
        <v/>
      </c>
      <c r="J286" s="30" t="inlineStr">
        <is>
          <t>ABRA</t>
        </is>
      </c>
    </row>
    <row r="287">
      <c r="A287" s="47" t="inlineStr">
        <is>
          <t>Caverne Azurée</t>
        </is>
      </c>
      <c r="B287" s="47" t="inlineStr">
        <is>
          <t>CeruleanCave_B2F_hns</t>
        </is>
      </c>
      <c r="C287" s="48" t="inlineStr">
        <is>
          <t>Toute la journée</t>
        </is>
      </c>
      <c r="D287" s="49" t="inlineStr">
        <is>
          <t>Herbe</t>
        </is>
      </c>
      <c r="E287" s="50" t="inlineStr">
        <is>
          <t>METAMORPH</t>
        </is>
      </c>
      <c r="F287" s="51" t="n">
        <v>0.25</v>
      </c>
      <c r="G287" s="52" t="n">
        <v>58</v>
      </c>
      <c r="H287" s="52" t="n">
        <v>67</v>
      </c>
      <c r="I287" s="29">
        <f>IF(OR(COUNTIF('Suivi des rencontres'!$A:$A,$A287)&gt;0,COUNTIF('Suivi des rencontres'!$C:$C,$J287)&gt;0),"Non","Oui")</f>
        <v/>
      </c>
      <c r="J287" s="30" t="inlineStr">
        <is>
          <t>METAMORPH</t>
        </is>
      </c>
    </row>
    <row r="288">
      <c r="A288" s="47" t="inlineStr">
        <is>
          <t>Caverne Azurée</t>
        </is>
      </c>
      <c r="B288" s="47" t="inlineStr">
        <is>
          <t>CeruleanCave_B2F_hns</t>
        </is>
      </c>
      <c r="C288" s="48" t="inlineStr">
        <is>
          <t>Toute la journée</t>
        </is>
      </c>
      <c r="D288" s="49" t="inlineStr">
        <is>
          <t>Herbe</t>
        </is>
      </c>
      <c r="E288" s="50" t="inlineStr">
        <is>
          <t>PARASECT</t>
        </is>
      </c>
      <c r="F288" s="51" t="n">
        <v>0.14</v>
      </c>
      <c r="G288" s="52" t="n">
        <v>55</v>
      </c>
      <c r="H288" s="52" t="n">
        <v>64</v>
      </c>
      <c r="I288" s="29">
        <f>IF(OR(COUNTIF('Suivi des rencontres'!$A:$A,$A288)&gt;0,COUNTIF('Suivi des rencontres'!$C:$C,$J288)&gt;0),"Non","Oui")</f>
        <v/>
      </c>
      <c r="J288" s="30" t="inlineStr">
        <is>
          <t>PARAS</t>
        </is>
      </c>
    </row>
    <row r="289">
      <c r="A289" s="47" t="inlineStr">
        <is>
          <t>Caverne Azurée</t>
        </is>
      </c>
      <c r="B289" s="47" t="inlineStr">
        <is>
          <t>CeruleanCave_B2F_hns</t>
        </is>
      </c>
      <c r="C289" s="48" t="inlineStr">
        <is>
          <t>Toute la journée</t>
        </is>
      </c>
      <c r="D289" s="49" t="inlineStr">
        <is>
          <t>Herbe</t>
        </is>
      </c>
      <c r="E289" s="50" t="inlineStr">
        <is>
          <t>MACHOPEUR</t>
        </is>
      </c>
      <c r="F289" s="51" t="n">
        <v>0.1</v>
      </c>
      <c r="G289" s="52" t="n">
        <v>52</v>
      </c>
      <c r="H289" s="52" t="n">
        <v>55</v>
      </c>
      <c r="I289" s="29">
        <f>IF(OR(COUNTIF('Suivi des rencontres'!$A:$A,$A289)&gt;0,COUNTIF('Suivi des rencontres'!$C:$C,$J289)&gt;0),"Non","Oui")</f>
        <v/>
      </c>
      <c r="J289" s="30" t="inlineStr">
        <is>
          <t>MACHOC</t>
        </is>
      </c>
    </row>
    <row r="290">
      <c r="A290" s="47" t="inlineStr">
        <is>
          <t>Caverne Azurée</t>
        </is>
      </c>
      <c r="B290" s="47" t="inlineStr">
        <is>
          <t>CeruleanCave_B2F_hns</t>
        </is>
      </c>
      <c r="C290" s="48" t="inlineStr">
        <is>
          <t>Toute la journée</t>
        </is>
      </c>
      <c r="D290" s="49" t="inlineStr">
        <is>
          <t>Herbe</t>
        </is>
      </c>
      <c r="E290" s="50" t="inlineStr">
        <is>
          <t>MAGNETON</t>
        </is>
      </c>
      <c r="F290" s="51" t="n">
        <v>0.1</v>
      </c>
      <c r="G290" s="52" t="n">
        <v>55</v>
      </c>
      <c r="H290" s="52" t="n">
        <v>55</v>
      </c>
      <c r="I290" s="29">
        <f>IF(OR(COUNTIF('Suivi des rencontres'!$A:$A,$A290)&gt;0,COUNTIF('Suivi des rencontres'!$C:$C,$J290)&gt;0),"Non","Oui")</f>
        <v/>
      </c>
      <c r="J290" s="30" t="inlineStr">
        <is>
          <t>MAGNETI</t>
        </is>
      </c>
    </row>
    <row r="291">
      <c r="A291" s="47" t="inlineStr">
        <is>
          <t>Caverne Azurée</t>
        </is>
      </c>
      <c r="B291" s="47" t="inlineStr">
        <is>
          <t>CeruleanCave_B2F_hns</t>
        </is>
      </c>
      <c r="C291" s="48" t="inlineStr">
        <is>
          <t>Toute la journée</t>
        </is>
      </c>
      <c r="D291" s="49" t="inlineStr">
        <is>
          <t>Herbe</t>
        </is>
      </c>
      <c r="E291" s="50" t="inlineStr">
        <is>
          <t>NOSFERALTO</t>
        </is>
      </c>
      <c r="F291" s="51" t="n">
        <v>0.1</v>
      </c>
      <c r="G291" s="52" t="n">
        <v>52</v>
      </c>
      <c r="H291" s="52" t="n">
        <v>61</v>
      </c>
      <c r="I291" s="29">
        <f>IF(OR(COUNTIF('Suivi des rencontres'!$A:$A,$A291)&gt;0,COUNTIF('Suivi des rencontres'!$C:$C,$J291)&gt;0),"Non","Oui")</f>
        <v/>
      </c>
      <c r="J291" s="30" t="inlineStr">
        <is>
          <t>NOSFERAPTI</t>
        </is>
      </c>
    </row>
    <row r="292">
      <c r="A292" s="47" t="inlineStr">
        <is>
          <t>Caverne Azurée</t>
        </is>
      </c>
      <c r="B292" s="47" t="inlineStr">
        <is>
          <t>CeruleanCave_B2F_hns</t>
        </is>
      </c>
      <c r="C292" s="48" t="inlineStr">
        <is>
          <t>Toute la journée</t>
        </is>
      </c>
      <c r="D292" s="49" t="inlineStr">
        <is>
          <t>Herbe</t>
        </is>
      </c>
      <c r="E292" s="50" t="inlineStr">
        <is>
          <t>NOSTENFER</t>
        </is>
      </c>
      <c r="F292" s="51" t="n">
        <v>0.05</v>
      </c>
      <c r="G292" s="52" t="n">
        <v>67</v>
      </c>
      <c r="H292" s="52" t="n">
        <v>67</v>
      </c>
      <c r="I292" s="29">
        <f>IF(OR(COUNTIF('Suivi des rencontres'!$A:$A,$A292)&gt;0,COUNTIF('Suivi des rencontres'!$C:$C,$J292)&gt;0),"Non","Oui")</f>
        <v/>
      </c>
      <c r="J292" s="30" t="inlineStr">
        <is>
          <t>NOSFERAPTI</t>
        </is>
      </c>
    </row>
    <row r="293">
      <c r="A293" s="47" t="inlineStr">
        <is>
          <t>Caverne Azurée</t>
        </is>
      </c>
      <c r="B293" s="47" t="inlineStr">
        <is>
          <t>CeruleanCave_B2F_hns</t>
        </is>
      </c>
      <c r="C293" s="48" t="inlineStr">
        <is>
          <t>Toute la journée</t>
        </is>
      </c>
      <c r="D293" s="49" t="inlineStr">
        <is>
          <t>Herbe</t>
        </is>
      </c>
      <c r="E293" s="50" t="inlineStr">
        <is>
          <t>COURROUSINGE</t>
        </is>
      </c>
      <c r="F293" s="51" t="n">
        <v>0.01</v>
      </c>
      <c r="G293" s="52" t="n">
        <v>67</v>
      </c>
      <c r="H293" s="52" t="n">
        <v>67</v>
      </c>
      <c r="I293" s="29">
        <f>IF(OR(COUNTIF('Suivi des rencontres'!$A:$A,$A293)&gt;0,COUNTIF('Suivi des rencontres'!$C:$C,$J293)&gt;0),"Non","Oui")</f>
        <v/>
      </c>
      <c r="J293" s="30" t="inlineStr">
        <is>
          <t>FEROSINGE</t>
        </is>
      </c>
    </row>
    <row r="294">
      <c r="A294" s="47" t="inlineStr">
        <is>
          <t>Caverne Azurée</t>
        </is>
      </c>
      <c r="B294" s="47" t="inlineStr">
        <is>
          <t>CeruleanCave_B2F_hns</t>
        </is>
      </c>
      <c r="C294" s="48" t="inlineStr">
        <is>
          <t>Toute la journée</t>
        </is>
      </c>
      <c r="D294" s="53" t="inlineStr">
        <is>
          <t>Surf</t>
        </is>
      </c>
      <c r="E294" s="50" t="inlineStr">
        <is>
          <t>RAMOLOSS</t>
        </is>
      </c>
      <c r="F294" s="51" t="n">
        <v>0.65</v>
      </c>
      <c r="G294" s="52" t="n">
        <v>40</v>
      </c>
      <c r="H294" s="52" t="n">
        <v>60</v>
      </c>
      <c r="I294" s="29">
        <f>IF(OR(COUNTIF('Suivi des rencontres'!$A:$A,$A294)&gt;0,COUNTIF('Suivi des rencontres'!$C:$C,$J294)&gt;0),"Non","Oui")</f>
        <v/>
      </c>
      <c r="J294" s="30" t="inlineStr">
        <is>
          <t>RAMOLOSS</t>
        </is>
      </c>
    </row>
    <row r="295">
      <c r="A295" s="47" t="inlineStr">
        <is>
          <t>Caverne Azurée</t>
        </is>
      </c>
      <c r="B295" s="47" t="inlineStr">
        <is>
          <t>CeruleanCave_B2F_hns</t>
        </is>
      </c>
      <c r="C295" s="48" t="inlineStr">
        <is>
          <t>Toute la journée</t>
        </is>
      </c>
      <c r="D295" s="53" t="inlineStr">
        <is>
          <t>Surf</t>
        </is>
      </c>
      <c r="E295" s="50" t="inlineStr">
        <is>
          <t>FLAGADOSS</t>
        </is>
      </c>
      <c r="F295" s="51" t="n">
        <v>0.34</v>
      </c>
      <c r="G295" s="52" t="n">
        <v>50</v>
      </c>
      <c r="H295" s="52" t="n">
        <v>65</v>
      </c>
      <c r="I295" s="29">
        <f>IF(OR(COUNTIF('Suivi des rencontres'!$A:$A,$A295)&gt;0,COUNTIF('Suivi des rencontres'!$C:$C,$J295)&gt;0),"Non","Oui")</f>
        <v/>
      </c>
      <c r="J295" s="30" t="inlineStr">
        <is>
          <t>RAMOLOSS</t>
        </is>
      </c>
    </row>
    <row r="296">
      <c r="A296" s="47" t="inlineStr">
        <is>
          <t>Caverne Azurée</t>
        </is>
      </c>
      <c r="B296" s="47" t="inlineStr">
        <is>
          <t>CeruleanCave_B2F_hns</t>
        </is>
      </c>
      <c r="C296" s="48" t="inlineStr">
        <is>
          <t>Toute la journée</t>
        </is>
      </c>
      <c r="D296" s="53" t="inlineStr">
        <is>
          <t>Surf</t>
        </is>
      </c>
      <c r="E296" s="50" t="inlineStr">
        <is>
          <t>ROIGADA</t>
        </is>
      </c>
      <c r="F296" s="51" t="n">
        <v>0.01</v>
      </c>
      <c r="G296" s="52" t="n">
        <v>67</v>
      </c>
      <c r="H296" s="52" t="n">
        <v>67</v>
      </c>
      <c r="I296" s="29">
        <f>IF(OR(COUNTIF('Suivi des rencontres'!$A:$A,$A296)&gt;0,COUNTIF('Suivi des rencontres'!$C:$C,$J296)&gt;0),"Non","Oui")</f>
        <v/>
      </c>
      <c r="J296" s="30" t="inlineStr">
        <is>
          <t>RAMOLOSS</t>
        </is>
      </c>
    </row>
    <row r="297">
      <c r="A297" s="47" t="inlineStr">
        <is>
          <t>Caverne Azurée</t>
        </is>
      </c>
      <c r="B297" s="47" t="inlineStr">
        <is>
          <t>CeruleanCave_B2F_hns</t>
        </is>
      </c>
      <c r="C297" s="48" t="inlineStr">
        <is>
          <t>Toute la journée</t>
        </is>
      </c>
      <c r="D297" s="36" t="inlineStr">
        <is>
          <t>Éclate-Roc</t>
        </is>
      </c>
      <c r="E297" s="50" t="inlineStr">
        <is>
          <t>RACAILLOU</t>
        </is>
      </c>
      <c r="F297" s="51" t="n">
        <v>0.65</v>
      </c>
      <c r="G297" s="52" t="n">
        <v>55</v>
      </c>
      <c r="H297" s="52" t="n">
        <v>55</v>
      </c>
      <c r="I297" s="29">
        <f>IF(OR(COUNTIF('Suivi des rencontres'!$A:$A,$A297)&gt;0,COUNTIF('Suivi des rencontres'!$C:$C,$J297)&gt;0),"Non","Oui")</f>
        <v/>
      </c>
      <c r="J297" s="30" t="inlineStr">
        <is>
          <t>RACAILLOU</t>
        </is>
      </c>
    </row>
    <row r="298">
      <c r="A298" s="47" t="inlineStr">
        <is>
          <t>Caverne Azurée</t>
        </is>
      </c>
      <c r="B298" s="47" t="inlineStr">
        <is>
          <t>CeruleanCave_B2F_hns</t>
        </is>
      </c>
      <c r="C298" s="48" t="inlineStr">
        <is>
          <t>Toute la journée</t>
        </is>
      </c>
      <c r="D298" s="36" t="inlineStr">
        <is>
          <t>Éclate-Roc</t>
        </is>
      </c>
      <c r="E298" s="50" t="inlineStr">
        <is>
          <t>GRAVALANCH</t>
        </is>
      </c>
      <c r="F298" s="51" t="n">
        <v>0.35</v>
      </c>
      <c r="G298" s="52" t="n">
        <v>55</v>
      </c>
      <c r="H298" s="52" t="n">
        <v>55</v>
      </c>
      <c r="I298" s="29">
        <f>IF(OR(COUNTIF('Suivi des rencontres'!$A:$A,$A298)&gt;0,COUNTIF('Suivi des rencontres'!$C:$C,$J298)&gt;0),"Non","Oui")</f>
        <v/>
      </c>
      <c r="J298" s="30" t="inlineStr">
        <is>
          <t>RACAILLOU</t>
        </is>
      </c>
    </row>
    <row r="299">
      <c r="A299" s="47" t="inlineStr">
        <is>
          <t>Caverne Azurée</t>
        </is>
      </c>
      <c r="B299" s="47" t="inlineStr">
        <is>
          <t>CeruleanCave_B2F_hns</t>
        </is>
      </c>
      <c r="C299" s="48" t="inlineStr">
        <is>
          <t>Toute la journée</t>
        </is>
      </c>
      <c r="D299" s="54" t="inlineStr">
        <is>
          <t>Vieille Canne</t>
        </is>
      </c>
      <c r="E299" s="50" t="inlineStr">
        <is>
          <t>MAGICARPE</t>
        </is>
      </c>
      <c r="F299" s="51" t="n">
        <v>1</v>
      </c>
      <c r="G299" s="52" t="n">
        <v>45</v>
      </c>
      <c r="H299" s="52" t="n">
        <v>60</v>
      </c>
      <c r="I299" s="29">
        <f>IF(OR(COUNTIF('Suivi des rencontres'!$A:$A,$A299)&gt;0,COUNTIF('Suivi des rencontres'!$C:$C,$J299)&gt;0),"Non","Oui")</f>
        <v/>
      </c>
      <c r="J299" s="30" t="inlineStr">
        <is>
          <t>MAGICARPE</t>
        </is>
      </c>
    </row>
    <row r="300">
      <c r="A300" s="47" t="inlineStr">
        <is>
          <t>Caverne Azurée</t>
        </is>
      </c>
      <c r="B300" s="47" t="inlineStr">
        <is>
          <t>CeruleanCave_B2F_hns</t>
        </is>
      </c>
      <c r="C300" s="48" t="inlineStr">
        <is>
          <t>Toute la journée</t>
        </is>
      </c>
      <c r="D300" s="55" t="inlineStr">
        <is>
          <t>Bonne Canne</t>
        </is>
      </c>
      <c r="E300" s="50" t="inlineStr">
        <is>
          <t>PTITARD</t>
        </is>
      </c>
      <c r="F300" s="51" t="n">
        <v>0.6</v>
      </c>
      <c r="G300" s="52" t="n">
        <v>45</v>
      </c>
      <c r="H300" s="52" t="n">
        <v>40</v>
      </c>
      <c r="I300" s="29">
        <f>IF(OR(COUNTIF('Suivi des rencontres'!$A:$A,$A300)&gt;0,COUNTIF('Suivi des rencontres'!$C:$C,$J300)&gt;0),"Non","Oui")</f>
        <v/>
      </c>
      <c r="J300" s="30" t="inlineStr">
        <is>
          <t>PTITARD</t>
        </is>
      </c>
    </row>
    <row r="301">
      <c r="A301" s="47" t="inlineStr">
        <is>
          <t>Caverne Azurée</t>
        </is>
      </c>
      <c r="B301" s="47" t="inlineStr">
        <is>
          <t>CeruleanCave_B2F_hns</t>
        </is>
      </c>
      <c r="C301" s="48" t="inlineStr">
        <is>
          <t>Toute la journée</t>
        </is>
      </c>
      <c r="D301" s="55" t="inlineStr">
        <is>
          <t>Bonne Canne</t>
        </is>
      </c>
      <c r="E301" s="50" t="inlineStr">
        <is>
          <t>MAGICARPE</t>
        </is>
      </c>
      <c r="F301" s="51" t="n">
        <v>0.2</v>
      </c>
      <c r="G301" s="52" t="n">
        <v>45</v>
      </c>
      <c r="H301" s="52" t="n">
        <v>60</v>
      </c>
      <c r="I301" s="29">
        <f>IF(OR(COUNTIF('Suivi des rencontres'!$A:$A,$A301)&gt;0,COUNTIF('Suivi des rencontres'!$C:$C,$J301)&gt;0),"Non","Oui")</f>
        <v/>
      </c>
      <c r="J301" s="30" t="inlineStr">
        <is>
          <t>MAGICARPE</t>
        </is>
      </c>
    </row>
    <row r="302">
      <c r="A302" s="47" t="inlineStr">
        <is>
          <t>Caverne Azurée</t>
        </is>
      </c>
      <c r="B302" s="47" t="inlineStr">
        <is>
          <t>CeruleanCave_B2F_hns</t>
        </is>
      </c>
      <c r="C302" s="48" t="inlineStr">
        <is>
          <t>Toute la journée</t>
        </is>
      </c>
      <c r="D302" s="55" t="inlineStr">
        <is>
          <t>Bonne Canne</t>
        </is>
      </c>
      <c r="E302" s="50" t="inlineStr">
        <is>
          <t>POISSIRENE</t>
        </is>
      </c>
      <c r="F302" s="51" t="n">
        <v>0.2</v>
      </c>
      <c r="G302" s="52" t="n">
        <v>45</v>
      </c>
      <c r="H302" s="52" t="n">
        <v>40</v>
      </c>
      <c r="I302" s="29">
        <f>IF(OR(COUNTIF('Suivi des rencontres'!$A:$A,$A302)&gt;0,COUNTIF('Suivi des rencontres'!$C:$C,$J302)&gt;0),"Non","Oui")</f>
        <v/>
      </c>
      <c r="J302" s="30" t="inlineStr">
        <is>
          <t>POISSIRENE</t>
        </is>
      </c>
    </row>
    <row r="303">
      <c r="A303" s="47" t="inlineStr">
        <is>
          <t>Caverne Azurée</t>
        </is>
      </c>
      <c r="B303" s="47" t="inlineStr">
        <is>
          <t>CeruleanCave_B2F_hns</t>
        </is>
      </c>
      <c r="C303" s="48" t="inlineStr">
        <is>
          <t>Toute la journée</t>
        </is>
      </c>
      <c r="D303" s="56" t="inlineStr">
        <is>
          <t>Super Canne</t>
        </is>
      </c>
      <c r="E303" s="50" t="inlineStr">
        <is>
          <t>PTITARD</t>
        </is>
      </c>
      <c r="F303" s="51" t="n">
        <v>0.4</v>
      </c>
      <c r="G303" s="52" t="n">
        <v>45</v>
      </c>
      <c r="H303" s="52" t="n">
        <v>40</v>
      </c>
      <c r="I303" s="29">
        <f>IF(OR(COUNTIF('Suivi des rencontres'!$A:$A,$A303)&gt;0,COUNTIF('Suivi des rencontres'!$C:$C,$J303)&gt;0),"Non","Oui")</f>
        <v/>
      </c>
      <c r="J303" s="30" t="inlineStr">
        <is>
          <t>PTITARD</t>
        </is>
      </c>
    </row>
    <row r="304">
      <c r="A304" s="47" t="inlineStr">
        <is>
          <t>Caverne Azurée</t>
        </is>
      </c>
      <c r="B304" s="47" t="inlineStr">
        <is>
          <t>CeruleanCave_B2F_hns</t>
        </is>
      </c>
      <c r="C304" s="48" t="inlineStr">
        <is>
          <t>Toute la journée</t>
        </is>
      </c>
      <c r="D304" s="56" t="inlineStr">
        <is>
          <t>Super Canne</t>
        </is>
      </c>
      <c r="E304" s="50" t="inlineStr">
        <is>
          <t>TETARTE</t>
        </is>
      </c>
      <c r="F304" s="51" t="n">
        <v>0.4</v>
      </c>
      <c r="G304" s="52" t="n">
        <v>45</v>
      </c>
      <c r="H304" s="52" t="n">
        <v>50</v>
      </c>
      <c r="I304" s="29">
        <f>IF(OR(COUNTIF('Suivi des rencontres'!$A:$A,$A304)&gt;0,COUNTIF('Suivi des rencontres'!$C:$C,$J304)&gt;0),"Non","Oui")</f>
        <v/>
      </c>
      <c r="J304" s="30" t="inlineStr">
        <is>
          <t>PTITARD</t>
        </is>
      </c>
    </row>
    <row r="305">
      <c r="A305" s="47" t="inlineStr">
        <is>
          <t>Caverne Azurée</t>
        </is>
      </c>
      <c r="B305" s="47" t="inlineStr">
        <is>
          <t>CeruleanCave_B2F_hns</t>
        </is>
      </c>
      <c r="C305" s="48" t="inlineStr">
        <is>
          <t>Toute la journée</t>
        </is>
      </c>
      <c r="D305" s="56" t="inlineStr">
        <is>
          <t>Super Canne</t>
        </is>
      </c>
      <c r="E305" s="50" t="inlineStr">
        <is>
          <t>LEVIATOR</t>
        </is>
      </c>
      <c r="F305" s="51" t="n">
        <v>0.15</v>
      </c>
      <c r="G305" s="52" t="n">
        <v>55</v>
      </c>
      <c r="H305" s="52" t="n">
        <v>67</v>
      </c>
      <c r="I305" s="29">
        <f>IF(OR(COUNTIF('Suivi des rencontres'!$A:$A,$A305)&gt;0,COUNTIF('Suivi des rencontres'!$C:$C,$J305)&gt;0),"Non","Oui")</f>
        <v/>
      </c>
      <c r="J305" s="30" t="inlineStr">
        <is>
          <t>MAGICARPE</t>
        </is>
      </c>
    </row>
    <row r="306">
      <c r="A306" s="47" t="inlineStr">
        <is>
          <t>Caverne Azurée</t>
        </is>
      </c>
      <c r="B306" s="47" t="inlineStr">
        <is>
          <t>CeruleanCave_B2F_hns</t>
        </is>
      </c>
      <c r="C306" s="48" t="inlineStr">
        <is>
          <t>Toute la journée</t>
        </is>
      </c>
      <c r="D306" s="56" t="inlineStr">
        <is>
          <t>Super Canne</t>
        </is>
      </c>
      <c r="E306" s="50" t="inlineStr">
        <is>
          <t>FLAGADOSS</t>
        </is>
      </c>
      <c r="F306" s="51" t="n">
        <v>0.04</v>
      </c>
      <c r="G306" s="52" t="n">
        <v>50</v>
      </c>
      <c r="H306" s="52" t="n">
        <v>65</v>
      </c>
      <c r="I306" s="29">
        <f>IF(OR(COUNTIF('Suivi des rencontres'!$A:$A,$A306)&gt;0,COUNTIF('Suivi des rencontres'!$C:$C,$J306)&gt;0),"Non","Oui")</f>
        <v/>
      </c>
      <c r="J306" s="30" t="inlineStr">
        <is>
          <t>RAMOLOSS</t>
        </is>
      </c>
    </row>
    <row r="307">
      <c r="A307" s="47" t="inlineStr">
        <is>
          <t>Caverne Azurée</t>
        </is>
      </c>
      <c r="B307" s="47" t="inlineStr">
        <is>
          <t>CeruleanCave_B2F_hns</t>
        </is>
      </c>
      <c r="C307" s="48" t="inlineStr">
        <is>
          <t>Toute la journée</t>
        </is>
      </c>
      <c r="D307" s="56" t="inlineStr">
        <is>
          <t>Super Canne</t>
        </is>
      </c>
      <c r="E307" s="50" t="inlineStr">
        <is>
          <t>ROIGADA</t>
        </is>
      </c>
      <c r="F307" s="51" t="n">
        <v>0.01</v>
      </c>
      <c r="G307" s="52" t="n">
        <v>67</v>
      </c>
      <c r="H307" s="52" t="n">
        <v>67</v>
      </c>
      <c r="I307" s="29">
        <f>IF(OR(COUNTIF('Suivi des rencontres'!$A:$A,$A307)&gt;0,COUNTIF('Suivi des rencontres'!$C:$C,$J307)&gt;0),"Non","Oui")</f>
        <v/>
      </c>
      <c r="J307" s="30" t="inlineStr">
        <is>
          <t>RAMOLOSS</t>
        </is>
      </c>
    </row>
    <row r="308">
      <c r="A308" s="57" t="inlineStr">
        <is>
          <t>Caverne Gelée</t>
        </is>
      </c>
      <c r="B308" s="57" t="inlineStr">
        <is>
          <t>SnowsweptCavern_hns</t>
        </is>
      </c>
      <c r="C308" s="58" t="inlineStr">
        <is>
          <t>Toute la journée</t>
        </is>
      </c>
      <c r="D308" s="42" t="inlineStr">
        <is>
          <t>Herbe</t>
        </is>
      </c>
      <c r="E308" s="59" t="inlineStr">
        <is>
          <t>FARFURET-H</t>
        </is>
      </c>
      <c r="F308" s="60" t="n">
        <v>0.3</v>
      </c>
      <c r="G308" s="61" t="n">
        <v>50</v>
      </c>
      <c r="H308" s="61" t="n">
        <v>60</v>
      </c>
      <c r="I308" s="46">
        <f>IF(OR(COUNTIF('Suivi des rencontres'!$A:$A,$A308)&gt;0,COUNTIF('Suivi des rencontres'!$C:$C,$J308)&gt;0),"Non","Oui")</f>
        <v/>
      </c>
      <c r="J308" s="30" t="inlineStr">
        <is>
          <t>FARFURET-H</t>
        </is>
      </c>
    </row>
    <row r="309">
      <c r="A309" s="35" t="inlineStr">
        <is>
          <t>Caverne Gelée</t>
        </is>
      </c>
      <c r="B309" s="35" t="inlineStr">
        <is>
          <t>SnowsweptCavern_hns</t>
        </is>
      </c>
      <c r="C309" s="33" t="inlineStr">
        <is>
          <t>Toute la journée</t>
        </is>
      </c>
      <c r="D309" s="49" t="inlineStr">
        <is>
          <t>Herbe</t>
        </is>
      </c>
      <c r="E309" s="37" t="inlineStr">
        <is>
          <t>COCHIGNON</t>
        </is>
      </c>
      <c r="F309" s="38" t="n">
        <v>0.2</v>
      </c>
      <c r="G309" s="39" t="n">
        <v>50</v>
      </c>
      <c r="H309" s="39" t="n">
        <v>60</v>
      </c>
      <c r="I309" s="29">
        <f>IF(OR(COUNTIF('Suivi des rencontres'!$A:$A,$A309)&gt;0,COUNTIF('Suivi des rencontres'!$C:$C,$J309)&gt;0),"Non","Oui")</f>
        <v/>
      </c>
      <c r="J309" s="30" t="inlineStr">
        <is>
          <t>MARCACRIN</t>
        </is>
      </c>
    </row>
    <row r="310">
      <c r="A310" s="35" t="inlineStr">
        <is>
          <t>Caverne Gelée</t>
        </is>
      </c>
      <c r="B310" s="35" t="inlineStr">
        <is>
          <t>SnowsweptCavern_hns</t>
        </is>
      </c>
      <c r="C310" s="33" t="inlineStr">
        <is>
          <t>Toute la journée</t>
        </is>
      </c>
      <c r="D310" s="49" t="inlineStr">
        <is>
          <t>Herbe</t>
        </is>
      </c>
      <c r="E310" s="37" t="inlineStr">
        <is>
          <t>LIPPOUTI</t>
        </is>
      </c>
      <c r="F310" s="38" t="n">
        <v>0.1</v>
      </c>
      <c r="G310" s="39" t="n">
        <v>50</v>
      </c>
      <c r="H310" s="39" t="n">
        <v>60</v>
      </c>
      <c r="I310" s="29">
        <f>IF(OR(COUNTIF('Suivi des rencontres'!$A:$A,$A310)&gt;0,COUNTIF('Suivi des rencontres'!$C:$C,$J310)&gt;0),"Non","Oui")</f>
        <v/>
      </c>
      <c r="J310" s="30" t="inlineStr">
        <is>
          <t>LIPPOUTI</t>
        </is>
      </c>
    </row>
    <row r="311">
      <c r="A311" s="35" t="inlineStr">
        <is>
          <t>Caverne Gelée</t>
        </is>
      </c>
      <c r="B311" s="35" t="inlineStr">
        <is>
          <t>SnowsweptCavern_hns</t>
        </is>
      </c>
      <c r="C311" s="33" t="inlineStr">
        <is>
          <t>Toute la journée</t>
        </is>
      </c>
      <c r="D311" s="49" t="inlineStr">
        <is>
          <t>Herbe</t>
        </is>
      </c>
      <c r="E311" s="37" t="inlineStr">
        <is>
          <t>LIPPOUTOU</t>
        </is>
      </c>
      <c r="F311" s="38" t="n">
        <v>0.1</v>
      </c>
      <c r="G311" s="39" t="n">
        <v>50</v>
      </c>
      <c r="H311" s="39" t="n">
        <v>60</v>
      </c>
      <c r="I311" s="29">
        <f>IF(OR(COUNTIF('Suivi des rencontres'!$A:$A,$A311)&gt;0,COUNTIF('Suivi des rencontres'!$C:$C,$J311)&gt;0),"Non","Oui")</f>
        <v/>
      </c>
      <c r="J311" s="30" t="inlineStr">
        <is>
          <t>LIPPOUTI</t>
        </is>
      </c>
    </row>
    <row r="312">
      <c r="A312" s="35" t="inlineStr">
        <is>
          <t>Caverne Gelée</t>
        </is>
      </c>
      <c r="B312" s="35" t="inlineStr">
        <is>
          <t>SnowsweptCavern_hns</t>
        </is>
      </c>
      <c r="C312" s="33" t="inlineStr">
        <is>
          <t>Toute la journée</t>
        </is>
      </c>
      <c r="D312" s="49" t="inlineStr">
        <is>
          <t>Herbe</t>
        </is>
      </c>
      <c r="E312" s="37" t="inlineStr">
        <is>
          <t>NOSFERALTO</t>
        </is>
      </c>
      <c r="F312" s="38" t="n">
        <v>0.1</v>
      </c>
      <c r="G312" s="39" t="n">
        <v>50</v>
      </c>
      <c r="H312" s="39" t="n">
        <v>60</v>
      </c>
      <c r="I312" s="29">
        <f>IF(OR(COUNTIF('Suivi des rencontres'!$A:$A,$A312)&gt;0,COUNTIF('Suivi des rencontres'!$C:$C,$J312)&gt;0),"Non","Oui")</f>
        <v/>
      </c>
      <c r="J312" s="30" t="inlineStr">
        <is>
          <t>NOSFERAPTI</t>
        </is>
      </c>
    </row>
    <row r="313">
      <c r="A313" s="35" t="inlineStr">
        <is>
          <t>Caverne Gelée</t>
        </is>
      </c>
      <c r="B313" s="35" t="inlineStr">
        <is>
          <t>SnowsweptCavern_hns</t>
        </is>
      </c>
      <c r="C313" s="33" t="inlineStr">
        <is>
          <t>Toute la journée</t>
        </is>
      </c>
      <c r="D313" s="49" t="inlineStr">
        <is>
          <t>Herbe</t>
        </is>
      </c>
      <c r="E313" s="37" t="inlineStr">
        <is>
          <t>CHARMINA</t>
        </is>
      </c>
      <c r="F313" s="38" t="n">
        <v>0.05</v>
      </c>
      <c r="G313" s="39" t="n">
        <v>50</v>
      </c>
      <c r="H313" s="39" t="n">
        <v>70</v>
      </c>
      <c r="I313" s="29">
        <f>IF(OR(COUNTIF('Suivi des rencontres'!$A:$A,$A313)&gt;0,COUNTIF('Suivi des rencontres'!$C:$C,$J313)&gt;0),"Non","Oui")</f>
        <v/>
      </c>
      <c r="J313" s="30" t="inlineStr">
        <is>
          <t>MEDITIKKA</t>
        </is>
      </c>
    </row>
    <row r="314">
      <c r="A314" s="35" t="inlineStr">
        <is>
          <t>Caverne Gelée</t>
        </is>
      </c>
      <c r="B314" s="35" t="inlineStr">
        <is>
          <t>SnowsweptCavern_hns</t>
        </is>
      </c>
      <c r="C314" s="33" t="inlineStr">
        <is>
          <t>Toute la journée</t>
        </is>
      </c>
      <c r="D314" s="49" t="inlineStr">
        <is>
          <t>Herbe</t>
        </is>
      </c>
      <c r="E314" s="37" t="inlineStr">
        <is>
          <t>FARFUREX</t>
        </is>
      </c>
      <c r="F314" s="38" t="n">
        <v>0.05</v>
      </c>
      <c r="G314" s="39" t="n">
        <v>50</v>
      </c>
      <c r="H314" s="39" t="n">
        <v>70</v>
      </c>
      <c r="I314" s="29">
        <f>IF(OR(COUNTIF('Suivi des rencontres'!$A:$A,$A314)&gt;0,COUNTIF('Suivi des rencontres'!$C:$C,$J314)&gt;0),"Non","Oui")</f>
        <v/>
      </c>
      <c r="J314" s="30" t="inlineStr">
        <is>
          <t>FARFURET-H</t>
        </is>
      </c>
    </row>
    <row r="315">
      <c r="A315" s="35" t="inlineStr">
        <is>
          <t>Caverne Gelée</t>
        </is>
      </c>
      <c r="B315" s="35" t="inlineStr">
        <is>
          <t>SnowsweptCavern_hns</t>
        </is>
      </c>
      <c r="C315" s="33" t="inlineStr">
        <is>
          <t>Toute la journée</t>
        </is>
      </c>
      <c r="D315" s="49" t="inlineStr">
        <is>
          <t>Herbe</t>
        </is>
      </c>
      <c r="E315" s="37" t="inlineStr">
        <is>
          <t>MEDITIKKA</t>
        </is>
      </c>
      <c r="F315" s="38" t="n">
        <v>0.05</v>
      </c>
      <c r="G315" s="39" t="n">
        <v>50</v>
      </c>
      <c r="H315" s="39" t="n">
        <v>70</v>
      </c>
      <c r="I315" s="29">
        <f>IF(OR(COUNTIF('Suivi des rencontres'!$A:$A,$A315)&gt;0,COUNTIF('Suivi des rencontres'!$C:$C,$J315)&gt;0),"Non","Oui")</f>
        <v/>
      </c>
      <c r="J315" s="30" t="inlineStr">
        <is>
          <t>MEDITIKKA</t>
        </is>
      </c>
    </row>
    <row r="316">
      <c r="A316" s="35" t="inlineStr">
        <is>
          <t>Caverne Gelée</t>
        </is>
      </c>
      <c r="B316" s="35" t="inlineStr">
        <is>
          <t>SnowsweptCavern_hns</t>
        </is>
      </c>
      <c r="C316" s="33" t="inlineStr">
        <is>
          <t>Toute la journée</t>
        </is>
      </c>
      <c r="D316" s="49" t="inlineStr">
        <is>
          <t>Herbe</t>
        </is>
      </c>
      <c r="E316" s="37" t="inlineStr">
        <is>
          <t>TENEFIX</t>
        </is>
      </c>
      <c r="F316" s="38" t="n">
        <v>0.05</v>
      </c>
      <c r="G316" s="39" t="n">
        <v>50</v>
      </c>
      <c r="H316" s="39" t="n">
        <v>60</v>
      </c>
      <c r="I316" s="29">
        <f>IF(OR(COUNTIF('Suivi des rencontres'!$A:$A,$A316)&gt;0,COUNTIF('Suivi des rencontres'!$C:$C,$J316)&gt;0),"Non","Oui")</f>
        <v/>
      </c>
      <c r="J316" s="30" t="inlineStr">
        <is>
          <t>TENEFIX</t>
        </is>
      </c>
    </row>
    <row r="317">
      <c r="A317" s="35" t="inlineStr">
        <is>
          <t>Caverne Gelée</t>
        </is>
      </c>
      <c r="B317" s="35" t="inlineStr">
        <is>
          <t>SnowsweptCavern_hns</t>
        </is>
      </c>
      <c r="C317" s="33" t="inlineStr">
        <is>
          <t>Toute la journée</t>
        </is>
      </c>
      <c r="D317" s="36" t="inlineStr">
        <is>
          <t>Éclate-Roc</t>
        </is>
      </c>
      <c r="E317" s="37" t="inlineStr">
        <is>
          <t>GRAVALANCH</t>
        </is>
      </c>
      <c r="F317" s="38" t="n">
        <v>0.6</v>
      </c>
      <c r="G317" s="39" t="n">
        <v>50</v>
      </c>
      <c r="H317" s="39" t="n">
        <v>60</v>
      </c>
      <c r="I317" s="29">
        <f>IF(OR(COUNTIF('Suivi des rencontres'!$A:$A,$A317)&gt;0,COUNTIF('Suivi des rencontres'!$C:$C,$J317)&gt;0),"Non","Oui")</f>
        <v/>
      </c>
      <c r="J317" s="30" t="inlineStr">
        <is>
          <t>RACAILLOU</t>
        </is>
      </c>
    </row>
    <row r="318">
      <c r="A318" s="35" t="inlineStr">
        <is>
          <t>Caverne Gelée</t>
        </is>
      </c>
      <c r="B318" s="35" t="inlineStr">
        <is>
          <t>SnowsweptCavern_hns</t>
        </is>
      </c>
      <c r="C318" s="33" t="inlineStr">
        <is>
          <t>Toute la journée</t>
        </is>
      </c>
      <c r="D318" s="36" t="inlineStr">
        <is>
          <t>Éclate-Roc</t>
        </is>
      </c>
      <c r="E318" s="37" t="inlineStr">
        <is>
          <t>RACAILLOU</t>
        </is>
      </c>
      <c r="F318" s="38" t="n">
        <v>0.3</v>
      </c>
      <c r="G318" s="39" t="n">
        <v>50</v>
      </c>
      <c r="H318" s="39" t="n">
        <v>60</v>
      </c>
      <c r="I318" s="29">
        <f>IF(OR(COUNTIF('Suivi des rencontres'!$A:$A,$A318)&gt;0,COUNTIF('Suivi des rencontres'!$C:$C,$J318)&gt;0),"Non","Oui")</f>
        <v/>
      </c>
      <c r="J318" s="30" t="inlineStr">
        <is>
          <t>RACAILLOU</t>
        </is>
      </c>
    </row>
    <row r="319">
      <c r="A319" s="35" t="inlineStr">
        <is>
          <t>Caverne Gelée</t>
        </is>
      </c>
      <c r="B319" s="35" t="inlineStr">
        <is>
          <t>SnowsweptCavern_hns</t>
        </is>
      </c>
      <c r="C319" s="33" t="inlineStr">
        <is>
          <t>Toute la journée</t>
        </is>
      </c>
      <c r="D319" s="36" t="inlineStr">
        <is>
          <t>Éclate-Roc</t>
        </is>
      </c>
      <c r="E319" s="37" t="inlineStr">
        <is>
          <t>GALEKID</t>
        </is>
      </c>
      <c r="F319" s="38" t="n">
        <v>0.05</v>
      </c>
      <c r="G319" s="39" t="n">
        <v>50</v>
      </c>
      <c r="H319" s="39" t="n">
        <v>60</v>
      </c>
      <c r="I319" s="29">
        <f>IF(OR(COUNTIF('Suivi des rencontres'!$A:$A,$A319)&gt;0,COUNTIF('Suivi des rencontres'!$C:$C,$J319)&gt;0),"Non","Oui")</f>
        <v/>
      </c>
      <c r="J319" s="30" t="inlineStr">
        <is>
          <t>GALEKID</t>
        </is>
      </c>
    </row>
    <row r="320">
      <c r="A320" s="35" t="inlineStr">
        <is>
          <t>Caverne Gelée</t>
        </is>
      </c>
      <c r="B320" s="35" t="inlineStr">
        <is>
          <t>SnowsweptCavern_hns</t>
        </is>
      </c>
      <c r="C320" s="33" t="inlineStr">
        <is>
          <t>Toute la journée</t>
        </is>
      </c>
      <c r="D320" s="36" t="inlineStr">
        <is>
          <t>Éclate-Roc</t>
        </is>
      </c>
      <c r="E320" s="37" t="inlineStr">
        <is>
          <t>TARINOR</t>
        </is>
      </c>
      <c r="F320" s="38" t="n">
        <v>0.05</v>
      </c>
      <c r="G320" s="39" t="n">
        <v>50</v>
      </c>
      <c r="H320" s="39" t="n">
        <v>60</v>
      </c>
      <c r="I320" s="29">
        <f>IF(OR(COUNTIF('Suivi des rencontres'!$A:$A,$A320)&gt;0,COUNTIF('Suivi des rencontres'!$C:$C,$J320)&gt;0),"Non","Oui")</f>
        <v/>
      </c>
      <c r="J320" s="30" t="inlineStr">
        <is>
          <t>TARINOR</t>
        </is>
      </c>
    </row>
    <row r="321">
      <c r="A321" s="40" t="inlineStr">
        <is>
          <t>Caves Jumelles</t>
        </is>
      </c>
      <c r="B321" s="40" t="inlineStr">
        <is>
          <t>UnionCave_1F_hns</t>
        </is>
      </c>
      <c r="C321" s="41" t="inlineStr">
        <is>
          <t>Toute la journée</t>
        </is>
      </c>
      <c r="D321" s="42" t="inlineStr">
        <is>
          <t>Herbe</t>
        </is>
      </c>
      <c r="E321" s="43" t="inlineStr">
        <is>
          <t>RACAILLOU</t>
        </is>
      </c>
      <c r="F321" s="44" t="n">
        <v>0.4</v>
      </c>
      <c r="G321" s="45" t="n">
        <v>8</v>
      </c>
      <c r="H321" s="45" t="n">
        <v>9</v>
      </c>
      <c r="I321" s="46">
        <f>IF(OR(COUNTIF('Suivi des rencontres'!$A:$A,$A321)&gt;0,COUNTIF('Suivi des rencontres'!$C:$C,$J321)&gt;0),"Non","Oui")</f>
        <v/>
      </c>
      <c r="J321" s="30" t="inlineStr">
        <is>
          <t>RACAILLOU</t>
        </is>
      </c>
    </row>
    <row r="322">
      <c r="A322" s="47" t="inlineStr">
        <is>
          <t>Caves Jumelles</t>
        </is>
      </c>
      <c r="B322" s="47" t="inlineStr">
        <is>
          <t>UnionCave_1F_hns</t>
        </is>
      </c>
      <c r="C322" s="48" t="inlineStr">
        <is>
          <t>Toute la journée</t>
        </is>
      </c>
      <c r="D322" s="49" t="inlineStr">
        <is>
          <t>Herbe</t>
        </is>
      </c>
      <c r="E322" s="50" t="inlineStr">
        <is>
          <t>SABELETTE</t>
        </is>
      </c>
      <c r="F322" s="51" t="n">
        <v>0.3</v>
      </c>
      <c r="G322" s="52" t="n">
        <v>8</v>
      </c>
      <c r="H322" s="52" t="n">
        <v>8</v>
      </c>
      <c r="I322" s="29">
        <f>IF(OR(COUNTIF('Suivi des rencontres'!$A:$A,$A322)&gt;0,COUNTIF('Suivi des rencontres'!$C:$C,$J322)&gt;0),"Non","Oui")</f>
        <v/>
      </c>
      <c r="J322" s="30" t="inlineStr">
        <is>
          <t>SABELETTE</t>
        </is>
      </c>
    </row>
    <row r="323">
      <c r="A323" s="47" t="inlineStr">
        <is>
          <t>Caves Jumelles</t>
        </is>
      </c>
      <c r="B323" s="47" t="inlineStr">
        <is>
          <t>UnionCave_1F_hns</t>
        </is>
      </c>
      <c r="C323" s="48" t="inlineStr">
        <is>
          <t>Toute la journée</t>
        </is>
      </c>
      <c r="D323" s="49" t="inlineStr">
        <is>
          <t>Herbe</t>
        </is>
      </c>
      <c r="E323" s="50" t="inlineStr">
        <is>
          <t>NOSFERAPTI</t>
        </is>
      </c>
      <c r="F323" s="51" t="n">
        <v>0.16</v>
      </c>
      <c r="G323" s="52" t="n">
        <v>9</v>
      </c>
      <c r="H323" s="52" t="n">
        <v>9</v>
      </c>
      <c r="I323" s="29">
        <f>IF(OR(COUNTIF('Suivi des rencontres'!$A:$A,$A323)&gt;0,COUNTIF('Suivi des rencontres'!$C:$C,$J323)&gt;0),"Non","Oui")</f>
        <v/>
      </c>
      <c r="J323" s="30" t="inlineStr">
        <is>
          <t>NOSFERAPTI</t>
        </is>
      </c>
    </row>
    <row r="324">
      <c r="A324" s="47" t="inlineStr">
        <is>
          <t>Caves Jumelles</t>
        </is>
      </c>
      <c r="B324" s="47" t="inlineStr">
        <is>
          <t>UnionCave_1F_hns</t>
        </is>
      </c>
      <c r="C324" s="48" t="inlineStr">
        <is>
          <t>Toute la journée</t>
        </is>
      </c>
      <c r="D324" s="49" t="inlineStr">
        <is>
          <t>Herbe</t>
        </is>
      </c>
      <c r="E324" s="50" t="inlineStr">
        <is>
          <t>ONIX</t>
        </is>
      </c>
      <c r="F324" s="51" t="n">
        <v>0.08</v>
      </c>
      <c r="G324" s="52" t="n">
        <v>8</v>
      </c>
      <c r="H324" s="52" t="n">
        <v>9</v>
      </c>
      <c r="I324" s="29">
        <f>IF(OR(COUNTIF('Suivi des rencontres'!$A:$A,$A324)&gt;0,COUNTIF('Suivi des rencontres'!$C:$C,$J324)&gt;0),"Non","Oui")</f>
        <v/>
      </c>
      <c r="J324" s="30" t="inlineStr">
        <is>
          <t>ONIX</t>
        </is>
      </c>
    </row>
    <row r="325">
      <c r="A325" s="47" t="inlineStr">
        <is>
          <t>Caves Jumelles</t>
        </is>
      </c>
      <c r="B325" s="47" t="inlineStr">
        <is>
          <t>UnionCave_1F_hns</t>
        </is>
      </c>
      <c r="C325" s="48" t="inlineStr">
        <is>
          <t>Toute la journée</t>
        </is>
      </c>
      <c r="D325" s="49" t="inlineStr">
        <is>
          <t>Herbe</t>
        </is>
      </c>
      <c r="E325" s="50" t="inlineStr">
        <is>
          <t>OSSELAIT</t>
        </is>
      </c>
      <c r="F325" s="51" t="n">
        <v>0.06</v>
      </c>
      <c r="G325" s="52" t="n">
        <v>8</v>
      </c>
      <c r="H325" s="52" t="n">
        <v>8</v>
      </c>
      <c r="I325" s="29">
        <f>IF(OR(COUNTIF('Suivi des rencontres'!$A:$A,$A325)&gt;0,COUNTIF('Suivi des rencontres'!$C:$C,$J325)&gt;0),"Non","Oui")</f>
        <v/>
      </c>
      <c r="J325" s="30" t="inlineStr">
        <is>
          <t>OSSELAIT</t>
        </is>
      </c>
    </row>
    <row r="326">
      <c r="A326" s="47" t="inlineStr">
        <is>
          <t>Caves Jumelles</t>
        </is>
      </c>
      <c r="B326" s="47" t="inlineStr">
        <is>
          <t>UnionCave_1F_hns</t>
        </is>
      </c>
      <c r="C326" s="48" t="inlineStr">
        <is>
          <t>Toute la journée</t>
        </is>
      </c>
      <c r="D326" s="53" t="inlineStr">
        <is>
          <t>Surf</t>
        </is>
      </c>
      <c r="E326" s="50" t="inlineStr">
        <is>
          <t>AXOLOTO</t>
        </is>
      </c>
      <c r="F326" s="51" t="n">
        <v>0.95</v>
      </c>
      <c r="G326" s="52" t="n">
        <v>15</v>
      </c>
      <c r="H326" s="52" t="n">
        <v>19</v>
      </c>
      <c r="I326" s="29">
        <f>IF(OR(COUNTIF('Suivi des rencontres'!$A:$A,$A326)&gt;0,COUNTIF('Suivi des rencontres'!$C:$C,$J326)&gt;0),"Non","Oui")</f>
        <v/>
      </c>
      <c r="J326" s="30" t="inlineStr">
        <is>
          <t>AXOLOTO</t>
        </is>
      </c>
    </row>
    <row r="327">
      <c r="A327" s="47" t="inlineStr">
        <is>
          <t>Caves Jumelles</t>
        </is>
      </c>
      <c r="B327" s="47" t="inlineStr">
        <is>
          <t>UnionCave_1F_hns</t>
        </is>
      </c>
      <c r="C327" s="48" t="inlineStr">
        <is>
          <t>Toute la journée</t>
        </is>
      </c>
      <c r="D327" s="53" t="inlineStr">
        <is>
          <t>Surf</t>
        </is>
      </c>
      <c r="E327" s="50" t="inlineStr">
        <is>
          <t>MARAISTE</t>
        </is>
      </c>
      <c r="F327" s="51" t="n">
        <v>0.05</v>
      </c>
      <c r="G327" s="52" t="n">
        <v>15</v>
      </c>
      <c r="H327" s="52" t="n">
        <v>24</v>
      </c>
      <c r="I327" s="29">
        <f>IF(OR(COUNTIF('Suivi des rencontres'!$A:$A,$A327)&gt;0,COUNTIF('Suivi des rencontres'!$C:$C,$J327)&gt;0),"Non","Oui")</f>
        <v/>
      </c>
      <c r="J327" s="30" t="inlineStr">
        <is>
          <t>AXOLOTO</t>
        </is>
      </c>
    </row>
    <row r="328">
      <c r="A328" s="47" t="inlineStr">
        <is>
          <t>Caves Jumelles</t>
        </is>
      </c>
      <c r="B328" s="47" t="inlineStr">
        <is>
          <t>UnionCave_1F_hns</t>
        </is>
      </c>
      <c r="C328" s="48" t="inlineStr">
        <is>
          <t>Toute la journée</t>
        </is>
      </c>
      <c r="D328" s="54" t="inlineStr">
        <is>
          <t>Vieille Canne</t>
        </is>
      </c>
      <c r="E328" s="50" t="inlineStr">
        <is>
          <t>MAGICARPE</t>
        </is>
      </c>
      <c r="F328" s="51" t="n">
        <v>0.7</v>
      </c>
      <c r="G328" s="52" t="n">
        <v>10</v>
      </c>
      <c r="H328" s="52" t="n">
        <v>10</v>
      </c>
      <c r="I328" s="29">
        <f>IF(OR(COUNTIF('Suivi des rencontres'!$A:$A,$A328)&gt;0,COUNTIF('Suivi des rencontres'!$C:$C,$J328)&gt;0),"Non","Oui")</f>
        <v/>
      </c>
      <c r="J328" s="30" t="inlineStr">
        <is>
          <t>MAGICARPE</t>
        </is>
      </c>
    </row>
    <row r="329">
      <c r="A329" s="47" t="inlineStr">
        <is>
          <t>Caves Jumelles</t>
        </is>
      </c>
      <c r="B329" s="47" t="inlineStr">
        <is>
          <t>UnionCave_1F_hns</t>
        </is>
      </c>
      <c r="C329" s="48" t="inlineStr">
        <is>
          <t>Toute la journée</t>
        </is>
      </c>
      <c r="D329" s="54" t="inlineStr">
        <is>
          <t>Vieille Canne</t>
        </is>
      </c>
      <c r="E329" s="50" t="inlineStr">
        <is>
          <t>POISSIRENE</t>
        </is>
      </c>
      <c r="F329" s="51" t="n">
        <v>0.3</v>
      </c>
      <c r="G329" s="52" t="n">
        <v>10</v>
      </c>
      <c r="H329" s="52" t="n">
        <v>10</v>
      </c>
      <c r="I329" s="29">
        <f>IF(OR(COUNTIF('Suivi des rencontres'!$A:$A,$A329)&gt;0,COUNTIF('Suivi des rencontres'!$C:$C,$J329)&gt;0),"Non","Oui")</f>
        <v/>
      </c>
      <c r="J329" s="30" t="inlineStr">
        <is>
          <t>POISSIRENE</t>
        </is>
      </c>
    </row>
    <row r="330">
      <c r="A330" s="47" t="inlineStr">
        <is>
          <t>Caves Jumelles</t>
        </is>
      </c>
      <c r="B330" s="47" t="inlineStr">
        <is>
          <t>UnionCave_1F_hns</t>
        </is>
      </c>
      <c r="C330" s="48" t="inlineStr">
        <is>
          <t>Toute la journée</t>
        </is>
      </c>
      <c r="D330" s="55" t="inlineStr">
        <is>
          <t>Bonne Canne</t>
        </is>
      </c>
      <c r="E330" s="50" t="inlineStr">
        <is>
          <t>POISSIRENE</t>
        </is>
      </c>
      <c r="F330" s="51" t="n">
        <v>0.8</v>
      </c>
      <c r="G330" s="52" t="n">
        <v>20</v>
      </c>
      <c r="H330" s="52" t="n">
        <v>40</v>
      </c>
      <c r="I330" s="29">
        <f>IF(OR(COUNTIF('Suivi des rencontres'!$A:$A,$A330)&gt;0,COUNTIF('Suivi des rencontres'!$C:$C,$J330)&gt;0),"Non","Oui")</f>
        <v/>
      </c>
      <c r="J330" s="30" t="inlineStr">
        <is>
          <t>POISSIRENE</t>
        </is>
      </c>
    </row>
    <row r="331">
      <c r="A331" s="47" t="inlineStr">
        <is>
          <t>Caves Jumelles</t>
        </is>
      </c>
      <c r="B331" s="47" t="inlineStr">
        <is>
          <t>UnionCave_1F_hns</t>
        </is>
      </c>
      <c r="C331" s="48" t="inlineStr">
        <is>
          <t>Toute la journée</t>
        </is>
      </c>
      <c r="D331" s="55" t="inlineStr">
        <is>
          <t>Bonne Canne</t>
        </is>
      </c>
      <c r="E331" s="50" t="inlineStr">
        <is>
          <t>MAGICARPE</t>
        </is>
      </c>
      <c r="F331" s="51" t="n">
        <v>0.2</v>
      </c>
      <c r="G331" s="52" t="n">
        <v>20</v>
      </c>
      <c r="H331" s="52" t="n">
        <v>20</v>
      </c>
      <c r="I331" s="29">
        <f>IF(OR(COUNTIF('Suivi des rencontres'!$A:$A,$A331)&gt;0,COUNTIF('Suivi des rencontres'!$C:$C,$J331)&gt;0),"Non","Oui")</f>
        <v/>
      </c>
      <c r="J331" s="30" t="inlineStr">
        <is>
          <t>MAGICARPE</t>
        </is>
      </c>
    </row>
    <row r="332">
      <c r="A332" s="47" t="inlineStr">
        <is>
          <t>Caves Jumelles</t>
        </is>
      </c>
      <c r="B332" s="47" t="inlineStr">
        <is>
          <t>UnionCave_1F_hns</t>
        </is>
      </c>
      <c r="C332" s="48" t="inlineStr">
        <is>
          <t>Toute la journée</t>
        </is>
      </c>
      <c r="D332" s="56" t="inlineStr">
        <is>
          <t>Super Canne</t>
        </is>
      </c>
      <c r="E332" s="50" t="inlineStr">
        <is>
          <t>MAGICARPE</t>
        </is>
      </c>
      <c r="F332" s="51" t="n">
        <v>0.44</v>
      </c>
      <c r="G332" s="52" t="n">
        <v>10</v>
      </c>
      <c r="H332" s="52" t="n">
        <v>40</v>
      </c>
      <c r="I332" s="29">
        <f>IF(OR(COUNTIF('Suivi des rencontres'!$A:$A,$A332)&gt;0,COUNTIF('Suivi des rencontres'!$C:$C,$J332)&gt;0),"Non","Oui")</f>
        <v/>
      </c>
      <c r="J332" s="30" t="inlineStr">
        <is>
          <t>MAGICARPE</t>
        </is>
      </c>
    </row>
    <row r="333">
      <c r="A333" s="47" t="inlineStr">
        <is>
          <t>Caves Jumelles</t>
        </is>
      </c>
      <c r="B333" s="47" t="inlineStr">
        <is>
          <t>UnionCave_1F_hns</t>
        </is>
      </c>
      <c r="C333" s="48" t="inlineStr">
        <is>
          <t>Toute la journée</t>
        </is>
      </c>
      <c r="D333" s="56" t="inlineStr">
        <is>
          <t>Super Canne</t>
        </is>
      </c>
      <c r="E333" s="50" t="inlineStr">
        <is>
          <t>POISSOROY</t>
        </is>
      </c>
      <c r="F333" s="51" t="n">
        <v>0.4</v>
      </c>
      <c r="G333" s="52" t="n">
        <v>40</v>
      </c>
      <c r="H333" s="52" t="n">
        <v>40</v>
      </c>
      <c r="I333" s="29">
        <f>IF(OR(COUNTIF('Suivi des rencontres'!$A:$A,$A333)&gt;0,COUNTIF('Suivi des rencontres'!$C:$C,$J333)&gt;0),"Non","Oui")</f>
        <v/>
      </c>
      <c r="J333" s="30" t="inlineStr">
        <is>
          <t>POISSIRENE</t>
        </is>
      </c>
    </row>
    <row r="334">
      <c r="A334" s="47" t="inlineStr">
        <is>
          <t>Caves Jumelles</t>
        </is>
      </c>
      <c r="B334" s="47" t="inlineStr">
        <is>
          <t>UnionCave_1F_hns</t>
        </is>
      </c>
      <c r="C334" s="48" t="inlineStr">
        <is>
          <t>Toute la journée</t>
        </is>
      </c>
      <c r="D334" s="56" t="inlineStr">
        <is>
          <t>Super Canne</t>
        </is>
      </c>
      <c r="E334" s="50" t="inlineStr">
        <is>
          <t>POISSIRENE</t>
        </is>
      </c>
      <c r="F334" s="51" t="n">
        <v>0.16</v>
      </c>
      <c r="G334" s="52" t="n">
        <v>20</v>
      </c>
      <c r="H334" s="52" t="n">
        <v>40</v>
      </c>
      <c r="I334" s="29">
        <f>IF(OR(COUNTIF('Suivi des rencontres'!$A:$A,$A334)&gt;0,COUNTIF('Suivi des rencontres'!$C:$C,$J334)&gt;0),"Non","Oui")</f>
        <v/>
      </c>
      <c r="J334" s="30" t="inlineStr">
        <is>
          <t>POISSIRENE</t>
        </is>
      </c>
    </row>
    <row r="335">
      <c r="A335" s="47" t="inlineStr">
        <is>
          <t>Caves Jumelles</t>
        </is>
      </c>
      <c r="B335" s="47" t="inlineStr">
        <is>
          <t>UnionCave_B1F_hns</t>
        </is>
      </c>
      <c r="C335" s="48" t="inlineStr">
        <is>
          <t>Toute la journée</t>
        </is>
      </c>
      <c r="D335" s="49" t="inlineStr">
        <is>
          <t>Herbe</t>
        </is>
      </c>
      <c r="E335" s="50" t="inlineStr">
        <is>
          <t>NOSFERAPTI</t>
        </is>
      </c>
      <c r="F335" s="51" t="n">
        <v>0.5</v>
      </c>
      <c r="G335" s="52" t="n">
        <v>8</v>
      </c>
      <c r="H335" s="52" t="n">
        <v>9</v>
      </c>
      <c r="I335" s="29">
        <f>IF(OR(COUNTIF('Suivi des rencontres'!$A:$A,$A335)&gt;0,COUNTIF('Suivi des rencontres'!$C:$C,$J335)&gt;0),"Non","Oui")</f>
        <v/>
      </c>
      <c r="J335" s="30" t="inlineStr">
        <is>
          <t>NOSFERAPTI</t>
        </is>
      </c>
    </row>
    <row r="336">
      <c r="A336" s="47" t="inlineStr">
        <is>
          <t>Caves Jumelles</t>
        </is>
      </c>
      <c r="B336" s="47" t="inlineStr">
        <is>
          <t>UnionCave_B1F_hns</t>
        </is>
      </c>
      <c r="C336" s="48" t="inlineStr">
        <is>
          <t>Toute la journée</t>
        </is>
      </c>
      <c r="D336" s="49" t="inlineStr">
        <is>
          <t>Herbe</t>
        </is>
      </c>
      <c r="E336" s="50" t="inlineStr">
        <is>
          <t>RACAILLOU</t>
        </is>
      </c>
      <c r="F336" s="51" t="n">
        <v>0.3</v>
      </c>
      <c r="G336" s="52" t="n">
        <v>8</v>
      </c>
      <c r="H336" s="52" t="n">
        <v>8</v>
      </c>
      <c r="I336" s="29">
        <f>IF(OR(COUNTIF('Suivi des rencontres'!$A:$A,$A336)&gt;0,COUNTIF('Suivi des rencontres'!$C:$C,$J336)&gt;0),"Non","Oui")</f>
        <v/>
      </c>
      <c r="J336" s="30" t="inlineStr">
        <is>
          <t>RACAILLOU</t>
        </is>
      </c>
    </row>
    <row r="337">
      <c r="A337" s="47" t="inlineStr">
        <is>
          <t>Caves Jumelles</t>
        </is>
      </c>
      <c r="B337" s="47" t="inlineStr">
        <is>
          <t>UnionCave_B1F_hns</t>
        </is>
      </c>
      <c r="C337" s="48" t="inlineStr">
        <is>
          <t>Toute la journée</t>
        </is>
      </c>
      <c r="D337" s="49" t="inlineStr">
        <is>
          <t>Herbe</t>
        </is>
      </c>
      <c r="E337" s="50" t="inlineStr">
        <is>
          <t>MARILL</t>
        </is>
      </c>
      <c r="F337" s="51" t="n">
        <v>0.1</v>
      </c>
      <c r="G337" s="52" t="n">
        <v>8</v>
      </c>
      <c r="H337" s="52" t="n">
        <v>9</v>
      </c>
      <c r="I337" s="29">
        <f>IF(OR(COUNTIF('Suivi des rencontres'!$A:$A,$A337)&gt;0,COUNTIF('Suivi des rencontres'!$C:$C,$J337)&gt;0),"Non","Oui")</f>
        <v/>
      </c>
      <c r="J337" s="30" t="inlineStr">
        <is>
          <t>AZURILL</t>
        </is>
      </c>
    </row>
    <row r="338">
      <c r="A338" s="47" t="inlineStr">
        <is>
          <t>Caves Jumelles</t>
        </is>
      </c>
      <c r="B338" s="47" t="inlineStr">
        <is>
          <t>UnionCave_B1F_hns</t>
        </is>
      </c>
      <c r="C338" s="48" t="inlineStr">
        <is>
          <t>Toute la journée</t>
        </is>
      </c>
      <c r="D338" s="49" t="inlineStr">
        <is>
          <t>Herbe</t>
        </is>
      </c>
      <c r="E338" s="50" t="inlineStr">
        <is>
          <t>ONIX</t>
        </is>
      </c>
      <c r="F338" s="51" t="n">
        <v>0.1</v>
      </c>
      <c r="G338" s="52" t="n">
        <v>8</v>
      </c>
      <c r="H338" s="52" t="n">
        <v>8</v>
      </c>
      <c r="I338" s="29">
        <f>IF(OR(COUNTIF('Suivi des rencontres'!$A:$A,$A338)&gt;0,COUNTIF('Suivi des rencontres'!$C:$C,$J338)&gt;0),"Non","Oui")</f>
        <v/>
      </c>
      <c r="J338" s="30" t="inlineStr">
        <is>
          <t>ONIX</t>
        </is>
      </c>
    </row>
    <row r="339">
      <c r="A339" s="47" t="inlineStr">
        <is>
          <t>Caves Jumelles</t>
        </is>
      </c>
      <c r="B339" s="47" t="inlineStr">
        <is>
          <t>UnionCave_B1F_hns</t>
        </is>
      </c>
      <c r="C339" s="48" t="inlineStr">
        <is>
          <t>Toute la journée</t>
        </is>
      </c>
      <c r="D339" s="53" t="inlineStr">
        <is>
          <t>Surf</t>
        </is>
      </c>
      <c r="E339" s="50" t="inlineStr">
        <is>
          <t>AXOLOTO</t>
        </is>
      </c>
      <c r="F339" s="51" t="n">
        <v>0.95</v>
      </c>
      <c r="G339" s="52" t="n">
        <v>15</v>
      </c>
      <c r="H339" s="52" t="n">
        <v>19</v>
      </c>
      <c r="I339" s="29">
        <f>IF(OR(COUNTIF('Suivi des rencontres'!$A:$A,$A339)&gt;0,COUNTIF('Suivi des rencontres'!$C:$C,$J339)&gt;0),"Non","Oui")</f>
        <v/>
      </c>
      <c r="J339" s="30" t="inlineStr">
        <is>
          <t>AXOLOTO</t>
        </is>
      </c>
    </row>
    <row r="340">
      <c r="A340" s="47" t="inlineStr">
        <is>
          <t>Caves Jumelles</t>
        </is>
      </c>
      <c r="B340" s="47" t="inlineStr">
        <is>
          <t>UnionCave_B1F_hns</t>
        </is>
      </c>
      <c r="C340" s="48" t="inlineStr">
        <is>
          <t>Toute la journée</t>
        </is>
      </c>
      <c r="D340" s="53" t="inlineStr">
        <is>
          <t>Surf</t>
        </is>
      </c>
      <c r="E340" s="50" t="inlineStr">
        <is>
          <t>MARAISTE</t>
        </is>
      </c>
      <c r="F340" s="51" t="n">
        <v>0.05</v>
      </c>
      <c r="G340" s="52" t="n">
        <v>15</v>
      </c>
      <c r="H340" s="52" t="n">
        <v>24</v>
      </c>
      <c r="I340" s="29">
        <f>IF(OR(COUNTIF('Suivi des rencontres'!$A:$A,$A340)&gt;0,COUNTIF('Suivi des rencontres'!$C:$C,$J340)&gt;0),"Non","Oui")</f>
        <v/>
      </c>
      <c r="J340" s="30" t="inlineStr">
        <is>
          <t>AXOLOTO</t>
        </is>
      </c>
    </row>
    <row r="341">
      <c r="A341" s="47" t="inlineStr">
        <is>
          <t>Caves Jumelles</t>
        </is>
      </c>
      <c r="B341" s="47" t="inlineStr">
        <is>
          <t>UnionCave_B1F_hns</t>
        </is>
      </c>
      <c r="C341" s="48" t="inlineStr">
        <is>
          <t>Toute la journée</t>
        </is>
      </c>
      <c r="D341" s="54" t="inlineStr">
        <is>
          <t>Vieille Canne</t>
        </is>
      </c>
      <c r="E341" s="50" t="inlineStr">
        <is>
          <t>MAGICARPE</t>
        </is>
      </c>
      <c r="F341" s="51" t="n">
        <v>0.7</v>
      </c>
      <c r="G341" s="52" t="n">
        <v>10</v>
      </c>
      <c r="H341" s="52" t="n">
        <v>10</v>
      </c>
      <c r="I341" s="29">
        <f>IF(OR(COUNTIF('Suivi des rencontres'!$A:$A,$A341)&gt;0,COUNTIF('Suivi des rencontres'!$C:$C,$J341)&gt;0),"Non","Oui")</f>
        <v/>
      </c>
      <c r="J341" s="30" t="inlineStr">
        <is>
          <t>MAGICARPE</t>
        </is>
      </c>
    </row>
    <row r="342">
      <c r="A342" s="47" t="inlineStr">
        <is>
          <t>Caves Jumelles</t>
        </is>
      </c>
      <c r="B342" s="47" t="inlineStr">
        <is>
          <t>UnionCave_B1F_hns</t>
        </is>
      </c>
      <c r="C342" s="48" t="inlineStr">
        <is>
          <t>Toute la journée</t>
        </is>
      </c>
      <c r="D342" s="54" t="inlineStr">
        <is>
          <t>Vieille Canne</t>
        </is>
      </c>
      <c r="E342" s="50" t="inlineStr">
        <is>
          <t>POISSIRENE</t>
        </is>
      </c>
      <c r="F342" s="51" t="n">
        <v>0.3</v>
      </c>
      <c r="G342" s="52" t="n">
        <v>10</v>
      </c>
      <c r="H342" s="52" t="n">
        <v>10</v>
      </c>
      <c r="I342" s="29">
        <f>IF(OR(COUNTIF('Suivi des rencontres'!$A:$A,$A342)&gt;0,COUNTIF('Suivi des rencontres'!$C:$C,$J342)&gt;0),"Non","Oui")</f>
        <v/>
      </c>
      <c r="J342" s="30" t="inlineStr">
        <is>
          <t>POISSIRENE</t>
        </is>
      </c>
    </row>
    <row r="343">
      <c r="A343" s="47" t="inlineStr">
        <is>
          <t>Caves Jumelles</t>
        </is>
      </c>
      <c r="B343" s="47" t="inlineStr">
        <is>
          <t>UnionCave_B1F_hns</t>
        </is>
      </c>
      <c r="C343" s="48" t="inlineStr">
        <is>
          <t>Toute la journée</t>
        </is>
      </c>
      <c r="D343" s="55" t="inlineStr">
        <is>
          <t>Bonne Canne</t>
        </is>
      </c>
      <c r="E343" s="50" t="inlineStr">
        <is>
          <t>POISSIRENE</t>
        </is>
      </c>
      <c r="F343" s="51" t="n">
        <v>0.8</v>
      </c>
      <c r="G343" s="52" t="n">
        <v>20</v>
      </c>
      <c r="H343" s="52" t="n">
        <v>40</v>
      </c>
      <c r="I343" s="29">
        <f>IF(OR(COUNTIF('Suivi des rencontres'!$A:$A,$A343)&gt;0,COUNTIF('Suivi des rencontres'!$C:$C,$J343)&gt;0),"Non","Oui")</f>
        <v/>
      </c>
      <c r="J343" s="30" t="inlineStr">
        <is>
          <t>POISSIRENE</t>
        </is>
      </c>
    </row>
    <row r="344">
      <c r="A344" s="47" t="inlineStr">
        <is>
          <t>Caves Jumelles</t>
        </is>
      </c>
      <c r="B344" s="47" t="inlineStr">
        <is>
          <t>UnionCave_B1F_hns</t>
        </is>
      </c>
      <c r="C344" s="48" t="inlineStr">
        <is>
          <t>Toute la journée</t>
        </is>
      </c>
      <c r="D344" s="55" t="inlineStr">
        <is>
          <t>Bonne Canne</t>
        </is>
      </c>
      <c r="E344" s="50" t="inlineStr">
        <is>
          <t>MAGICARPE</t>
        </is>
      </c>
      <c r="F344" s="51" t="n">
        <v>0.2</v>
      </c>
      <c r="G344" s="52" t="n">
        <v>20</v>
      </c>
      <c r="H344" s="52" t="n">
        <v>20</v>
      </c>
      <c r="I344" s="29">
        <f>IF(OR(COUNTIF('Suivi des rencontres'!$A:$A,$A344)&gt;0,COUNTIF('Suivi des rencontres'!$C:$C,$J344)&gt;0),"Non","Oui")</f>
        <v/>
      </c>
      <c r="J344" s="30" t="inlineStr">
        <is>
          <t>MAGICARPE</t>
        </is>
      </c>
    </row>
    <row r="345">
      <c r="A345" s="47" t="inlineStr">
        <is>
          <t>Caves Jumelles</t>
        </is>
      </c>
      <c r="B345" s="47" t="inlineStr">
        <is>
          <t>UnionCave_B1F_hns</t>
        </is>
      </c>
      <c r="C345" s="48" t="inlineStr">
        <is>
          <t>Toute la journée</t>
        </is>
      </c>
      <c r="D345" s="56" t="inlineStr">
        <is>
          <t>Super Canne</t>
        </is>
      </c>
      <c r="E345" s="50" t="inlineStr">
        <is>
          <t>MAGICARPE</t>
        </is>
      </c>
      <c r="F345" s="51" t="n">
        <v>0.44</v>
      </c>
      <c r="G345" s="52" t="n">
        <v>10</v>
      </c>
      <c r="H345" s="52" t="n">
        <v>40</v>
      </c>
      <c r="I345" s="29">
        <f>IF(OR(COUNTIF('Suivi des rencontres'!$A:$A,$A345)&gt;0,COUNTIF('Suivi des rencontres'!$C:$C,$J345)&gt;0),"Non","Oui")</f>
        <v/>
      </c>
      <c r="J345" s="30" t="inlineStr">
        <is>
          <t>MAGICARPE</t>
        </is>
      </c>
    </row>
    <row r="346">
      <c r="A346" s="47" t="inlineStr">
        <is>
          <t>Caves Jumelles</t>
        </is>
      </c>
      <c r="B346" s="47" t="inlineStr">
        <is>
          <t>UnionCave_B1F_hns</t>
        </is>
      </c>
      <c r="C346" s="48" t="inlineStr">
        <is>
          <t>Toute la journée</t>
        </is>
      </c>
      <c r="D346" s="56" t="inlineStr">
        <is>
          <t>Super Canne</t>
        </is>
      </c>
      <c r="E346" s="50" t="inlineStr">
        <is>
          <t>POISSOROY</t>
        </is>
      </c>
      <c r="F346" s="51" t="n">
        <v>0.4</v>
      </c>
      <c r="G346" s="52" t="n">
        <v>40</v>
      </c>
      <c r="H346" s="52" t="n">
        <v>40</v>
      </c>
      <c r="I346" s="29">
        <f>IF(OR(COUNTIF('Suivi des rencontres'!$A:$A,$A346)&gt;0,COUNTIF('Suivi des rencontres'!$C:$C,$J346)&gt;0),"Non","Oui")</f>
        <v/>
      </c>
      <c r="J346" s="30" t="inlineStr">
        <is>
          <t>POISSIRENE</t>
        </is>
      </c>
    </row>
    <row r="347">
      <c r="A347" s="47" t="inlineStr">
        <is>
          <t>Caves Jumelles</t>
        </is>
      </c>
      <c r="B347" s="47" t="inlineStr">
        <is>
          <t>UnionCave_B1F_hns</t>
        </is>
      </c>
      <c r="C347" s="48" t="inlineStr">
        <is>
          <t>Toute la journée</t>
        </is>
      </c>
      <c r="D347" s="56" t="inlineStr">
        <is>
          <t>Super Canne</t>
        </is>
      </c>
      <c r="E347" s="50" t="inlineStr">
        <is>
          <t>POISSIRENE</t>
        </is>
      </c>
      <c r="F347" s="51" t="n">
        <v>0.16</v>
      </c>
      <c r="G347" s="52" t="n">
        <v>20</v>
      </c>
      <c r="H347" s="52" t="n">
        <v>40</v>
      </c>
      <c r="I347" s="29">
        <f>IF(OR(COUNTIF('Suivi des rencontres'!$A:$A,$A347)&gt;0,COUNTIF('Suivi des rencontres'!$C:$C,$J347)&gt;0),"Non","Oui")</f>
        <v/>
      </c>
      <c r="J347" s="30" t="inlineStr">
        <is>
          <t>POISSIRENE</t>
        </is>
      </c>
    </row>
    <row r="348">
      <c r="A348" s="47" t="inlineStr">
        <is>
          <t>Caves Jumelles</t>
        </is>
      </c>
      <c r="B348" s="47" t="inlineStr">
        <is>
          <t>UnionCave_B2F_hns</t>
        </is>
      </c>
      <c r="C348" s="48" t="inlineStr">
        <is>
          <t>Toute la journée</t>
        </is>
      </c>
      <c r="D348" s="49" t="inlineStr">
        <is>
          <t>Herbe</t>
        </is>
      </c>
      <c r="E348" s="50" t="inlineStr">
        <is>
          <t>NOSFERALTO</t>
        </is>
      </c>
      <c r="F348" s="51" t="n">
        <v>0.3</v>
      </c>
      <c r="G348" s="52" t="n">
        <v>25</v>
      </c>
      <c r="H348" s="52" t="n">
        <v>25</v>
      </c>
      <c r="I348" s="29">
        <f>IF(OR(COUNTIF('Suivi des rencontres'!$A:$A,$A348)&gt;0,COUNTIF('Suivi des rencontres'!$C:$C,$J348)&gt;0),"Non","Oui")</f>
        <v/>
      </c>
      <c r="J348" s="30" t="inlineStr">
        <is>
          <t>NOSFERAPTI</t>
        </is>
      </c>
    </row>
    <row r="349">
      <c r="A349" s="47" t="inlineStr">
        <is>
          <t>Caves Jumelles</t>
        </is>
      </c>
      <c r="B349" s="47" t="inlineStr">
        <is>
          <t>UnionCave_B2F_hns</t>
        </is>
      </c>
      <c r="C349" s="48" t="inlineStr">
        <is>
          <t>Toute la journée</t>
        </is>
      </c>
      <c r="D349" s="49" t="inlineStr">
        <is>
          <t>Herbe</t>
        </is>
      </c>
      <c r="E349" s="50" t="inlineStr">
        <is>
          <t>ONIX</t>
        </is>
      </c>
      <c r="F349" s="51" t="n">
        <v>0.3</v>
      </c>
      <c r="G349" s="52" t="n">
        <v>22</v>
      </c>
      <c r="H349" s="52" t="n">
        <v>22</v>
      </c>
      <c r="I349" s="29">
        <f>IF(OR(COUNTIF('Suivi des rencontres'!$A:$A,$A349)&gt;0,COUNTIF('Suivi des rencontres'!$C:$C,$J349)&gt;0),"Non","Oui")</f>
        <v/>
      </c>
      <c r="J349" s="30" t="inlineStr">
        <is>
          <t>ONIX</t>
        </is>
      </c>
    </row>
    <row r="350">
      <c r="A350" s="47" t="inlineStr">
        <is>
          <t>Caves Jumelles</t>
        </is>
      </c>
      <c r="B350" s="47" t="inlineStr">
        <is>
          <t>UnionCave_B2F_hns</t>
        </is>
      </c>
      <c r="C350" s="48" t="inlineStr">
        <is>
          <t>Toute la journée</t>
        </is>
      </c>
      <c r="D350" s="49" t="inlineStr">
        <is>
          <t>Herbe</t>
        </is>
      </c>
      <c r="E350" s="50" t="inlineStr">
        <is>
          <t>OSSELAIT</t>
        </is>
      </c>
      <c r="F350" s="51" t="n">
        <v>0.2</v>
      </c>
      <c r="G350" s="52" t="n">
        <v>22</v>
      </c>
      <c r="H350" s="52" t="n">
        <v>22</v>
      </c>
      <c r="I350" s="29">
        <f>IF(OR(COUNTIF('Suivi des rencontres'!$A:$A,$A350)&gt;0,COUNTIF('Suivi des rencontres'!$C:$C,$J350)&gt;0),"Non","Oui")</f>
        <v/>
      </c>
      <c r="J350" s="30" t="inlineStr">
        <is>
          <t>OSSELAIT</t>
        </is>
      </c>
    </row>
    <row r="351">
      <c r="A351" s="47" t="inlineStr">
        <is>
          <t>Caves Jumelles</t>
        </is>
      </c>
      <c r="B351" s="47" t="inlineStr">
        <is>
          <t>UnionCave_B2F_hns</t>
        </is>
      </c>
      <c r="C351" s="48" t="inlineStr">
        <is>
          <t>Toute la journée</t>
        </is>
      </c>
      <c r="D351" s="49" t="inlineStr">
        <is>
          <t>Herbe</t>
        </is>
      </c>
      <c r="E351" s="50" t="inlineStr">
        <is>
          <t>RATTATAC</t>
        </is>
      </c>
      <c r="F351" s="51" t="n">
        <v>0.1</v>
      </c>
      <c r="G351" s="52" t="n">
        <v>21</v>
      </c>
      <c r="H351" s="52" t="n">
        <v>21</v>
      </c>
      <c r="I351" s="29">
        <f>IF(OR(COUNTIF('Suivi des rencontres'!$A:$A,$A351)&gt;0,COUNTIF('Suivi des rencontres'!$C:$C,$J351)&gt;0),"Non","Oui")</f>
        <v/>
      </c>
      <c r="J351" s="30" t="inlineStr">
        <is>
          <t>RATTATA</t>
        </is>
      </c>
    </row>
    <row r="352">
      <c r="A352" s="47" t="inlineStr">
        <is>
          <t>Caves Jumelles</t>
        </is>
      </c>
      <c r="B352" s="47" t="inlineStr">
        <is>
          <t>UnionCave_B2F_hns</t>
        </is>
      </c>
      <c r="C352" s="48" t="inlineStr">
        <is>
          <t>Toute la journée</t>
        </is>
      </c>
      <c r="D352" s="49" t="inlineStr">
        <is>
          <t>Herbe</t>
        </is>
      </c>
      <c r="E352" s="50" t="inlineStr">
        <is>
          <t>KANGOUREX</t>
        </is>
      </c>
      <c r="F352" s="51" t="n">
        <v>0.05</v>
      </c>
      <c r="G352" s="52" t="n">
        <v>23</v>
      </c>
      <c r="H352" s="52" t="n">
        <v>23</v>
      </c>
      <c r="I352" s="29">
        <f>IF(OR(COUNTIF('Suivi des rencontres'!$A:$A,$A352)&gt;0,COUNTIF('Suivi des rencontres'!$C:$C,$J352)&gt;0),"Non","Oui")</f>
        <v/>
      </c>
      <c r="J352" s="30" t="inlineStr">
        <is>
          <t>KANGOUREX</t>
        </is>
      </c>
    </row>
    <row r="353">
      <c r="A353" s="47" t="inlineStr">
        <is>
          <t>Caves Jumelles</t>
        </is>
      </c>
      <c r="B353" s="47" t="inlineStr">
        <is>
          <t>UnionCave_B2F_hns</t>
        </is>
      </c>
      <c r="C353" s="48" t="inlineStr">
        <is>
          <t>Toute la journée</t>
        </is>
      </c>
      <c r="D353" s="49" t="inlineStr">
        <is>
          <t>Herbe</t>
        </is>
      </c>
      <c r="E353" s="50" t="inlineStr">
        <is>
          <t>MARAISTE</t>
        </is>
      </c>
      <c r="F353" s="51" t="n">
        <v>0.05</v>
      </c>
      <c r="G353" s="52" t="n">
        <v>20</v>
      </c>
      <c r="H353" s="52" t="n">
        <v>20</v>
      </c>
      <c r="I353" s="29">
        <f>IF(OR(COUNTIF('Suivi des rencontres'!$A:$A,$A353)&gt;0,COUNTIF('Suivi des rencontres'!$C:$C,$J353)&gt;0),"Non","Oui")</f>
        <v/>
      </c>
      <c r="J353" s="30" t="inlineStr">
        <is>
          <t>AXOLOTO</t>
        </is>
      </c>
    </row>
    <row r="354">
      <c r="A354" s="47" t="inlineStr">
        <is>
          <t>Caves Jumelles</t>
        </is>
      </c>
      <c r="B354" s="47" t="inlineStr">
        <is>
          <t>UnionCave_B2F_hns</t>
        </is>
      </c>
      <c r="C354" s="48" t="inlineStr">
        <is>
          <t>Toute la journée</t>
        </is>
      </c>
      <c r="D354" s="53" t="inlineStr">
        <is>
          <t>Surf</t>
        </is>
      </c>
      <c r="E354" s="50" t="inlineStr">
        <is>
          <t>TENTACOOL</t>
        </is>
      </c>
      <c r="F354" s="51" t="n">
        <v>0.9</v>
      </c>
      <c r="G354" s="52" t="n">
        <v>15</v>
      </c>
      <c r="H354" s="52" t="n">
        <v>19</v>
      </c>
      <c r="I354" s="29">
        <f>IF(OR(COUNTIF('Suivi des rencontres'!$A:$A,$A354)&gt;0,COUNTIF('Suivi des rencontres'!$C:$C,$J354)&gt;0),"Non","Oui")</f>
        <v/>
      </c>
      <c r="J354" s="30" t="inlineStr">
        <is>
          <t>TENTACOOL</t>
        </is>
      </c>
    </row>
    <row r="355">
      <c r="A355" s="47" t="inlineStr">
        <is>
          <t>Caves Jumelles</t>
        </is>
      </c>
      <c r="B355" s="47" t="inlineStr">
        <is>
          <t>UnionCave_B2F_hns</t>
        </is>
      </c>
      <c r="C355" s="48" t="inlineStr">
        <is>
          <t>Toute la journée</t>
        </is>
      </c>
      <c r="D355" s="53" t="inlineStr">
        <is>
          <t>Surf</t>
        </is>
      </c>
      <c r="E355" s="50" t="inlineStr">
        <is>
          <t>MARAISTE</t>
        </is>
      </c>
      <c r="F355" s="51" t="n">
        <v>0.06</v>
      </c>
      <c r="G355" s="52" t="n">
        <v>20</v>
      </c>
      <c r="H355" s="52" t="n">
        <v>24</v>
      </c>
      <c r="I355" s="29">
        <f>IF(OR(COUNTIF('Suivi des rencontres'!$A:$A,$A355)&gt;0,COUNTIF('Suivi des rencontres'!$C:$C,$J355)&gt;0),"Non","Oui")</f>
        <v/>
      </c>
      <c r="J355" s="30" t="inlineStr">
        <is>
          <t>AXOLOTO</t>
        </is>
      </c>
    </row>
    <row r="356">
      <c r="A356" s="47" t="inlineStr">
        <is>
          <t>Caves Jumelles</t>
        </is>
      </c>
      <c r="B356" s="47" t="inlineStr">
        <is>
          <t>UnionCave_B2F_hns</t>
        </is>
      </c>
      <c r="C356" s="48" t="inlineStr">
        <is>
          <t>Toute la journée</t>
        </is>
      </c>
      <c r="D356" s="53" t="inlineStr">
        <is>
          <t>Surf</t>
        </is>
      </c>
      <c r="E356" s="50" t="inlineStr">
        <is>
          <t>TENTACRUEL</t>
        </is>
      </c>
      <c r="F356" s="51" t="n">
        <v>0.04</v>
      </c>
      <c r="G356" s="52" t="n">
        <v>20</v>
      </c>
      <c r="H356" s="52" t="n">
        <v>24</v>
      </c>
      <c r="I356" s="29">
        <f>IF(OR(COUNTIF('Suivi des rencontres'!$A:$A,$A356)&gt;0,COUNTIF('Suivi des rencontres'!$C:$C,$J356)&gt;0),"Non","Oui")</f>
        <v/>
      </c>
      <c r="J356" s="30" t="inlineStr">
        <is>
          <t>TENTACOOL</t>
        </is>
      </c>
    </row>
    <row r="357">
      <c r="A357" s="47" t="inlineStr">
        <is>
          <t>Caves Jumelles</t>
        </is>
      </c>
      <c r="B357" s="47" t="inlineStr">
        <is>
          <t>UnionCave_B2F_hns</t>
        </is>
      </c>
      <c r="C357" s="48" t="inlineStr">
        <is>
          <t>Toute la journée</t>
        </is>
      </c>
      <c r="D357" s="54" t="inlineStr">
        <is>
          <t>Vieille Canne</t>
        </is>
      </c>
      <c r="E357" s="50" t="inlineStr">
        <is>
          <t>MAGICARPE</t>
        </is>
      </c>
      <c r="F357" s="51" t="n">
        <v>0.7</v>
      </c>
      <c r="G357" s="52" t="n">
        <v>10</v>
      </c>
      <c r="H357" s="52" t="n">
        <v>10</v>
      </c>
      <c r="I357" s="29">
        <f>IF(OR(COUNTIF('Suivi des rencontres'!$A:$A,$A357)&gt;0,COUNTIF('Suivi des rencontres'!$C:$C,$J357)&gt;0),"Non","Oui")</f>
        <v/>
      </c>
      <c r="J357" s="30" t="inlineStr">
        <is>
          <t>MAGICARPE</t>
        </is>
      </c>
    </row>
    <row r="358">
      <c r="A358" s="47" t="inlineStr">
        <is>
          <t>Caves Jumelles</t>
        </is>
      </c>
      <c r="B358" s="47" t="inlineStr">
        <is>
          <t>UnionCave_B2F_hns</t>
        </is>
      </c>
      <c r="C358" s="48" t="inlineStr">
        <is>
          <t>Toute la journée</t>
        </is>
      </c>
      <c r="D358" s="54" t="inlineStr">
        <is>
          <t>Vieille Canne</t>
        </is>
      </c>
      <c r="E358" s="50" t="inlineStr">
        <is>
          <t>TENTACOOL</t>
        </is>
      </c>
      <c r="F358" s="51" t="n">
        <v>0.3</v>
      </c>
      <c r="G358" s="52" t="n">
        <v>10</v>
      </c>
      <c r="H358" s="52" t="n">
        <v>10</v>
      </c>
      <c r="I358" s="29">
        <f>IF(OR(COUNTIF('Suivi des rencontres'!$A:$A,$A358)&gt;0,COUNTIF('Suivi des rencontres'!$C:$C,$J358)&gt;0),"Non","Oui")</f>
        <v/>
      </c>
      <c r="J358" s="30" t="inlineStr">
        <is>
          <t>TENTACOOL</t>
        </is>
      </c>
    </row>
    <row r="359">
      <c r="A359" s="47" t="inlineStr">
        <is>
          <t>Caves Jumelles</t>
        </is>
      </c>
      <c r="B359" s="47" t="inlineStr">
        <is>
          <t>UnionCave_B2F_hns</t>
        </is>
      </c>
      <c r="C359" s="48" t="inlineStr">
        <is>
          <t>Toute la journée</t>
        </is>
      </c>
      <c r="D359" s="55" t="inlineStr">
        <is>
          <t>Bonne Canne</t>
        </is>
      </c>
      <c r="E359" s="50" t="inlineStr">
        <is>
          <t>MAGICARPE</t>
        </is>
      </c>
      <c r="F359" s="51" t="n">
        <v>0.6</v>
      </c>
      <c r="G359" s="52" t="n">
        <v>20</v>
      </c>
      <c r="H359" s="52" t="n">
        <v>20</v>
      </c>
      <c r="I359" s="29">
        <f>IF(OR(COUNTIF('Suivi des rencontres'!$A:$A,$A359)&gt;0,COUNTIF('Suivi des rencontres'!$C:$C,$J359)&gt;0),"Non","Oui")</f>
        <v/>
      </c>
      <c r="J359" s="30" t="inlineStr">
        <is>
          <t>MAGICARPE</t>
        </is>
      </c>
    </row>
    <row r="360">
      <c r="A360" s="47" t="inlineStr">
        <is>
          <t>Caves Jumelles</t>
        </is>
      </c>
      <c r="B360" s="47" t="inlineStr">
        <is>
          <t>UnionCave_B2F_hns</t>
        </is>
      </c>
      <c r="C360" s="48" t="inlineStr">
        <is>
          <t>Toute la journée</t>
        </is>
      </c>
      <c r="D360" s="55" t="inlineStr">
        <is>
          <t>Bonne Canne</t>
        </is>
      </c>
      <c r="E360" s="50" t="inlineStr">
        <is>
          <t>LOUPIO</t>
        </is>
      </c>
      <c r="F360" s="51" t="n">
        <v>0.2</v>
      </c>
      <c r="G360" s="52" t="n">
        <v>20</v>
      </c>
      <c r="H360" s="52" t="n">
        <v>20</v>
      </c>
      <c r="I360" s="29">
        <f>IF(OR(COUNTIF('Suivi des rencontres'!$A:$A,$A360)&gt;0,COUNTIF('Suivi des rencontres'!$C:$C,$J360)&gt;0),"Non","Oui")</f>
        <v/>
      </c>
      <c r="J360" s="30" t="inlineStr">
        <is>
          <t>LOUPIO</t>
        </is>
      </c>
    </row>
    <row r="361">
      <c r="A361" s="47" t="inlineStr">
        <is>
          <t>Caves Jumelles</t>
        </is>
      </c>
      <c r="B361" s="47" t="inlineStr">
        <is>
          <t>UnionCave_B2F_hns</t>
        </is>
      </c>
      <c r="C361" s="48" t="inlineStr">
        <is>
          <t>Toute la journée</t>
        </is>
      </c>
      <c r="D361" s="55" t="inlineStr">
        <is>
          <t>Bonne Canne</t>
        </is>
      </c>
      <c r="E361" s="50" t="inlineStr">
        <is>
          <t>TENTACOOL</t>
        </is>
      </c>
      <c r="F361" s="51" t="n">
        <v>0.2</v>
      </c>
      <c r="G361" s="52" t="n">
        <v>20</v>
      </c>
      <c r="H361" s="52" t="n">
        <v>20</v>
      </c>
      <c r="I361" s="29">
        <f>IF(OR(COUNTIF('Suivi des rencontres'!$A:$A,$A361)&gt;0,COUNTIF('Suivi des rencontres'!$C:$C,$J361)&gt;0),"Non","Oui")</f>
        <v/>
      </c>
      <c r="J361" s="30" t="inlineStr">
        <is>
          <t>TENTACOOL</t>
        </is>
      </c>
    </row>
    <row r="362">
      <c r="A362" s="47" t="inlineStr">
        <is>
          <t>Caves Jumelles</t>
        </is>
      </c>
      <c r="B362" s="47" t="inlineStr">
        <is>
          <t>UnionCave_B2F_hns</t>
        </is>
      </c>
      <c r="C362" s="48" t="inlineStr">
        <is>
          <t>Toute la journée</t>
        </is>
      </c>
      <c r="D362" s="56" t="inlineStr">
        <is>
          <t>Super Canne</t>
        </is>
      </c>
      <c r="E362" s="50" t="inlineStr">
        <is>
          <t>KOKIYAS</t>
        </is>
      </c>
      <c r="F362" s="51" t="n">
        <v>0.55</v>
      </c>
      <c r="G362" s="52" t="n">
        <v>20</v>
      </c>
      <c r="H362" s="52" t="n">
        <v>40</v>
      </c>
      <c r="I362" s="29">
        <f>IF(OR(COUNTIF('Suivi des rencontres'!$A:$A,$A362)&gt;0,COUNTIF('Suivi des rencontres'!$C:$C,$J362)&gt;0),"Non","Oui")</f>
        <v/>
      </c>
      <c r="J362" s="30" t="inlineStr">
        <is>
          <t>KOKIYAS</t>
        </is>
      </c>
    </row>
    <row r="363">
      <c r="A363" s="47" t="inlineStr">
        <is>
          <t>Caves Jumelles</t>
        </is>
      </c>
      <c r="B363" s="47" t="inlineStr">
        <is>
          <t>UnionCave_B2F_hns</t>
        </is>
      </c>
      <c r="C363" s="48" t="inlineStr">
        <is>
          <t>Toute la journée</t>
        </is>
      </c>
      <c r="D363" s="56" t="inlineStr">
        <is>
          <t>Super Canne</t>
        </is>
      </c>
      <c r="E363" s="50" t="inlineStr">
        <is>
          <t>LOUPIO</t>
        </is>
      </c>
      <c r="F363" s="51" t="n">
        <v>0.4</v>
      </c>
      <c r="G363" s="52" t="n">
        <v>40</v>
      </c>
      <c r="H363" s="52" t="n">
        <v>40</v>
      </c>
      <c r="I363" s="29">
        <f>IF(OR(COUNTIF('Suivi des rencontres'!$A:$A,$A363)&gt;0,COUNTIF('Suivi des rencontres'!$C:$C,$J363)&gt;0),"Non","Oui")</f>
        <v/>
      </c>
      <c r="J363" s="30" t="inlineStr">
        <is>
          <t>LOUPIO</t>
        </is>
      </c>
    </row>
    <row r="364">
      <c r="A364" s="47" t="inlineStr">
        <is>
          <t>Caves Jumelles</t>
        </is>
      </c>
      <c r="B364" s="47" t="inlineStr">
        <is>
          <t>UnionCave_B2F_hns</t>
        </is>
      </c>
      <c r="C364" s="48" t="inlineStr">
        <is>
          <t>Toute la journée</t>
        </is>
      </c>
      <c r="D364" s="56" t="inlineStr">
        <is>
          <t>Super Canne</t>
        </is>
      </c>
      <c r="E364" s="50" t="inlineStr">
        <is>
          <t>TENTACRUEL</t>
        </is>
      </c>
      <c r="F364" s="51" t="n">
        <v>0.04</v>
      </c>
      <c r="G364" s="52" t="n">
        <v>40</v>
      </c>
      <c r="H364" s="52" t="n">
        <v>40</v>
      </c>
      <c r="I364" s="29">
        <f>IF(OR(COUNTIF('Suivi des rencontres'!$A:$A,$A364)&gt;0,COUNTIF('Suivi des rencontres'!$C:$C,$J364)&gt;0),"Non","Oui")</f>
        <v/>
      </c>
      <c r="J364" s="30" t="inlineStr">
        <is>
          <t>TENTACOOL</t>
        </is>
      </c>
    </row>
    <row r="365">
      <c r="A365" s="47" t="inlineStr">
        <is>
          <t>Caves Jumelles</t>
        </is>
      </c>
      <c r="B365" s="47" t="inlineStr">
        <is>
          <t>UnionCave_B2F_hns</t>
        </is>
      </c>
      <c r="C365" s="48" t="inlineStr">
        <is>
          <t>Toute la journée</t>
        </is>
      </c>
      <c r="D365" s="56" t="inlineStr">
        <is>
          <t>Super Canne</t>
        </is>
      </c>
      <c r="E365" s="50" t="inlineStr">
        <is>
          <t>LANTURN</t>
        </is>
      </c>
      <c r="F365" s="51" t="n">
        <v>0.01</v>
      </c>
      <c r="G365" s="52" t="n">
        <v>40</v>
      </c>
      <c r="H365" s="52" t="n">
        <v>40</v>
      </c>
      <c r="I365" s="29">
        <f>IF(OR(COUNTIF('Suivi des rencontres'!$A:$A,$A365)&gt;0,COUNTIF('Suivi des rencontres'!$C:$C,$J365)&gt;0),"Non","Oui")</f>
        <v/>
      </c>
      <c r="J365" s="30" t="inlineStr">
        <is>
          <t>LOUPIO</t>
        </is>
      </c>
    </row>
    <row r="366">
      <c r="A366" s="57" t="inlineStr">
        <is>
          <t>Chenal 19</t>
        </is>
      </c>
      <c r="B366" s="57" t="inlineStr">
        <is>
          <t>Route19_hns</t>
        </is>
      </c>
      <c r="C366" s="58" t="inlineStr">
        <is>
          <t>Matin, jour, soir</t>
        </is>
      </c>
      <c r="D366" s="63" t="inlineStr">
        <is>
          <t>Surf</t>
        </is>
      </c>
      <c r="E366" s="59" t="inlineStr">
        <is>
          <t>TENTACOOL</t>
        </is>
      </c>
      <c r="F366" s="60" t="n">
        <v>0.91</v>
      </c>
      <c r="G366" s="61" t="n">
        <v>43</v>
      </c>
      <c r="H366" s="61" t="n">
        <v>45</v>
      </c>
      <c r="I366" s="46">
        <f>IF(OR(COUNTIF('Suivi des rencontres'!$A:$A,$A366)&gt;0,COUNTIF('Suivi des rencontres'!$C:$C,$J366)&gt;0),"Non","Oui")</f>
        <v/>
      </c>
      <c r="J366" s="30" t="inlineStr">
        <is>
          <t>TENTACOOL</t>
        </is>
      </c>
    </row>
    <row r="367">
      <c r="A367" s="35" t="inlineStr">
        <is>
          <t>Chenal 19</t>
        </is>
      </c>
      <c r="B367" s="35" t="inlineStr">
        <is>
          <t>Route19_hns</t>
        </is>
      </c>
      <c r="C367" s="33" t="inlineStr">
        <is>
          <t>Matin, jour, soir</t>
        </is>
      </c>
      <c r="D367" s="53" t="inlineStr">
        <is>
          <t>Surf</t>
        </is>
      </c>
      <c r="E367" s="37" t="inlineStr">
        <is>
          <t>GOELISE</t>
        </is>
      </c>
      <c r="F367" s="38" t="n">
        <v>0.05</v>
      </c>
      <c r="G367" s="39" t="n">
        <v>43</v>
      </c>
      <c r="H367" s="39" t="n">
        <v>45</v>
      </c>
      <c r="I367" s="29">
        <f>IF(OR(COUNTIF('Suivi des rencontres'!$A:$A,$A367)&gt;0,COUNTIF('Suivi des rencontres'!$C:$C,$J367)&gt;0),"Non","Oui")</f>
        <v/>
      </c>
      <c r="J367" s="30" t="inlineStr">
        <is>
          <t>GOELISE</t>
        </is>
      </c>
    </row>
    <row r="368">
      <c r="A368" s="35" t="inlineStr">
        <is>
          <t>Chenal 19</t>
        </is>
      </c>
      <c r="B368" s="35" t="inlineStr">
        <is>
          <t>Route19_hns</t>
        </is>
      </c>
      <c r="C368" s="33" t="inlineStr">
        <is>
          <t>Matin, jour, soir</t>
        </is>
      </c>
      <c r="D368" s="53" t="inlineStr">
        <is>
          <t>Surf</t>
        </is>
      </c>
      <c r="E368" s="37" t="inlineStr">
        <is>
          <t>TENTACRUEL</t>
        </is>
      </c>
      <c r="F368" s="38" t="n">
        <v>0.04</v>
      </c>
      <c r="G368" s="39" t="n">
        <v>48</v>
      </c>
      <c r="H368" s="39" t="n">
        <v>48</v>
      </c>
      <c r="I368" s="29">
        <f>IF(OR(COUNTIF('Suivi des rencontres'!$A:$A,$A368)&gt;0,COUNTIF('Suivi des rencontres'!$C:$C,$J368)&gt;0),"Non","Oui")</f>
        <v/>
      </c>
      <c r="J368" s="30" t="inlineStr">
        <is>
          <t>TENTACOOL</t>
        </is>
      </c>
    </row>
    <row r="369">
      <c r="A369" s="35" t="inlineStr">
        <is>
          <t>Chenal 19</t>
        </is>
      </c>
      <c r="B369" s="35" t="inlineStr">
        <is>
          <t>Route19_hns</t>
        </is>
      </c>
      <c r="C369" s="62" t="inlineStr">
        <is>
          <t>Nuit</t>
        </is>
      </c>
      <c r="D369" s="53" t="inlineStr">
        <is>
          <t>Surf</t>
        </is>
      </c>
      <c r="E369" s="37" t="inlineStr">
        <is>
          <t>TENTACOOL</t>
        </is>
      </c>
      <c r="F369" s="38" t="n">
        <v>0.91</v>
      </c>
      <c r="G369" s="39" t="n">
        <v>43</v>
      </c>
      <c r="H369" s="39" t="n">
        <v>45</v>
      </c>
      <c r="I369" s="29">
        <f>IF(OR(COUNTIF('Suivi des rencontres'!$A:$A,$A369)&gt;0,COUNTIF('Suivi des rencontres'!$C:$C,$J369)&gt;0),"Non","Oui")</f>
        <v/>
      </c>
      <c r="J369" s="30" t="inlineStr">
        <is>
          <t>TENTACOOL</t>
        </is>
      </c>
    </row>
    <row r="370">
      <c r="A370" s="35" t="inlineStr">
        <is>
          <t>Chenal 19</t>
        </is>
      </c>
      <c r="B370" s="35" t="inlineStr">
        <is>
          <t>Route19_hns</t>
        </is>
      </c>
      <c r="C370" s="62" t="inlineStr">
        <is>
          <t>Nuit</t>
        </is>
      </c>
      <c r="D370" s="53" t="inlineStr">
        <is>
          <t>Surf</t>
        </is>
      </c>
      <c r="E370" s="37" t="inlineStr">
        <is>
          <t>GOELISE</t>
        </is>
      </c>
      <c r="F370" s="38" t="n">
        <v>0.05</v>
      </c>
      <c r="G370" s="39" t="n">
        <v>43</v>
      </c>
      <c r="H370" s="39" t="n">
        <v>45</v>
      </c>
      <c r="I370" s="29">
        <f>IF(OR(COUNTIF('Suivi des rencontres'!$A:$A,$A370)&gt;0,COUNTIF('Suivi des rencontres'!$C:$C,$J370)&gt;0),"Non","Oui")</f>
        <v/>
      </c>
      <c r="J370" s="30" t="inlineStr">
        <is>
          <t>GOELISE</t>
        </is>
      </c>
    </row>
    <row r="371">
      <c r="A371" s="35" t="inlineStr">
        <is>
          <t>Chenal 19</t>
        </is>
      </c>
      <c r="B371" s="35" t="inlineStr">
        <is>
          <t>Route19_hns</t>
        </is>
      </c>
      <c r="C371" s="62" t="inlineStr">
        <is>
          <t>Nuit</t>
        </is>
      </c>
      <c r="D371" s="53" t="inlineStr">
        <is>
          <t>Surf</t>
        </is>
      </c>
      <c r="E371" s="37" t="inlineStr">
        <is>
          <t>TENTACRUEL</t>
        </is>
      </c>
      <c r="F371" s="38" t="n">
        <v>0.04</v>
      </c>
      <c r="G371" s="39" t="n">
        <v>48</v>
      </c>
      <c r="H371" s="39" t="n">
        <v>48</v>
      </c>
      <c r="I371" s="29">
        <f>IF(OR(COUNTIF('Suivi des rencontres'!$A:$A,$A371)&gt;0,COUNTIF('Suivi des rencontres'!$C:$C,$J371)&gt;0),"Non","Oui")</f>
        <v/>
      </c>
      <c r="J371" s="30" t="inlineStr">
        <is>
          <t>TENTACOOL</t>
        </is>
      </c>
    </row>
    <row r="372">
      <c r="A372" s="35" t="inlineStr">
        <is>
          <t>Chenal 19</t>
        </is>
      </c>
      <c r="B372" s="35" t="inlineStr">
        <is>
          <t>Route19_hns</t>
        </is>
      </c>
      <c r="C372" s="33" t="inlineStr">
        <is>
          <t>Matin, jour, soir</t>
        </is>
      </c>
      <c r="D372" s="54" t="inlineStr">
        <is>
          <t>Vieille Canne</t>
        </is>
      </c>
      <c r="E372" s="37" t="inlineStr">
        <is>
          <t>MAGICARPE</t>
        </is>
      </c>
      <c r="F372" s="38" t="n">
        <v>0.7</v>
      </c>
      <c r="G372" s="39" t="n">
        <v>41</v>
      </c>
      <c r="H372" s="39" t="n">
        <v>43</v>
      </c>
      <c r="I372" s="29">
        <f>IF(OR(COUNTIF('Suivi des rencontres'!$A:$A,$A372)&gt;0,COUNTIF('Suivi des rencontres'!$C:$C,$J372)&gt;0),"Non","Oui")</f>
        <v/>
      </c>
      <c r="J372" s="30" t="inlineStr">
        <is>
          <t>MAGICARPE</t>
        </is>
      </c>
    </row>
    <row r="373">
      <c r="A373" s="35" t="inlineStr">
        <is>
          <t>Chenal 19</t>
        </is>
      </c>
      <c r="B373" s="35" t="inlineStr">
        <is>
          <t>Route19_hns</t>
        </is>
      </c>
      <c r="C373" s="33" t="inlineStr">
        <is>
          <t>Matin, jour, soir</t>
        </is>
      </c>
      <c r="D373" s="54" t="inlineStr">
        <is>
          <t>Vieille Canne</t>
        </is>
      </c>
      <c r="E373" s="37" t="inlineStr">
        <is>
          <t>TENTACOOL</t>
        </is>
      </c>
      <c r="F373" s="38" t="n">
        <v>0.3</v>
      </c>
      <c r="G373" s="39" t="n">
        <v>41</v>
      </c>
      <c r="H373" s="39" t="n">
        <v>43</v>
      </c>
      <c r="I373" s="29">
        <f>IF(OR(COUNTIF('Suivi des rencontres'!$A:$A,$A373)&gt;0,COUNTIF('Suivi des rencontres'!$C:$C,$J373)&gt;0),"Non","Oui")</f>
        <v/>
      </c>
      <c r="J373" s="30" t="inlineStr">
        <is>
          <t>TENTACOOL</t>
        </is>
      </c>
    </row>
    <row r="374">
      <c r="A374" s="35" t="inlineStr">
        <is>
          <t>Chenal 19</t>
        </is>
      </c>
      <c r="B374" s="35" t="inlineStr">
        <is>
          <t>Route19_hns</t>
        </is>
      </c>
      <c r="C374" s="62" t="inlineStr">
        <is>
          <t>Nuit</t>
        </is>
      </c>
      <c r="D374" s="54" t="inlineStr">
        <is>
          <t>Vieille Canne</t>
        </is>
      </c>
      <c r="E374" s="37" t="inlineStr">
        <is>
          <t>MAGICARPE</t>
        </is>
      </c>
      <c r="F374" s="38" t="n">
        <v>0.7</v>
      </c>
      <c r="G374" s="39" t="n">
        <v>41</v>
      </c>
      <c r="H374" s="39" t="n">
        <v>43</v>
      </c>
      <c r="I374" s="29">
        <f>IF(OR(COUNTIF('Suivi des rencontres'!$A:$A,$A374)&gt;0,COUNTIF('Suivi des rencontres'!$C:$C,$J374)&gt;0),"Non","Oui")</f>
        <v/>
      </c>
      <c r="J374" s="30" t="inlineStr">
        <is>
          <t>MAGICARPE</t>
        </is>
      </c>
    </row>
    <row r="375">
      <c r="A375" s="35" t="inlineStr">
        <is>
          <t>Chenal 19</t>
        </is>
      </c>
      <c r="B375" s="35" t="inlineStr">
        <is>
          <t>Route19_hns</t>
        </is>
      </c>
      <c r="C375" s="62" t="inlineStr">
        <is>
          <t>Nuit</t>
        </is>
      </c>
      <c r="D375" s="54" t="inlineStr">
        <is>
          <t>Vieille Canne</t>
        </is>
      </c>
      <c r="E375" s="37" t="inlineStr">
        <is>
          <t>TENTACOOL</t>
        </is>
      </c>
      <c r="F375" s="38" t="n">
        <v>0.3</v>
      </c>
      <c r="G375" s="39" t="n">
        <v>41</v>
      </c>
      <c r="H375" s="39" t="n">
        <v>43</v>
      </c>
      <c r="I375" s="29">
        <f>IF(OR(COUNTIF('Suivi des rencontres'!$A:$A,$A375)&gt;0,COUNTIF('Suivi des rencontres'!$C:$C,$J375)&gt;0),"Non","Oui")</f>
        <v/>
      </c>
      <c r="J375" s="30" t="inlineStr">
        <is>
          <t>TENTACOOL</t>
        </is>
      </c>
    </row>
    <row r="376">
      <c r="A376" s="35" t="inlineStr">
        <is>
          <t>Chenal 19</t>
        </is>
      </c>
      <c r="B376" s="35" t="inlineStr">
        <is>
          <t>Route19_hns</t>
        </is>
      </c>
      <c r="C376" s="33" t="inlineStr">
        <is>
          <t>Matin, jour, soir</t>
        </is>
      </c>
      <c r="D376" s="55" t="inlineStr">
        <is>
          <t>Bonne Canne</t>
        </is>
      </c>
      <c r="E376" s="37" t="inlineStr">
        <is>
          <t>MAGICARPE</t>
        </is>
      </c>
      <c r="F376" s="38" t="n">
        <v>0.6</v>
      </c>
      <c r="G376" s="39" t="n">
        <v>42</v>
      </c>
      <c r="H376" s="39" t="n">
        <v>44</v>
      </c>
      <c r="I376" s="29">
        <f>IF(OR(COUNTIF('Suivi des rencontres'!$A:$A,$A376)&gt;0,COUNTIF('Suivi des rencontres'!$C:$C,$J376)&gt;0),"Non","Oui")</f>
        <v/>
      </c>
      <c r="J376" s="30" t="inlineStr">
        <is>
          <t>MAGICARPE</t>
        </is>
      </c>
    </row>
    <row r="377">
      <c r="A377" s="35" t="inlineStr">
        <is>
          <t>Chenal 19</t>
        </is>
      </c>
      <c r="B377" s="35" t="inlineStr">
        <is>
          <t>Route19_hns</t>
        </is>
      </c>
      <c r="C377" s="33" t="inlineStr">
        <is>
          <t>Matin, jour, soir</t>
        </is>
      </c>
      <c r="D377" s="55" t="inlineStr">
        <is>
          <t>Bonne Canne</t>
        </is>
      </c>
      <c r="E377" s="37" t="inlineStr">
        <is>
          <t>MARAISTE</t>
        </is>
      </c>
      <c r="F377" s="38" t="n">
        <v>0.2</v>
      </c>
      <c r="G377" s="39" t="n">
        <v>42</v>
      </c>
      <c r="H377" s="39" t="n">
        <v>44</v>
      </c>
      <c r="I377" s="29">
        <f>IF(OR(COUNTIF('Suivi des rencontres'!$A:$A,$A377)&gt;0,COUNTIF('Suivi des rencontres'!$C:$C,$J377)&gt;0),"Non","Oui")</f>
        <v/>
      </c>
      <c r="J377" s="30" t="inlineStr">
        <is>
          <t>AXOLOTO</t>
        </is>
      </c>
    </row>
    <row r="378">
      <c r="A378" s="35" t="inlineStr">
        <is>
          <t>Chenal 19</t>
        </is>
      </c>
      <c r="B378" s="35" t="inlineStr">
        <is>
          <t>Route19_hns</t>
        </is>
      </c>
      <c r="C378" s="33" t="inlineStr">
        <is>
          <t>Matin, jour, soir</t>
        </is>
      </c>
      <c r="D378" s="55" t="inlineStr">
        <is>
          <t>Bonne Canne</t>
        </is>
      </c>
      <c r="E378" s="37" t="inlineStr">
        <is>
          <t>TENTACOOL</t>
        </is>
      </c>
      <c r="F378" s="38" t="n">
        <v>0.2</v>
      </c>
      <c r="G378" s="39" t="n">
        <v>42</v>
      </c>
      <c r="H378" s="39" t="n">
        <v>44</v>
      </c>
      <c r="I378" s="29">
        <f>IF(OR(COUNTIF('Suivi des rencontres'!$A:$A,$A378)&gt;0,COUNTIF('Suivi des rencontres'!$C:$C,$J378)&gt;0),"Non","Oui")</f>
        <v/>
      </c>
      <c r="J378" s="30" t="inlineStr">
        <is>
          <t>TENTACOOL</t>
        </is>
      </c>
    </row>
    <row r="379">
      <c r="A379" s="35" t="inlineStr">
        <is>
          <t>Chenal 19</t>
        </is>
      </c>
      <c r="B379" s="35" t="inlineStr">
        <is>
          <t>Route19_hns</t>
        </is>
      </c>
      <c r="C379" s="62" t="inlineStr">
        <is>
          <t>Nuit</t>
        </is>
      </c>
      <c r="D379" s="55" t="inlineStr">
        <is>
          <t>Bonne Canne</t>
        </is>
      </c>
      <c r="E379" s="37" t="inlineStr">
        <is>
          <t>MAGICARPE</t>
        </is>
      </c>
      <c r="F379" s="38" t="n">
        <v>0.6</v>
      </c>
      <c r="G379" s="39" t="n">
        <v>42</v>
      </c>
      <c r="H379" s="39" t="n">
        <v>44</v>
      </c>
      <c r="I379" s="29">
        <f>IF(OR(COUNTIF('Suivi des rencontres'!$A:$A,$A379)&gt;0,COUNTIF('Suivi des rencontres'!$C:$C,$J379)&gt;0),"Non","Oui")</f>
        <v/>
      </c>
      <c r="J379" s="30" t="inlineStr">
        <is>
          <t>MAGICARPE</t>
        </is>
      </c>
    </row>
    <row r="380">
      <c r="A380" s="35" t="inlineStr">
        <is>
          <t>Chenal 19</t>
        </is>
      </c>
      <c r="B380" s="35" t="inlineStr">
        <is>
          <t>Route19_hns</t>
        </is>
      </c>
      <c r="C380" s="62" t="inlineStr">
        <is>
          <t>Nuit</t>
        </is>
      </c>
      <c r="D380" s="55" t="inlineStr">
        <is>
          <t>Bonne Canne</t>
        </is>
      </c>
      <c r="E380" s="37" t="inlineStr">
        <is>
          <t>MARAISTE</t>
        </is>
      </c>
      <c r="F380" s="38" t="n">
        <v>0.2</v>
      </c>
      <c r="G380" s="39" t="n">
        <v>42</v>
      </c>
      <c r="H380" s="39" t="n">
        <v>44</v>
      </c>
      <c r="I380" s="29">
        <f>IF(OR(COUNTIF('Suivi des rencontres'!$A:$A,$A380)&gt;0,COUNTIF('Suivi des rencontres'!$C:$C,$J380)&gt;0),"Non","Oui")</f>
        <v/>
      </c>
      <c r="J380" s="30" t="inlineStr">
        <is>
          <t>AXOLOTO</t>
        </is>
      </c>
    </row>
    <row r="381">
      <c r="A381" s="35" t="inlineStr">
        <is>
          <t>Chenal 19</t>
        </is>
      </c>
      <c r="B381" s="35" t="inlineStr">
        <is>
          <t>Route19_hns</t>
        </is>
      </c>
      <c r="C381" s="62" t="inlineStr">
        <is>
          <t>Nuit</t>
        </is>
      </c>
      <c r="D381" s="55" t="inlineStr">
        <is>
          <t>Bonne Canne</t>
        </is>
      </c>
      <c r="E381" s="37" t="inlineStr">
        <is>
          <t>TENTACOOL</t>
        </is>
      </c>
      <c r="F381" s="38" t="n">
        <v>0.2</v>
      </c>
      <c r="G381" s="39" t="n">
        <v>42</v>
      </c>
      <c r="H381" s="39" t="n">
        <v>44</v>
      </c>
      <c r="I381" s="29">
        <f>IF(OR(COUNTIF('Suivi des rencontres'!$A:$A,$A381)&gt;0,COUNTIF('Suivi des rencontres'!$C:$C,$J381)&gt;0),"Non","Oui")</f>
        <v/>
      </c>
      <c r="J381" s="30" t="inlineStr">
        <is>
          <t>TENTACOOL</t>
        </is>
      </c>
    </row>
    <row r="382">
      <c r="A382" s="35" t="inlineStr">
        <is>
          <t>Chenal 19</t>
        </is>
      </c>
      <c r="B382" s="35" t="inlineStr">
        <is>
          <t>Route19_hns</t>
        </is>
      </c>
      <c r="C382" s="33" t="inlineStr">
        <is>
          <t>Matin, jour, soir</t>
        </is>
      </c>
      <c r="D382" s="56" t="inlineStr">
        <is>
          <t>Super Canne</t>
        </is>
      </c>
      <c r="E382" s="37" t="inlineStr">
        <is>
          <t>MARAISTE</t>
        </is>
      </c>
      <c r="F382" s="38" t="n">
        <v>0.8</v>
      </c>
      <c r="G382" s="39" t="n">
        <v>40</v>
      </c>
      <c r="H382" s="39" t="n">
        <v>44</v>
      </c>
      <c r="I382" s="29">
        <f>IF(OR(COUNTIF('Suivi des rencontres'!$A:$A,$A382)&gt;0,COUNTIF('Suivi des rencontres'!$C:$C,$J382)&gt;0),"Non","Oui")</f>
        <v/>
      </c>
      <c r="J382" s="30" t="inlineStr">
        <is>
          <t>AXOLOTO</t>
        </is>
      </c>
    </row>
    <row r="383">
      <c r="A383" s="35" t="inlineStr">
        <is>
          <t>Chenal 19</t>
        </is>
      </c>
      <c r="B383" s="35" t="inlineStr">
        <is>
          <t>Route19_hns</t>
        </is>
      </c>
      <c r="C383" s="33" t="inlineStr">
        <is>
          <t>Matin, jour, soir</t>
        </is>
      </c>
      <c r="D383" s="56" t="inlineStr">
        <is>
          <t>Super Canne</t>
        </is>
      </c>
      <c r="E383" s="37" t="inlineStr">
        <is>
          <t>TENTACRUEL</t>
        </is>
      </c>
      <c r="F383" s="38" t="n">
        <v>0.15</v>
      </c>
      <c r="G383" s="39" t="n">
        <v>40</v>
      </c>
      <c r="H383" s="39" t="n">
        <v>40</v>
      </c>
      <c r="I383" s="29">
        <f>IF(OR(COUNTIF('Suivi des rencontres'!$A:$A,$A383)&gt;0,COUNTIF('Suivi des rencontres'!$C:$C,$J383)&gt;0),"Non","Oui")</f>
        <v/>
      </c>
      <c r="J383" s="30" t="inlineStr">
        <is>
          <t>TENTACOOL</t>
        </is>
      </c>
    </row>
    <row r="384">
      <c r="A384" s="35" t="inlineStr">
        <is>
          <t>Chenal 19</t>
        </is>
      </c>
      <c r="B384" s="35" t="inlineStr">
        <is>
          <t>Route19_hns</t>
        </is>
      </c>
      <c r="C384" s="33" t="inlineStr">
        <is>
          <t>Matin, jour, soir</t>
        </is>
      </c>
      <c r="D384" s="56" t="inlineStr">
        <is>
          <t>Super Canne</t>
        </is>
      </c>
      <c r="E384" s="37" t="inlineStr">
        <is>
          <t>MAGICARPE</t>
        </is>
      </c>
      <c r="F384" s="38" t="n">
        <v>0.04</v>
      </c>
      <c r="G384" s="39" t="n">
        <v>40</v>
      </c>
      <c r="H384" s="39" t="n">
        <v>40</v>
      </c>
      <c r="I384" s="29">
        <f>IF(OR(COUNTIF('Suivi des rencontres'!$A:$A,$A384)&gt;0,COUNTIF('Suivi des rencontres'!$C:$C,$J384)&gt;0),"Non","Oui")</f>
        <v/>
      </c>
      <c r="J384" s="30" t="inlineStr">
        <is>
          <t>MAGICARPE</t>
        </is>
      </c>
    </row>
    <row r="385">
      <c r="A385" s="35" t="inlineStr">
        <is>
          <t>Chenal 19</t>
        </is>
      </c>
      <c r="B385" s="35" t="inlineStr">
        <is>
          <t>Route19_hns</t>
        </is>
      </c>
      <c r="C385" s="33" t="inlineStr">
        <is>
          <t>Matin, jour, soir</t>
        </is>
      </c>
      <c r="D385" s="56" t="inlineStr">
        <is>
          <t>Super Canne</t>
        </is>
      </c>
      <c r="E385" s="37" t="inlineStr">
        <is>
          <t>TENTACOOL</t>
        </is>
      </c>
      <c r="F385" s="38" t="n">
        <v>0.01</v>
      </c>
      <c r="G385" s="39" t="n">
        <v>40</v>
      </c>
      <c r="H385" s="39" t="n">
        <v>40</v>
      </c>
      <c r="I385" s="29">
        <f>IF(OR(COUNTIF('Suivi des rencontres'!$A:$A,$A385)&gt;0,COUNTIF('Suivi des rencontres'!$C:$C,$J385)&gt;0),"Non","Oui")</f>
        <v/>
      </c>
      <c r="J385" s="30" t="inlineStr">
        <is>
          <t>TENTACOOL</t>
        </is>
      </c>
    </row>
    <row r="386">
      <c r="A386" s="35" t="inlineStr">
        <is>
          <t>Chenal 19</t>
        </is>
      </c>
      <c r="B386" s="35" t="inlineStr">
        <is>
          <t>Route19_hns</t>
        </is>
      </c>
      <c r="C386" s="62" t="inlineStr">
        <is>
          <t>Nuit</t>
        </is>
      </c>
      <c r="D386" s="56" t="inlineStr">
        <is>
          <t>Super Canne</t>
        </is>
      </c>
      <c r="E386" s="37" t="inlineStr">
        <is>
          <t>MARAISTE</t>
        </is>
      </c>
      <c r="F386" s="38" t="n">
        <v>0.8</v>
      </c>
      <c r="G386" s="39" t="n">
        <v>40</v>
      </c>
      <c r="H386" s="39" t="n">
        <v>44</v>
      </c>
      <c r="I386" s="29">
        <f>IF(OR(COUNTIF('Suivi des rencontres'!$A:$A,$A386)&gt;0,COUNTIF('Suivi des rencontres'!$C:$C,$J386)&gt;0),"Non","Oui")</f>
        <v/>
      </c>
      <c r="J386" s="30" t="inlineStr">
        <is>
          <t>AXOLOTO</t>
        </is>
      </c>
    </row>
    <row r="387">
      <c r="A387" s="35" t="inlineStr">
        <is>
          <t>Chenal 19</t>
        </is>
      </c>
      <c r="B387" s="35" t="inlineStr">
        <is>
          <t>Route19_hns</t>
        </is>
      </c>
      <c r="C387" s="62" t="inlineStr">
        <is>
          <t>Nuit</t>
        </is>
      </c>
      <c r="D387" s="56" t="inlineStr">
        <is>
          <t>Super Canne</t>
        </is>
      </c>
      <c r="E387" s="37" t="inlineStr">
        <is>
          <t>TENTACRUEL</t>
        </is>
      </c>
      <c r="F387" s="38" t="n">
        <v>0.15</v>
      </c>
      <c r="G387" s="39" t="n">
        <v>40</v>
      </c>
      <c r="H387" s="39" t="n">
        <v>40</v>
      </c>
      <c r="I387" s="29">
        <f>IF(OR(COUNTIF('Suivi des rencontres'!$A:$A,$A387)&gt;0,COUNTIF('Suivi des rencontres'!$C:$C,$J387)&gt;0),"Non","Oui")</f>
        <v/>
      </c>
      <c r="J387" s="30" t="inlineStr">
        <is>
          <t>TENTACOOL</t>
        </is>
      </c>
    </row>
    <row r="388">
      <c r="A388" s="35" t="inlineStr">
        <is>
          <t>Chenal 19</t>
        </is>
      </c>
      <c r="B388" s="35" t="inlineStr">
        <is>
          <t>Route19_hns</t>
        </is>
      </c>
      <c r="C388" s="62" t="inlineStr">
        <is>
          <t>Nuit</t>
        </is>
      </c>
      <c r="D388" s="56" t="inlineStr">
        <is>
          <t>Super Canne</t>
        </is>
      </c>
      <c r="E388" s="37" t="inlineStr">
        <is>
          <t>MAGICARPE</t>
        </is>
      </c>
      <c r="F388" s="38" t="n">
        <v>0.04</v>
      </c>
      <c r="G388" s="39" t="n">
        <v>40</v>
      </c>
      <c r="H388" s="39" t="n">
        <v>40</v>
      </c>
      <c r="I388" s="29">
        <f>IF(OR(COUNTIF('Suivi des rencontres'!$A:$A,$A388)&gt;0,COUNTIF('Suivi des rencontres'!$C:$C,$J388)&gt;0),"Non","Oui")</f>
        <v/>
      </c>
      <c r="J388" s="30" t="inlineStr">
        <is>
          <t>MAGICARPE</t>
        </is>
      </c>
    </row>
    <row r="389">
      <c r="A389" s="35" t="inlineStr">
        <is>
          <t>Chenal 19</t>
        </is>
      </c>
      <c r="B389" s="35" t="inlineStr">
        <is>
          <t>Route19_hns</t>
        </is>
      </c>
      <c r="C389" s="62" t="inlineStr">
        <is>
          <t>Nuit</t>
        </is>
      </c>
      <c r="D389" s="56" t="inlineStr">
        <is>
          <t>Super Canne</t>
        </is>
      </c>
      <c r="E389" s="37" t="inlineStr">
        <is>
          <t>TENTACOOL</t>
        </is>
      </c>
      <c r="F389" s="38" t="n">
        <v>0.01</v>
      </c>
      <c r="G389" s="39" t="n">
        <v>40</v>
      </c>
      <c r="H389" s="39" t="n">
        <v>40</v>
      </c>
      <c r="I389" s="29">
        <f>IF(OR(COUNTIF('Suivi des rencontres'!$A:$A,$A389)&gt;0,COUNTIF('Suivi des rencontres'!$C:$C,$J389)&gt;0),"Non","Oui")</f>
        <v/>
      </c>
      <c r="J389" s="30" t="inlineStr">
        <is>
          <t>TENTACOOL</t>
        </is>
      </c>
    </row>
    <row r="390">
      <c r="A390" s="40" t="inlineStr">
        <is>
          <t>Chenal 20</t>
        </is>
      </c>
      <c r="B390" s="40" t="inlineStr">
        <is>
          <t>Route20_hns</t>
        </is>
      </c>
      <c r="C390" s="41" t="inlineStr">
        <is>
          <t>Matin, jour, soir</t>
        </is>
      </c>
      <c r="D390" s="63" t="inlineStr">
        <is>
          <t>Surf</t>
        </is>
      </c>
      <c r="E390" s="43" t="inlineStr">
        <is>
          <t>TENTACOOL</t>
        </is>
      </c>
      <c r="F390" s="44" t="n">
        <v>0.65</v>
      </c>
      <c r="G390" s="45" t="n">
        <v>43</v>
      </c>
      <c r="H390" s="45" t="n">
        <v>45</v>
      </c>
      <c r="I390" s="46">
        <f>IF(OR(COUNTIF('Suivi des rencontres'!$A:$A,$A390)&gt;0,COUNTIF('Suivi des rencontres'!$C:$C,$J390)&gt;0),"Non","Oui")</f>
        <v/>
      </c>
      <c r="J390" s="30" t="inlineStr">
        <is>
          <t>TENTACOOL</t>
        </is>
      </c>
    </row>
    <row r="391">
      <c r="A391" s="47" t="inlineStr">
        <is>
          <t>Chenal 20</t>
        </is>
      </c>
      <c r="B391" s="47" t="inlineStr">
        <is>
          <t>Route20_hns</t>
        </is>
      </c>
      <c r="C391" s="48" t="inlineStr">
        <is>
          <t>Matin, jour, soir</t>
        </is>
      </c>
      <c r="D391" s="53" t="inlineStr">
        <is>
          <t>Surf</t>
        </is>
      </c>
      <c r="E391" s="50" t="inlineStr">
        <is>
          <t>OTARIA</t>
        </is>
      </c>
      <c r="F391" s="51" t="n">
        <v>0.3</v>
      </c>
      <c r="G391" s="52" t="n">
        <v>43</v>
      </c>
      <c r="H391" s="52" t="n">
        <v>45</v>
      </c>
      <c r="I391" s="29">
        <f>IF(OR(COUNTIF('Suivi des rencontres'!$A:$A,$A391)&gt;0,COUNTIF('Suivi des rencontres'!$C:$C,$J391)&gt;0),"Non","Oui")</f>
        <v/>
      </c>
      <c r="J391" s="30" t="inlineStr">
        <is>
          <t>OTARIA</t>
        </is>
      </c>
    </row>
    <row r="392">
      <c r="A392" s="47" t="inlineStr">
        <is>
          <t>Chenal 20</t>
        </is>
      </c>
      <c r="B392" s="47" t="inlineStr">
        <is>
          <t>Route20_hns</t>
        </is>
      </c>
      <c r="C392" s="48" t="inlineStr">
        <is>
          <t>Matin, jour, soir</t>
        </is>
      </c>
      <c r="D392" s="53" t="inlineStr">
        <is>
          <t>Surf</t>
        </is>
      </c>
      <c r="E392" s="50" t="inlineStr">
        <is>
          <t>LAMANTINE</t>
        </is>
      </c>
      <c r="F392" s="51" t="n">
        <v>0.05</v>
      </c>
      <c r="G392" s="52" t="n">
        <v>43</v>
      </c>
      <c r="H392" s="52" t="n">
        <v>48</v>
      </c>
      <c r="I392" s="29">
        <f>IF(OR(COUNTIF('Suivi des rencontres'!$A:$A,$A392)&gt;0,COUNTIF('Suivi des rencontres'!$C:$C,$J392)&gt;0),"Non","Oui")</f>
        <v/>
      </c>
      <c r="J392" s="30" t="inlineStr">
        <is>
          <t>OTARIA</t>
        </is>
      </c>
    </row>
    <row r="393">
      <c r="A393" s="47" t="inlineStr">
        <is>
          <t>Chenal 20</t>
        </is>
      </c>
      <c r="B393" s="47" t="inlineStr">
        <is>
          <t>Route20_hns</t>
        </is>
      </c>
      <c r="C393" s="62" t="inlineStr">
        <is>
          <t>Nuit</t>
        </is>
      </c>
      <c r="D393" s="53" t="inlineStr">
        <is>
          <t>Surf</t>
        </is>
      </c>
      <c r="E393" s="50" t="inlineStr">
        <is>
          <t>TENTACOOL</t>
        </is>
      </c>
      <c r="F393" s="51" t="n">
        <v>0.96</v>
      </c>
      <c r="G393" s="52" t="n">
        <v>43</v>
      </c>
      <c r="H393" s="52" t="n">
        <v>45</v>
      </c>
      <c r="I393" s="29">
        <f>IF(OR(COUNTIF('Suivi des rencontres'!$A:$A,$A393)&gt;0,COUNTIF('Suivi des rencontres'!$C:$C,$J393)&gt;0),"Non","Oui")</f>
        <v/>
      </c>
      <c r="J393" s="30" t="inlineStr">
        <is>
          <t>TENTACOOL</t>
        </is>
      </c>
    </row>
    <row r="394">
      <c r="A394" s="47" t="inlineStr">
        <is>
          <t>Chenal 20</t>
        </is>
      </c>
      <c r="B394" s="47" t="inlineStr">
        <is>
          <t>Route20_hns</t>
        </is>
      </c>
      <c r="C394" s="62" t="inlineStr">
        <is>
          <t>Nuit</t>
        </is>
      </c>
      <c r="D394" s="53" t="inlineStr">
        <is>
          <t>Surf</t>
        </is>
      </c>
      <c r="E394" s="50" t="inlineStr">
        <is>
          <t>TENTACRUEL</t>
        </is>
      </c>
      <c r="F394" s="51" t="n">
        <v>0.04</v>
      </c>
      <c r="G394" s="52" t="n">
        <v>48</v>
      </c>
      <c r="H394" s="52" t="n">
        <v>48</v>
      </c>
      <c r="I394" s="29">
        <f>IF(OR(COUNTIF('Suivi des rencontres'!$A:$A,$A394)&gt;0,COUNTIF('Suivi des rencontres'!$C:$C,$J394)&gt;0),"Non","Oui")</f>
        <v/>
      </c>
      <c r="J394" s="30" t="inlineStr">
        <is>
          <t>TENTACOOL</t>
        </is>
      </c>
    </row>
    <row r="395">
      <c r="A395" s="47" t="inlineStr">
        <is>
          <t>Chenal 20</t>
        </is>
      </c>
      <c r="B395" s="47" t="inlineStr">
        <is>
          <t>Route20_hns</t>
        </is>
      </c>
      <c r="C395" s="48" t="inlineStr">
        <is>
          <t>Matin, jour, soir</t>
        </is>
      </c>
      <c r="D395" s="54" t="inlineStr">
        <is>
          <t>Vieille Canne</t>
        </is>
      </c>
      <c r="E395" s="50" t="inlineStr">
        <is>
          <t>MAGICARPE</t>
        </is>
      </c>
      <c r="F395" s="51" t="n">
        <v>0.7</v>
      </c>
      <c r="G395" s="52" t="n">
        <v>41</v>
      </c>
      <c r="H395" s="52" t="n">
        <v>43</v>
      </c>
      <c r="I395" s="29">
        <f>IF(OR(COUNTIF('Suivi des rencontres'!$A:$A,$A395)&gt;0,COUNTIF('Suivi des rencontres'!$C:$C,$J395)&gt;0),"Non","Oui")</f>
        <v/>
      </c>
      <c r="J395" s="30" t="inlineStr">
        <is>
          <t>MAGICARPE</t>
        </is>
      </c>
    </row>
    <row r="396">
      <c r="A396" s="47" t="inlineStr">
        <is>
          <t>Chenal 20</t>
        </is>
      </c>
      <c r="B396" s="47" t="inlineStr">
        <is>
          <t>Route20_hns</t>
        </is>
      </c>
      <c r="C396" s="48" t="inlineStr">
        <is>
          <t>Matin, jour, soir</t>
        </is>
      </c>
      <c r="D396" s="54" t="inlineStr">
        <is>
          <t>Vieille Canne</t>
        </is>
      </c>
      <c r="E396" s="50" t="inlineStr">
        <is>
          <t>TENTACOOL</t>
        </is>
      </c>
      <c r="F396" s="51" t="n">
        <v>0.3</v>
      </c>
      <c r="G396" s="52" t="n">
        <v>41</v>
      </c>
      <c r="H396" s="52" t="n">
        <v>43</v>
      </c>
      <c r="I396" s="29">
        <f>IF(OR(COUNTIF('Suivi des rencontres'!$A:$A,$A396)&gt;0,COUNTIF('Suivi des rencontres'!$C:$C,$J396)&gt;0),"Non","Oui")</f>
        <v/>
      </c>
      <c r="J396" s="30" t="inlineStr">
        <is>
          <t>TENTACOOL</t>
        </is>
      </c>
    </row>
    <row r="397">
      <c r="A397" s="47" t="inlineStr">
        <is>
          <t>Chenal 20</t>
        </is>
      </c>
      <c r="B397" s="47" t="inlineStr">
        <is>
          <t>Route20_hns</t>
        </is>
      </c>
      <c r="C397" s="62" t="inlineStr">
        <is>
          <t>Nuit</t>
        </is>
      </c>
      <c r="D397" s="54" t="inlineStr">
        <is>
          <t>Vieille Canne</t>
        </is>
      </c>
      <c r="E397" s="50" t="inlineStr">
        <is>
          <t>MAGICARPE</t>
        </is>
      </c>
      <c r="F397" s="51" t="n">
        <v>0.7</v>
      </c>
      <c r="G397" s="52" t="n">
        <v>41</v>
      </c>
      <c r="H397" s="52" t="n">
        <v>43</v>
      </c>
      <c r="I397" s="29">
        <f>IF(OR(COUNTIF('Suivi des rencontres'!$A:$A,$A397)&gt;0,COUNTIF('Suivi des rencontres'!$C:$C,$J397)&gt;0),"Non","Oui")</f>
        <v/>
      </c>
      <c r="J397" s="30" t="inlineStr">
        <is>
          <t>MAGICARPE</t>
        </is>
      </c>
    </row>
    <row r="398">
      <c r="A398" s="47" t="inlineStr">
        <is>
          <t>Chenal 20</t>
        </is>
      </c>
      <c r="B398" s="47" t="inlineStr">
        <is>
          <t>Route20_hns</t>
        </is>
      </c>
      <c r="C398" s="62" t="inlineStr">
        <is>
          <t>Nuit</t>
        </is>
      </c>
      <c r="D398" s="54" t="inlineStr">
        <is>
          <t>Vieille Canne</t>
        </is>
      </c>
      <c r="E398" s="50" t="inlineStr">
        <is>
          <t>TENTACOOL</t>
        </is>
      </c>
      <c r="F398" s="51" t="n">
        <v>0.3</v>
      </c>
      <c r="G398" s="52" t="n">
        <v>41</v>
      </c>
      <c r="H398" s="52" t="n">
        <v>43</v>
      </c>
      <c r="I398" s="29">
        <f>IF(OR(COUNTIF('Suivi des rencontres'!$A:$A,$A398)&gt;0,COUNTIF('Suivi des rencontres'!$C:$C,$J398)&gt;0),"Non","Oui")</f>
        <v/>
      </c>
      <c r="J398" s="30" t="inlineStr">
        <is>
          <t>TENTACOOL</t>
        </is>
      </c>
    </row>
    <row r="399">
      <c r="A399" s="47" t="inlineStr">
        <is>
          <t>Chenal 20</t>
        </is>
      </c>
      <c r="B399" s="47" t="inlineStr">
        <is>
          <t>Route20_hns</t>
        </is>
      </c>
      <c r="C399" s="48" t="inlineStr">
        <is>
          <t>Matin, jour, soir</t>
        </is>
      </c>
      <c r="D399" s="55" t="inlineStr">
        <is>
          <t>Bonne Canne</t>
        </is>
      </c>
      <c r="E399" s="50" t="inlineStr">
        <is>
          <t>MAGICARPE</t>
        </is>
      </c>
      <c r="F399" s="51" t="n">
        <v>0.6</v>
      </c>
      <c r="G399" s="52" t="n">
        <v>42</v>
      </c>
      <c r="H399" s="52" t="n">
        <v>44</v>
      </c>
      <c r="I399" s="29">
        <f>IF(OR(COUNTIF('Suivi des rencontres'!$A:$A,$A399)&gt;0,COUNTIF('Suivi des rencontres'!$C:$C,$J399)&gt;0),"Non","Oui")</f>
        <v/>
      </c>
      <c r="J399" s="30" t="inlineStr">
        <is>
          <t>MAGICARPE</t>
        </is>
      </c>
    </row>
    <row r="400">
      <c r="A400" s="47" t="inlineStr">
        <is>
          <t>Chenal 20</t>
        </is>
      </c>
      <c r="B400" s="47" t="inlineStr">
        <is>
          <t>Route20_hns</t>
        </is>
      </c>
      <c r="C400" s="48" t="inlineStr">
        <is>
          <t>Matin, jour, soir</t>
        </is>
      </c>
      <c r="D400" s="55" t="inlineStr">
        <is>
          <t>Bonne Canne</t>
        </is>
      </c>
      <c r="E400" s="50" t="inlineStr">
        <is>
          <t>MARAISTE</t>
        </is>
      </c>
      <c r="F400" s="51" t="n">
        <v>0.2</v>
      </c>
      <c r="G400" s="52" t="n">
        <v>42</v>
      </c>
      <c r="H400" s="52" t="n">
        <v>44</v>
      </c>
      <c r="I400" s="29">
        <f>IF(OR(COUNTIF('Suivi des rencontres'!$A:$A,$A400)&gt;0,COUNTIF('Suivi des rencontres'!$C:$C,$J400)&gt;0),"Non","Oui")</f>
        <v/>
      </c>
      <c r="J400" s="30" t="inlineStr">
        <is>
          <t>AXOLOTO</t>
        </is>
      </c>
    </row>
    <row r="401">
      <c r="A401" s="47" t="inlineStr">
        <is>
          <t>Chenal 20</t>
        </is>
      </c>
      <c r="B401" s="47" t="inlineStr">
        <is>
          <t>Route20_hns</t>
        </is>
      </c>
      <c r="C401" s="48" t="inlineStr">
        <is>
          <t>Matin, jour, soir</t>
        </is>
      </c>
      <c r="D401" s="55" t="inlineStr">
        <is>
          <t>Bonne Canne</t>
        </is>
      </c>
      <c r="E401" s="50" t="inlineStr">
        <is>
          <t>TENTACOOL</t>
        </is>
      </c>
      <c r="F401" s="51" t="n">
        <v>0.2</v>
      </c>
      <c r="G401" s="52" t="n">
        <v>42</v>
      </c>
      <c r="H401" s="52" t="n">
        <v>44</v>
      </c>
      <c r="I401" s="29">
        <f>IF(OR(COUNTIF('Suivi des rencontres'!$A:$A,$A401)&gt;0,COUNTIF('Suivi des rencontres'!$C:$C,$J401)&gt;0),"Non","Oui")</f>
        <v/>
      </c>
      <c r="J401" s="30" t="inlineStr">
        <is>
          <t>TENTACOOL</t>
        </is>
      </c>
    </row>
    <row r="402">
      <c r="A402" s="47" t="inlineStr">
        <is>
          <t>Chenal 20</t>
        </is>
      </c>
      <c r="B402" s="47" t="inlineStr">
        <is>
          <t>Route20_hns</t>
        </is>
      </c>
      <c r="C402" s="62" t="inlineStr">
        <is>
          <t>Nuit</t>
        </is>
      </c>
      <c r="D402" s="55" t="inlineStr">
        <is>
          <t>Bonne Canne</t>
        </is>
      </c>
      <c r="E402" s="50" t="inlineStr">
        <is>
          <t>MAGICARPE</t>
        </is>
      </c>
      <c r="F402" s="51" t="n">
        <v>0.6</v>
      </c>
      <c r="G402" s="52" t="n">
        <v>42</v>
      </c>
      <c r="H402" s="52" t="n">
        <v>44</v>
      </c>
      <c r="I402" s="29">
        <f>IF(OR(COUNTIF('Suivi des rencontres'!$A:$A,$A402)&gt;0,COUNTIF('Suivi des rencontres'!$C:$C,$J402)&gt;0),"Non","Oui")</f>
        <v/>
      </c>
      <c r="J402" s="30" t="inlineStr">
        <is>
          <t>MAGICARPE</t>
        </is>
      </c>
    </row>
    <row r="403">
      <c r="A403" s="47" t="inlineStr">
        <is>
          <t>Chenal 20</t>
        </is>
      </c>
      <c r="B403" s="47" t="inlineStr">
        <is>
          <t>Route20_hns</t>
        </is>
      </c>
      <c r="C403" s="62" t="inlineStr">
        <is>
          <t>Nuit</t>
        </is>
      </c>
      <c r="D403" s="55" t="inlineStr">
        <is>
          <t>Bonne Canne</t>
        </is>
      </c>
      <c r="E403" s="50" t="inlineStr">
        <is>
          <t>MARAISTE</t>
        </is>
      </c>
      <c r="F403" s="51" t="n">
        <v>0.2</v>
      </c>
      <c r="G403" s="52" t="n">
        <v>42</v>
      </c>
      <c r="H403" s="52" t="n">
        <v>44</v>
      </c>
      <c r="I403" s="29">
        <f>IF(OR(COUNTIF('Suivi des rencontres'!$A:$A,$A403)&gt;0,COUNTIF('Suivi des rencontres'!$C:$C,$J403)&gt;0),"Non","Oui")</f>
        <v/>
      </c>
      <c r="J403" s="30" t="inlineStr">
        <is>
          <t>AXOLOTO</t>
        </is>
      </c>
    </row>
    <row r="404">
      <c r="A404" s="47" t="inlineStr">
        <is>
          <t>Chenal 20</t>
        </is>
      </c>
      <c r="B404" s="47" t="inlineStr">
        <is>
          <t>Route20_hns</t>
        </is>
      </c>
      <c r="C404" s="62" t="inlineStr">
        <is>
          <t>Nuit</t>
        </is>
      </c>
      <c r="D404" s="55" t="inlineStr">
        <is>
          <t>Bonne Canne</t>
        </is>
      </c>
      <c r="E404" s="50" t="inlineStr">
        <is>
          <t>TENTACOOL</t>
        </is>
      </c>
      <c r="F404" s="51" t="n">
        <v>0.2</v>
      </c>
      <c r="G404" s="52" t="n">
        <v>42</v>
      </c>
      <c r="H404" s="52" t="n">
        <v>44</v>
      </c>
      <c r="I404" s="29">
        <f>IF(OR(COUNTIF('Suivi des rencontres'!$A:$A,$A404)&gt;0,COUNTIF('Suivi des rencontres'!$C:$C,$J404)&gt;0),"Non","Oui")</f>
        <v/>
      </c>
      <c r="J404" s="30" t="inlineStr">
        <is>
          <t>TENTACOOL</t>
        </is>
      </c>
    </row>
    <row r="405">
      <c r="A405" s="47" t="inlineStr">
        <is>
          <t>Chenal 20</t>
        </is>
      </c>
      <c r="B405" s="47" t="inlineStr">
        <is>
          <t>Route20_hns</t>
        </is>
      </c>
      <c r="C405" s="48" t="inlineStr">
        <is>
          <t>Matin, jour, soir</t>
        </is>
      </c>
      <c r="D405" s="56" t="inlineStr">
        <is>
          <t>Super Canne</t>
        </is>
      </c>
      <c r="E405" s="50" t="inlineStr">
        <is>
          <t>MARAISTE</t>
        </is>
      </c>
      <c r="F405" s="51" t="n">
        <v>0.8</v>
      </c>
      <c r="G405" s="52" t="n">
        <v>40</v>
      </c>
      <c r="H405" s="52" t="n">
        <v>44</v>
      </c>
      <c r="I405" s="29">
        <f>IF(OR(COUNTIF('Suivi des rencontres'!$A:$A,$A405)&gt;0,COUNTIF('Suivi des rencontres'!$C:$C,$J405)&gt;0),"Non","Oui")</f>
        <v/>
      </c>
      <c r="J405" s="30" t="inlineStr">
        <is>
          <t>AXOLOTO</t>
        </is>
      </c>
    </row>
    <row r="406">
      <c r="A406" s="47" t="inlineStr">
        <is>
          <t>Chenal 20</t>
        </is>
      </c>
      <c r="B406" s="47" t="inlineStr">
        <is>
          <t>Route20_hns</t>
        </is>
      </c>
      <c r="C406" s="48" t="inlineStr">
        <is>
          <t>Matin, jour, soir</t>
        </is>
      </c>
      <c r="D406" s="56" t="inlineStr">
        <is>
          <t>Super Canne</t>
        </is>
      </c>
      <c r="E406" s="50" t="inlineStr">
        <is>
          <t>TENTACRUEL</t>
        </is>
      </c>
      <c r="F406" s="51" t="n">
        <v>0.15</v>
      </c>
      <c r="G406" s="52" t="n">
        <v>40</v>
      </c>
      <c r="H406" s="52" t="n">
        <v>40</v>
      </c>
      <c r="I406" s="29">
        <f>IF(OR(COUNTIF('Suivi des rencontres'!$A:$A,$A406)&gt;0,COUNTIF('Suivi des rencontres'!$C:$C,$J406)&gt;0),"Non","Oui")</f>
        <v/>
      </c>
      <c r="J406" s="30" t="inlineStr">
        <is>
          <t>TENTACOOL</t>
        </is>
      </c>
    </row>
    <row r="407">
      <c r="A407" s="47" t="inlineStr">
        <is>
          <t>Chenal 20</t>
        </is>
      </c>
      <c r="B407" s="47" t="inlineStr">
        <is>
          <t>Route20_hns</t>
        </is>
      </c>
      <c r="C407" s="48" t="inlineStr">
        <is>
          <t>Matin, jour, soir</t>
        </is>
      </c>
      <c r="D407" s="56" t="inlineStr">
        <is>
          <t>Super Canne</t>
        </is>
      </c>
      <c r="E407" s="50" t="inlineStr">
        <is>
          <t>COQUIPERL</t>
        </is>
      </c>
      <c r="F407" s="51" t="n">
        <v>0.05</v>
      </c>
      <c r="G407" s="52" t="n">
        <v>40</v>
      </c>
      <c r="H407" s="52" t="n">
        <v>40</v>
      </c>
      <c r="I407" s="29">
        <f>IF(OR(COUNTIF('Suivi des rencontres'!$A:$A,$A407)&gt;0,COUNTIF('Suivi des rencontres'!$C:$C,$J407)&gt;0),"Non","Oui")</f>
        <v/>
      </c>
      <c r="J407" s="30" t="inlineStr">
        <is>
          <t>COQUIPERL</t>
        </is>
      </c>
    </row>
    <row r="408">
      <c r="A408" s="47" t="inlineStr">
        <is>
          <t>Chenal 20</t>
        </is>
      </c>
      <c r="B408" s="47" t="inlineStr">
        <is>
          <t>Route20_hns</t>
        </is>
      </c>
      <c r="C408" s="62" t="inlineStr">
        <is>
          <t>Nuit</t>
        </is>
      </c>
      <c r="D408" s="56" t="inlineStr">
        <is>
          <t>Super Canne</t>
        </is>
      </c>
      <c r="E408" s="50" t="inlineStr">
        <is>
          <t>MARAISTE</t>
        </is>
      </c>
      <c r="F408" s="51" t="n">
        <v>0.8</v>
      </c>
      <c r="G408" s="52" t="n">
        <v>40</v>
      </c>
      <c r="H408" s="52" t="n">
        <v>44</v>
      </c>
      <c r="I408" s="29">
        <f>IF(OR(COUNTIF('Suivi des rencontres'!$A:$A,$A408)&gt;0,COUNTIF('Suivi des rencontres'!$C:$C,$J408)&gt;0),"Non","Oui")</f>
        <v/>
      </c>
      <c r="J408" s="30" t="inlineStr">
        <is>
          <t>AXOLOTO</t>
        </is>
      </c>
    </row>
    <row r="409">
      <c r="A409" s="47" t="inlineStr">
        <is>
          <t>Chenal 20</t>
        </is>
      </c>
      <c r="B409" s="47" t="inlineStr">
        <is>
          <t>Route20_hns</t>
        </is>
      </c>
      <c r="C409" s="62" t="inlineStr">
        <is>
          <t>Nuit</t>
        </is>
      </c>
      <c r="D409" s="56" t="inlineStr">
        <is>
          <t>Super Canne</t>
        </is>
      </c>
      <c r="E409" s="50" t="inlineStr">
        <is>
          <t>TENTACRUEL</t>
        </is>
      </c>
      <c r="F409" s="51" t="n">
        <v>0.15</v>
      </c>
      <c r="G409" s="52" t="n">
        <v>40</v>
      </c>
      <c r="H409" s="52" t="n">
        <v>40</v>
      </c>
      <c r="I409" s="29">
        <f>IF(OR(COUNTIF('Suivi des rencontres'!$A:$A,$A409)&gt;0,COUNTIF('Suivi des rencontres'!$C:$C,$J409)&gt;0),"Non","Oui")</f>
        <v/>
      </c>
      <c r="J409" s="30" t="inlineStr">
        <is>
          <t>TENTACOOL</t>
        </is>
      </c>
    </row>
    <row r="410">
      <c r="A410" s="47" t="inlineStr">
        <is>
          <t>Chenal 20</t>
        </is>
      </c>
      <c r="B410" s="47" t="inlineStr">
        <is>
          <t>Route20_hns</t>
        </is>
      </c>
      <c r="C410" s="62" t="inlineStr">
        <is>
          <t>Nuit</t>
        </is>
      </c>
      <c r="D410" s="56" t="inlineStr">
        <is>
          <t>Super Canne</t>
        </is>
      </c>
      <c r="E410" s="50" t="inlineStr">
        <is>
          <t>COQUIPERL</t>
        </is>
      </c>
      <c r="F410" s="51" t="n">
        <v>0.05</v>
      </c>
      <c r="G410" s="52" t="n">
        <v>40</v>
      </c>
      <c r="H410" s="52" t="n">
        <v>40</v>
      </c>
      <c r="I410" s="29">
        <f>IF(OR(COUNTIF('Suivi des rencontres'!$A:$A,$A410)&gt;0,COUNTIF('Suivi des rencontres'!$C:$C,$J410)&gt;0),"Non","Oui")</f>
        <v/>
      </c>
      <c r="J410" s="30" t="inlineStr">
        <is>
          <t>COQUIPERL</t>
        </is>
      </c>
    </row>
    <row r="411">
      <c r="A411" s="57" t="inlineStr">
        <is>
          <t>Chenal 21</t>
        </is>
      </c>
      <c r="B411" s="57" t="inlineStr">
        <is>
          <t>Route21_hns</t>
        </is>
      </c>
      <c r="C411" s="58" t="inlineStr">
        <is>
          <t>Matin, jour, soir</t>
        </is>
      </c>
      <c r="D411" s="42" t="inlineStr">
        <is>
          <t>Herbe</t>
        </is>
      </c>
      <c r="E411" s="59" t="inlineStr">
        <is>
          <t>RATTATA</t>
        </is>
      </c>
      <c r="F411" s="60" t="n">
        <v>0.3</v>
      </c>
      <c r="G411" s="61" t="n">
        <v>47</v>
      </c>
      <c r="H411" s="61" t="n">
        <v>49</v>
      </c>
      <c r="I411" s="46">
        <f>IF(OR(COUNTIF('Suivi des rencontres'!$A:$A,$A411)&gt;0,COUNTIF('Suivi des rencontres'!$C:$C,$J411)&gt;0),"Non","Oui")</f>
        <v/>
      </c>
      <c r="J411" s="30" t="inlineStr">
        <is>
          <t>RATTATA</t>
        </is>
      </c>
    </row>
    <row r="412">
      <c r="A412" s="35" t="inlineStr">
        <is>
          <t>Chenal 21</t>
        </is>
      </c>
      <c r="B412" s="35" t="inlineStr">
        <is>
          <t>Route21_hns</t>
        </is>
      </c>
      <c r="C412" s="33" t="inlineStr">
        <is>
          <t>Matin, jour, soir</t>
        </is>
      </c>
      <c r="D412" s="49" t="inlineStr">
        <is>
          <t>Herbe</t>
        </is>
      </c>
      <c r="E412" s="37" t="inlineStr">
        <is>
          <t>SAQUEDENEU</t>
        </is>
      </c>
      <c r="F412" s="38" t="n">
        <v>0.3</v>
      </c>
      <c r="G412" s="39" t="n">
        <v>43</v>
      </c>
      <c r="H412" s="39" t="n">
        <v>50</v>
      </c>
      <c r="I412" s="29">
        <f>IF(OR(COUNTIF('Suivi des rencontres'!$A:$A,$A412)&gt;0,COUNTIF('Suivi des rencontres'!$C:$C,$J412)&gt;0),"Non","Oui")</f>
        <v/>
      </c>
      <c r="J412" s="30" t="inlineStr">
        <is>
          <t>SAQUEDENEU</t>
        </is>
      </c>
    </row>
    <row r="413">
      <c r="A413" s="35" t="inlineStr">
        <is>
          <t>Chenal 21</t>
        </is>
      </c>
      <c r="B413" s="35" t="inlineStr">
        <is>
          <t>Route21_hns</t>
        </is>
      </c>
      <c r="C413" s="33" t="inlineStr">
        <is>
          <t>Matin, jour, soir</t>
        </is>
      </c>
      <c r="D413" s="49" t="inlineStr">
        <is>
          <t>Herbe</t>
        </is>
      </c>
      <c r="E413" s="37" t="inlineStr">
        <is>
          <t>M. MIME</t>
        </is>
      </c>
      <c r="F413" s="38" t="n">
        <v>0.26</v>
      </c>
      <c r="G413" s="39" t="n">
        <v>41</v>
      </c>
      <c r="H413" s="39" t="n">
        <v>45</v>
      </c>
      <c r="I413" s="29">
        <f>IF(OR(COUNTIF('Suivi des rencontres'!$A:$A,$A413)&gt;0,COUNTIF('Suivi des rencontres'!$C:$C,$J413)&gt;0),"Non","Oui")</f>
        <v/>
      </c>
      <c r="J413" s="30" t="inlineStr">
        <is>
          <t>MIME JR.</t>
        </is>
      </c>
    </row>
    <row r="414">
      <c r="A414" s="35" t="inlineStr">
        <is>
          <t>Chenal 21</t>
        </is>
      </c>
      <c r="B414" s="35" t="inlineStr">
        <is>
          <t>Route21_hns</t>
        </is>
      </c>
      <c r="C414" s="33" t="inlineStr">
        <is>
          <t>Matin, jour, soir</t>
        </is>
      </c>
      <c r="D414" s="49" t="inlineStr">
        <is>
          <t>Herbe</t>
        </is>
      </c>
      <c r="E414" s="37" t="inlineStr">
        <is>
          <t>RATTATAC</t>
        </is>
      </c>
      <c r="F414" s="38" t="n">
        <v>0.14</v>
      </c>
      <c r="G414" s="39" t="n">
        <v>42</v>
      </c>
      <c r="H414" s="39" t="n">
        <v>44</v>
      </c>
      <c r="I414" s="29">
        <f>IF(OR(COUNTIF('Suivi des rencontres'!$A:$A,$A414)&gt;0,COUNTIF('Suivi des rencontres'!$C:$C,$J414)&gt;0),"Non","Oui")</f>
        <v/>
      </c>
      <c r="J414" s="30" t="inlineStr">
        <is>
          <t>RATTATA</t>
        </is>
      </c>
    </row>
    <row r="415">
      <c r="A415" s="35" t="inlineStr">
        <is>
          <t>Chenal 21</t>
        </is>
      </c>
      <c r="B415" s="35" t="inlineStr">
        <is>
          <t>Route21_hns</t>
        </is>
      </c>
      <c r="C415" s="62" t="inlineStr">
        <is>
          <t>Nuit</t>
        </is>
      </c>
      <c r="D415" s="49" t="inlineStr">
        <is>
          <t>Herbe</t>
        </is>
      </c>
      <c r="E415" s="37" t="inlineStr">
        <is>
          <t>SAQUEDENEU</t>
        </is>
      </c>
      <c r="F415" s="38" t="n">
        <v>0.5600000000000001</v>
      </c>
      <c r="G415" s="39" t="n">
        <v>41</v>
      </c>
      <c r="H415" s="39" t="n">
        <v>50</v>
      </c>
      <c r="I415" s="29">
        <f>IF(OR(COUNTIF('Suivi des rencontres'!$A:$A,$A415)&gt;0,COUNTIF('Suivi des rencontres'!$C:$C,$J415)&gt;0),"Non","Oui")</f>
        <v/>
      </c>
      <c r="J415" s="30" t="inlineStr">
        <is>
          <t>SAQUEDENEU</t>
        </is>
      </c>
    </row>
    <row r="416">
      <c r="A416" s="35" t="inlineStr">
        <is>
          <t>Chenal 21</t>
        </is>
      </c>
      <c r="B416" s="35" t="inlineStr">
        <is>
          <t>Route21_hns</t>
        </is>
      </c>
      <c r="C416" s="62" t="inlineStr">
        <is>
          <t>Nuit</t>
        </is>
      </c>
      <c r="D416" s="49" t="inlineStr">
        <is>
          <t>Herbe</t>
        </is>
      </c>
      <c r="E416" s="37" t="inlineStr">
        <is>
          <t>RATTATA</t>
        </is>
      </c>
      <c r="F416" s="38" t="n">
        <v>0.3</v>
      </c>
      <c r="G416" s="39" t="n">
        <v>47</v>
      </c>
      <c r="H416" s="39" t="n">
        <v>49</v>
      </c>
      <c r="I416" s="29">
        <f>IF(OR(COUNTIF('Suivi des rencontres'!$A:$A,$A416)&gt;0,COUNTIF('Suivi des rencontres'!$C:$C,$J416)&gt;0),"Non","Oui")</f>
        <v/>
      </c>
      <c r="J416" s="30" t="inlineStr">
        <is>
          <t>RATTATA</t>
        </is>
      </c>
    </row>
    <row r="417">
      <c r="A417" s="35" t="inlineStr">
        <is>
          <t>Chenal 21</t>
        </is>
      </c>
      <c r="B417" s="35" t="inlineStr">
        <is>
          <t>Route21_hns</t>
        </is>
      </c>
      <c r="C417" s="62" t="inlineStr">
        <is>
          <t>Nuit</t>
        </is>
      </c>
      <c r="D417" s="49" t="inlineStr">
        <is>
          <t>Herbe</t>
        </is>
      </c>
      <c r="E417" s="37" t="inlineStr">
        <is>
          <t>RATTATAC</t>
        </is>
      </c>
      <c r="F417" s="38" t="n">
        <v>0.14</v>
      </c>
      <c r="G417" s="39" t="n">
        <v>42</v>
      </c>
      <c r="H417" s="39" t="n">
        <v>44</v>
      </c>
      <c r="I417" s="29">
        <f>IF(OR(COUNTIF('Suivi des rencontres'!$A:$A,$A417)&gt;0,COUNTIF('Suivi des rencontres'!$C:$C,$J417)&gt;0),"Non","Oui")</f>
        <v/>
      </c>
      <c r="J417" s="30" t="inlineStr">
        <is>
          <t>RATTATA</t>
        </is>
      </c>
    </row>
    <row r="418">
      <c r="A418" s="35" t="inlineStr">
        <is>
          <t>Chenal 21</t>
        </is>
      </c>
      <c r="B418" s="35" t="inlineStr">
        <is>
          <t>Route21_hns</t>
        </is>
      </c>
      <c r="C418" s="33" t="inlineStr">
        <is>
          <t>Matin, jour, soir</t>
        </is>
      </c>
      <c r="D418" s="53" t="inlineStr">
        <is>
          <t>Surf</t>
        </is>
      </c>
      <c r="E418" s="37" t="inlineStr">
        <is>
          <t>TENTACOOL</t>
        </is>
      </c>
      <c r="F418" s="38" t="n">
        <v>0.96</v>
      </c>
      <c r="G418" s="39" t="n">
        <v>43</v>
      </c>
      <c r="H418" s="39" t="n">
        <v>45</v>
      </c>
      <c r="I418" s="29">
        <f>IF(OR(COUNTIF('Suivi des rencontres'!$A:$A,$A418)&gt;0,COUNTIF('Suivi des rencontres'!$C:$C,$J418)&gt;0),"Non","Oui")</f>
        <v/>
      </c>
      <c r="J418" s="30" t="inlineStr">
        <is>
          <t>TENTACOOL</t>
        </is>
      </c>
    </row>
    <row r="419">
      <c r="A419" s="35" t="inlineStr">
        <is>
          <t>Chenal 21</t>
        </is>
      </c>
      <c r="B419" s="35" t="inlineStr">
        <is>
          <t>Route21_hns</t>
        </is>
      </c>
      <c r="C419" s="33" t="inlineStr">
        <is>
          <t>Matin, jour, soir</t>
        </is>
      </c>
      <c r="D419" s="53" t="inlineStr">
        <is>
          <t>Surf</t>
        </is>
      </c>
      <c r="E419" s="37" t="inlineStr">
        <is>
          <t>TENTACRUEL</t>
        </is>
      </c>
      <c r="F419" s="38" t="n">
        <v>0.04</v>
      </c>
      <c r="G419" s="39" t="n">
        <v>48</v>
      </c>
      <c r="H419" s="39" t="n">
        <v>48</v>
      </c>
      <c r="I419" s="29">
        <f>IF(OR(COUNTIF('Suivi des rencontres'!$A:$A,$A419)&gt;0,COUNTIF('Suivi des rencontres'!$C:$C,$J419)&gt;0),"Non","Oui")</f>
        <v/>
      </c>
      <c r="J419" s="30" t="inlineStr">
        <is>
          <t>TENTACOOL</t>
        </is>
      </c>
    </row>
    <row r="420">
      <c r="A420" s="35" t="inlineStr">
        <is>
          <t>Chenal 21</t>
        </is>
      </c>
      <c r="B420" s="35" t="inlineStr">
        <is>
          <t>Route21_hns</t>
        </is>
      </c>
      <c r="C420" s="62" t="inlineStr">
        <is>
          <t>Nuit</t>
        </is>
      </c>
      <c r="D420" s="53" t="inlineStr">
        <is>
          <t>Surf</t>
        </is>
      </c>
      <c r="E420" s="37" t="inlineStr">
        <is>
          <t>TENTACOOL</t>
        </is>
      </c>
      <c r="F420" s="38" t="n">
        <v>0.96</v>
      </c>
      <c r="G420" s="39" t="n">
        <v>43</v>
      </c>
      <c r="H420" s="39" t="n">
        <v>45</v>
      </c>
      <c r="I420" s="29">
        <f>IF(OR(COUNTIF('Suivi des rencontres'!$A:$A,$A420)&gt;0,COUNTIF('Suivi des rencontres'!$C:$C,$J420)&gt;0),"Non","Oui")</f>
        <v/>
      </c>
      <c r="J420" s="30" t="inlineStr">
        <is>
          <t>TENTACOOL</t>
        </is>
      </c>
    </row>
    <row r="421">
      <c r="A421" s="35" t="inlineStr">
        <is>
          <t>Chenal 21</t>
        </is>
      </c>
      <c r="B421" s="35" t="inlineStr">
        <is>
          <t>Route21_hns</t>
        </is>
      </c>
      <c r="C421" s="62" t="inlineStr">
        <is>
          <t>Nuit</t>
        </is>
      </c>
      <c r="D421" s="53" t="inlineStr">
        <is>
          <t>Surf</t>
        </is>
      </c>
      <c r="E421" s="37" t="inlineStr">
        <is>
          <t>TENTACRUEL</t>
        </is>
      </c>
      <c r="F421" s="38" t="n">
        <v>0.04</v>
      </c>
      <c r="G421" s="39" t="n">
        <v>48</v>
      </c>
      <c r="H421" s="39" t="n">
        <v>48</v>
      </c>
      <c r="I421" s="29">
        <f>IF(OR(COUNTIF('Suivi des rencontres'!$A:$A,$A421)&gt;0,COUNTIF('Suivi des rencontres'!$C:$C,$J421)&gt;0),"Non","Oui")</f>
        <v/>
      </c>
      <c r="J421" s="30" t="inlineStr">
        <is>
          <t>TENTACOOL</t>
        </is>
      </c>
    </row>
    <row r="422">
      <c r="A422" s="35" t="inlineStr">
        <is>
          <t>Chenal 21</t>
        </is>
      </c>
      <c r="B422" s="35" t="inlineStr">
        <is>
          <t>Route21_hns</t>
        </is>
      </c>
      <c r="C422" s="33" t="inlineStr">
        <is>
          <t>Matin, jour, soir</t>
        </is>
      </c>
      <c r="D422" s="54" t="inlineStr">
        <is>
          <t>Vieille Canne</t>
        </is>
      </c>
      <c r="E422" s="37" t="inlineStr">
        <is>
          <t>MAGICARPE</t>
        </is>
      </c>
      <c r="F422" s="38" t="n">
        <v>0.7</v>
      </c>
      <c r="G422" s="39" t="n">
        <v>41</v>
      </c>
      <c r="H422" s="39" t="n">
        <v>43</v>
      </c>
      <c r="I422" s="29">
        <f>IF(OR(COUNTIF('Suivi des rencontres'!$A:$A,$A422)&gt;0,COUNTIF('Suivi des rencontres'!$C:$C,$J422)&gt;0),"Non","Oui")</f>
        <v/>
      </c>
      <c r="J422" s="30" t="inlineStr">
        <is>
          <t>MAGICARPE</t>
        </is>
      </c>
    </row>
    <row r="423">
      <c r="A423" s="35" t="inlineStr">
        <is>
          <t>Chenal 21</t>
        </is>
      </c>
      <c r="B423" s="35" t="inlineStr">
        <is>
          <t>Route21_hns</t>
        </is>
      </c>
      <c r="C423" s="33" t="inlineStr">
        <is>
          <t>Matin, jour, soir</t>
        </is>
      </c>
      <c r="D423" s="54" t="inlineStr">
        <is>
          <t>Vieille Canne</t>
        </is>
      </c>
      <c r="E423" s="37" t="inlineStr">
        <is>
          <t>TENTACOOL</t>
        </is>
      </c>
      <c r="F423" s="38" t="n">
        <v>0.3</v>
      </c>
      <c r="G423" s="39" t="n">
        <v>41</v>
      </c>
      <c r="H423" s="39" t="n">
        <v>43</v>
      </c>
      <c r="I423" s="29">
        <f>IF(OR(COUNTIF('Suivi des rencontres'!$A:$A,$A423)&gt;0,COUNTIF('Suivi des rencontres'!$C:$C,$J423)&gt;0),"Non","Oui")</f>
        <v/>
      </c>
      <c r="J423" s="30" t="inlineStr">
        <is>
          <t>TENTACOOL</t>
        </is>
      </c>
    </row>
    <row r="424">
      <c r="A424" s="35" t="inlineStr">
        <is>
          <t>Chenal 21</t>
        </is>
      </c>
      <c r="B424" s="35" t="inlineStr">
        <is>
          <t>Route21_hns</t>
        </is>
      </c>
      <c r="C424" s="62" t="inlineStr">
        <is>
          <t>Nuit</t>
        </is>
      </c>
      <c r="D424" s="54" t="inlineStr">
        <is>
          <t>Vieille Canne</t>
        </is>
      </c>
      <c r="E424" s="37" t="inlineStr">
        <is>
          <t>MAGICARPE</t>
        </is>
      </c>
      <c r="F424" s="38" t="n">
        <v>0.7</v>
      </c>
      <c r="G424" s="39" t="n">
        <v>41</v>
      </c>
      <c r="H424" s="39" t="n">
        <v>43</v>
      </c>
      <c r="I424" s="29">
        <f>IF(OR(COUNTIF('Suivi des rencontres'!$A:$A,$A424)&gt;0,COUNTIF('Suivi des rencontres'!$C:$C,$J424)&gt;0),"Non","Oui")</f>
        <v/>
      </c>
      <c r="J424" s="30" t="inlineStr">
        <is>
          <t>MAGICARPE</t>
        </is>
      </c>
    </row>
    <row r="425">
      <c r="A425" s="35" t="inlineStr">
        <is>
          <t>Chenal 21</t>
        </is>
      </c>
      <c r="B425" s="35" t="inlineStr">
        <is>
          <t>Route21_hns</t>
        </is>
      </c>
      <c r="C425" s="62" t="inlineStr">
        <is>
          <t>Nuit</t>
        </is>
      </c>
      <c r="D425" s="54" t="inlineStr">
        <is>
          <t>Vieille Canne</t>
        </is>
      </c>
      <c r="E425" s="37" t="inlineStr">
        <is>
          <t>TENTACOOL</t>
        </is>
      </c>
      <c r="F425" s="38" t="n">
        <v>0.3</v>
      </c>
      <c r="G425" s="39" t="n">
        <v>41</v>
      </c>
      <c r="H425" s="39" t="n">
        <v>43</v>
      </c>
      <c r="I425" s="29">
        <f>IF(OR(COUNTIF('Suivi des rencontres'!$A:$A,$A425)&gt;0,COUNTIF('Suivi des rencontres'!$C:$C,$J425)&gt;0),"Non","Oui")</f>
        <v/>
      </c>
      <c r="J425" s="30" t="inlineStr">
        <is>
          <t>TENTACOOL</t>
        </is>
      </c>
    </row>
    <row r="426">
      <c r="A426" s="35" t="inlineStr">
        <is>
          <t>Chenal 21</t>
        </is>
      </c>
      <c r="B426" s="35" t="inlineStr">
        <is>
          <t>Route21_hns</t>
        </is>
      </c>
      <c r="C426" s="33" t="inlineStr">
        <is>
          <t>Matin, jour, soir</t>
        </is>
      </c>
      <c r="D426" s="55" t="inlineStr">
        <is>
          <t>Bonne Canne</t>
        </is>
      </c>
      <c r="E426" s="37" t="inlineStr">
        <is>
          <t>MAGICARPE</t>
        </is>
      </c>
      <c r="F426" s="38" t="n">
        <v>0.6</v>
      </c>
      <c r="G426" s="39" t="n">
        <v>42</v>
      </c>
      <c r="H426" s="39" t="n">
        <v>44</v>
      </c>
      <c r="I426" s="29">
        <f>IF(OR(COUNTIF('Suivi des rencontres'!$A:$A,$A426)&gt;0,COUNTIF('Suivi des rencontres'!$C:$C,$J426)&gt;0),"Non","Oui")</f>
        <v/>
      </c>
      <c r="J426" s="30" t="inlineStr">
        <is>
          <t>MAGICARPE</t>
        </is>
      </c>
    </row>
    <row r="427">
      <c r="A427" s="35" t="inlineStr">
        <is>
          <t>Chenal 21</t>
        </is>
      </c>
      <c r="B427" s="35" t="inlineStr">
        <is>
          <t>Route21_hns</t>
        </is>
      </c>
      <c r="C427" s="33" t="inlineStr">
        <is>
          <t>Matin, jour, soir</t>
        </is>
      </c>
      <c r="D427" s="55" t="inlineStr">
        <is>
          <t>Bonne Canne</t>
        </is>
      </c>
      <c r="E427" s="37" t="inlineStr">
        <is>
          <t>ECRAPINCE</t>
        </is>
      </c>
      <c r="F427" s="38" t="n">
        <v>0.2</v>
      </c>
      <c r="G427" s="39" t="n">
        <v>42</v>
      </c>
      <c r="H427" s="39" t="n">
        <v>44</v>
      </c>
      <c r="I427" s="29">
        <f>IF(OR(COUNTIF('Suivi des rencontres'!$A:$A,$A427)&gt;0,COUNTIF('Suivi des rencontres'!$C:$C,$J427)&gt;0),"Non","Oui")</f>
        <v/>
      </c>
      <c r="J427" s="30" t="inlineStr">
        <is>
          <t>ECRAPINCE</t>
        </is>
      </c>
    </row>
    <row r="428">
      <c r="A428" s="35" t="inlineStr">
        <is>
          <t>Chenal 21</t>
        </is>
      </c>
      <c r="B428" s="35" t="inlineStr">
        <is>
          <t>Route21_hns</t>
        </is>
      </c>
      <c r="C428" s="33" t="inlineStr">
        <is>
          <t>Matin, jour, soir</t>
        </is>
      </c>
      <c r="D428" s="55" t="inlineStr">
        <is>
          <t>Bonne Canne</t>
        </is>
      </c>
      <c r="E428" s="37" t="inlineStr">
        <is>
          <t>TENTACOOL</t>
        </is>
      </c>
      <c r="F428" s="38" t="n">
        <v>0.2</v>
      </c>
      <c r="G428" s="39" t="n">
        <v>42</v>
      </c>
      <c r="H428" s="39" t="n">
        <v>44</v>
      </c>
      <c r="I428" s="29">
        <f>IF(OR(COUNTIF('Suivi des rencontres'!$A:$A,$A428)&gt;0,COUNTIF('Suivi des rencontres'!$C:$C,$J428)&gt;0),"Non","Oui")</f>
        <v/>
      </c>
      <c r="J428" s="30" t="inlineStr">
        <is>
          <t>TENTACOOL</t>
        </is>
      </c>
    </row>
    <row r="429">
      <c r="A429" s="35" t="inlineStr">
        <is>
          <t>Chenal 21</t>
        </is>
      </c>
      <c r="B429" s="35" t="inlineStr">
        <is>
          <t>Route21_hns</t>
        </is>
      </c>
      <c r="C429" s="62" t="inlineStr">
        <is>
          <t>Nuit</t>
        </is>
      </c>
      <c r="D429" s="55" t="inlineStr">
        <is>
          <t>Bonne Canne</t>
        </is>
      </c>
      <c r="E429" s="37" t="inlineStr">
        <is>
          <t>MAGICARPE</t>
        </is>
      </c>
      <c r="F429" s="38" t="n">
        <v>0.6</v>
      </c>
      <c r="G429" s="39" t="n">
        <v>42</v>
      </c>
      <c r="H429" s="39" t="n">
        <v>44</v>
      </c>
      <c r="I429" s="29">
        <f>IF(OR(COUNTIF('Suivi des rencontres'!$A:$A,$A429)&gt;0,COUNTIF('Suivi des rencontres'!$C:$C,$J429)&gt;0),"Non","Oui")</f>
        <v/>
      </c>
      <c r="J429" s="30" t="inlineStr">
        <is>
          <t>MAGICARPE</t>
        </is>
      </c>
    </row>
    <row r="430">
      <c r="A430" s="35" t="inlineStr">
        <is>
          <t>Chenal 21</t>
        </is>
      </c>
      <c r="B430" s="35" t="inlineStr">
        <is>
          <t>Route21_hns</t>
        </is>
      </c>
      <c r="C430" s="62" t="inlineStr">
        <is>
          <t>Nuit</t>
        </is>
      </c>
      <c r="D430" s="55" t="inlineStr">
        <is>
          <t>Bonne Canne</t>
        </is>
      </c>
      <c r="E430" s="37" t="inlineStr">
        <is>
          <t>ECRAPINCE</t>
        </is>
      </c>
      <c r="F430" s="38" t="n">
        <v>0.2</v>
      </c>
      <c r="G430" s="39" t="n">
        <v>42</v>
      </c>
      <c r="H430" s="39" t="n">
        <v>44</v>
      </c>
      <c r="I430" s="29">
        <f>IF(OR(COUNTIF('Suivi des rencontres'!$A:$A,$A430)&gt;0,COUNTIF('Suivi des rencontres'!$C:$C,$J430)&gt;0),"Non","Oui")</f>
        <v/>
      </c>
      <c r="J430" s="30" t="inlineStr">
        <is>
          <t>ECRAPINCE</t>
        </is>
      </c>
    </row>
    <row r="431">
      <c r="A431" s="35" t="inlineStr">
        <is>
          <t>Chenal 21</t>
        </is>
      </c>
      <c r="B431" s="35" t="inlineStr">
        <is>
          <t>Route21_hns</t>
        </is>
      </c>
      <c r="C431" s="62" t="inlineStr">
        <is>
          <t>Nuit</t>
        </is>
      </c>
      <c r="D431" s="55" t="inlineStr">
        <is>
          <t>Bonne Canne</t>
        </is>
      </c>
      <c r="E431" s="37" t="inlineStr">
        <is>
          <t>TENTACOOL</t>
        </is>
      </c>
      <c r="F431" s="38" t="n">
        <v>0.2</v>
      </c>
      <c r="G431" s="39" t="n">
        <v>42</v>
      </c>
      <c r="H431" s="39" t="n">
        <v>44</v>
      </c>
      <c r="I431" s="29">
        <f>IF(OR(COUNTIF('Suivi des rencontres'!$A:$A,$A431)&gt;0,COUNTIF('Suivi des rencontres'!$C:$C,$J431)&gt;0),"Non","Oui")</f>
        <v/>
      </c>
      <c r="J431" s="30" t="inlineStr">
        <is>
          <t>TENTACOOL</t>
        </is>
      </c>
    </row>
    <row r="432">
      <c r="A432" s="35" t="inlineStr">
        <is>
          <t>Chenal 21</t>
        </is>
      </c>
      <c r="B432" s="35" t="inlineStr">
        <is>
          <t>Route21_hns</t>
        </is>
      </c>
      <c r="C432" s="33" t="inlineStr">
        <is>
          <t>Matin, jour, soir</t>
        </is>
      </c>
      <c r="D432" s="56" t="inlineStr">
        <is>
          <t>Super Canne</t>
        </is>
      </c>
      <c r="E432" s="37" t="inlineStr">
        <is>
          <t>MARAISTE</t>
        </is>
      </c>
      <c r="F432" s="38" t="n">
        <v>0.8</v>
      </c>
      <c r="G432" s="39" t="n">
        <v>40</v>
      </c>
      <c r="H432" s="39" t="n">
        <v>44</v>
      </c>
      <c r="I432" s="29">
        <f>IF(OR(COUNTIF('Suivi des rencontres'!$A:$A,$A432)&gt;0,COUNTIF('Suivi des rencontres'!$C:$C,$J432)&gt;0),"Non","Oui")</f>
        <v/>
      </c>
      <c r="J432" s="30" t="inlineStr">
        <is>
          <t>AXOLOTO</t>
        </is>
      </c>
    </row>
    <row r="433">
      <c r="A433" s="35" t="inlineStr">
        <is>
          <t>Chenal 21</t>
        </is>
      </c>
      <c r="B433" s="35" t="inlineStr">
        <is>
          <t>Route21_hns</t>
        </is>
      </c>
      <c r="C433" s="33" t="inlineStr">
        <is>
          <t>Matin, jour, soir</t>
        </is>
      </c>
      <c r="D433" s="56" t="inlineStr">
        <is>
          <t>Super Canne</t>
        </is>
      </c>
      <c r="E433" s="37" t="inlineStr">
        <is>
          <t>ECRAPINCE</t>
        </is>
      </c>
      <c r="F433" s="38" t="n">
        <v>0.2</v>
      </c>
      <c r="G433" s="39" t="n">
        <v>40</v>
      </c>
      <c r="H433" s="39" t="n">
        <v>40</v>
      </c>
      <c r="I433" s="29">
        <f>IF(OR(COUNTIF('Suivi des rencontres'!$A:$A,$A433)&gt;0,COUNTIF('Suivi des rencontres'!$C:$C,$J433)&gt;0),"Non","Oui")</f>
        <v/>
      </c>
      <c r="J433" s="30" t="inlineStr">
        <is>
          <t>ECRAPINCE</t>
        </is>
      </c>
    </row>
    <row r="434">
      <c r="A434" s="35" t="inlineStr">
        <is>
          <t>Chenal 21</t>
        </is>
      </c>
      <c r="B434" s="35" t="inlineStr">
        <is>
          <t>Route21_hns</t>
        </is>
      </c>
      <c r="C434" s="62" t="inlineStr">
        <is>
          <t>Nuit</t>
        </is>
      </c>
      <c r="D434" s="56" t="inlineStr">
        <is>
          <t>Super Canne</t>
        </is>
      </c>
      <c r="E434" s="37" t="inlineStr">
        <is>
          <t>MARAISTE</t>
        </is>
      </c>
      <c r="F434" s="38" t="n">
        <v>0.8</v>
      </c>
      <c r="G434" s="39" t="n">
        <v>40</v>
      </c>
      <c r="H434" s="39" t="n">
        <v>44</v>
      </c>
      <c r="I434" s="29">
        <f>IF(OR(COUNTIF('Suivi des rencontres'!$A:$A,$A434)&gt;0,COUNTIF('Suivi des rencontres'!$C:$C,$J434)&gt;0),"Non","Oui")</f>
        <v/>
      </c>
      <c r="J434" s="30" t="inlineStr">
        <is>
          <t>AXOLOTO</t>
        </is>
      </c>
    </row>
    <row r="435">
      <c r="A435" s="35" t="inlineStr">
        <is>
          <t>Chenal 21</t>
        </is>
      </c>
      <c r="B435" s="35" t="inlineStr">
        <is>
          <t>Route21_hns</t>
        </is>
      </c>
      <c r="C435" s="62" t="inlineStr">
        <is>
          <t>Nuit</t>
        </is>
      </c>
      <c r="D435" s="56" t="inlineStr">
        <is>
          <t>Super Canne</t>
        </is>
      </c>
      <c r="E435" s="37" t="inlineStr">
        <is>
          <t>ECRAPINCE</t>
        </is>
      </c>
      <c r="F435" s="38" t="n">
        <v>0.2</v>
      </c>
      <c r="G435" s="39" t="n">
        <v>40</v>
      </c>
      <c r="H435" s="39" t="n">
        <v>40</v>
      </c>
      <c r="I435" s="29">
        <f>IF(OR(COUNTIF('Suivi des rencontres'!$A:$A,$A435)&gt;0,COUNTIF('Suivi des rencontres'!$C:$C,$J435)&gt;0),"Non","Oui")</f>
        <v/>
      </c>
      <c r="J435" s="30" t="inlineStr">
        <is>
          <t>ECRAPINCE</t>
        </is>
      </c>
    </row>
    <row r="436">
      <c r="A436" s="40" t="inlineStr">
        <is>
          <t>Chenal 40</t>
        </is>
      </c>
      <c r="B436" s="40" t="inlineStr">
        <is>
          <t>Route40_hns</t>
        </is>
      </c>
      <c r="C436" s="41" t="inlineStr">
        <is>
          <t>Toute la journée</t>
        </is>
      </c>
      <c r="D436" s="63" t="inlineStr">
        <is>
          <t>Surf</t>
        </is>
      </c>
      <c r="E436" s="43" t="inlineStr">
        <is>
          <t>TENTACOOL</t>
        </is>
      </c>
      <c r="F436" s="44" t="n">
        <v>0.64</v>
      </c>
      <c r="G436" s="45" t="n">
        <v>20</v>
      </c>
      <c r="H436" s="45" t="n">
        <v>24</v>
      </c>
      <c r="I436" s="46">
        <f>IF(OR(COUNTIF('Suivi des rencontres'!$A:$A,$A436)&gt;0,COUNTIF('Suivi des rencontres'!$C:$C,$J436)&gt;0),"Non","Oui")</f>
        <v/>
      </c>
      <c r="J436" s="30" t="inlineStr">
        <is>
          <t>TENTACOOL</t>
        </is>
      </c>
    </row>
    <row r="437">
      <c r="A437" s="47" t="inlineStr">
        <is>
          <t>Chenal 40</t>
        </is>
      </c>
      <c r="B437" s="47" t="inlineStr">
        <is>
          <t>Route40_hns</t>
        </is>
      </c>
      <c r="C437" s="48" t="inlineStr">
        <is>
          <t>Toute la journée</t>
        </is>
      </c>
      <c r="D437" s="53" t="inlineStr">
        <is>
          <t>Surf</t>
        </is>
      </c>
      <c r="E437" s="50" t="inlineStr">
        <is>
          <t>KOKIYAS</t>
        </is>
      </c>
      <c r="F437" s="51" t="n">
        <v>0.31</v>
      </c>
      <c r="G437" s="52" t="n">
        <v>21</v>
      </c>
      <c r="H437" s="52" t="n">
        <v>25</v>
      </c>
      <c r="I437" s="29">
        <f>IF(OR(COUNTIF('Suivi des rencontres'!$A:$A,$A437)&gt;0,COUNTIF('Suivi des rencontres'!$C:$C,$J437)&gt;0),"Non","Oui")</f>
        <v/>
      </c>
      <c r="J437" s="30" t="inlineStr">
        <is>
          <t>KOKIYAS</t>
        </is>
      </c>
    </row>
    <row r="438">
      <c r="A438" s="47" t="inlineStr">
        <is>
          <t>Chenal 40</t>
        </is>
      </c>
      <c r="B438" s="47" t="inlineStr">
        <is>
          <t>Route40_hns</t>
        </is>
      </c>
      <c r="C438" s="48" t="inlineStr">
        <is>
          <t>Toute la journée</t>
        </is>
      </c>
      <c r="D438" s="53" t="inlineStr">
        <is>
          <t>Surf</t>
        </is>
      </c>
      <c r="E438" s="50" t="inlineStr">
        <is>
          <t>TENTACRUEL</t>
        </is>
      </c>
      <c r="F438" s="51" t="n">
        <v>0.05</v>
      </c>
      <c r="G438" s="52" t="n">
        <v>22</v>
      </c>
      <c r="H438" s="52" t="n">
        <v>26</v>
      </c>
      <c r="I438" s="29">
        <f>IF(OR(COUNTIF('Suivi des rencontres'!$A:$A,$A438)&gt;0,COUNTIF('Suivi des rencontres'!$C:$C,$J438)&gt;0),"Non","Oui")</f>
        <v/>
      </c>
      <c r="J438" s="30" t="inlineStr">
        <is>
          <t>TENTACOOL</t>
        </is>
      </c>
    </row>
    <row r="439">
      <c r="A439" s="47" t="inlineStr">
        <is>
          <t>Chenal 40</t>
        </is>
      </c>
      <c r="B439" s="47" t="inlineStr">
        <is>
          <t>Route40_hns</t>
        </is>
      </c>
      <c r="C439" s="48" t="inlineStr">
        <is>
          <t>Toute la journée</t>
        </is>
      </c>
      <c r="D439" s="54" t="inlineStr">
        <is>
          <t>Vieille Canne</t>
        </is>
      </c>
      <c r="E439" s="50" t="inlineStr">
        <is>
          <t>MAGICARPE</t>
        </is>
      </c>
      <c r="F439" s="51" t="n">
        <v>0.7</v>
      </c>
      <c r="G439" s="52" t="n">
        <v>10</v>
      </c>
      <c r="H439" s="52" t="n">
        <v>10</v>
      </c>
      <c r="I439" s="29">
        <f>IF(OR(COUNTIF('Suivi des rencontres'!$A:$A,$A439)&gt;0,COUNTIF('Suivi des rencontres'!$C:$C,$J439)&gt;0),"Non","Oui")</f>
        <v/>
      </c>
      <c r="J439" s="30" t="inlineStr">
        <is>
          <t>MAGICARPE</t>
        </is>
      </c>
    </row>
    <row r="440">
      <c r="A440" s="47" t="inlineStr">
        <is>
          <t>Chenal 40</t>
        </is>
      </c>
      <c r="B440" s="47" t="inlineStr">
        <is>
          <t>Route40_hns</t>
        </is>
      </c>
      <c r="C440" s="48" t="inlineStr">
        <is>
          <t>Toute la journée</t>
        </is>
      </c>
      <c r="D440" s="54" t="inlineStr">
        <is>
          <t>Vieille Canne</t>
        </is>
      </c>
      <c r="E440" s="50" t="inlineStr">
        <is>
          <t>KRABBY</t>
        </is>
      </c>
      <c r="F440" s="51" t="n">
        <v>0.3</v>
      </c>
      <c r="G440" s="52" t="n">
        <v>10</v>
      </c>
      <c r="H440" s="52" t="n">
        <v>10</v>
      </c>
      <c r="I440" s="29">
        <f>IF(OR(COUNTIF('Suivi des rencontres'!$A:$A,$A440)&gt;0,COUNTIF('Suivi des rencontres'!$C:$C,$J440)&gt;0),"Non","Oui")</f>
        <v/>
      </c>
      <c r="J440" s="30" t="inlineStr">
        <is>
          <t>KRABBY</t>
        </is>
      </c>
    </row>
    <row r="441">
      <c r="A441" s="47" t="inlineStr">
        <is>
          <t>Chenal 40</t>
        </is>
      </c>
      <c r="B441" s="47" t="inlineStr">
        <is>
          <t>Route40_hns</t>
        </is>
      </c>
      <c r="C441" s="48" t="inlineStr">
        <is>
          <t>Toute la journée</t>
        </is>
      </c>
      <c r="D441" s="55" t="inlineStr">
        <is>
          <t>Bonne Canne</t>
        </is>
      </c>
      <c r="E441" s="50" t="inlineStr">
        <is>
          <t>KRABBY</t>
        </is>
      </c>
      <c r="F441" s="51" t="n">
        <v>0.6</v>
      </c>
      <c r="G441" s="52" t="n">
        <v>20</v>
      </c>
      <c r="H441" s="52" t="n">
        <v>20</v>
      </c>
      <c r="I441" s="29">
        <f>IF(OR(COUNTIF('Suivi des rencontres'!$A:$A,$A441)&gt;0,COUNTIF('Suivi des rencontres'!$C:$C,$J441)&gt;0),"Non","Oui")</f>
        <v/>
      </c>
      <c r="J441" s="30" t="inlineStr">
        <is>
          <t>KRABBY</t>
        </is>
      </c>
    </row>
    <row r="442">
      <c r="A442" s="47" t="inlineStr">
        <is>
          <t>Chenal 40</t>
        </is>
      </c>
      <c r="B442" s="47" t="inlineStr">
        <is>
          <t>Route40_hns</t>
        </is>
      </c>
      <c r="C442" s="48" t="inlineStr">
        <is>
          <t>Toute la journée</t>
        </is>
      </c>
      <c r="D442" s="55" t="inlineStr">
        <is>
          <t>Bonne Canne</t>
        </is>
      </c>
      <c r="E442" s="50" t="inlineStr">
        <is>
          <t>CORAYON</t>
        </is>
      </c>
      <c r="F442" s="51" t="n">
        <v>0.2</v>
      </c>
      <c r="G442" s="52" t="n">
        <v>20</v>
      </c>
      <c r="H442" s="52" t="n">
        <v>20</v>
      </c>
      <c r="I442" s="29">
        <f>IF(OR(COUNTIF('Suivi des rencontres'!$A:$A,$A442)&gt;0,COUNTIF('Suivi des rencontres'!$C:$C,$J442)&gt;0),"Non","Oui")</f>
        <v/>
      </c>
      <c r="J442" s="30" t="inlineStr">
        <is>
          <t>CORAYON</t>
        </is>
      </c>
    </row>
    <row r="443">
      <c r="A443" s="47" t="inlineStr">
        <is>
          <t>Chenal 40</t>
        </is>
      </c>
      <c r="B443" s="47" t="inlineStr">
        <is>
          <t>Route40_hns</t>
        </is>
      </c>
      <c r="C443" s="48" t="inlineStr">
        <is>
          <t>Toute la journée</t>
        </is>
      </c>
      <c r="D443" s="55" t="inlineStr">
        <is>
          <t>Bonne Canne</t>
        </is>
      </c>
      <c r="E443" s="50" t="inlineStr">
        <is>
          <t>MAGICARPE</t>
        </is>
      </c>
      <c r="F443" s="51" t="n">
        <v>0.2</v>
      </c>
      <c r="G443" s="52" t="n">
        <v>20</v>
      </c>
      <c r="H443" s="52" t="n">
        <v>20</v>
      </c>
      <c r="I443" s="29">
        <f>IF(OR(COUNTIF('Suivi des rencontres'!$A:$A,$A443)&gt;0,COUNTIF('Suivi des rencontres'!$C:$C,$J443)&gt;0),"Non","Oui")</f>
        <v/>
      </c>
      <c r="J443" s="30" t="inlineStr">
        <is>
          <t>MAGICARPE</t>
        </is>
      </c>
    </row>
    <row r="444">
      <c r="A444" s="47" t="inlineStr">
        <is>
          <t>Chenal 40</t>
        </is>
      </c>
      <c r="B444" s="47" t="inlineStr">
        <is>
          <t>Route40_hns</t>
        </is>
      </c>
      <c r="C444" s="48" t="inlineStr">
        <is>
          <t>Toute la journée</t>
        </is>
      </c>
      <c r="D444" s="56" t="inlineStr">
        <is>
          <t>Super Canne</t>
        </is>
      </c>
      <c r="E444" s="50" t="inlineStr">
        <is>
          <t>STARI</t>
        </is>
      </c>
      <c r="F444" s="51" t="n">
        <v>0.44</v>
      </c>
      <c r="G444" s="52" t="n">
        <v>20</v>
      </c>
      <c r="H444" s="52" t="n">
        <v>40</v>
      </c>
      <c r="I444" s="29">
        <f>IF(OR(COUNTIF('Suivi des rencontres'!$A:$A,$A444)&gt;0,COUNTIF('Suivi des rencontres'!$C:$C,$J444)&gt;0),"Non","Oui")</f>
        <v/>
      </c>
      <c r="J444" s="30" t="inlineStr">
        <is>
          <t>STARI</t>
        </is>
      </c>
    </row>
    <row r="445">
      <c r="A445" s="47" t="inlineStr">
        <is>
          <t>Chenal 40</t>
        </is>
      </c>
      <c r="B445" s="47" t="inlineStr">
        <is>
          <t>Route40_hns</t>
        </is>
      </c>
      <c r="C445" s="48" t="inlineStr">
        <is>
          <t>Toute la journée</t>
        </is>
      </c>
      <c r="D445" s="56" t="inlineStr">
        <is>
          <t>Super Canne</t>
        </is>
      </c>
      <c r="E445" s="50" t="inlineStr">
        <is>
          <t>KRABBY</t>
        </is>
      </c>
      <c r="F445" s="51" t="n">
        <v>0.4</v>
      </c>
      <c r="G445" s="52" t="n">
        <v>40</v>
      </c>
      <c r="H445" s="52" t="n">
        <v>40</v>
      </c>
      <c r="I445" s="29">
        <f>IF(OR(COUNTIF('Suivi des rencontres'!$A:$A,$A445)&gt;0,COUNTIF('Suivi des rencontres'!$C:$C,$J445)&gt;0),"Non","Oui")</f>
        <v/>
      </c>
      <c r="J445" s="30" t="inlineStr">
        <is>
          <t>KRABBY</t>
        </is>
      </c>
    </row>
    <row r="446">
      <c r="A446" s="47" t="inlineStr">
        <is>
          <t>Chenal 40</t>
        </is>
      </c>
      <c r="B446" s="47" t="inlineStr">
        <is>
          <t>Route40_hns</t>
        </is>
      </c>
      <c r="C446" s="48" t="inlineStr">
        <is>
          <t>Toute la journée</t>
        </is>
      </c>
      <c r="D446" s="56" t="inlineStr">
        <is>
          <t>Super Canne</t>
        </is>
      </c>
      <c r="E446" s="50" t="inlineStr">
        <is>
          <t>CORAYON</t>
        </is>
      </c>
      <c r="F446" s="51" t="n">
        <v>0.15</v>
      </c>
      <c r="G446" s="52" t="n">
        <v>40</v>
      </c>
      <c r="H446" s="52" t="n">
        <v>40</v>
      </c>
      <c r="I446" s="29">
        <f>IF(OR(COUNTIF('Suivi des rencontres'!$A:$A,$A446)&gt;0,COUNTIF('Suivi des rencontres'!$C:$C,$J446)&gt;0),"Non","Oui")</f>
        <v/>
      </c>
      <c r="J446" s="30" t="inlineStr">
        <is>
          <t>CORAYON</t>
        </is>
      </c>
    </row>
    <row r="447">
      <c r="A447" s="47" t="inlineStr">
        <is>
          <t>Chenal 40</t>
        </is>
      </c>
      <c r="B447" s="47" t="inlineStr">
        <is>
          <t>Route40_hns</t>
        </is>
      </c>
      <c r="C447" s="48" t="inlineStr">
        <is>
          <t>Toute la journée</t>
        </is>
      </c>
      <c r="D447" s="56" t="inlineStr">
        <is>
          <t>Super Canne</t>
        </is>
      </c>
      <c r="E447" s="50" t="inlineStr">
        <is>
          <t>KRABBOSS</t>
        </is>
      </c>
      <c r="F447" s="51" t="n">
        <v>0.01</v>
      </c>
      <c r="G447" s="52" t="n">
        <v>40</v>
      </c>
      <c r="H447" s="52" t="n">
        <v>40</v>
      </c>
      <c r="I447" s="29">
        <f>IF(OR(COUNTIF('Suivi des rencontres'!$A:$A,$A447)&gt;0,COUNTIF('Suivi des rencontres'!$C:$C,$J447)&gt;0),"Non","Oui")</f>
        <v/>
      </c>
      <c r="J447" s="30" t="inlineStr">
        <is>
          <t>KRABBY</t>
        </is>
      </c>
    </row>
    <row r="448">
      <c r="A448" s="57" t="inlineStr">
        <is>
          <t>Chenal 41</t>
        </is>
      </c>
      <c r="B448" s="57" t="inlineStr">
        <is>
          <t>Route41_hns</t>
        </is>
      </c>
      <c r="C448" s="58" t="inlineStr">
        <is>
          <t>Toute la journée</t>
        </is>
      </c>
      <c r="D448" s="63" t="inlineStr">
        <is>
          <t>Surf</t>
        </is>
      </c>
      <c r="E448" s="59" t="inlineStr">
        <is>
          <t>TENTACOOL</t>
        </is>
      </c>
      <c r="F448" s="60" t="n">
        <v>0.64</v>
      </c>
      <c r="G448" s="61" t="n">
        <v>20</v>
      </c>
      <c r="H448" s="61" t="n">
        <v>24</v>
      </c>
      <c r="I448" s="46">
        <f>IF(OR(COUNTIF('Suivi des rencontres'!$A:$A,$A448)&gt;0,COUNTIF('Suivi des rencontres'!$C:$C,$J448)&gt;0),"Non","Oui")</f>
        <v/>
      </c>
      <c r="J448" s="30" t="inlineStr">
        <is>
          <t>TENTACOOL</t>
        </is>
      </c>
    </row>
    <row r="449">
      <c r="A449" s="35" t="inlineStr">
        <is>
          <t>Chenal 41</t>
        </is>
      </c>
      <c r="B449" s="35" t="inlineStr">
        <is>
          <t>Route41_hns</t>
        </is>
      </c>
      <c r="C449" s="33" t="inlineStr">
        <is>
          <t>Toute la journée</t>
        </is>
      </c>
      <c r="D449" s="53" t="inlineStr">
        <is>
          <t>Surf</t>
        </is>
      </c>
      <c r="E449" s="37" t="inlineStr">
        <is>
          <t>HYPOTREMPE</t>
        </is>
      </c>
      <c r="F449" s="38" t="n">
        <v>0.31</v>
      </c>
      <c r="G449" s="39" t="n">
        <v>21</v>
      </c>
      <c r="H449" s="39" t="n">
        <v>25</v>
      </c>
      <c r="I449" s="29">
        <f>IF(OR(COUNTIF('Suivi des rencontres'!$A:$A,$A449)&gt;0,COUNTIF('Suivi des rencontres'!$C:$C,$J449)&gt;0),"Non","Oui")</f>
        <v/>
      </c>
      <c r="J449" s="30" t="inlineStr">
        <is>
          <t>HYPOTREMPE</t>
        </is>
      </c>
    </row>
    <row r="450">
      <c r="A450" s="35" t="inlineStr">
        <is>
          <t>Chenal 41</t>
        </is>
      </c>
      <c r="B450" s="35" t="inlineStr">
        <is>
          <t>Route41_hns</t>
        </is>
      </c>
      <c r="C450" s="33" t="inlineStr">
        <is>
          <t>Toute la journée</t>
        </is>
      </c>
      <c r="D450" s="53" t="inlineStr">
        <is>
          <t>Surf</t>
        </is>
      </c>
      <c r="E450" s="37" t="inlineStr">
        <is>
          <t>DEMANTA</t>
        </is>
      </c>
      <c r="F450" s="38" t="n">
        <v>0.05</v>
      </c>
      <c r="G450" s="39" t="n">
        <v>22</v>
      </c>
      <c r="H450" s="39" t="n">
        <v>26</v>
      </c>
      <c r="I450" s="29">
        <f>IF(OR(COUNTIF('Suivi des rencontres'!$A:$A,$A450)&gt;0,COUNTIF('Suivi des rencontres'!$C:$C,$J450)&gt;0),"Non","Oui")</f>
        <v/>
      </c>
      <c r="J450" s="30" t="inlineStr">
        <is>
          <t>BABIMANTA</t>
        </is>
      </c>
    </row>
    <row r="451">
      <c r="A451" s="35" t="inlineStr">
        <is>
          <t>Chenal 41</t>
        </is>
      </c>
      <c r="B451" s="35" t="inlineStr">
        <is>
          <t>Route41_hns</t>
        </is>
      </c>
      <c r="C451" s="33" t="inlineStr">
        <is>
          <t>Toute la journée</t>
        </is>
      </c>
      <c r="D451" s="54" t="inlineStr">
        <is>
          <t>Vieille Canne</t>
        </is>
      </c>
      <c r="E451" s="37" t="inlineStr">
        <is>
          <t>MAGICARPE</t>
        </is>
      </c>
      <c r="F451" s="38" t="n">
        <v>0.7</v>
      </c>
      <c r="G451" s="39" t="n">
        <v>10</v>
      </c>
      <c r="H451" s="39" t="n">
        <v>10</v>
      </c>
      <c r="I451" s="29">
        <f>IF(OR(COUNTIF('Suivi des rencontres'!$A:$A,$A451)&gt;0,COUNTIF('Suivi des rencontres'!$C:$C,$J451)&gt;0),"Non","Oui")</f>
        <v/>
      </c>
      <c r="J451" s="30" t="inlineStr">
        <is>
          <t>MAGICARPE</t>
        </is>
      </c>
    </row>
    <row r="452">
      <c r="A452" s="35" t="inlineStr">
        <is>
          <t>Chenal 41</t>
        </is>
      </c>
      <c r="B452" s="35" t="inlineStr">
        <is>
          <t>Route41_hns</t>
        </is>
      </c>
      <c r="C452" s="33" t="inlineStr">
        <is>
          <t>Toute la journée</t>
        </is>
      </c>
      <c r="D452" s="54" t="inlineStr">
        <is>
          <t>Vieille Canne</t>
        </is>
      </c>
      <c r="E452" s="37" t="inlineStr">
        <is>
          <t>KOKIYAS</t>
        </is>
      </c>
      <c r="F452" s="38" t="n">
        <v>0.3</v>
      </c>
      <c r="G452" s="39" t="n">
        <v>10</v>
      </c>
      <c r="H452" s="39" t="n">
        <v>10</v>
      </c>
      <c r="I452" s="29">
        <f>IF(OR(COUNTIF('Suivi des rencontres'!$A:$A,$A452)&gt;0,COUNTIF('Suivi des rencontres'!$C:$C,$J452)&gt;0),"Non","Oui")</f>
        <v/>
      </c>
      <c r="J452" s="30" t="inlineStr">
        <is>
          <t>KOKIYAS</t>
        </is>
      </c>
    </row>
    <row r="453">
      <c r="A453" s="35" t="inlineStr">
        <is>
          <t>Chenal 41</t>
        </is>
      </c>
      <c r="B453" s="35" t="inlineStr">
        <is>
          <t>Route41_hns</t>
        </is>
      </c>
      <c r="C453" s="33" t="inlineStr">
        <is>
          <t>Toute la journée</t>
        </is>
      </c>
      <c r="D453" s="55" t="inlineStr">
        <is>
          <t>Bonne Canne</t>
        </is>
      </c>
      <c r="E453" s="37" t="inlineStr">
        <is>
          <t>MAGICARPE</t>
        </is>
      </c>
      <c r="F453" s="38" t="n">
        <v>0.6</v>
      </c>
      <c r="G453" s="39" t="n">
        <v>20</v>
      </c>
      <c r="H453" s="39" t="n">
        <v>20</v>
      </c>
      <c r="I453" s="29">
        <f>IF(OR(COUNTIF('Suivi des rencontres'!$A:$A,$A453)&gt;0,COUNTIF('Suivi des rencontres'!$C:$C,$J453)&gt;0),"Non","Oui")</f>
        <v/>
      </c>
      <c r="J453" s="30" t="inlineStr">
        <is>
          <t>MAGICARPE</t>
        </is>
      </c>
    </row>
    <row r="454">
      <c r="A454" s="35" t="inlineStr">
        <is>
          <t>Chenal 41</t>
        </is>
      </c>
      <c r="B454" s="35" t="inlineStr">
        <is>
          <t>Route41_hns</t>
        </is>
      </c>
      <c r="C454" s="33" t="inlineStr">
        <is>
          <t>Toute la journée</t>
        </is>
      </c>
      <c r="D454" s="55" t="inlineStr">
        <is>
          <t>Bonne Canne</t>
        </is>
      </c>
      <c r="E454" s="37" t="inlineStr">
        <is>
          <t>KOKIYAS</t>
        </is>
      </c>
      <c r="F454" s="38" t="n">
        <v>0.2</v>
      </c>
      <c r="G454" s="39" t="n">
        <v>20</v>
      </c>
      <c r="H454" s="39" t="n">
        <v>20</v>
      </c>
      <c r="I454" s="29">
        <f>IF(OR(COUNTIF('Suivi des rencontres'!$A:$A,$A454)&gt;0,COUNTIF('Suivi des rencontres'!$C:$C,$J454)&gt;0),"Non","Oui")</f>
        <v/>
      </c>
      <c r="J454" s="30" t="inlineStr">
        <is>
          <t>KOKIYAS</t>
        </is>
      </c>
    </row>
    <row r="455">
      <c r="A455" s="35" t="inlineStr">
        <is>
          <t>Chenal 41</t>
        </is>
      </c>
      <c r="B455" s="35" t="inlineStr">
        <is>
          <t>Route41_hns</t>
        </is>
      </c>
      <c r="C455" s="33" t="inlineStr">
        <is>
          <t>Toute la journée</t>
        </is>
      </c>
      <c r="D455" s="55" t="inlineStr">
        <is>
          <t>Bonne Canne</t>
        </is>
      </c>
      <c r="E455" s="37" t="inlineStr">
        <is>
          <t>LOUPIO</t>
        </is>
      </c>
      <c r="F455" s="38" t="n">
        <v>0.2</v>
      </c>
      <c r="G455" s="39" t="n">
        <v>20</v>
      </c>
      <c r="H455" s="39" t="n">
        <v>20</v>
      </c>
      <c r="I455" s="29">
        <f>IF(OR(COUNTIF('Suivi des rencontres'!$A:$A,$A455)&gt;0,COUNTIF('Suivi des rencontres'!$C:$C,$J455)&gt;0),"Non","Oui")</f>
        <v/>
      </c>
      <c r="J455" s="30" t="inlineStr">
        <is>
          <t>LOUPIO</t>
        </is>
      </c>
    </row>
    <row r="456">
      <c r="A456" s="35" t="inlineStr">
        <is>
          <t>Chenal 41</t>
        </is>
      </c>
      <c r="B456" s="35" t="inlineStr">
        <is>
          <t>Route41_hns</t>
        </is>
      </c>
      <c r="C456" s="33" t="inlineStr">
        <is>
          <t>Toute la journée</t>
        </is>
      </c>
      <c r="D456" s="56" t="inlineStr">
        <is>
          <t>Super Canne</t>
        </is>
      </c>
      <c r="E456" s="37" t="inlineStr">
        <is>
          <t>KOKIYAS</t>
        </is>
      </c>
      <c r="F456" s="38" t="n">
        <v>0.4</v>
      </c>
      <c r="G456" s="39" t="n">
        <v>40</v>
      </c>
      <c r="H456" s="39" t="n">
        <v>40</v>
      </c>
      <c r="I456" s="29">
        <f>IF(OR(COUNTIF('Suivi des rencontres'!$A:$A,$A456)&gt;0,COUNTIF('Suivi des rencontres'!$C:$C,$J456)&gt;0),"Non","Oui")</f>
        <v/>
      </c>
      <c r="J456" s="30" t="inlineStr">
        <is>
          <t>KOKIYAS</t>
        </is>
      </c>
    </row>
    <row r="457">
      <c r="A457" s="35" t="inlineStr">
        <is>
          <t>Chenal 41</t>
        </is>
      </c>
      <c r="B457" s="35" t="inlineStr">
        <is>
          <t>Route41_hns</t>
        </is>
      </c>
      <c r="C457" s="33" t="inlineStr">
        <is>
          <t>Toute la journée</t>
        </is>
      </c>
      <c r="D457" s="56" t="inlineStr">
        <is>
          <t>Super Canne</t>
        </is>
      </c>
      <c r="E457" s="37" t="inlineStr">
        <is>
          <t>LOUPIO</t>
        </is>
      </c>
      <c r="F457" s="38" t="n">
        <v>0.4</v>
      </c>
      <c r="G457" s="39" t="n">
        <v>20</v>
      </c>
      <c r="H457" s="39" t="n">
        <v>20</v>
      </c>
      <c r="I457" s="29">
        <f>IF(OR(COUNTIF('Suivi des rencontres'!$A:$A,$A457)&gt;0,COUNTIF('Suivi des rencontres'!$C:$C,$J457)&gt;0),"Non","Oui")</f>
        <v/>
      </c>
      <c r="J457" s="30" t="inlineStr">
        <is>
          <t>LOUPIO</t>
        </is>
      </c>
    </row>
    <row r="458">
      <c r="A458" s="35" t="inlineStr">
        <is>
          <t>Chenal 41</t>
        </is>
      </c>
      <c r="B458" s="35" t="inlineStr">
        <is>
          <t>Route41_hns</t>
        </is>
      </c>
      <c r="C458" s="33" t="inlineStr">
        <is>
          <t>Toute la journée</t>
        </is>
      </c>
      <c r="D458" s="56" t="inlineStr">
        <is>
          <t>Super Canne</t>
        </is>
      </c>
      <c r="E458" s="37" t="inlineStr">
        <is>
          <t>LANTURN</t>
        </is>
      </c>
      <c r="F458" s="38" t="n">
        <v>0.15</v>
      </c>
      <c r="G458" s="39" t="n">
        <v>40</v>
      </c>
      <c r="H458" s="39" t="n">
        <v>40</v>
      </c>
      <c r="I458" s="29">
        <f>IF(OR(COUNTIF('Suivi des rencontres'!$A:$A,$A458)&gt;0,COUNTIF('Suivi des rencontres'!$C:$C,$J458)&gt;0),"Non","Oui")</f>
        <v/>
      </c>
      <c r="J458" s="30" t="inlineStr">
        <is>
          <t>LOUPIO</t>
        </is>
      </c>
    </row>
    <row r="459">
      <c r="A459" s="35" t="inlineStr">
        <is>
          <t>Chenal 41</t>
        </is>
      </c>
      <c r="B459" s="35" t="inlineStr">
        <is>
          <t>Route41_hns</t>
        </is>
      </c>
      <c r="C459" s="33" t="inlineStr">
        <is>
          <t>Toute la journée</t>
        </is>
      </c>
      <c r="D459" s="56" t="inlineStr">
        <is>
          <t>Super Canne</t>
        </is>
      </c>
      <c r="E459" s="37" t="inlineStr">
        <is>
          <t>TENTACRUEL</t>
        </is>
      </c>
      <c r="F459" s="38" t="n">
        <v>0.05</v>
      </c>
      <c r="G459" s="39" t="n">
        <v>40</v>
      </c>
      <c r="H459" s="39" t="n">
        <v>40</v>
      </c>
      <c r="I459" s="29">
        <f>IF(OR(COUNTIF('Suivi des rencontres'!$A:$A,$A459)&gt;0,COUNTIF('Suivi des rencontres'!$C:$C,$J459)&gt;0),"Non","Oui")</f>
        <v/>
      </c>
      <c r="J459" s="30" t="inlineStr">
        <is>
          <t>TENTACOOL</t>
        </is>
      </c>
    </row>
    <row r="460">
      <c r="A460" s="40" t="inlineStr">
        <is>
          <t>Chutes Tohjo</t>
        </is>
      </c>
      <c r="B460" s="40" t="inlineStr">
        <is>
          <t>TohjoFalls_Cavern_hns</t>
        </is>
      </c>
      <c r="C460" s="41" t="inlineStr">
        <is>
          <t>Matin, jour, soir</t>
        </is>
      </c>
      <c r="D460" s="42" t="inlineStr">
        <is>
          <t>Herbe</t>
        </is>
      </c>
      <c r="E460" s="43" t="inlineStr">
        <is>
          <t>NOSFERAPTI</t>
        </is>
      </c>
      <c r="F460" s="44" t="n">
        <v>0.3</v>
      </c>
      <c r="G460" s="45" t="n">
        <v>30</v>
      </c>
      <c r="H460" s="45" t="n">
        <v>30</v>
      </c>
      <c r="I460" s="46">
        <f>IF(OR(COUNTIF('Suivi des rencontres'!$A:$A,$A460)&gt;0,COUNTIF('Suivi des rencontres'!$C:$C,$J460)&gt;0),"Non","Oui")</f>
        <v/>
      </c>
      <c r="J460" s="30" t="inlineStr">
        <is>
          <t>NOSFERAPTI</t>
        </is>
      </c>
    </row>
    <row r="461">
      <c r="A461" s="47" t="inlineStr">
        <is>
          <t>Chutes Tohjo</t>
        </is>
      </c>
      <c r="B461" s="47" t="inlineStr">
        <is>
          <t>TohjoFalls_Cavern_hns</t>
        </is>
      </c>
      <c r="C461" s="48" t="inlineStr">
        <is>
          <t>Matin, jour, soir</t>
        </is>
      </c>
      <c r="D461" s="49" t="inlineStr">
        <is>
          <t>Herbe</t>
        </is>
      </c>
      <c r="E461" s="50" t="inlineStr">
        <is>
          <t>RATTATAC</t>
        </is>
      </c>
      <c r="F461" s="51" t="n">
        <v>0.3</v>
      </c>
      <c r="G461" s="52" t="n">
        <v>30</v>
      </c>
      <c r="H461" s="52" t="n">
        <v>30</v>
      </c>
      <c r="I461" s="29">
        <f>IF(OR(COUNTIF('Suivi des rencontres'!$A:$A,$A461)&gt;0,COUNTIF('Suivi des rencontres'!$C:$C,$J461)&gt;0),"Non","Oui")</f>
        <v/>
      </c>
      <c r="J461" s="30" t="inlineStr">
        <is>
          <t>RATTATA</t>
        </is>
      </c>
    </row>
    <row r="462">
      <c r="A462" s="47" t="inlineStr">
        <is>
          <t>Chutes Tohjo</t>
        </is>
      </c>
      <c r="B462" s="47" t="inlineStr">
        <is>
          <t>TohjoFalls_Cavern_hns</t>
        </is>
      </c>
      <c r="C462" s="48" t="inlineStr">
        <is>
          <t>Matin, jour, soir</t>
        </is>
      </c>
      <c r="D462" s="49" t="inlineStr">
        <is>
          <t>Herbe</t>
        </is>
      </c>
      <c r="E462" s="50" t="inlineStr">
        <is>
          <t>RAMOLOSS</t>
        </is>
      </c>
      <c r="F462" s="51" t="n">
        <v>0.19</v>
      </c>
      <c r="G462" s="52" t="n">
        <v>28</v>
      </c>
      <c r="H462" s="52" t="n">
        <v>30</v>
      </c>
      <c r="I462" s="29">
        <f>IF(OR(COUNTIF('Suivi des rencontres'!$A:$A,$A462)&gt;0,COUNTIF('Suivi des rencontres'!$C:$C,$J462)&gt;0),"Non","Oui")</f>
        <v/>
      </c>
      <c r="J462" s="30" t="inlineStr">
        <is>
          <t>RAMOLOSS</t>
        </is>
      </c>
    </row>
    <row r="463">
      <c r="A463" s="47" t="inlineStr">
        <is>
          <t>Chutes Tohjo</t>
        </is>
      </c>
      <c r="B463" s="47" t="inlineStr">
        <is>
          <t>TohjoFalls_Cavern_hns</t>
        </is>
      </c>
      <c r="C463" s="48" t="inlineStr">
        <is>
          <t>Matin, jour, soir</t>
        </is>
      </c>
      <c r="D463" s="49" t="inlineStr">
        <is>
          <t>Herbe</t>
        </is>
      </c>
      <c r="E463" s="50" t="inlineStr">
        <is>
          <t>NOSFERALTO</t>
        </is>
      </c>
      <c r="F463" s="51" t="n">
        <v>0.15</v>
      </c>
      <c r="G463" s="52" t="n">
        <v>30</v>
      </c>
      <c r="H463" s="52" t="n">
        <v>30</v>
      </c>
      <c r="I463" s="29">
        <f>IF(OR(COUNTIF('Suivi des rencontres'!$A:$A,$A463)&gt;0,COUNTIF('Suivi des rencontres'!$C:$C,$J463)&gt;0),"Non","Oui")</f>
        <v/>
      </c>
      <c r="J463" s="30" t="inlineStr">
        <is>
          <t>NOSFERAPTI</t>
        </is>
      </c>
    </row>
    <row r="464">
      <c r="A464" s="47" t="inlineStr">
        <is>
          <t>Chutes Tohjo</t>
        </is>
      </c>
      <c r="B464" s="47" t="inlineStr">
        <is>
          <t>TohjoFalls_Cavern_hns</t>
        </is>
      </c>
      <c r="C464" s="48" t="inlineStr">
        <is>
          <t>Matin, jour, soir</t>
        </is>
      </c>
      <c r="D464" s="49" t="inlineStr">
        <is>
          <t>Herbe</t>
        </is>
      </c>
      <c r="E464" s="50" t="inlineStr">
        <is>
          <t>RATTATA</t>
        </is>
      </c>
      <c r="F464" s="51" t="n">
        <v>0.06</v>
      </c>
      <c r="G464" s="52" t="n">
        <v>30</v>
      </c>
      <c r="H464" s="52" t="n">
        <v>30</v>
      </c>
      <c r="I464" s="29">
        <f>IF(OR(COUNTIF('Suivi des rencontres'!$A:$A,$A464)&gt;0,COUNTIF('Suivi des rencontres'!$C:$C,$J464)&gt;0),"Non","Oui")</f>
        <v/>
      </c>
      <c r="J464" s="30" t="inlineStr">
        <is>
          <t>RATTATA</t>
        </is>
      </c>
    </row>
    <row r="465">
      <c r="A465" s="47" t="inlineStr">
        <is>
          <t>Chutes Tohjo</t>
        </is>
      </c>
      <c r="B465" s="47" t="inlineStr">
        <is>
          <t>TohjoFalls_Cavern_hns</t>
        </is>
      </c>
      <c r="C465" s="62" t="inlineStr">
        <is>
          <t>Nuit</t>
        </is>
      </c>
      <c r="D465" s="49" t="inlineStr">
        <is>
          <t>Herbe</t>
        </is>
      </c>
      <c r="E465" s="50" t="inlineStr">
        <is>
          <t>NOSFERAPTI</t>
        </is>
      </c>
      <c r="F465" s="51" t="n">
        <v>0.3</v>
      </c>
      <c r="G465" s="52" t="n">
        <v>30</v>
      </c>
      <c r="H465" s="52" t="n">
        <v>30</v>
      </c>
      <c r="I465" s="29">
        <f>IF(OR(COUNTIF('Suivi des rencontres'!$A:$A,$A465)&gt;0,COUNTIF('Suivi des rencontres'!$C:$C,$J465)&gt;0),"Non","Oui")</f>
        <v/>
      </c>
      <c r="J465" s="30" t="inlineStr">
        <is>
          <t>NOSFERAPTI</t>
        </is>
      </c>
    </row>
    <row r="466">
      <c r="A466" s="47" t="inlineStr">
        <is>
          <t>Chutes Tohjo</t>
        </is>
      </c>
      <c r="B466" s="47" t="inlineStr">
        <is>
          <t>TohjoFalls_Cavern_hns</t>
        </is>
      </c>
      <c r="C466" s="62" t="inlineStr">
        <is>
          <t>Nuit</t>
        </is>
      </c>
      <c r="D466" s="49" t="inlineStr">
        <is>
          <t>Herbe</t>
        </is>
      </c>
      <c r="E466" s="50" t="inlineStr">
        <is>
          <t>RATTATAC</t>
        </is>
      </c>
      <c r="F466" s="51" t="n">
        <v>0.3</v>
      </c>
      <c r="G466" s="52" t="n">
        <v>30</v>
      </c>
      <c r="H466" s="52" t="n">
        <v>30</v>
      </c>
      <c r="I466" s="29">
        <f>IF(OR(COUNTIF('Suivi des rencontres'!$A:$A,$A466)&gt;0,COUNTIF('Suivi des rencontres'!$C:$C,$J466)&gt;0),"Non","Oui")</f>
        <v/>
      </c>
      <c r="J466" s="30" t="inlineStr">
        <is>
          <t>RATTATA</t>
        </is>
      </c>
    </row>
    <row r="467">
      <c r="A467" s="47" t="inlineStr">
        <is>
          <t>Chutes Tohjo</t>
        </is>
      </c>
      <c r="B467" s="47" t="inlineStr">
        <is>
          <t>TohjoFalls_Cavern_hns</t>
        </is>
      </c>
      <c r="C467" s="62" t="inlineStr">
        <is>
          <t>Nuit</t>
        </is>
      </c>
      <c r="D467" s="49" t="inlineStr">
        <is>
          <t>Herbe</t>
        </is>
      </c>
      <c r="E467" s="50" t="inlineStr">
        <is>
          <t>RAMOLOSS</t>
        </is>
      </c>
      <c r="F467" s="51" t="n">
        <v>0.19</v>
      </c>
      <c r="G467" s="52" t="n">
        <v>28</v>
      </c>
      <c r="H467" s="52" t="n">
        <v>30</v>
      </c>
      <c r="I467" s="29">
        <f>IF(OR(COUNTIF('Suivi des rencontres'!$A:$A,$A467)&gt;0,COUNTIF('Suivi des rencontres'!$C:$C,$J467)&gt;0),"Non","Oui")</f>
        <v/>
      </c>
      <c r="J467" s="30" t="inlineStr">
        <is>
          <t>RAMOLOSS</t>
        </is>
      </c>
    </row>
    <row r="468">
      <c r="A468" s="47" t="inlineStr">
        <is>
          <t>Chutes Tohjo</t>
        </is>
      </c>
      <c r="B468" s="47" t="inlineStr">
        <is>
          <t>TohjoFalls_Cavern_hns</t>
        </is>
      </c>
      <c r="C468" s="62" t="inlineStr">
        <is>
          <t>Nuit</t>
        </is>
      </c>
      <c r="D468" s="49" t="inlineStr">
        <is>
          <t>Herbe</t>
        </is>
      </c>
      <c r="E468" s="50" t="inlineStr">
        <is>
          <t>NOSFERALTO</t>
        </is>
      </c>
      <c r="F468" s="51" t="n">
        <v>0.15</v>
      </c>
      <c r="G468" s="52" t="n">
        <v>30</v>
      </c>
      <c r="H468" s="52" t="n">
        <v>30</v>
      </c>
      <c r="I468" s="29">
        <f>IF(OR(COUNTIF('Suivi des rencontres'!$A:$A,$A468)&gt;0,COUNTIF('Suivi des rencontres'!$C:$C,$J468)&gt;0),"Non","Oui")</f>
        <v/>
      </c>
      <c r="J468" s="30" t="inlineStr">
        <is>
          <t>NOSFERAPTI</t>
        </is>
      </c>
    </row>
    <row r="469">
      <c r="A469" s="47" t="inlineStr">
        <is>
          <t>Chutes Tohjo</t>
        </is>
      </c>
      <c r="B469" s="47" t="inlineStr">
        <is>
          <t>TohjoFalls_Cavern_hns</t>
        </is>
      </c>
      <c r="C469" s="62" t="inlineStr">
        <is>
          <t>Nuit</t>
        </is>
      </c>
      <c r="D469" s="49" t="inlineStr">
        <is>
          <t>Herbe</t>
        </is>
      </c>
      <c r="E469" s="50" t="inlineStr">
        <is>
          <t>RATTATA</t>
        </is>
      </c>
      <c r="F469" s="51" t="n">
        <v>0.06</v>
      </c>
      <c r="G469" s="52" t="n">
        <v>30</v>
      </c>
      <c r="H469" s="52" t="n">
        <v>30</v>
      </c>
      <c r="I469" s="29">
        <f>IF(OR(COUNTIF('Suivi des rencontres'!$A:$A,$A469)&gt;0,COUNTIF('Suivi des rencontres'!$C:$C,$J469)&gt;0),"Non","Oui")</f>
        <v/>
      </c>
      <c r="J469" s="30" t="inlineStr">
        <is>
          <t>RATTATA</t>
        </is>
      </c>
    </row>
    <row r="470">
      <c r="A470" s="47" t="inlineStr">
        <is>
          <t>Chutes Tohjo</t>
        </is>
      </c>
      <c r="B470" s="47" t="inlineStr">
        <is>
          <t>TohjoFalls_Cavern_hns</t>
        </is>
      </c>
      <c r="C470" s="48" t="inlineStr">
        <is>
          <t>Matin, jour, soir</t>
        </is>
      </c>
      <c r="D470" s="53" t="inlineStr">
        <is>
          <t>Surf</t>
        </is>
      </c>
      <c r="E470" s="50" t="inlineStr">
        <is>
          <t>POISSIRENE</t>
        </is>
      </c>
      <c r="F470" s="51" t="n">
        <v>0.9</v>
      </c>
      <c r="G470" s="52" t="n">
        <v>20</v>
      </c>
      <c r="H470" s="52" t="n">
        <v>24</v>
      </c>
      <c r="I470" s="29">
        <f>IF(OR(COUNTIF('Suivi des rencontres'!$A:$A,$A470)&gt;0,COUNTIF('Suivi des rencontres'!$C:$C,$J470)&gt;0),"Non","Oui")</f>
        <v/>
      </c>
      <c r="J470" s="30" t="inlineStr">
        <is>
          <t>POISSIRENE</t>
        </is>
      </c>
    </row>
    <row r="471">
      <c r="A471" s="47" t="inlineStr">
        <is>
          <t>Chutes Tohjo</t>
        </is>
      </c>
      <c r="B471" s="47" t="inlineStr">
        <is>
          <t>TohjoFalls_Cavern_hns</t>
        </is>
      </c>
      <c r="C471" s="48" t="inlineStr">
        <is>
          <t>Matin, jour, soir</t>
        </is>
      </c>
      <c r="D471" s="53" t="inlineStr">
        <is>
          <t>Surf</t>
        </is>
      </c>
      <c r="E471" s="50" t="inlineStr">
        <is>
          <t>RAMOLOSS</t>
        </is>
      </c>
      <c r="F471" s="51" t="n">
        <v>0.09</v>
      </c>
      <c r="G471" s="52" t="n">
        <v>20</v>
      </c>
      <c r="H471" s="52" t="n">
        <v>24</v>
      </c>
      <c r="I471" s="29">
        <f>IF(OR(COUNTIF('Suivi des rencontres'!$A:$A,$A471)&gt;0,COUNTIF('Suivi des rencontres'!$C:$C,$J471)&gt;0),"Non","Oui")</f>
        <v/>
      </c>
      <c r="J471" s="30" t="inlineStr">
        <is>
          <t>RAMOLOSS</t>
        </is>
      </c>
    </row>
    <row r="472">
      <c r="A472" s="47" t="inlineStr">
        <is>
          <t>Chutes Tohjo</t>
        </is>
      </c>
      <c r="B472" s="47" t="inlineStr">
        <is>
          <t>TohjoFalls_Cavern_hns</t>
        </is>
      </c>
      <c r="C472" s="48" t="inlineStr">
        <is>
          <t>Matin, jour, soir</t>
        </is>
      </c>
      <c r="D472" s="53" t="inlineStr">
        <is>
          <t>Surf</t>
        </is>
      </c>
      <c r="E472" s="50" t="inlineStr">
        <is>
          <t>POISSOROY</t>
        </is>
      </c>
      <c r="F472" s="51" t="n">
        <v>0.01</v>
      </c>
      <c r="G472" s="52" t="n">
        <v>20</v>
      </c>
      <c r="H472" s="52" t="n">
        <v>24</v>
      </c>
      <c r="I472" s="29">
        <f>IF(OR(COUNTIF('Suivi des rencontres'!$A:$A,$A472)&gt;0,COUNTIF('Suivi des rencontres'!$C:$C,$J472)&gt;0),"Non","Oui")</f>
        <v/>
      </c>
      <c r="J472" s="30" t="inlineStr">
        <is>
          <t>POISSIRENE</t>
        </is>
      </c>
    </row>
    <row r="473">
      <c r="A473" s="47" t="inlineStr">
        <is>
          <t>Chutes Tohjo</t>
        </is>
      </c>
      <c r="B473" s="47" t="inlineStr">
        <is>
          <t>TohjoFalls_Cavern_hns</t>
        </is>
      </c>
      <c r="C473" s="62" t="inlineStr">
        <is>
          <t>Nuit</t>
        </is>
      </c>
      <c r="D473" s="53" t="inlineStr">
        <is>
          <t>Surf</t>
        </is>
      </c>
      <c r="E473" s="50" t="inlineStr">
        <is>
          <t>POISSIRENE</t>
        </is>
      </c>
      <c r="F473" s="51" t="n">
        <v>0.9</v>
      </c>
      <c r="G473" s="52" t="n">
        <v>20</v>
      </c>
      <c r="H473" s="52" t="n">
        <v>24</v>
      </c>
      <c r="I473" s="29">
        <f>IF(OR(COUNTIF('Suivi des rencontres'!$A:$A,$A473)&gt;0,COUNTIF('Suivi des rencontres'!$C:$C,$J473)&gt;0),"Non","Oui")</f>
        <v/>
      </c>
      <c r="J473" s="30" t="inlineStr">
        <is>
          <t>POISSIRENE</t>
        </is>
      </c>
    </row>
    <row r="474">
      <c r="A474" s="47" t="inlineStr">
        <is>
          <t>Chutes Tohjo</t>
        </is>
      </c>
      <c r="B474" s="47" t="inlineStr">
        <is>
          <t>TohjoFalls_Cavern_hns</t>
        </is>
      </c>
      <c r="C474" s="62" t="inlineStr">
        <is>
          <t>Nuit</t>
        </is>
      </c>
      <c r="D474" s="53" t="inlineStr">
        <is>
          <t>Surf</t>
        </is>
      </c>
      <c r="E474" s="50" t="inlineStr">
        <is>
          <t>RAMOLOSS</t>
        </is>
      </c>
      <c r="F474" s="51" t="n">
        <v>0.09</v>
      </c>
      <c r="G474" s="52" t="n">
        <v>20</v>
      </c>
      <c r="H474" s="52" t="n">
        <v>24</v>
      </c>
      <c r="I474" s="29">
        <f>IF(OR(COUNTIF('Suivi des rencontres'!$A:$A,$A474)&gt;0,COUNTIF('Suivi des rencontres'!$C:$C,$J474)&gt;0),"Non","Oui")</f>
        <v/>
      </c>
      <c r="J474" s="30" t="inlineStr">
        <is>
          <t>RAMOLOSS</t>
        </is>
      </c>
    </row>
    <row r="475">
      <c r="A475" s="47" t="inlineStr">
        <is>
          <t>Chutes Tohjo</t>
        </is>
      </c>
      <c r="B475" s="47" t="inlineStr">
        <is>
          <t>TohjoFalls_Cavern_hns</t>
        </is>
      </c>
      <c r="C475" s="62" t="inlineStr">
        <is>
          <t>Nuit</t>
        </is>
      </c>
      <c r="D475" s="53" t="inlineStr">
        <is>
          <t>Surf</t>
        </is>
      </c>
      <c r="E475" s="50" t="inlineStr">
        <is>
          <t>POISSOROY</t>
        </is>
      </c>
      <c r="F475" s="51" t="n">
        <v>0.01</v>
      </c>
      <c r="G475" s="52" t="n">
        <v>20</v>
      </c>
      <c r="H475" s="52" t="n">
        <v>24</v>
      </c>
      <c r="I475" s="29">
        <f>IF(OR(COUNTIF('Suivi des rencontres'!$A:$A,$A475)&gt;0,COUNTIF('Suivi des rencontres'!$C:$C,$J475)&gt;0),"Non","Oui")</f>
        <v/>
      </c>
      <c r="J475" s="30" t="inlineStr">
        <is>
          <t>POISSIRENE</t>
        </is>
      </c>
    </row>
    <row r="476">
      <c r="A476" s="47" t="inlineStr">
        <is>
          <t>Chutes Tohjo</t>
        </is>
      </c>
      <c r="B476" s="47" t="inlineStr">
        <is>
          <t>TohjoFalls_Cavern_hns</t>
        </is>
      </c>
      <c r="C476" s="48" t="inlineStr">
        <is>
          <t>Matin, jour, soir</t>
        </is>
      </c>
      <c r="D476" s="54" t="inlineStr">
        <is>
          <t>Vieille Canne</t>
        </is>
      </c>
      <c r="E476" s="50" t="inlineStr">
        <is>
          <t>MAGICARPE</t>
        </is>
      </c>
      <c r="F476" s="51" t="n">
        <v>0.7</v>
      </c>
      <c r="G476" s="52" t="n">
        <v>10</v>
      </c>
      <c r="H476" s="52" t="n">
        <v>10</v>
      </c>
      <c r="I476" s="29">
        <f>IF(OR(COUNTIF('Suivi des rencontres'!$A:$A,$A476)&gt;0,COUNTIF('Suivi des rencontres'!$C:$C,$J476)&gt;0),"Non","Oui")</f>
        <v/>
      </c>
      <c r="J476" s="30" t="inlineStr">
        <is>
          <t>MAGICARPE</t>
        </is>
      </c>
    </row>
    <row r="477">
      <c r="A477" s="47" t="inlineStr">
        <is>
          <t>Chutes Tohjo</t>
        </is>
      </c>
      <c r="B477" s="47" t="inlineStr">
        <is>
          <t>TohjoFalls_Cavern_hns</t>
        </is>
      </c>
      <c r="C477" s="48" t="inlineStr">
        <is>
          <t>Matin, jour, soir</t>
        </is>
      </c>
      <c r="D477" s="54" t="inlineStr">
        <is>
          <t>Vieille Canne</t>
        </is>
      </c>
      <c r="E477" s="50" t="inlineStr">
        <is>
          <t>POISSIRENE</t>
        </is>
      </c>
      <c r="F477" s="51" t="n">
        <v>0.3</v>
      </c>
      <c r="G477" s="52" t="n">
        <v>10</v>
      </c>
      <c r="H477" s="52" t="n">
        <v>10</v>
      </c>
      <c r="I477" s="29">
        <f>IF(OR(COUNTIF('Suivi des rencontres'!$A:$A,$A477)&gt;0,COUNTIF('Suivi des rencontres'!$C:$C,$J477)&gt;0),"Non","Oui")</f>
        <v/>
      </c>
      <c r="J477" s="30" t="inlineStr">
        <is>
          <t>POISSIRENE</t>
        </is>
      </c>
    </row>
    <row r="478">
      <c r="A478" s="47" t="inlineStr">
        <is>
          <t>Chutes Tohjo</t>
        </is>
      </c>
      <c r="B478" s="47" t="inlineStr">
        <is>
          <t>TohjoFalls_Cavern_hns</t>
        </is>
      </c>
      <c r="C478" s="62" t="inlineStr">
        <is>
          <t>Nuit</t>
        </is>
      </c>
      <c r="D478" s="54" t="inlineStr">
        <is>
          <t>Vieille Canne</t>
        </is>
      </c>
      <c r="E478" s="50" t="inlineStr">
        <is>
          <t>MAGICARPE</t>
        </is>
      </c>
      <c r="F478" s="51" t="n">
        <v>0.7</v>
      </c>
      <c r="G478" s="52" t="n">
        <v>10</v>
      </c>
      <c r="H478" s="52" t="n">
        <v>10</v>
      </c>
      <c r="I478" s="29">
        <f>IF(OR(COUNTIF('Suivi des rencontres'!$A:$A,$A478)&gt;0,COUNTIF('Suivi des rencontres'!$C:$C,$J478)&gt;0),"Non","Oui")</f>
        <v/>
      </c>
      <c r="J478" s="30" t="inlineStr">
        <is>
          <t>MAGICARPE</t>
        </is>
      </c>
    </row>
    <row r="479">
      <c r="A479" s="47" t="inlineStr">
        <is>
          <t>Chutes Tohjo</t>
        </is>
      </c>
      <c r="B479" s="47" t="inlineStr">
        <is>
          <t>TohjoFalls_Cavern_hns</t>
        </is>
      </c>
      <c r="C479" s="62" t="inlineStr">
        <is>
          <t>Nuit</t>
        </is>
      </c>
      <c r="D479" s="54" t="inlineStr">
        <is>
          <t>Vieille Canne</t>
        </is>
      </c>
      <c r="E479" s="50" t="inlineStr">
        <is>
          <t>POISSIRENE</t>
        </is>
      </c>
      <c r="F479" s="51" t="n">
        <v>0.3</v>
      </c>
      <c r="G479" s="52" t="n">
        <v>10</v>
      </c>
      <c r="H479" s="52" t="n">
        <v>10</v>
      </c>
      <c r="I479" s="29">
        <f>IF(OR(COUNTIF('Suivi des rencontres'!$A:$A,$A479)&gt;0,COUNTIF('Suivi des rencontres'!$C:$C,$J479)&gt;0),"Non","Oui")</f>
        <v/>
      </c>
      <c r="J479" s="30" t="inlineStr">
        <is>
          <t>POISSIRENE</t>
        </is>
      </c>
    </row>
    <row r="480">
      <c r="A480" s="47" t="inlineStr">
        <is>
          <t>Chutes Tohjo</t>
        </is>
      </c>
      <c r="B480" s="47" t="inlineStr">
        <is>
          <t>TohjoFalls_Cavern_hns</t>
        </is>
      </c>
      <c r="C480" s="48" t="inlineStr">
        <is>
          <t>Matin, jour, soir</t>
        </is>
      </c>
      <c r="D480" s="55" t="inlineStr">
        <is>
          <t>Bonne Canne</t>
        </is>
      </c>
      <c r="E480" s="50" t="inlineStr">
        <is>
          <t>POISSIRENE</t>
        </is>
      </c>
      <c r="F480" s="51" t="n">
        <v>0.6</v>
      </c>
      <c r="G480" s="52" t="n">
        <v>20</v>
      </c>
      <c r="H480" s="52" t="n">
        <v>24</v>
      </c>
      <c r="I480" s="29">
        <f>IF(OR(COUNTIF('Suivi des rencontres'!$A:$A,$A480)&gt;0,COUNTIF('Suivi des rencontres'!$C:$C,$J480)&gt;0),"Non","Oui")</f>
        <v/>
      </c>
      <c r="J480" s="30" t="inlineStr">
        <is>
          <t>POISSIRENE</t>
        </is>
      </c>
    </row>
    <row r="481">
      <c r="A481" s="47" t="inlineStr">
        <is>
          <t>Chutes Tohjo</t>
        </is>
      </c>
      <c r="B481" s="47" t="inlineStr">
        <is>
          <t>TohjoFalls_Cavern_hns</t>
        </is>
      </c>
      <c r="C481" s="48" t="inlineStr">
        <is>
          <t>Matin, jour, soir</t>
        </is>
      </c>
      <c r="D481" s="55" t="inlineStr">
        <is>
          <t>Bonne Canne</t>
        </is>
      </c>
      <c r="E481" s="50" t="inlineStr">
        <is>
          <t>MAGICARPE</t>
        </is>
      </c>
      <c r="F481" s="51" t="n">
        <v>0.2</v>
      </c>
      <c r="G481" s="52" t="n">
        <v>20</v>
      </c>
      <c r="H481" s="52" t="n">
        <v>24</v>
      </c>
      <c r="I481" s="29">
        <f>IF(OR(COUNTIF('Suivi des rencontres'!$A:$A,$A481)&gt;0,COUNTIF('Suivi des rencontres'!$C:$C,$J481)&gt;0),"Non","Oui")</f>
        <v/>
      </c>
      <c r="J481" s="30" t="inlineStr">
        <is>
          <t>MAGICARPE</t>
        </is>
      </c>
    </row>
    <row r="482">
      <c r="A482" s="47" t="inlineStr">
        <is>
          <t>Chutes Tohjo</t>
        </is>
      </c>
      <c r="B482" s="47" t="inlineStr">
        <is>
          <t>TohjoFalls_Cavern_hns</t>
        </is>
      </c>
      <c r="C482" s="48" t="inlineStr">
        <is>
          <t>Matin, jour, soir</t>
        </is>
      </c>
      <c r="D482" s="55" t="inlineStr">
        <is>
          <t>Bonne Canne</t>
        </is>
      </c>
      <c r="E482" s="50" t="inlineStr">
        <is>
          <t>POISSOROY</t>
        </is>
      </c>
      <c r="F482" s="51" t="n">
        <v>0.2</v>
      </c>
      <c r="G482" s="52" t="n">
        <v>24</v>
      </c>
      <c r="H482" s="52" t="n">
        <v>24</v>
      </c>
      <c r="I482" s="29">
        <f>IF(OR(COUNTIF('Suivi des rencontres'!$A:$A,$A482)&gt;0,COUNTIF('Suivi des rencontres'!$C:$C,$J482)&gt;0),"Non","Oui")</f>
        <v/>
      </c>
      <c r="J482" s="30" t="inlineStr">
        <is>
          <t>POISSIRENE</t>
        </is>
      </c>
    </row>
    <row r="483">
      <c r="A483" s="47" t="inlineStr">
        <is>
          <t>Chutes Tohjo</t>
        </is>
      </c>
      <c r="B483" s="47" t="inlineStr">
        <is>
          <t>TohjoFalls_Cavern_hns</t>
        </is>
      </c>
      <c r="C483" s="62" t="inlineStr">
        <is>
          <t>Nuit</t>
        </is>
      </c>
      <c r="D483" s="55" t="inlineStr">
        <is>
          <t>Bonne Canne</t>
        </is>
      </c>
      <c r="E483" s="50" t="inlineStr">
        <is>
          <t>POISSIRENE</t>
        </is>
      </c>
      <c r="F483" s="51" t="n">
        <v>0.6</v>
      </c>
      <c r="G483" s="52" t="n">
        <v>20</v>
      </c>
      <c r="H483" s="52" t="n">
        <v>24</v>
      </c>
      <c r="I483" s="29">
        <f>IF(OR(COUNTIF('Suivi des rencontres'!$A:$A,$A483)&gt;0,COUNTIF('Suivi des rencontres'!$C:$C,$J483)&gt;0),"Non","Oui")</f>
        <v/>
      </c>
      <c r="J483" s="30" t="inlineStr">
        <is>
          <t>POISSIRENE</t>
        </is>
      </c>
    </row>
    <row r="484">
      <c r="A484" s="47" t="inlineStr">
        <is>
          <t>Chutes Tohjo</t>
        </is>
      </c>
      <c r="B484" s="47" t="inlineStr">
        <is>
          <t>TohjoFalls_Cavern_hns</t>
        </is>
      </c>
      <c r="C484" s="62" t="inlineStr">
        <is>
          <t>Nuit</t>
        </is>
      </c>
      <c r="D484" s="55" t="inlineStr">
        <is>
          <t>Bonne Canne</t>
        </is>
      </c>
      <c r="E484" s="50" t="inlineStr">
        <is>
          <t>MAGICARPE</t>
        </is>
      </c>
      <c r="F484" s="51" t="n">
        <v>0.2</v>
      </c>
      <c r="G484" s="52" t="n">
        <v>20</v>
      </c>
      <c r="H484" s="52" t="n">
        <v>24</v>
      </c>
      <c r="I484" s="29">
        <f>IF(OR(COUNTIF('Suivi des rencontres'!$A:$A,$A484)&gt;0,COUNTIF('Suivi des rencontres'!$C:$C,$J484)&gt;0),"Non","Oui")</f>
        <v/>
      </c>
      <c r="J484" s="30" t="inlineStr">
        <is>
          <t>MAGICARPE</t>
        </is>
      </c>
    </row>
    <row r="485">
      <c r="A485" s="47" t="inlineStr">
        <is>
          <t>Chutes Tohjo</t>
        </is>
      </c>
      <c r="B485" s="47" t="inlineStr">
        <is>
          <t>TohjoFalls_Cavern_hns</t>
        </is>
      </c>
      <c r="C485" s="62" t="inlineStr">
        <is>
          <t>Nuit</t>
        </is>
      </c>
      <c r="D485" s="55" t="inlineStr">
        <is>
          <t>Bonne Canne</t>
        </is>
      </c>
      <c r="E485" s="50" t="inlineStr">
        <is>
          <t>POISSOROY</t>
        </is>
      </c>
      <c r="F485" s="51" t="n">
        <v>0.2</v>
      </c>
      <c r="G485" s="52" t="n">
        <v>24</v>
      </c>
      <c r="H485" s="52" t="n">
        <v>24</v>
      </c>
      <c r="I485" s="29">
        <f>IF(OR(COUNTIF('Suivi des rencontres'!$A:$A,$A485)&gt;0,COUNTIF('Suivi des rencontres'!$C:$C,$J485)&gt;0),"Non","Oui")</f>
        <v/>
      </c>
      <c r="J485" s="30" t="inlineStr">
        <is>
          <t>POISSIRENE</t>
        </is>
      </c>
    </row>
    <row r="486">
      <c r="A486" s="47" t="inlineStr">
        <is>
          <t>Chutes Tohjo</t>
        </is>
      </c>
      <c r="B486" s="47" t="inlineStr">
        <is>
          <t>TohjoFalls_Cavern_hns</t>
        </is>
      </c>
      <c r="C486" s="48" t="inlineStr">
        <is>
          <t>Matin, jour, soir</t>
        </is>
      </c>
      <c r="D486" s="56" t="inlineStr">
        <is>
          <t>Super Canne</t>
        </is>
      </c>
      <c r="E486" s="50" t="inlineStr">
        <is>
          <t>MAGICARPE</t>
        </is>
      </c>
      <c r="F486" s="51" t="n">
        <v>0.4</v>
      </c>
      <c r="G486" s="52" t="n">
        <v>10</v>
      </c>
      <c r="H486" s="52" t="n">
        <v>10</v>
      </c>
      <c r="I486" s="29">
        <f>IF(OR(COUNTIF('Suivi des rencontres'!$A:$A,$A486)&gt;0,COUNTIF('Suivi des rencontres'!$C:$C,$J486)&gt;0),"Non","Oui")</f>
        <v/>
      </c>
      <c r="J486" s="30" t="inlineStr">
        <is>
          <t>MAGICARPE</t>
        </is>
      </c>
    </row>
    <row r="487">
      <c r="A487" s="47" t="inlineStr">
        <is>
          <t>Chutes Tohjo</t>
        </is>
      </c>
      <c r="B487" s="47" t="inlineStr">
        <is>
          <t>TohjoFalls_Cavern_hns</t>
        </is>
      </c>
      <c r="C487" s="48" t="inlineStr">
        <is>
          <t>Matin, jour, soir</t>
        </is>
      </c>
      <c r="D487" s="56" t="inlineStr">
        <is>
          <t>Super Canne</t>
        </is>
      </c>
      <c r="E487" s="50" t="inlineStr">
        <is>
          <t>POISSIRENE</t>
        </is>
      </c>
      <c r="F487" s="51" t="n">
        <v>0.4</v>
      </c>
      <c r="G487" s="52" t="n">
        <v>10</v>
      </c>
      <c r="H487" s="52" t="n">
        <v>10</v>
      </c>
      <c r="I487" s="29">
        <f>IF(OR(COUNTIF('Suivi des rencontres'!$A:$A,$A487)&gt;0,COUNTIF('Suivi des rencontres'!$C:$C,$J487)&gt;0),"Non","Oui")</f>
        <v/>
      </c>
      <c r="J487" s="30" t="inlineStr">
        <is>
          <t>POISSIRENE</t>
        </is>
      </c>
    </row>
    <row r="488">
      <c r="A488" s="47" t="inlineStr">
        <is>
          <t>Chutes Tohjo</t>
        </is>
      </c>
      <c r="B488" s="47" t="inlineStr">
        <is>
          <t>TohjoFalls_Cavern_hns</t>
        </is>
      </c>
      <c r="C488" s="48" t="inlineStr">
        <is>
          <t>Matin, jour, soir</t>
        </is>
      </c>
      <c r="D488" s="56" t="inlineStr">
        <is>
          <t>Super Canne</t>
        </is>
      </c>
      <c r="E488" s="50" t="inlineStr">
        <is>
          <t>POISSOROY</t>
        </is>
      </c>
      <c r="F488" s="51" t="n">
        <v>0.15</v>
      </c>
      <c r="G488" s="52" t="n">
        <v>24</v>
      </c>
      <c r="H488" s="52" t="n">
        <v>24</v>
      </c>
      <c r="I488" s="29">
        <f>IF(OR(COUNTIF('Suivi des rencontres'!$A:$A,$A488)&gt;0,COUNTIF('Suivi des rencontres'!$C:$C,$J488)&gt;0),"Non","Oui")</f>
        <v/>
      </c>
      <c r="J488" s="30" t="inlineStr">
        <is>
          <t>POISSIRENE</t>
        </is>
      </c>
    </row>
    <row r="489">
      <c r="A489" s="47" t="inlineStr">
        <is>
          <t>Chutes Tohjo</t>
        </is>
      </c>
      <c r="B489" s="47" t="inlineStr">
        <is>
          <t>TohjoFalls_Cavern_hns</t>
        </is>
      </c>
      <c r="C489" s="48" t="inlineStr">
        <is>
          <t>Matin, jour, soir</t>
        </is>
      </c>
      <c r="D489" s="56" t="inlineStr">
        <is>
          <t>Super Canne</t>
        </is>
      </c>
      <c r="E489" s="50" t="inlineStr">
        <is>
          <t>RAMOLOSS</t>
        </is>
      </c>
      <c r="F489" s="51" t="n">
        <v>0.05</v>
      </c>
      <c r="G489" s="52" t="n">
        <v>20</v>
      </c>
      <c r="H489" s="52" t="n">
        <v>24</v>
      </c>
      <c r="I489" s="29">
        <f>IF(OR(COUNTIF('Suivi des rencontres'!$A:$A,$A489)&gt;0,COUNTIF('Suivi des rencontres'!$C:$C,$J489)&gt;0),"Non","Oui")</f>
        <v/>
      </c>
      <c r="J489" s="30" t="inlineStr">
        <is>
          <t>RAMOLOSS</t>
        </is>
      </c>
    </row>
    <row r="490">
      <c r="A490" s="47" t="inlineStr">
        <is>
          <t>Chutes Tohjo</t>
        </is>
      </c>
      <c r="B490" s="47" t="inlineStr">
        <is>
          <t>TohjoFalls_Cavern_hns</t>
        </is>
      </c>
      <c r="C490" s="62" t="inlineStr">
        <is>
          <t>Nuit</t>
        </is>
      </c>
      <c r="D490" s="56" t="inlineStr">
        <is>
          <t>Super Canne</t>
        </is>
      </c>
      <c r="E490" s="50" t="inlineStr">
        <is>
          <t>MAGICARPE</t>
        </is>
      </c>
      <c r="F490" s="51" t="n">
        <v>0.4</v>
      </c>
      <c r="G490" s="52" t="n">
        <v>10</v>
      </c>
      <c r="H490" s="52" t="n">
        <v>10</v>
      </c>
      <c r="I490" s="29">
        <f>IF(OR(COUNTIF('Suivi des rencontres'!$A:$A,$A490)&gt;0,COUNTIF('Suivi des rencontres'!$C:$C,$J490)&gt;0),"Non","Oui")</f>
        <v/>
      </c>
      <c r="J490" s="30" t="inlineStr">
        <is>
          <t>MAGICARPE</t>
        </is>
      </c>
    </row>
    <row r="491">
      <c r="A491" s="47" t="inlineStr">
        <is>
          <t>Chutes Tohjo</t>
        </is>
      </c>
      <c r="B491" s="47" t="inlineStr">
        <is>
          <t>TohjoFalls_Cavern_hns</t>
        </is>
      </c>
      <c r="C491" s="62" t="inlineStr">
        <is>
          <t>Nuit</t>
        </is>
      </c>
      <c r="D491" s="56" t="inlineStr">
        <is>
          <t>Super Canne</t>
        </is>
      </c>
      <c r="E491" s="50" t="inlineStr">
        <is>
          <t>POISSIRENE</t>
        </is>
      </c>
      <c r="F491" s="51" t="n">
        <v>0.4</v>
      </c>
      <c r="G491" s="52" t="n">
        <v>10</v>
      </c>
      <c r="H491" s="52" t="n">
        <v>10</v>
      </c>
      <c r="I491" s="29">
        <f>IF(OR(COUNTIF('Suivi des rencontres'!$A:$A,$A491)&gt;0,COUNTIF('Suivi des rencontres'!$C:$C,$J491)&gt;0),"Non","Oui")</f>
        <v/>
      </c>
      <c r="J491" s="30" t="inlineStr">
        <is>
          <t>POISSIRENE</t>
        </is>
      </c>
    </row>
    <row r="492">
      <c r="A492" s="47" t="inlineStr">
        <is>
          <t>Chutes Tohjo</t>
        </is>
      </c>
      <c r="B492" s="47" t="inlineStr">
        <is>
          <t>TohjoFalls_Cavern_hns</t>
        </is>
      </c>
      <c r="C492" s="62" t="inlineStr">
        <is>
          <t>Nuit</t>
        </is>
      </c>
      <c r="D492" s="56" t="inlineStr">
        <is>
          <t>Super Canne</t>
        </is>
      </c>
      <c r="E492" s="50" t="inlineStr">
        <is>
          <t>POISSOROY</t>
        </is>
      </c>
      <c r="F492" s="51" t="n">
        <v>0.15</v>
      </c>
      <c r="G492" s="52" t="n">
        <v>24</v>
      </c>
      <c r="H492" s="52" t="n">
        <v>24</v>
      </c>
      <c r="I492" s="29">
        <f>IF(OR(COUNTIF('Suivi des rencontres'!$A:$A,$A492)&gt;0,COUNTIF('Suivi des rencontres'!$C:$C,$J492)&gt;0),"Non","Oui")</f>
        <v/>
      </c>
      <c r="J492" s="30" t="inlineStr">
        <is>
          <t>POISSIRENE</t>
        </is>
      </c>
    </row>
    <row r="493">
      <c r="A493" s="47" t="inlineStr">
        <is>
          <t>Chutes Tohjo</t>
        </is>
      </c>
      <c r="B493" s="47" t="inlineStr">
        <is>
          <t>TohjoFalls_Cavern_hns</t>
        </is>
      </c>
      <c r="C493" s="62" t="inlineStr">
        <is>
          <t>Nuit</t>
        </is>
      </c>
      <c r="D493" s="56" t="inlineStr">
        <is>
          <t>Super Canne</t>
        </is>
      </c>
      <c r="E493" s="50" t="inlineStr">
        <is>
          <t>RAMOLOSS</t>
        </is>
      </c>
      <c r="F493" s="51" t="n">
        <v>0.05</v>
      </c>
      <c r="G493" s="52" t="n">
        <v>20</v>
      </c>
      <c r="H493" s="52" t="n">
        <v>24</v>
      </c>
      <c r="I493" s="29">
        <f>IF(OR(COUNTIF('Suivi des rencontres'!$A:$A,$A493)&gt;0,COUNTIF('Suivi des rencontres'!$C:$C,$J493)&gt;0),"Non","Oui")</f>
        <v/>
      </c>
      <c r="J493" s="30" t="inlineStr">
        <is>
          <t>RAMOLOSS</t>
        </is>
      </c>
    </row>
    <row r="494">
      <c r="A494" s="57" t="inlineStr">
        <is>
          <t>Cramois'Ile</t>
        </is>
      </c>
      <c r="B494" s="57" t="inlineStr">
        <is>
          <t>CinnabarIsland_hns</t>
        </is>
      </c>
      <c r="C494" s="58" t="inlineStr">
        <is>
          <t>Matin, jour, soir</t>
        </is>
      </c>
      <c r="D494" s="42" t="inlineStr">
        <is>
          <t>Herbe</t>
        </is>
      </c>
      <c r="E494" s="59" t="inlineStr">
        <is>
          <t>LIMAGMA</t>
        </is>
      </c>
      <c r="F494" s="60" t="n">
        <v>0.2</v>
      </c>
      <c r="G494" s="61" t="n">
        <v>43</v>
      </c>
      <c r="H494" s="61" t="n">
        <v>50</v>
      </c>
      <c r="I494" s="46">
        <f>IF(OR(COUNTIF('Suivi des rencontres'!$A:$A,$A494)&gt;0,COUNTIF('Suivi des rencontres'!$C:$C,$J494)&gt;0),"Non","Oui")</f>
        <v/>
      </c>
      <c r="J494" s="30" t="inlineStr">
        <is>
          <t>LIMAGMA</t>
        </is>
      </c>
    </row>
    <row r="495">
      <c r="A495" s="35" t="inlineStr">
        <is>
          <t>Cramois'Ile</t>
        </is>
      </c>
      <c r="B495" s="35" t="inlineStr">
        <is>
          <t>CinnabarIsland_hns</t>
        </is>
      </c>
      <c r="C495" s="33" t="inlineStr">
        <is>
          <t>Matin, jour, soir</t>
        </is>
      </c>
      <c r="D495" s="49" t="inlineStr">
        <is>
          <t>Herbe</t>
        </is>
      </c>
      <c r="E495" s="37" t="inlineStr">
        <is>
          <t>SMOGO</t>
        </is>
      </c>
      <c r="F495" s="38" t="n">
        <v>0.2</v>
      </c>
      <c r="G495" s="39" t="n">
        <v>43</v>
      </c>
      <c r="H495" s="39" t="n">
        <v>50</v>
      </c>
      <c r="I495" s="29">
        <f>IF(OR(COUNTIF('Suivi des rencontres'!$A:$A,$A495)&gt;0,COUNTIF('Suivi des rencontres'!$C:$C,$J495)&gt;0),"Non","Oui")</f>
        <v/>
      </c>
      <c r="J495" s="30" t="inlineStr">
        <is>
          <t>SMOGO</t>
        </is>
      </c>
    </row>
    <row r="496">
      <c r="A496" s="35" t="inlineStr">
        <is>
          <t>Cramois'Ile</t>
        </is>
      </c>
      <c r="B496" s="35" t="inlineStr">
        <is>
          <t>CinnabarIsland_hns</t>
        </is>
      </c>
      <c r="C496" s="33" t="inlineStr">
        <is>
          <t>Matin, jour, soir</t>
        </is>
      </c>
      <c r="D496" s="49" t="inlineStr">
        <is>
          <t>Herbe</t>
        </is>
      </c>
      <c r="E496" s="37" t="inlineStr">
        <is>
          <t>MAGMAR</t>
        </is>
      </c>
      <c r="F496" s="38" t="n">
        <v>0.15</v>
      </c>
      <c r="G496" s="39" t="n">
        <v>42</v>
      </c>
      <c r="H496" s="39" t="n">
        <v>46</v>
      </c>
      <c r="I496" s="29">
        <f>IF(OR(COUNTIF('Suivi des rencontres'!$A:$A,$A496)&gt;0,COUNTIF('Suivi des rencontres'!$C:$C,$J496)&gt;0),"Non","Oui")</f>
        <v/>
      </c>
      <c r="J496" s="30" t="inlineStr">
        <is>
          <t>MAGBY</t>
        </is>
      </c>
    </row>
    <row r="497">
      <c r="A497" s="35" t="inlineStr">
        <is>
          <t>Cramois'Ile</t>
        </is>
      </c>
      <c r="B497" s="35" t="inlineStr">
        <is>
          <t>CinnabarIsland_hns</t>
        </is>
      </c>
      <c r="C497" s="33" t="inlineStr">
        <is>
          <t>Matin, jour, soir</t>
        </is>
      </c>
      <c r="D497" s="49" t="inlineStr">
        <is>
          <t>Herbe</t>
        </is>
      </c>
      <c r="E497" s="37" t="inlineStr">
        <is>
          <t>GRAVALANCH</t>
        </is>
      </c>
      <c r="F497" s="38" t="n">
        <v>0.1</v>
      </c>
      <c r="G497" s="39" t="n">
        <v>41</v>
      </c>
      <c r="H497" s="39" t="n">
        <v>41</v>
      </c>
      <c r="I497" s="29">
        <f>IF(OR(COUNTIF('Suivi des rencontres'!$A:$A,$A497)&gt;0,COUNTIF('Suivi des rencontres'!$C:$C,$J497)&gt;0),"Non","Oui")</f>
        <v/>
      </c>
      <c r="J497" s="30" t="inlineStr">
        <is>
          <t>RACAILLOU</t>
        </is>
      </c>
    </row>
    <row r="498">
      <c r="A498" s="35" t="inlineStr">
        <is>
          <t>Cramois'Ile</t>
        </is>
      </c>
      <c r="B498" s="35" t="inlineStr">
        <is>
          <t>CinnabarIsland_hns</t>
        </is>
      </c>
      <c r="C498" s="33" t="inlineStr">
        <is>
          <t>Matin, jour, soir</t>
        </is>
      </c>
      <c r="D498" s="49" t="inlineStr">
        <is>
          <t>Herbe</t>
        </is>
      </c>
      <c r="E498" s="37" t="inlineStr">
        <is>
          <t>MAGBY</t>
        </is>
      </c>
      <c r="F498" s="38" t="n">
        <v>0.1</v>
      </c>
      <c r="G498" s="39" t="n">
        <v>41</v>
      </c>
      <c r="H498" s="39" t="n">
        <v>44</v>
      </c>
      <c r="I498" s="29">
        <f>IF(OR(COUNTIF('Suivi des rencontres'!$A:$A,$A498)&gt;0,COUNTIF('Suivi des rencontres'!$C:$C,$J498)&gt;0),"Non","Oui")</f>
        <v/>
      </c>
      <c r="J498" s="30" t="inlineStr">
        <is>
          <t>MAGBY</t>
        </is>
      </c>
    </row>
    <row r="499">
      <c r="A499" s="35" t="inlineStr">
        <is>
          <t>Cramois'Ile</t>
        </is>
      </c>
      <c r="B499" s="35" t="inlineStr">
        <is>
          <t>CinnabarIsland_hns</t>
        </is>
      </c>
      <c r="C499" s="33" t="inlineStr">
        <is>
          <t>Matin, jour, soir</t>
        </is>
      </c>
      <c r="D499" s="49" t="inlineStr">
        <is>
          <t>Herbe</t>
        </is>
      </c>
      <c r="E499" s="37" t="inlineStr">
        <is>
          <t>SMOGOGO</t>
        </is>
      </c>
      <c r="F499" s="38" t="n">
        <v>0.1</v>
      </c>
      <c r="G499" s="39" t="n">
        <v>43</v>
      </c>
      <c r="H499" s="39" t="n">
        <v>42</v>
      </c>
      <c r="I499" s="29">
        <f>IF(OR(COUNTIF('Suivi des rencontres'!$A:$A,$A499)&gt;0,COUNTIF('Suivi des rencontres'!$C:$C,$J499)&gt;0),"Non","Oui")</f>
        <v/>
      </c>
      <c r="J499" s="30" t="inlineStr">
        <is>
          <t>SMOGO</t>
        </is>
      </c>
    </row>
    <row r="500">
      <c r="A500" s="35" t="inlineStr">
        <is>
          <t>Cramois'Ile</t>
        </is>
      </c>
      <c r="B500" s="35" t="inlineStr">
        <is>
          <t>CinnabarIsland_hns</t>
        </is>
      </c>
      <c r="C500" s="33" t="inlineStr">
        <is>
          <t>Matin, jour, soir</t>
        </is>
      </c>
      <c r="D500" s="49" t="inlineStr">
        <is>
          <t>Herbe</t>
        </is>
      </c>
      <c r="E500" s="37" t="inlineStr">
        <is>
          <t>VOLCAROPOD</t>
        </is>
      </c>
      <c r="F500" s="38" t="n">
        <v>0.1</v>
      </c>
      <c r="G500" s="39" t="n">
        <v>40</v>
      </c>
      <c r="H500" s="39" t="n">
        <v>41</v>
      </c>
      <c r="I500" s="29">
        <f>IF(OR(COUNTIF('Suivi des rencontres'!$A:$A,$A500)&gt;0,COUNTIF('Suivi des rencontres'!$C:$C,$J500)&gt;0),"Non","Oui")</f>
        <v/>
      </c>
      <c r="J500" s="30" t="inlineStr">
        <is>
          <t>LIMAGMA</t>
        </is>
      </c>
    </row>
    <row r="501">
      <c r="A501" s="35" t="inlineStr">
        <is>
          <t>Cramois'Ile</t>
        </is>
      </c>
      <c r="B501" s="35" t="inlineStr">
        <is>
          <t>CinnabarIsland_hns</t>
        </is>
      </c>
      <c r="C501" s="33" t="inlineStr">
        <is>
          <t>Matin, jour, soir</t>
        </is>
      </c>
      <c r="D501" s="49" t="inlineStr">
        <is>
          <t>Herbe</t>
        </is>
      </c>
      <c r="E501" s="37" t="inlineStr">
        <is>
          <t>CHARTOR</t>
        </is>
      </c>
      <c r="F501" s="38" t="n">
        <v>0.05</v>
      </c>
      <c r="G501" s="39" t="n">
        <v>41</v>
      </c>
      <c r="H501" s="39" t="n">
        <v>43</v>
      </c>
      <c r="I501" s="29">
        <f>IF(OR(COUNTIF('Suivi des rencontres'!$A:$A,$A501)&gt;0,COUNTIF('Suivi des rencontres'!$C:$C,$J501)&gt;0),"Non","Oui")</f>
        <v/>
      </c>
      <c r="J501" s="30" t="inlineStr">
        <is>
          <t>CHARTOR</t>
        </is>
      </c>
    </row>
    <row r="502">
      <c r="A502" s="35" t="inlineStr">
        <is>
          <t>Cramois'Ile</t>
        </is>
      </c>
      <c r="B502" s="35" t="inlineStr">
        <is>
          <t>CinnabarIsland_hns</t>
        </is>
      </c>
      <c r="C502" s="62" t="inlineStr">
        <is>
          <t>Nuit</t>
        </is>
      </c>
      <c r="D502" s="49" t="inlineStr">
        <is>
          <t>Herbe</t>
        </is>
      </c>
      <c r="E502" s="37" t="inlineStr">
        <is>
          <t>LIMAGMA</t>
        </is>
      </c>
      <c r="F502" s="38" t="n">
        <v>0.2</v>
      </c>
      <c r="G502" s="39" t="n">
        <v>43</v>
      </c>
      <c r="H502" s="39" t="n">
        <v>50</v>
      </c>
      <c r="I502" s="29">
        <f>IF(OR(COUNTIF('Suivi des rencontres'!$A:$A,$A502)&gt;0,COUNTIF('Suivi des rencontres'!$C:$C,$J502)&gt;0),"Non","Oui")</f>
        <v/>
      </c>
      <c r="J502" s="30" t="inlineStr">
        <is>
          <t>LIMAGMA</t>
        </is>
      </c>
    </row>
    <row r="503">
      <c r="A503" s="35" t="inlineStr">
        <is>
          <t>Cramois'Ile</t>
        </is>
      </c>
      <c r="B503" s="35" t="inlineStr">
        <is>
          <t>CinnabarIsland_hns</t>
        </is>
      </c>
      <c r="C503" s="62" t="inlineStr">
        <is>
          <t>Nuit</t>
        </is>
      </c>
      <c r="D503" s="49" t="inlineStr">
        <is>
          <t>Herbe</t>
        </is>
      </c>
      <c r="E503" s="37" t="inlineStr">
        <is>
          <t>SMOGO</t>
        </is>
      </c>
      <c r="F503" s="38" t="n">
        <v>0.2</v>
      </c>
      <c r="G503" s="39" t="n">
        <v>43</v>
      </c>
      <c r="H503" s="39" t="n">
        <v>50</v>
      </c>
      <c r="I503" s="29">
        <f>IF(OR(COUNTIF('Suivi des rencontres'!$A:$A,$A503)&gt;0,COUNTIF('Suivi des rencontres'!$C:$C,$J503)&gt;0),"Non","Oui")</f>
        <v/>
      </c>
      <c r="J503" s="30" t="inlineStr">
        <is>
          <t>SMOGO</t>
        </is>
      </c>
    </row>
    <row r="504">
      <c r="A504" s="35" t="inlineStr">
        <is>
          <t>Cramois'Ile</t>
        </is>
      </c>
      <c r="B504" s="35" t="inlineStr">
        <is>
          <t>CinnabarIsland_hns</t>
        </is>
      </c>
      <c r="C504" s="62" t="inlineStr">
        <is>
          <t>Nuit</t>
        </is>
      </c>
      <c r="D504" s="49" t="inlineStr">
        <is>
          <t>Herbe</t>
        </is>
      </c>
      <c r="E504" s="37" t="inlineStr">
        <is>
          <t>MAGMAR</t>
        </is>
      </c>
      <c r="F504" s="38" t="n">
        <v>0.15</v>
      </c>
      <c r="G504" s="39" t="n">
        <v>42</v>
      </c>
      <c r="H504" s="39" t="n">
        <v>46</v>
      </c>
      <c r="I504" s="29">
        <f>IF(OR(COUNTIF('Suivi des rencontres'!$A:$A,$A504)&gt;0,COUNTIF('Suivi des rencontres'!$C:$C,$J504)&gt;0),"Non","Oui")</f>
        <v/>
      </c>
      <c r="J504" s="30" t="inlineStr">
        <is>
          <t>MAGBY</t>
        </is>
      </c>
    </row>
    <row r="505">
      <c r="A505" s="35" t="inlineStr">
        <is>
          <t>Cramois'Ile</t>
        </is>
      </c>
      <c r="B505" s="35" t="inlineStr">
        <is>
          <t>CinnabarIsland_hns</t>
        </is>
      </c>
      <c r="C505" s="62" t="inlineStr">
        <is>
          <t>Nuit</t>
        </is>
      </c>
      <c r="D505" s="49" t="inlineStr">
        <is>
          <t>Herbe</t>
        </is>
      </c>
      <c r="E505" s="37" t="inlineStr">
        <is>
          <t>FEUFOREVE</t>
        </is>
      </c>
      <c r="F505" s="38" t="n">
        <v>0.1</v>
      </c>
      <c r="G505" s="39" t="n">
        <v>41</v>
      </c>
      <c r="H505" s="39" t="n">
        <v>44</v>
      </c>
      <c r="I505" s="29">
        <f>IF(OR(COUNTIF('Suivi des rencontres'!$A:$A,$A505)&gt;0,COUNTIF('Suivi des rencontres'!$C:$C,$J505)&gt;0),"Non","Oui")</f>
        <v/>
      </c>
      <c r="J505" s="30" t="inlineStr">
        <is>
          <t>FEUFOREVE</t>
        </is>
      </c>
    </row>
    <row r="506">
      <c r="A506" s="35" t="inlineStr">
        <is>
          <t>Cramois'Ile</t>
        </is>
      </c>
      <c r="B506" s="35" t="inlineStr">
        <is>
          <t>CinnabarIsland_hns</t>
        </is>
      </c>
      <c r="C506" s="62" t="inlineStr">
        <is>
          <t>Nuit</t>
        </is>
      </c>
      <c r="D506" s="49" t="inlineStr">
        <is>
          <t>Herbe</t>
        </is>
      </c>
      <c r="E506" s="37" t="inlineStr">
        <is>
          <t>GRAVALANCH</t>
        </is>
      </c>
      <c r="F506" s="38" t="n">
        <v>0.1</v>
      </c>
      <c r="G506" s="39" t="n">
        <v>41</v>
      </c>
      <c r="H506" s="39" t="n">
        <v>41</v>
      </c>
      <c r="I506" s="29">
        <f>IF(OR(COUNTIF('Suivi des rencontres'!$A:$A,$A506)&gt;0,COUNTIF('Suivi des rencontres'!$C:$C,$J506)&gt;0),"Non","Oui")</f>
        <v/>
      </c>
      <c r="J506" s="30" t="inlineStr">
        <is>
          <t>RACAILLOU</t>
        </is>
      </c>
    </row>
    <row r="507">
      <c r="A507" s="35" t="inlineStr">
        <is>
          <t>Cramois'Ile</t>
        </is>
      </c>
      <c r="B507" s="35" t="inlineStr">
        <is>
          <t>CinnabarIsland_hns</t>
        </is>
      </c>
      <c r="C507" s="62" t="inlineStr">
        <is>
          <t>Nuit</t>
        </is>
      </c>
      <c r="D507" s="49" t="inlineStr">
        <is>
          <t>Herbe</t>
        </is>
      </c>
      <c r="E507" s="37" t="inlineStr">
        <is>
          <t>SMOGOGO</t>
        </is>
      </c>
      <c r="F507" s="38" t="n">
        <v>0.1</v>
      </c>
      <c r="G507" s="39" t="n">
        <v>43</v>
      </c>
      <c r="H507" s="39" t="n">
        <v>42</v>
      </c>
      <c r="I507" s="29">
        <f>IF(OR(COUNTIF('Suivi des rencontres'!$A:$A,$A507)&gt;0,COUNTIF('Suivi des rencontres'!$C:$C,$J507)&gt;0),"Non","Oui")</f>
        <v/>
      </c>
      <c r="J507" s="30" t="inlineStr">
        <is>
          <t>SMOGO</t>
        </is>
      </c>
    </row>
    <row r="508">
      <c r="A508" s="35" t="inlineStr">
        <is>
          <t>Cramois'Ile</t>
        </is>
      </c>
      <c r="B508" s="35" t="inlineStr">
        <is>
          <t>CinnabarIsland_hns</t>
        </is>
      </c>
      <c r="C508" s="62" t="inlineStr">
        <is>
          <t>Nuit</t>
        </is>
      </c>
      <c r="D508" s="49" t="inlineStr">
        <is>
          <t>Herbe</t>
        </is>
      </c>
      <c r="E508" s="37" t="inlineStr">
        <is>
          <t>VOLCAROPOD</t>
        </is>
      </c>
      <c r="F508" s="38" t="n">
        <v>0.1</v>
      </c>
      <c r="G508" s="39" t="n">
        <v>40</v>
      </c>
      <c r="H508" s="39" t="n">
        <v>41</v>
      </c>
      <c r="I508" s="29">
        <f>IF(OR(COUNTIF('Suivi des rencontres'!$A:$A,$A508)&gt;0,COUNTIF('Suivi des rencontres'!$C:$C,$J508)&gt;0),"Non","Oui")</f>
        <v/>
      </c>
      <c r="J508" s="30" t="inlineStr">
        <is>
          <t>LIMAGMA</t>
        </is>
      </c>
    </row>
    <row r="509">
      <c r="A509" s="35" t="inlineStr">
        <is>
          <t>Cramois'Ile</t>
        </is>
      </c>
      <c r="B509" s="35" t="inlineStr">
        <is>
          <t>CinnabarIsland_hns</t>
        </is>
      </c>
      <c r="C509" s="62" t="inlineStr">
        <is>
          <t>Nuit</t>
        </is>
      </c>
      <c r="D509" s="49" t="inlineStr">
        <is>
          <t>Herbe</t>
        </is>
      </c>
      <c r="E509" s="37" t="inlineStr">
        <is>
          <t>CHARTOR</t>
        </is>
      </c>
      <c r="F509" s="38" t="n">
        <v>0.05</v>
      </c>
      <c r="G509" s="39" t="n">
        <v>41</v>
      </c>
      <c r="H509" s="39" t="n">
        <v>43</v>
      </c>
      <c r="I509" s="29">
        <f>IF(OR(COUNTIF('Suivi des rencontres'!$A:$A,$A509)&gt;0,COUNTIF('Suivi des rencontres'!$C:$C,$J509)&gt;0),"Non","Oui")</f>
        <v/>
      </c>
      <c r="J509" s="30" t="inlineStr">
        <is>
          <t>CHARTOR</t>
        </is>
      </c>
    </row>
    <row r="510">
      <c r="A510" s="35" t="inlineStr">
        <is>
          <t>Cramois'Ile</t>
        </is>
      </c>
      <c r="B510" s="35" t="inlineStr">
        <is>
          <t>CinnabarIsland_hns</t>
        </is>
      </c>
      <c r="C510" s="33" t="inlineStr">
        <is>
          <t>Matin, jour, soir</t>
        </is>
      </c>
      <c r="D510" s="53" t="inlineStr">
        <is>
          <t>Surf</t>
        </is>
      </c>
      <c r="E510" s="37" t="inlineStr">
        <is>
          <t>TENTACOOL</t>
        </is>
      </c>
      <c r="F510" s="38" t="n">
        <v>0.91</v>
      </c>
      <c r="G510" s="39" t="n">
        <v>43</v>
      </c>
      <c r="H510" s="39" t="n">
        <v>45</v>
      </c>
      <c r="I510" s="29">
        <f>IF(OR(COUNTIF('Suivi des rencontres'!$A:$A,$A510)&gt;0,COUNTIF('Suivi des rencontres'!$C:$C,$J510)&gt;0),"Non","Oui")</f>
        <v/>
      </c>
      <c r="J510" s="30" t="inlineStr">
        <is>
          <t>TENTACOOL</t>
        </is>
      </c>
    </row>
    <row r="511">
      <c r="A511" s="35" t="inlineStr">
        <is>
          <t>Cramois'Ile</t>
        </is>
      </c>
      <c r="B511" s="35" t="inlineStr">
        <is>
          <t>CinnabarIsland_hns</t>
        </is>
      </c>
      <c r="C511" s="33" t="inlineStr">
        <is>
          <t>Matin, jour, soir</t>
        </is>
      </c>
      <c r="D511" s="53" t="inlineStr">
        <is>
          <t>Surf</t>
        </is>
      </c>
      <c r="E511" s="37" t="inlineStr">
        <is>
          <t>WAILMER</t>
        </is>
      </c>
      <c r="F511" s="38" t="n">
        <v>0.05</v>
      </c>
      <c r="G511" s="39" t="n">
        <v>43</v>
      </c>
      <c r="H511" s="39" t="n">
        <v>45</v>
      </c>
      <c r="I511" s="29">
        <f>IF(OR(COUNTIF('Suivi des rencontres'!$A:$A,$A511)&gt;0,COUNTIF('Suivi des rencontres'!$C:$C,$J511)&gt;0),"Non","Oui")</f>
        <v/>
      </c>
      <c r="J511" s="30" t="inlineStr">
        <is>
          <t>WAILMER</t>
        </is>
      </c>
    </row>
    <row r="512">
      <c r="A512" s="35" t="inlineStr">
        <is>
          <t>Cramois'Ile</t>
        </is>
      </c>
      <c r="B512" s="35" t="inlineStr">
        <is>
          <t>CinnabarIsland_hns</t>
        </is>
      </c>
      <c r="C512" s="33" t="inlineStr">
        <is>
          <t>Matin, jour, soir</t>
        </is>
      </c>
      <c r="D512" s="53" t="inlineStr">
        <is>
          <t>Surf</t>
        </is>
      </c>
      <c r="E512" s="37" t="inlineStr">
        <is>
          <t>TENTACRUEL</t>
        </is>
      </c>
      <c r="F512" s="38" t="n">
        <v>0.04</v>
      </c>
      <c r="G512" s="39" t="n">
        <v>48</v>
      </c>
      <c r="H512" s="39" t="n">
        <v>48</v>
      </c>
      <c r="I512" s="29">
        <f>IF(OR(COUNTIF('Suivi des rencontres'!$A:$A,$A512)&gt;0,COUNTIF('Suivi des rencontres'!$C:$C,$J512)&gt;0),"Non","Oui")</f>
        <v/>
      </c>
      <c r="J512" s="30" t="inlineStr">
        <is>
          <t>TENTACOOL</t>
        </is>
      </c>
    </row>
    <row r="513">
      <c r="A513" s="35" t="inlineStr">
        <is>
          <t>Cramois'Ile</t>
        </is>
      </c>
      <c r="B513" s="35" t="inlineStr">
        <is>
          <t>CinnabarIsland_hns</t>
        </is>
      </c>
      <c r="C513" s="62" t="inlineStr">
        <is>
          <t>Nuit</t>
        </is>
      </c>
      <c r="D513" s="53" t="inlineStr">
        <is>
          <t>Surf</t>
        </is>
      </c>
      <c r="E513" s="37" t="inlineStr">
        <is>
          <t>TENTACOOL</t>
        </is>
      </c>
      <c r="F513" s="38" t="n">
        <v>0.91</v>
      </c>
      <c r="G513" s="39" t="n">
        <v>43</v>
      </c>
      <c r="H513" s="39" t="n">
        <v>45</v>
      </c>
      <c r="I513" s="29">
        <f>IF(OR(COUNTIF('Suivi des rencontres'!$A:$A,$A513)&gt;0,COUNTIF('Suivi des rencontres'!$C:$C,$J513)&gt;0),"Non","Oui")</f>
        <v/>
      </c>
      <c r="J513" s="30" t="inlineStr">
        <is>
          <t>TENTACOOL</t>
        </is>
      </c>
    </row>
    <row r="514">
      <c r="A514" s="35" t="inlineStr">
        <is>
          <t>Cramois'Ile</t>
        </is>
      </c>
      <c r="B514" s="35" t="inlineStr">
        <is>
          <t>CinnabarIsland_hns</t>
        </is>
      </c>
      <c r="C514" s="62" t="inlineStr">
        <is>
          <t>Nuit</t>
        </is>
      </c>
      <c r="D514" s="53" t="inlineStr">
        <is>
          <t>Surf</t>
        </is>
      </c>
      <c r="E514" s="37" t="inlineStr">
        <is>
          <t>WAILMER</t>
        </is>
      </c>
      <c r="F514" s="38" t="n">
        <v>0.05</v>
      </c>
      <c r="G514" s="39" t="n">
        <v>43</v>
      </c>
      <c r="H514" s="39" t="n">
        <v>45</v>
      </c>
      <c r="I514" s="29">
        <f>IF(OR(COUNTIF('Suivi des rencontres'!$A:$A,$A514)&gt;0,COUNTIF('Suivi des rencontres'!$C:$C,$J514)&gt;0),"Non","Oui")</f>
        <v/>
      </c>
      <c r="J514" s="30" t="inlineStr">
        <is>
          <t>WAILMER</t>
        </is>
      </c>
    </row>
    <row r="515">
      <c r="A515" s="35" t="inlineStr">
        <is>
          <t>Cramois'Ile</t>
        </is>
      </c>
      <c r="B515" s="35" t="inlineStr">
        <is>
          <t>CinnabarIsland_hns</t>
        </is>
      </c>
      <c r="C515" s="62" t="inlineStr">
        <is>
          <t>Nuit</t>
        </is>
      </c>
      <c r="D515" s="53" t="inlineStr">
        <is>
          <t>Surf</t>
        </is>
      </c>
      <c r="E515" s="37" t="inlineStr">
        <is>
          <t>TENTACRUEL</t>
        </is>
      </c>
      <c r="F515" s="38" t="n">
        <v>0.04</v>
      </c>
      <c r="G515" s="39" t="n">
        <v>48</v>
      </c>
      <c r="H515" s="39" t="n">
        <v>48</v>
      </c>
      <c r="I515" s="29">
        <f>IF(OR(COUNTIF('Suivi des rencontres'!$A:$A,$A515)&gt;0,COUNTIF('Suivi des rencontres'!$C:$C,$J515)&gt;0),"Non","Oui")</f>
        <v/>
      </c>
      <c r="J515" s="30" t="inlineStr">
        <is>
          <t>TENTACOOL</t>
        </is>
      </c>
    </row>
    <row r="516">
      <c r="A516" s="35" t="inlineStr">
        <is>
          <t>Cramois'Ile</t>
        </is>
      </c>
      <c r="B516" s="35" t="inlineStr">
        <is>
          <t>CinnabarIsland_hns</t>
        </is>
      </c>
      <c r="C516" s="33" t="inlineStr">
        <is>
          <t>Matin, jour, soir</t>
        </is>
      </c>
      <c r="D516" s="54" t="inlineStr">
        <is>
          <t>Vieille Canne</t>
        </is>
      </c>
      <c r="E516" s="37" t="inlineStr">
        <is>
          <t>MAGICARPE</t>
        </is>
      </c>
      <c r="F516" s="38" t="n">
        <v>0.7</v>
      </c>
      <c r="G516" s="39" t="n">
        <v>41</v>
      </c>
      <c r="H516" s="39" t="n">
        <v>43</v>
      </c>
      <c r="I516" s="29">
        <f>IF(OR(COUNTIF('Suivi des rencontres'!$A:$A,$A516)&gt;0,COUNTIF('Suivi des rencontres'!$C:$C,$J516)&gt;0),"Non","Oui")</f>
        <v/>
      </c>
      <c r="J516" s="30" t="inlineStr">
        <is>
          <t>MAGICARPE</t>
        </is>
      </c>
    </row>
    <row r="517">
      <c r="A517" s="35" t="inlineStr">
        <is>
          <t>Cramois'Ile</t>
        </is>
      </c>
      <c r="B517" s="35" t="inlineStr">
        <is>
          <t>CinnabarIsland_hns</t>
        </is>
      </c>
      <c r="C517" s="33" t="inlineStr">
        <is>
          <t>Matin, jour, soir</t>
        </is>
      </c>
      <c r="D517" s="54" t="inlineStr">
        <is>
          <t>Vieille Canne</t>
        </is>
      </c>
      <c r="E517" s="37" t="inlineStr">
        <is>
          <t>TENTACOOL</t>
        </is>
      </c>
      <c r="F517" s="38" t="n">
        <v>0.3</v>
      </c>
      <c r="G517" s="39" t="n">
        <v>41</v>
      </c>
      <c r="H517" s="39" t="n">
        <v>43</v>
      </c>
      <c r="I517" s="29">
        <f>IF(OR(COUNTIF('Suivi des rencontres'!$A:$A,$A517)&gt;0,COUNTIF('Suivi des rencontres'!$C:$C,$J517)&gt;0),"Non","Oui")</f>
        <v/>
      </c>
      <c r="J517" s="30" t="inlineStr">
        <is>
          <t>TENTACOOL</t>
        </is>
      </c>
    </row>
    <row r="518">
      <c r="A518" s="35" t="inlineStr">
        <is>
          <t>Cramois'Ile</t>
        </is>
      </c>
      <c r="B518" s="35" t="inlineStr">
        <is>
          <t>CinnabarIsland_hns</t>
        </is>
      </c>
      <c r="C518" s="62" t="inlineStr">
        <is>
          <t>Nuit</t>
        </is>
      </c>
      <c r="D518" s="54" t="inlineStr">
        <is>
          <t>Vieille Canne</t>
        </is>
      </c>
      <c r="E518" s="37" t="inlineStr">
        <is>
          <t>MAGICARPE</t>
        </is>
      </c>
      <c r="F518" s="38" t="n">
        <v>0.7</v>
      </c>
      <c r="G518" s="39" t="n">
        <v>41</v>
      </c>
      <c r="H518" s="39" t="n">
        <v>43</v>
      </c>
      <c r="I518" s="29">
        <f>IF(OR(COUNTIF('Suivi des rencontres'!$A:$A,$A518)&gt;0,COUNTIF('Suivi des rencontres'!$C:$C,$J518)&gt;0),"Non","Oui")</f>
        <v/>
      </c>
      <c r="J518" s="30" t="inlineStr">
        <is>
          <t>MAGICARPE</t>
        </is>
      </c>
    </row>
    <row r="519">
      <c r="A519" s="35" t="inlineStr">
        <is>
          <t>Cramois'Ile</t>
        </is>
      </c>
      <c r="B519" s="35" t="inlineStr">
        <is>
          <t>CinnabarIsland_hns</t>
        </is>
      </c>
      <c r="C519" s="62" t="inlineStr">
        <is>
          <t>Nuit</t>
        </is>
      </c>
      <c r="D519" s="54" t="inlineStr">
        <is>
          <t>Vieille Canne</t>
        </is>
      </c>
      <c r="E519" s="37" t="inlineStr">
        <is>
          <t>TENTACOOL</t>
        </is>
      </c>
      <c r="F519" s="38" t="n">
        <v>0.3</v>
      </c>
      <c r="G519" s="39" t="n">
        <v>41</v>
      </c>
      <c r="H519" s="39" t="n">
        <v>43</v>
      </c>
      <c r="I519" s="29">
        <f>IF(OR(COUNTIF('Suivi des rencontres'!$A:$A,$A519)&gt;0,COUNTIF('Suivi des rencontres'!$C:$C,$J519)&gt;0),"Non","Oui")</f>
        <v/>
      </c>
      <c r="J519" s="30" t="inlineStr">
        <is>
          <t>TENTACOOL</t>
        </is>
      </c>
    </row>
    <row r="520">
      <c r="A520" s="35" t="inlineStr">
        <is>
          <t>Cramois'Ile</t>
        </is>
      </c>
      <c r="B520" s="35" t="inlineStr">
        <is>
          <t>CinnabarIsland_hns</t>
        </is>
      </c>
      <c r="C520" s="33" t="inlineStr">
        <is>
          <t>Matin, jour, soir</t>
        </is>
      </c>
      <c r="D520" s="55" t="inlineStr">
        <is>
          <t>Bonne Canne</t>
        </is>
      </c>
      <c r="E520" s="37" t="inlineStr">
        <is>
          <t>MAGICARPE</t>
        </is>
      </c>
      <c r="F520" s="38" t="n">
        <v>0.6</v>
      </c>
      <c r="G520" s="39" t="n">
        <v>42</v>
      </c>
      <c r="H520" s="39" t="n">
        <v>44</v>
      </c>
      <c r="I520" s="29">
        <f>IF(OR(COUNTIF('Suivi des rencontres'!$A:$A,$A520)&gt;0,COUNTIF('Suivi des rencontres'!$C:$C,$J520)&gt;0),"Non","Oui")</f>
        <v/>
      </c>
      <c r="J520" s="30" t="inlineStr">
        <is>
          <t>MAGICARPE</t>
        </is>
      </c>
    </row>
    <row r="521">
      <c r="A521" s="35" t="inlineStr">
        <is>
          <t>Cramois'Ile</t>
        </is>
      </c>
      <c r="B521" s="35" t="inlineStr">
        <is>
          <t>CinnabarIsland_hns</t>
        </is>
      </c>
      <c r="C521" s="33" t="inlineStr">
        <is>
          <t>Matin, jour, soir</t>
        </is>
      </c>
      <c r="D521" s="55" t="inlineStr">
        <is>
          <t>Bonne Canne</t>
        </is>
      </c>
      <c r="E521" s="37" t="inlineStr">
        <is>
          <t>LOUPIO</t>
        </is>
      </c>
      <c r="F521" s="38" t="n">
        <v>0.2</v>
      </c>
      <c r="G521" s="39" t="n">
        <v>42</v>
      </c>
      <c r="H521" s="39" t="n">
        <v>44</v>
      </c>
      <c r="I521" s="29">
        <f>IF(OR(COUNTIF('Suivi des rencontres'!$A:$A,$A521)&gt;0,COUNTIF('Suivi des rencontres'!$C:$C,$J521)&gt;0),"Non","Oui")</f>
        <v/>
      </c>
      <c r="J521" s="30" t="inlineStr">
        <is>
          <t>LOUPIO</t>
        </is>
      </c>
    </row>
    <row r="522">
      <c r="A522" s="35" t="inlineStr">
        <is>
          <t>Cramois'Ile</t>
        </is>
      </c>
      <c r="B522" s="35" t="inlineStr">
        <is>
          <t>CinnabarIsland_hns</t>
        </is>
      </c>
      <c r="C522" s="33" t="inlineStr">
        <is>
          <t>Matin, jour, soir</t>
        </is>
      </c>
      <c r="D522" s="55" t="inlineStr">
        <is>
          <t>Bonne Canne</t>
        </is>
      </c>
      <c r="E522" s="37" t="inlineStr">
        <is>
          <t>TENTACOOL</t>
        </is>
      </c>
      <c r="F522" s="38" t="n">
        <v>0.2</v>
      </c>
      <c r="G522" s="39" t="n">
        <v>42</v>
      </c>
      <c r="H522" s="39" t="n">
        <v>44</v>
      </c>
      <c r="I522" s="29">
        <f>IF(OR(COUNTIF('Suivi des rencontres'!$A:$A,$A522)&gt;0,COUNTIF('Suivi des rencontres'!$C:$C,$J522)&gt;0),"Non","Oui")</f>
        <v/>
      </c>
      <c r="J522" s="30" t="inlineStr">
        <is>
          <t>TENTACOOL</t>
        </is>
      </c>
    </row>
    <row r="523">
      <c r="A523" s="35" t="inlineStr">
        <is>
          <t>Cramois'Ile</t>
        </is>
      </c>
      <c r="B523" s="35" t="inlineStr">
        <is>
          <t>CinnabarIsland_hns</t>
        </is>
      </c>
      <c r="C523" s="62" t="inlineStr">
        <is>
          <t>Nuit</t>
        </is>
      </c>
      <c r="D523" s="55" t="inlineStr">
        <is>
          <t>Bonne Canne</t>
        </is>
      </c>
      <c r="E523" s="37" t="inlineStr">
        <is>
          <t>MAGICARPE</t>
        </is>
      </c>
      <c r="F523" s="38" t="n">
        <v>0.6</v>
      </c>
      <c r="G523" s="39" t="n">
        <v>42</v>
      </c>
      <c r="H523" s="39" t="n">
        <v>44</v>
      </c>
      <c r="I523" s="29">
        <f>IF(OR(COUNTIF('Suivi des rencontres'!$A:$A,$A523)&gt;0,COUNTIF('Suivi des rencontres'!$C:$C,$J523)&gt;0),"Non","Oui")</f>
        <v/>
      </c>
      <c r="J523" s="30" t="inlineStr">
        <is>
          <t>MAGICARPE</t>
        </is>
      </c>
    </row>
    <row r="524">
      <c r="A524" s="35" t="inlineStr">
        <is>
          <t>Cramois'Ile</t>
        </is>
      </c>
      <c r="B524" s="35" t="inlineStr">
        <is>
          <t>CinnabarIsland_hns</t>
        </is>
      </c>
      <c r="C524" s="62" t="inlineStr">
        <is>
          <t>Nuit</t>
        </is>
      </c>
      <c r="D524" s="55" t="inlineStr">
        <is>
          <t>Bonne Canne</t>
        </is>
      </c>
      <c r="E524" s="37" t="inlineStr">
        <is>
          <t>LOUPIO</t>
        </is>
      </c>
      <c r="F524" s="38" t="n">
        <v>0.2</v>
      </c>
      <c r="G524" s="39" t="n">
        <v>42</v>
      </c>
      <c r="H524" s="39" t="n">
        <v>44</v>
      </c>
      <c r="I524" s="29">
        <f>IF(OR(COUNTIF('Suivi des rencontres'!$A:$A,$A524)&gt;0,COUNTIF('Suivi des rencontres'!$C:$C,$J524)&gt;0),"Non","Oui")</f>
        <v/>
      </c>
      <c r="J524" s="30" t="inlineStr">
        <is>
          <t>LOUPIO</t>
        </is>
      </c>
    </row>
    <row r="525">
      <c r="A525" s="35" t="inlineStr">
        <is>
          <t>Cramois'Ile</t>
        </is>
      </c>
      <c r="B525" s="35" t="inlineStr">
        <is>
          <t>CinnabarIsland_hns</t>
        </is>
      </c>
      <c r="C525" s="62" t="inlineStr">
        <is>
          <t>Nuit</t>
        </is>
      </c>
      <c r="D525" s="55" t="inlineStr">
        <is>
          <t>Bonne Canne</t>
        </is>
      </c>
      <c r="E525" s="37" t="inlineStr">
        <is>
          <t>TENTACOOL</t>
        </is>
      </c>
      <c r="F525" s="38" t="n">
        <v>0.2</v>
      </c>
      <c r="G525" s="39" t="n">
        <v>42</v>
      </c>
      <c r="H525" s="39" t="n">
        <v>44</v>
      </c>
      <c r="I525" s="29">
        <f>IF(OR(COUNTIF('Suivi des rencontres'!$A:$A,$A525)&gt;0,COUNTIF('Suivi des rencontres'!$C:$C,$J525)&gt;0),"Non","Oui")</f>
        <v/>
      </c>
      <c r="J525" s="30" t="inlineStr">
        <is>
          <t>TENTACOOL</t>
        </is>
      </c>
    </row>
    <row r="526">
      <c r="A526" s="35" t="inlineStr">
        <is>
          <t>Cramois'Ile</t>
        </is>
      </c>
      <c r="B526" s="35" t="inlineStr">
        <is>
          <t>CinnabarIsland_hns</t>
        </is>
      </c>
      <c r="C526" s="33" t="inlineStr">
        <is>
          <t>Matin, jour, soir</t>
        </is>
      </c>
      <c r="D526" s="56" t="inlineStr">
        <is>
          <t>Super Canne</t>
        </is>
      </c>
      <c r="E526" s="37" t="inlineStr">
        <is>
          <t>KOKIYAS</t>
        </is>
      </c>
      <c r="F526" s="38" t="n">
        <v>0.55</v>
      </c>
      <c r="G526" s="39" t="n">
        <v>40</v>
      </c>
      <c r="H526" s="39" t="n">
        <v>44</v>
      </c>
      <c r="I526" s="29">
        <f>IF(OR(COUNTIF('Suivi des rencontres'!$A:$A,$A526)&gt;0,COUNTIF('Suivi des rencontres'!$C:$C,$J526)&gt;0),"Non","Oui")</f>
        <v/>
      </c>
      <c r="J526" s="30" t="inlineStr">
        <is>
          <t>KOKIYAS</t>
        </is>
      </c>
    </row>
    <row r="527">
      <c r="A527" s="35" t="inlineStr">
        <is>
          <t>Cramois'Ile</t>
        </is>
      </c>
      <c r="B527" s="35" t="inlineStr">
        <is>
          <t>CinnabarIsland_hns</t>
        </is>
      </c>
      <c r="C527" s="33" t="inlineStr">
        <is>
          <t>Matin, jour, soir</t>
        </is>
      </c>
      <c r="D527" s="56" t="inlineStr">
        <is>
          <t>Super Canne</t>
        </is>
      </c>
      <c r="E527" s="37" t="inlineStr">
        <is>
          <t>LOUPIO</t>
        </is>
      </c>
      <c r="F527" s="38" t="n">
        <v>0.4</v>
      </c>
      <c r="G527" s="39" t="n">
        <v>40</v>
      </c>
      <c r="H527" s="39" t="n">
        <v>40</v>
      </c>
      <c r="I527" s="29">
        <f>IF(OR(COUNTIF('Suivi des rencontres'!$A:$A,$A527)&gt;0,COUNTIF('Suivi des rencontres'!$C:$C,$J527)&gt;0),"Non","Oui")</f>
        <v/>
      </c>
      <c r="J527" s="30" t="inlineStr">
        <is>
          <t>LOUPIO</t>
        </is>
      </c>
    </row>
    <row r="528">
      <c r="A528" s="35" t="inlineStr">
        <is>
          <t>Cramois'Ile</t>
        </is>
      </c>
      <c r="B528" s="35" t="inlineStr">
        <is>
          <t>CinnabarIsland_hns</t>
        </is>
      </c>
      <c r="C528" s="33" t="inlineStr">
        <is>
          <t>Matin, jour, soir</t>
        </is>
      </c>
      <c r="D528" s="56" t="inlineStr">
        <is>
          <t>Super Canne</t>
        </is>
      </c>
      <c r="E528" s="37" t="inlineStr">
        <is>
          <t>TENTACRUEL</t>
        </is>
      </c>
      <c r="F528" s="38" t="n">
        <v>0.04</v>
      </c>
      <c r="G528" s="39" t="n">
        <v>40</v>
      </c>
      <c r="H528" s="39" t="n">
        <v>40</v>
      </c>
      <c r="I528" s="29">
        <f>IF(OR(COUNTIF('Suivi des rencontres'!$A:$A,$A528)&gt;0,COUNTIF('Suivi des rencontres'!$C:$C,$J528)&gt;0),"Non","Oui")</f>
        <v/>
      </c>
      <c r="J528" s="30" t="inlineStr">
        <is>
          <t>TENTACOOL</t>
        </is>
      </c>
    </row>
    <row r="529">
      <c r="A529" s="35" t="inlineStr">
        <is>
          <t>Cramois'Ile</t>
        </is>
      </c>
      <c r="B529" s="35" t="inlineStr">
        <is>
          <t>CinnabarIsland_hns</t>
        </is>
      </c>
      <c r="C529" s="33" t="inlineStr">
        <is>
          <t>Matin, jour, soir</t>
        </is>
      </c>
      <c r="D529" s="56" t="inlineStr">
        <is>
          <t>Super Canne</t>
        </is>
      </c>
      <c r="E529" s="37" t="inlineStr">
        <is>
          <t>LANTURN</t>
        </is>
      </c>
      <c r="F529" s="38" t="n">
        <v>0.01</v>
      </c>
      <c r="G529" s="39" t="n">
        <v>40</v>
      </c>
      <c r="H529" s="39" t="n">
        <v>40</v>
      </c>
      <c r="I529" s="29">
        <f>IF(OR(COUNTIF('Suivi des rencontres'!$A:$A,$A529)&gt;0,COUNTIF('Suivi des rencontres'!$C:$C,$J529)&gt;0),"Non","Oui")</f>
        <v/>
      </c>
      <c r="J529" s="30" t="inlineStr">
        <is>
          <t>LOUPIO</t>
        </is>
      </c>
    </row>
    <row r="530">
      <c r="A530" s="35" t="inlineStr">
        <is>
          <t>Cramois'Ile</t>
        </is>
      </c>
      <c r="B530" s="35" t="inlineStr">
        <is>
          <t>CinnabarIsland_hns</t>
        </is>
      </c>
      <c r="C530" s="62" t="inlineStr">
        <is>
          <t>Nuit</t>
        </is>
      </c>
      <c r="D530" s="56" t="inlineStr">
        <is>
          <t>Super Canne</t>
        </is>
      </c>
      <c r="E530" s="37" t="inlineStr">
        <is>
          <t>KOKIYAS</t>
        </is>
      </c>
      <c r="F530" s="38" t="n">
        <v>0.55</v>
      </c>
      <c r="G530" s="39" t="n">
        <v>40</v>
      </c>
      <c r="H530" s="39" t="n">
        <v>44</v>
      </c>
      <c r="I530" s="29">
        <f>IF(OR(COUNTIF('Suivi des rencontres'!$A:$A,$A530)&gt;0,COUNTIF('Suivi des rencontres'!$C:$C,$J530)&gt;0),"Non","Oui")</f>
        <v/>
      </c>
      <c r="J530" s="30" t="inlineStr">
        <is>
          <t>KOKIYAS</t>
        </is>
      </c>
    </row>
    <row r="531">
      <c r="A531" s="35" t="inlineStr">
        <is>
          <t>Cramois'Ile</t>
        </is>
      </c>
      <c r="B531" s="35" t="inlineStr">
        <is>
          <t>CinnabarIsland_hns</t>
        </is>
      </c>
      <c r="C531" s="62" t="inlineStr">
        <is>
          <t>Nuit</t>
        </is>
      </c>
      <c r="D531" s="56" t="inlineStr">
        <is>
          <t>Super Canne</t>
        </is>
      </c>
      <c r="E531" s="37" t="inlineStr">
        <is>
          <t>LOUPIO</t>
        </is>
      </c>
      <c r="F531" s="38" t="n">
        <v>0.4</v>
      </c>
      <c r="G531" s="39" t="n">
        <v>40</v>
      </c>
      <c r="H531" s="39" t="n">
        <v>40</v>
      </c>
      <c r="I531" s="29">
        <f>IF(OR(COUNTIF('Suivi des rencontres'!$A:$A,$A531)&gt;0,COUNTIF('Suivi des rencontres'!$C:$C,$J531)&gt;0),"Non","Oui")</f>
        <v/>
      </c>
      <c r="J531" s="30" t="inlineStr">
        <is>
          <t>LOUPIO</t>
        </is>
      </c>
    </row>
    <row r="532">
      <c r="A532" s="35" t="inlineStr">
        <is>
          <t>Cramois'Ile</t>
        </is>
      </c>
      <c r="B532" s="35" t="inlineStr">
        <is>
          <t>CinnabarIsland_hns</t>
        </is>
      </c>
      <c r="C532" s="62" t="inlineStr">
        <is>
          <t>Nuit</t>
        </is>
      </c>
      <c r="D532" s="56" t="inlineStr">
        <is>
          <t>Super Canne</t>
        </is>
      </c>
      <c r="E532" s="37" t="inlineStr">
        <is>
          <t>TENTACRUEL</t>
        </is>
      </c>
      <c r="F532" s="38" t="n">
        <v>0.04</v>
      </c>
      <c r="G532" s="39" t="n">
        <v>40</v>
      </c>
      <c r="H532" s="39" t="n">
        <v>40</v>
      </c>
      <c r="I532" s="29">
        <f>IF(OR(COUNTIF('Suivi des rencontres'!$A:$A,$A532)&gt;0,COUNTIF('Suivi des rencontres'!$C:$C,$J532)&gt;0),"Non","Oui")</f>
        <v/>
      </c>
      <c r="J532" s="30" t="inlineStr">
        <is>
          <t>TENTACOOL</t>
        </is>
      </c>
    </row>
    <row r="533">
      <c r="A533" s="35" t="inlineStr">
        <is>
          <t>Cramois'Ile</t>
        </is>
      </c>
      <c r="B533" s="35" t="inlineStr">
        <is>
          <t>CinnabarIsland_hns</t>
        </is>
      </c>
      <c r="C533" s="62" t="inlineStr">
        <is>
          <t>Nuit</t>
        </is>
      </c>
      <c r="D533" s="56" t="inlineStr">
        <is>
          <t>Super Canne</t>
        </is>
      </c>
      <c r="E533" s="37" t="inlineStr">
        <is>
          <t>LANTURN</t>
        </is>
      </c>
      <c r="F533" s="38" t="n">
        <v>0.01</v>
      </c>
      <c r="G533" s="39" t="n">
        <v>40</v>
      </c>
      <c r="H533" s="39" t="n">
        <v>40</v>
      </c>
      <c r="I533" s="29">
        <f>IF(OR(COUNTIF('Suivi des rencontres'!$A:$A,$A533)&gt;0,COUNTIF('Suivi des rencontres'!$C:$C,$J533)&gt;0),"Non","Oui")</f>
        <v/>
      </c>
      <c r="J533" s="30" t="inlineStr">
        <is>
          <t>LOUPIO</t>
        </is>
      </c>
    </row>
    <row r="534">
      <c r="A534" s="40" t="inlineStr">
        <is>
          <t>Céladopole</t>
        </is>
      </c>
      <c r="B534" s="40" t="inlineStr">
        <is>
          <t>CeladonCity_hns</t>
        </is>
      </c>
      <c r="C534" s="41" t="inlineStr">
        <is>
          <t>Matin, jour, soir</t>
        </is>
      </c>
      <c r="D534" s="63" t="inlineStr">
        <is>
          <t>Surf</t>
        </is>
      </c>
      <c r="E534" s="43" t="inlineStr">
        <is>
          <t>TADMORV</t>
        </is>
      </c>
      <c r="F534" s="44" t="n">
        <v>0.99</v>
      </c>
      <c r="G534" s="45" t="n">
        <v>46</v>
      </c>
      <c r="H534" s="45" t="n">
        <v>48</v>
      </c>
      <c r="I534" s="46">
        <f>IF(OR(COUNTIF('Suivi des rencontres'!$A:$A,$A534)&gt;0,COUNTIF('Suivi des rencontres'!$C:$C,$J534)&gt;0),"Non","Oui")</f>
        <v/>
      </c>
      <c r="J534" s="30" t="inlineStr">
        <is>
          <t>TADMORV</t>
        </is>
      </c>
    </row>
    <row r="535">
      <c r="A535" s="47" t="inlineStr">
        <is>
          <t>Céladopole</t>
        </is>
      </c>
      <c r="B535" s="47" t="inlineStr">
        <is>
          <t>CeladonCity_hns</t>
        </is>
      </c>
      <c r="C535" s="48" t="inlineStr">
        <is>
          <t>Matin, jour, soir</t>
        </is>
      </c>
      <c r="D535" s="53" t="inlineStr">
        <is>
          <t>Surf</t>
        </is>
      </c>
      <c r="E535" s="50" t="inlineStr">
        <is>
          <t>GROTADMORV</t>
        </is>
      </c>
      <c r="F535" s="51" t="n">
        <v>0.01</v>
      </c>
      <c r="G535" s="52" t="n">
        <v>46</v>
      </c>
      <c r="H535" s="52" t="n">
        <v>46</v>
      </c>
      <c r="I535" s="29">
        <f>IF(OR(COUNTIF('Suivi des rencontres'!$A:$A,$A535)&gt;0,COUNTIF('Suivi des rencontres'!$C:$C,$J535)&gt;0),"Non","Oui")</f>
        <v/>
      </c>
      <c r="J535" s="30" t="inlineStr">
        <is>
          <t>TADMORV</t>
        </is>
      </c>
    </row>
    <row r="536">
      <c r="A536" s="47" t="inlineStr">
        <is>
          <t>Céladopole</t>
        </is>
      </c>
      <c r="B536" s="47" t="inlineStr">
        <is>
          <t>CeladonCity_hns</t>
        </is>
      </c>
      <c r="C536" s="62" t="inlineStr">
        <is>
          <t>Nuit</t>
        </is>
      </c>
      <c r="D536" s="53" t="inlineStr">
        <is>
          <t>Surf</t>
        </is>
      </c>
      <c r="E536" s="50" t="inlineStr">
        <is>
          <t>TADMORV</t>
        </is>
      </c>
      <c r="F536" s="51" t="n">
        <v>0.99</v>
      </c>
      <c r="G536" s="52" t="n">
        <v>46</v>
      </c>
      <c r="H536" s="52" t="n">
        <v>48</v>
      </c>
      <c r="I536" s="29">
        <f>IF(OR(COUNTIF('Suivi des rencontres'!$A:$A,$A536)&gt;0,COUNTIF('Suivi des rencontres'!$C:$C,$J536)&gt;0),"Non","Oui")</f>
        <v/>
      </c>
      <c r="J536" s="30" t="inlineStr">
        <is>
          <t>TADMORV</t>
        </is>
      </c>
    </row>
    <row r="537">
      <c r="A537" s="47" t="inlineStr">
        <is>
          <t>Céladopole</t>
        </is>
      </c>
      <c r="B537" s="47" t="inlineStr">
        <is>
          <t>CeladonCity_hns</t>
        </is>
      </c>
      <c r="C537" s="62" t="inlineStr">
        <is>
          <t>Nuit</t>
        </is>
      </c>
      <c r="D537" s="53" t="inlineStr">
        <is>
          <t>Surf</t>
        </is>
      </c>
      <c r="E537" s="50" t="inlineStr">
        <is>
          <t>GROTADMORV</t>
        </is>
      </c>
      <c r="F537" s="51" t="n">
        <v>0.01</v>
      </c>
      <c r="G537" s="52" t="n">
        <v>46</v>
      </c>
      <c r="H537" s="52" t="n">
        <v>46</v>
      </c>
      <c r="I537" s="29">
        <f>IF(OR(COUNTIF('Suivi des rencontres'!$A:$A,$A537)&gt;0,COUNTIF('Suivi des rencontres'!$C:$C,$J537)&gt;0),"Non","Oui")</f>
        <v/>
      </c>
      <c r="J537" s="30" t="inlineStr">
        <is>
          <t>TADMORV</t>
        </is>
      </c>
    </row>
    <row r="538">
      <c r="A538" s="47" t="inlineStr">
        <is>
          <t>Céladopole</t>
        </is>
      </c>
      <c r="B538" s="47" t="inlineStr">
        <is>
          <t>CeladonCity_hns</t>
        </is>
      </c>
      <c r="C538" s="48" t="inlineStr">
        <is>
          <t>Matin, jour, soir</t>
        </is>
      </c>
      <c r="D538" s="36" t="inlineStr">
        <is>
          <t>Éclate-Roc</t>
        </is>
      </c>
      <c r="E538" s="50" t="inlineStr">
        <is>
          <t>POMDEPIK</t>
        </is>
      </c>
      <c r="F538" s="51" t="n">
        <v>0.6</v>
      </c>
      <c r="G538" s="52" t="n">
        <v>41</v>
      </c>
      <c r="H538" s="52" t="n">
        <v>43</v>
      </c>
      <c r="I538" s="29">
        <f>IF(OR(COUNTIF('Suivi des rencontres'!$A:$A,$A538)&gt;0,COUNTIF('Suivi des rencontres'!$C:$C,$J538)&gt;0),"Non","Oui")</f>
        <v/>
      </c>
      <c r="J538" s="30" t="inlineStr">
        <is>
          <t>POMDEPIK</t>
        </is>
      </c>
    </row>
    <row r="539">
      <c r="A539" s="47" t="inlineStr">
        <is>
          <t>Céladopole</t>
        </is>
      </c>
      <c r="B539" s="47" t="inlineStr">
        <is>
          <t>CeladonCity_hns</t>
        </is>
      </c>
      <c r="C539" s="48" t="inlineStr">
        <is>
          <t>Matin, jour, soir</t>
        </is>
      </c>
      <c r="D539" s="36" t="inlineStr">
        <is>
          <t>Éclate-Roc</t>
        </is>
      </c>
      <c r="E539" s="50" t="inlineStr">
        <is>
          <t>NOEUNOEUF</t>
        </is>
      </c>
      <c r="F539" s="51" t="n">
        <v>0.3</v>
      </c>
      <c r="G539" s="52" t="n">
        <v>41</v>
      </c>
      <c r="H539" s="52" t="n">
        <v>43</v>
      </c>
      <c r="I539" s="29">
        <f>IF(OR(COUNTIF('Suivi des rencontres'!$A:$A,$A539)&gt;0,COUNTIF('Suivi des rencontres'!$C:$C,$J539)&gt;0),"Non","Oui")</f>
        <v/>
      </c>
      <c r="J539" s="30" t="inlineStr">
        <is>
          <t>NOEUNOEUF</t>
        </is>
      </c>
    </row>
    <row r="540">
      <c r="A540" s="47" t="inlineStr">
        <is>
          <t>Céladopole</t>
        </is>
      </c>
      <c r="B540" s="47" t="inlineStr">
        <is>
          <t>CeladonCity_hns</t>
        </is>
      </c>
      <c r="C540" s="48" t="inlineStr">
        <is>
          <t>Matin, jour, soir</t>
        </is>
      </c>
      <c r="D540" s="36" t="inlineStr">
        <is>
          <t>Éclate-Roc</t>
        </is>
      </c>
      <c r="E540" s="50" t="inlineStr">
        <is>
          <t>COXY</t>
        </is>
      </c>
      <c r="F540" s="51" t="n">
        <v>0.05</v>
      </c>
      <c r="G540" s="52" t="n">
        <v>41</v>
      </c>
      <c r="H540" s="52" t="n">
        <v>43</v>
      </c>
      <c r="I540" s="29">
        <f>IF(OR(COUNTIF('Suivi des rencontres'!$A:$A,$A540)&gt;0,COUNTIF('Suivi des rencontres'!$C:$C,$J540)&gt;0),"Non","Oui")</f>
        <v/>
      </c>
      <c r="J540" s="30" t="inlineStr">
        <is>
          <t>COXY</t>
        </is>
      </c>
    </row>
    <row r="541">
      <c r="A541" s="47" t="inlineStr">
        <is>
          <t>Céladopole</t>
        </is>
      </c>
      <c r="B541" s="47" t="inlineStr">
        <is>
          <t>CeladonCity_hns</t>
        </is>
      </c>
      <c r="C541" s="48" t="inlineStr">
        <is>
          <t>Matin, jour, soir</t>
        </is>
      </c>
      <c r="D541" s="36" t="inlineStr">
        <is>
          <t>Éclate-Roc</t>
        </is>
      </c>
      <c r="E541" s="50" t="inlineStr">
        <is>
          <t>MIMIGAL</t>
        </is>
      </c>
      <c r="F541" s="51" t="n">
        <v>0.05</v>
      </c>
      <c r="G541" s="52" t="n">
        <v>41</v>
      </c>
      <c r="H541" s="52" t="n">
        <v>43</v>
      </c>
      <c r="I541" s="29">
        <f>IF(OR(COUNTIF('Suivi des rencontres'!$A:$A,$A541)&gt;0,COUNTIF('Suivi des rencontres'!$C:$C,$J541)&gt;0),"Non","Oui")</f>
        <v/>
      </c>
      <c r="J541" s="30" t="inlineStr">
        <is>
          <t>MIMIGAL</t>
        </is>
      </c>
    </row>
    <row r="542">
      <c r="A542" s="47" t="inlineStr">
        <is>
          <t>Céladopole</t>
        </is>
      </c>
      <c r="B542" s="47" t="inlineStr">
        <is>
          <t>CeladonCity_hns</t>
        </is>
      </c>
      <c r="C542" s="62" t="inlineStr">
        <is>
          <t>Nuit</t>
        </is>
      </c>
      <c r="D542" s="36" t="inlineStr">
        <is>
          <t>Éclate-Roc</t>
        </is>
      </c>
      <c r="E542" s="50" t="inlineStr">
        <is>
          <t>POMDEPIK</t>
        </is>
      </c>
      <c r="F542" s="51" t="n">
        <v>0.6</v>
      </c>
      <c r="G542" s="52" t="n">
        <v>41</v>
      </c>
      <c r="H542" s="52" t="n">
        <v>43</v>
      </c>
      <c r="I542" s="29">
        <f>IF(OR(COUNTIF('Suivi des rencontres'!$A:$A,$A542)&gt;0,COUNTIF('Suivi des rencontres'!$C:$C,$J542)&gt;0),"Non","Oui")</f>
        <v/>
      </c>
      <c r="J542" s="30" t="inlineStr">
        <is>
          <t>POMDEPIK</t>
        </is>
      </c>
    </row>
    <row r="543">
      <c r="A543" s="47" t="inlineStr">
        <is>
          <t>Céladopole</t>
        </is>
      </c>
      <c r="B543" s="47" t="inlineStr">
        <is>
          <t>CeladonCity_hns</t>
        </is>
      </c>
      <c r="C543" s="62" t="inlineStr">
        <is>
          <t>Nuit</t>
        </is>
      </c>
      <c r="D543" s="36" t="inlineStr">
        <is>
          <t>Éclate-Roc</t>
        </is>
      </c>
      <c r="E543" s="50" t="inlineStr">
        <is>
          <t>NOEUNOEUF</t>
        </is>
      </c>
      <c r="F543" s="51" t="n">
        <v>0.3</v>
      </c>
      <c r="G543" s="52" t="n">
        <v>41</v>
      </c>
      <c r="H543" s="52" t="n">
        <v>43</v>
      </c>
      <c r="I543" s="29">
        <f>IF(OR(COUNTIF('Suivi des rencontres'!$A:$A,$A543)&gt;0,COUNTIF('Suivi des rencontres'!$C:$C,$J543)&gt;0),"Non","Oui")</f>
        <v/>
      </c>
      <c r="J543" s="30" t="inlineStr">
        <is>
          <t>NOEUNOEUF</t>
        </is>
      </c>
    </row>
    <row r="544">
      <c r="A544" s="47" t="inlineStr">
        <is>
          <t>Céladopole</t>
        </is>
      </c>
      <c r="B544" s="47" t="inlineStr">
        <is>
          <t>CeladonCity_hns</t>
        </is>
      </c>
      <c r="C544" s="62" t="inlineStr">
        <is>
          <t>Nuit</t>
        </is>
      </c>
      <c r="D544" s="36" t="inlineStr">
        <is>
          <t>Éclate-Roc</t>
        </is>
      </c>
      <c r="E544" s="50" t="inlineStr">
        <is>
          <t>COXY</t>
        </is>
      </c>
      <c r="F544" s="51" t="n">
        <v>0.05</v>
      </c>
      <c r="G544" s="52" t="n">
        <v>41</v>
      </c>
      <c r="H544" s="52" t="n">
        <v>43</v>
      </c>
      <c r="I544" s="29">
        <f>IF(OR(COUNTIF('Suivi des rencontres'!$A:$A,$A544)&gt;0,COUNTIF('Suivi des rencontres'!$C:$C,$J544)&gt;0),"Non","Oui")</f>
        <v/>
      </c>
      <c r="J544" s="30" t="inlineStr">
        <is>
          <t>COXY</t>
        </is>
      </c>
    </row>
    <row r="545">
      <c r="A545" s="47" t="inlineStr">
        <is>
          <t>Céladopole</t>
        </is>
      </c>
      <c r="B545" s="47" t="inlineStr">
        <is>
          <t>CeladonCity_hns</t>
        </is>
      </c>
      <c r="C545" s="62" t="inlineStr">
        <is>
          <t>Nuit</t>
        </is>
      </c>
      <c r="D545" s="36" t="inlineStr">
        <is>
          <t>Éclate-Roc</t>
        </is>
      </c>
      <c r="E545" s="50" t="inlineStr">
        <is>
          <t>MIMIGAL</t>
        </is>
      </c>
      <c r="F545" s="51" t="n">
        <v>0.05</v>
      </c>
      <c r="G545" s="52" t="n">
        <v>41</v>
      </c>
      <c r="H545" s="52" t="n">
        <v>43</v>
      </c>
      <c r="I545" s="29">
        <f>IF(OR(COUNTIF('Suivi des rencontres'!$A:$A,$A545)&gt;0,COUNTIF('Suivi des rencontres'!$C:$C,$J545)&gt;0),"Non","Oui")</f>
        <v/>
      </c>
      <c r="J545" s="30" t="inlineStr">
        <is>
          <t>MIMIGAL</t>
        </is>
      </c>
    </row>
    <row r="546">
      <c r="A546" s="47" t="inlineStr">
        <is>
          <t>Céladopole</t>
        </is>
      </c>
      <c r="B546" s="47" t="inlineStr">
        <is>
          <t>CeladonCity_hns</t>
        </is>
      </c>
      <c r="C546" s="48" t="inlineStr">
        <is>
          <t>Matin, jour, soir</t>
        </is>
      </c>
      <c r="D546" s="54" t="inlineStr">
        <is>
          <t>Vieille Canne</t>
        </is>
      </c>
      <c r="E546" s="50" t="inlineStr">
        <is>
          <t>TADMORV</t>
        </is>
      </c>
      <c r="F546" s="51" t="n">
        <v>1</v>
      </c>
      <c r="G546" s="52" t="n">
        <v>45</v>
      </c>
      <c r="H546" s="52" t="n">
        <v>47</v>
      </c>
      <c r="I546" s="29">
        <f>IF(OR(COUNTIF('Suivi des rencontres'!$A:$A,$A546)&gt;0,COUNTIF('Suivi des rencontres'!$C:$C,$J546)&gt;0),"Non","Oui")</f>
        <v/>
      </c>
      <c r="J546" s="30" t="inlineStr">
        <is>
          <t>TADMORV</t>
        </is>
      </c>
    </row>
    <row r="547">
      <c r="A547" s="47" t="inlineStr">
        <is>
          <t>Céladopole</t>
        </is>
      </c>
      <c r="B547" s="47" t="inlineStr">
        <is>
          <t>CeladonCity_hns</t>
        </is>
      </c>
      <c r="C547" s="62" t="inlineStr">
        <is>
          <t>Nuit</t>
        </is>
      </c>
      <c r="D547" s="54" t="inlineStr">
        <is>
          <t>Vieille Canne</t>
        </is>
      </c>
      <c r="E547" s="50" t="inlineStr">
        <is>
          <t>TADMORV</t>
        </is>
      </c>
      <c r="F547" s="51" t="n">
        <v>1</v>
      </c>
      <c r="G547" s="52" t="n">
        <v>45</v>
      </c>
      <c r="H547" s="52" t="n">
        <v>47</v>
      </c>
      <c r="I547" s="29">
        <f>IF(OR(COUNTIF('Suivi des rencontres'!$A:$A,$A547)&gt;0,COUNTIF('Suivi des rencontres'!$C:$C,$J547)&gt;0),"Non","Oui")</f>
        <v/>
      </c>
      <c r="J547" s="30" t="inlineStr">
        <is>
          <t>TADMORV</t>
        </is>
      </c>
    </row>
    <row r="548">
      <c r="A548" s="47" t="inlineStr">
        <is>
          <t>Céladopole</t>
        </is>
      </c>
      <c r="B548" s="47" t="inlineStr">
        <is>
          <t>CeladonCity_hns</t>
        </is>
      </c>
      <c r="C548" s="48" t="inlineStr">
        <is>
          <t>Matin, jour, soir</t>
        </is>
      </c>
      <c r="D548" s="55" t="inlineStr">
        <is>
          <t>Bonne Canne</t>
        </is>
      </c>
      <c r="E548" s="50" t="inlineStr">
        <is>
          <t>TADMORV</t>
        </is>
      </c>
      <c r="F548" s="51" t="n">
        <v>1</v>
      </c>
      <c r="G548" s="52" t="n">
        <v>45</v>
      </c>
      <c r="H548" s="52" t="n">
        <v>47</v>
      </c>
      <c r="I548" s="29">
        <f>IF(OR(COUNTIF('Suivi des rencontres'!$A:$A,$A548)&gt;0,COUNTIF('Suivi des rencontres'!$C:$C,$J548)&gt;0),"Non","Oui")</f>
        <v/>
      </c>
      <c r="J548" s="30" t="inlineStr">
        <is>
          <t>TADMORV</t>
        </is>
      </c>
    </row>
    <row r="549">
      <c r="A549" s="47" t="inlineStr">
        <is>
          <t>Céladopole</t>
        </is>
      </c>
      <c r="B549" s="47" t="inlineStr">
        <is>
          <t>CeladonCity_hns</t>
        </is>
      </c>
      <c r="C549" s="62" t="inlineStr">
        <is>
          <t>Nuit</t>
        </is>
      </c>
      <c r="D549" s="55" t="inlineStr">
        <is>
          <t>Bonne Canne</t>
        </is>
      </c>
      <c r="E549" s="50" t="inlineStr">
        <is>
          <t>TADMORV</t>
        </is>
      </c>
      <c r="F549" s="51" t="n">
        <v>1</v>
      </c>
      <c r="G549" s="52" t="n">
        <v>45</v>
      </c>
      <c r="H549" s="52" t="n">
        <v>47</v>
      </c>
      <c r="I549" s="29">
        <f>IF(OR(COUNTIF('Suivi des rencontres'!$A:$A,$A549)&gt;0,COUNTIF('Suivi des rencontres'!$C:$C,$J549)&gt;0),"Non","Oui")</f>
        <v/>
      </c>
      <c r="J549" s="30" t="inlineStr">
        <is>
          <t>TADMORV</t>
        </is>
      </c>
    </row>
    <row r="550">
      <c r="A550" s="47" t="inlineStr">
        <is>
          <t>Céladopole</t>
        </is>
      </c>
      <c r="B550" s="47" t="inlineStr">
        <is>
          <t>CeladonCity_hns</t>
        </is>
      </c>
      <c r="C550" s="48" t="inlineStr">
        <is>
          <t>Matin, jour, soir</t>
        </is>
      </c>
      <c r="D550" s="56" t="inlineStr">
        <is>
          <t>Super Canne</t>
        </is>
      </c>
      <c r="E550" s="50" t="inlineStr">
        <is>
          <t>TADMORV</t>
        </is>
      </c>
      <c r="F550" s="51" t="n">
        <v>1</v>
      </c>
      <c r="G550" s="52" t="n">
        <v>45</v>
      </c>
      <c r="H550" s="52" t="n">
        <v>47</v>
      </c>
      <c r="I550" s="29">
        <f>IF(OR(COUNTIF('Suivi des rencontres'!$A:$A,$A550)&gt;0,COUNTIF('Suivi des rencontres'!$C:$C,$J550)&gt;0),"Non","Oui")</f>
        <v/>
      </c>
      <c r="J550" s="30" t="inlineStr">
        <is>
          <t>TADMORV</t>
        </is>
      </c>
    </row>
    <row r="551">
      <c r="A551" s="47" t="inlineStr">
        <is>
          <t>Céladopole</t>
        </is>
      </c>
      <c r="B551" s="47" t="inlineStr">
        <is>
          <t>CeladonCity_hns</t>
        </is>
      </c>
      <c r="C551" s="62" t="inlineStr">
        <is>
          <t>Nuit</t>
        </is>
      </c>
      <c r="D551" s="56" t="inlineStr">
        <is>
          <t>Super Canne</t>
        </is>
      </c>
      <c r="E551" s="50" t="inlineStr">
        <is>
          <t>TADMORV</t>
        </is>
      </c>
      <c r="F551" s="51" t="n">
        <v>1</v>
      </c>
      <c r="G551" s="52" t="n">
        <v>45</v>
      </c>
      <c r="H551" s="52" t="n">
        <v>47</v>
      </c>
      <c r="I551" s="29">
        <f>IF(OR(COUNTIF('Suivi des rencontres'!$A:$A,$A551)&gt;0,COUNTIF('Suivi des rencontres'!$C:$C,$J551)&gt;0),"Non","Oui")</f>
        <v/>
      </c>
      <c r="J551" s="30" t="inlineStr">
        <is>
          <t>TADMORV</t>
        </is>
      </c>
    </row>
    <row r="552">
      <c r="A552" s="57" t="inlineStr">
        <is>
          <t>Doublonville</t>
        </is>
      </c>
      <c r="B552" s="57" t="inlineStr">
        <is>
          <t>GoldenrodCity_hns</t>
        </is>
      </c>
      <c r="C552" s="58" t="inlineStr">
        <is>
          <t>Toute la journée</t>
        </is>
      </c>
      <c r="D552" s="64" t="inlineStr">
        <is>
          <t>Éclate-Roc</t>
        </is>
      </c>
      <c r="E552" s="59" t="inlineStr">
        <is>
          <t>POMDEPIK</t>
        </is>
      </c>
      <c r="F552" s="60" t="n">
        <v>0.6</v>
      </c>
      <c r="G552" s="61" t="n">
        <v>10</v>
      </c>
      <c r="H552" s="61" t="n">
        <v>10</v>
      </c>
      <c r="I552" s="46">
        <f>IF(OR(COUNTIF('Suivi des rencontres'!$A:$A,$A552)&gt;0,COUNTIF('Suivi des rencontres'!$C:$C,$J552)&gt;0),"Non","Oui")</f>
        <v/>
      </c>
      <c r="J552" s="30" t="inlineStr">
        <is>
          <t>POMDEPIK</t>
        </is>
      </c>
    </row>
    <row r="553">
      <c r="A553" s="35" t="inlineStr">
        <is>
          <t>Doublonville</t>
        </is>
      </c>
      <c r="B553" s="35" t="inlineStr">
        <is>
          <t>GoldenrodCity_hns</t>
        </is>
      </c>
      <c r="C553" s="33" t="inlineStr">
        <is>
          <t>Toute la journée</t>
        </is>
      </c>
      <c r="D553" s="36" t="inlineStr">
        <is>
          <t>Éclate-Roc</t>
        </is>
      </c>
      <c r="E553" s="37" t="inlineStr">
        <is>
          <t>NOEUNOEUF</t>
        </is>
      </c>
      <c r="F553" s="38" t="n">
        <v>0.3</v>
      </c>
      <c r="G553" s="39" t="n">
        <v>10</v>
      </c>
      <c r="H553" s="39" t="n">
        <v>10</v>
      </c>
      <c r="I553" s="29">
        <f>IF(OR(COUNTIF('Suivi des rencontres'!$A:$A,$A553)&gt;0,COUNTIF('Suivi des rencontres'!$C:$C,$J553)&gt;0),"Non","Oui")</f>
        <v/>
      </c>
      <c r="J553" s="30" t="inlineStr">
        <is>
          <t>NOEUNOEUF</t>
        </is>
      </c>
    </row>
    <row r="554">
      <c r="A554" s="35" t="inlineStr">
        <is>
          <t>Doublonville</t>
        </is>
      </c>
      <c r="B554" s="35" t="inlineStr">
        <is>
          <t>GoldenrodCity_hns</t>
        </is>
      </c>
      <c r="C554" s="33" t="inlineStr">
        <is>
          <t>Toute la journée</t>
        </is>
      </c>
      <c r="D554" s="36" t="inlineStr">
        <is>
          <t>Éclate-Roc</t>
        </is>
      </c>
      <c r="E554" s="37" t="inlineStr">
        <is>
          <t>COXY</t>
        </is>
      </c>
      <c r="F554" s="38" t="n">
        <v>0.05</v>
      </c>
      <c r="G554" s="39" t="n">
        <v>10</v>
      </c>
      <c r="H554" s="39" t="n">
        <v>10</v>
      </c>
      <c r="I554" s="29">
        <f>IF(OR(COUNTIF('Suivi des rencontres'!$A:$A,$A554)&gt;0,COUNTIF('Suivi des rencontres'!$C:$C,$J554)&gt;0),"Non","Oui")</f>
        <v/>
      </c>
      <c r="J554" s="30" t="inlineStr">
        <is>
          <t>COXY</t>
        </is>
      </c>
    </row>
    <row r="555">
      <c r="A555" s="35" t="inlineStr">
        <is>
          <t>Doublonville</t>
        </is>
      </c>
      <c r="B555" s="35" t="inlineStr">
        <is>
          <t>GoldenrodCity_hns</t>
        </is>
      </c>
      <c r="C555" s="33" t="inlineStr">
        <is>
          <t>Toute la journée</t>
        </is>
      </c>
      <c r="D555" s="36" t="inlineStr">
        <is>
          <t>Éclate-Roc</t>
        </is>
      </c>
      <c r="E555" s="37" t="inlineStr">
        <is>
          <t>MIMIGAL</t>
        </is>
      </c>
      <c r="F555" s="38" t="n">
        <v>0.05</v>
      </c>
      <c r="G555" s="39" t="n">
        <v>10</v>
      </c>
      <c r="H555" s="39" t="n">
        <v>10</v>
      </c>
      <c r="I555" s="29">
        <f>IF(OR(COUNTIF('Suivi des rencontres'!$A:$A,$A555)&gt;0,COUNTIF('Suivi des rencontres'!$C:$C,$J555)&gt;0),"Non","Oui")</f>
        <v/>
      </c>
      <c r="J555" s="30" t="inlineStr">
        <is>
          <t>MIMIGAL</t>
        </is>
      </c>
    </row>
    <row r="556">
      <c r="A556" s="40" t="inlineStr">
        <is>
          <t>Ebènelle</t>
        </is>
      </c>
      <c r="B556" s="40" t="inlineStr">
        <is>
          <t>BlackthornCity_hns</t>
        </is>
      </c>
      <c r="C556" s="41" t="inlineStr">
        <is>
          <t>Matin, jour, soir</t>
        </is>
      </c>
      <c r="D556" s="63" t="inlineStr">
        <is>
          <t>Surf</t>
        </is>
      </c>
      <c r="E556" s="43" t="inlineStr">
        <is>
          <t>MAGICARPE</t>
        </is>
      </c>
      <c r="F556" s="44" t="n">
        <v>1</v>
      </c>
      <c r="G556" s="45" t="n">
        <v>5</v>
      </c>
      <c r="H556" s="45" t="n">
        <v>19</v>
      </c>
      <c r="I556" s="46">
        <f>IF(OR(COUNTIF('Suivi des rencontres'!$A:$A,$A556)&gt;0,COUNTIF('Suivi des rencontres'!$C:$C,$J556)&gt;0),"Non","Oui")</f>
        <v/>
      </c>
      <c r="J556" s="30" t="inlineStr">
        <is>
          <t>MAGICARPE</t>
        </is>
      </c>
    </row>
    <row r="557">
      <c r="A557" s="47" t="inlineStr">
        <is>
          <t>Ebènelle</t>
        </is>
      </c>
      <c r="B557" s="47" t="inlineStr">
        <is>
          <t>BlackthornCity_hns</t>
        </is>
      </c>
      <c r="C557" s="62" t="inlineStr">
        <is>
          <t>Nuit</t>
        </is>
      </c>
      <c r="D557" s="53" t="inlineStr">
        <is>
          <t>Surf</t>
        </is>
      </c>
      <c r="E557" s="50" t="inlineStr">
        <is>
          <t>MAGICARPE</t>
        </is>
      </c>
      <c r="F557" s="51" t="n">
        <v>1</v>
      </c>
      <c r="G557" s="52" t="n">
        <v>5</v>
      </c>
      <c r="H557" s="52" t="n">
        <v>19</v>
      </c>
      <c r="I557" s="29">
        <f>IF(OR(COUNTIF('Suivi des rencontres'!$A:$A,$A557)&gt;0,COUNTIF('Suivi des rencontres'!$C:$C,$J557)&gt;0),"Non","Oui")</f>
        <v/>
      </c>
      <c r="J557" s="30" t="inlineStr">
        <is>
          <t>MAGICARPE</t>
        </is>
      </c>
    </row>
    <row r="558">
      <c r="A558" s="47" t="inlineStr">
        <is>
          <t>Ebènelle</t>
        </is>
      </c>
      <c r="B558" s="47" t="inlineStr">
        <is>
          <t>BlackthornCity_hns</t>
        </is>
      </c>
      <c r="C558" s="48" t="inlineStr">
        <is>
          <t>Matin, jour, soir</t>
        </is>
      </c>
      <c r="D558" s="36" t="inlineStr">
        <is>
          <t>Éclate-Roc</t>
        </is>
      </c>
      <c r="E558" s="50" t="inlineStr">
        <is>
          <t>CAPUMAIN</t>
        </is>
      </c>
      <c r="F558" s="51" t="n">
        <v>0.9</v>
      </c>
      <c r="G558" s="52" t="n">
        <v>15</v>
      </c>
      <c r="H558" s="52" t="n">
        <v>15</v>
      </c>
      <c r="I558" s="29">
        <f>IF(OR(COUNTIF('Suivi des rencontres'!$A:$A,$A558)&gt;0,COUNTIF('Suivi des rencontres'!$C:$C,$J558)&gt;0),"Non","Oui")</f>
        <v/>
      </c>
      <c r="J558" s="30" t="inlineStr">
        <is>
          <t>CAPUMAIN</t>
        </is>
      </c>
    </row>
    <row r="559">
      <c r="A559" s="47" t="inlineStr">
        <is>
          <t>Ebènelle</t>
        </is>
      </c>
      <c r="B559" s="47" t="inlineStr">
        <is>
          <t>BlackthornCity_hns</t>
        </is>
      </c>
      <c r="C559" s="48" t="inlineStr">
        <is>
          <t>Matin, jour, soir</t>
        </is>
      </c>
      <c r="D559" s="36" t="inlineStr">
        <is>
          <t>Éclate-Roc</t>
        </is>
      </c>
      <c r="E559" s="50" t="inlineStr">
        <is>
          <t>POMDEPIK</t>
        </is>
      </c>
      <c r="F559" s="51" t="n">
        <v>0.05</v>
      </c>
      <c r="G559" s="52" t="n">
        <v>15</v>
      </c>
      <c r="H559" s="52" t="n">
        <v>15</v>
      </c>
      <c r="I559" s="29">
        <f>IF(OR(COUNTIF('Suivi des rencontres'!$A:$A,$A559)&gt;0,COUNTIF('Suivi des rencontres'!$C:$C,$J559)&gt;0),"Non","Oui")</f>
        <v/>
      </c>
      <c r="J559" s="30" t="inlineStr">
        <is>
          <t>POMDEPIK</t>
        </is>
      </c>
    </row>
    <row r="560">
      <c r="A560" s="47" t="inlineStr">
        <is>
          <t>Ebènelle</t>
        </is>
      </c>
      <c r="B560" s="47" t="inlineStr">
        <is>
          <t>BlackthornCity_hns</t>
        </is>
      </c>
      <c r="C560" s="48" t="inlineStr">
        <is>
          <t>Matin, jour, soir</t>
        </is>
      </c>
      <c r="D560" s="36" t="inlineStr">
        <is>
          <t>Éclate-Roc</t>
        </is>
      </c>
      <c r="E560" s="50" t="inlineStr">
        <is>
          <t>SCARHINO</t>
        </is>
      </c>
      <c r="F560" s="51" t="n">
        <v>0.05</v>
      </c>
      <c r="G560" s="52" t="n">
        <v>15</v>
      </c>
      <c r="H560" s="52" t="n">
        <v>15</v>
      </c>
      <c r="I560" s="29">
        <f>IF(OR(COUNTIF('Suivi des rencontres'!$A:$A,$A560)&gt;0,COUNTIF('Suivi des rencontres'!$C:$C,$J560)&gt;0),"Non","Oui")</f>
        <v/>
      </c>
      <c r="J560" s="30" t="inlineStr">
        <is>
          <t>SCARHINO</t>
        </is>
      </c>
    </row>
    <row r="561">
      <c r="A561" s="47" t="inlineStr">
        <is>
          <t>Ebènelle</t>
        </is>
      </c>
      <c r="B561" s="47" t="inlineStr">
        <is>
          <t>BlackthornCity_hns</t>
        </is>
      </c>
      <c r="C561" s="62" t="inlineStr">
        <is>
          <t>Nuit</t>
        </is>
      </c>
      <c r="D561" s="36" t="inlineStr">
        <is>
          <t>Éclate-Roc</t>
        </is>
      </c>
      <c r="E561" s="50" t="inlineStr">
        <is>
          <t>CAPUMAIN</t>
        </is>
      </c>
      <c r="F561" s="51" t="n">
        <v>0.9</v>
      </c>
      <c r="G561" s="52" t="n">
        <v>15</v>
      </c>
      <c r="H561" s="52" t="n">
        <v>15</v>
      </c>
      <c r="I561" s="29">
        <f>IF(OR(COUNTIF('Suivi des rencontres'!$A:$A,$A561)&gt;0,COUNTIF('Suivi des rencontres'!$C:$C,$J561)&gt;0),"Non","Oui")</f>
        <v/>
      </c>
      <c r="J561" s="30" t="inlineStr">
        <is>
          <t>CAPUMAIN</t>
        </is>
      </c>
    </row>
    <row r="562">
      <c r="A562" s="47" t="inlineStr">
        <is>
          <t>Ebènelle</t>
        </is>
      </c>
      <c r="B562" s="47" t="inlineStr">
        <is>
          <t>BlackthornCity_hns</t>
        </is>
      </c>
      <c r="C562" s="62" t="inlineStr">
        <is>
          <t>Nuit</t>
        </is>
      </c>
      <c r="D562" s="36" t="inlineStr">
        <is>
          <t>Éclate-Roc</t>
        </is>
      </c>
      <c r="E562" s="50" t="inlineStr">
        <is>
          <t>POMDEPIK</t>
        </is>
      </c>
      <c r="F562" s="51" t="n">
        <v>0.05</v>
      </c>
      <c r="G562" s="52" t="n">
        <v>15</v>
      </c>
      <c r="H562" s="52" t="n">
        <v>15</v>
      </c>
      <c r="I562" s="29">
        <f>IF(OR(COUNTIF('Suivi des rencontres'!$A:$A,$A562)&gt;0,COUNTIF('Suivi des rencontres'!$C:$C,$J562)&gt;0),"Non","Oui")</f>
        <v/>
      </c>
      <c r="J562" s="30" t="inlineStr">
        <is>
          <t>POMDEPIK</t>
        </is>
      </c>
    </row>
    <row r="563">
      <c r="A563" s="47" t="inlineStr">
        <is>
          <t>Ebènelle</t>
        </is>
      </c>
      <c r="B563" s="47" t="inlineStr">
        <is>
          <t>BlackthornCity_hns</t>
        </is>
      </c>
      <c r="C563" s="62" t="inlineStr">
        <is>
          <t>Nuit</t>
        </is>
      </c>
      <c r="D563" s="36" t="inlineStr">
        <is>
          <t>Éclate-Roc</t>
        </is>
      </c>
      <c r="E563" s="50" t="inlineStr">
        <is>
          <t>SCARHINO</t>
        </is>
      </c>
      <c r="F563" s="51" t="n">
        <v>0.05</v>
      </c>
      <c r="G563" s="52" t="n">
        <v>15</v>
      </c>
      <c r="H563" s="52" t="n">
        <v>15</v>
      </c>
      <c r="I563" s="29">
        <f>IF(OR(COUNTIF('Suivi des rencontres'!$A:$A,$A563)&gt;0,COUNTIF('Suivi des rencontres'!$C:$C,$J563)&gt;0),"Non","Oui")</f>
        <v/>
      </c>
      <c r="J563" s="30" t="inlineStr">
        <is>
          <t>SCARHINO</t>
        </is>
      </c>
    </row>
    <row r="564">
      <c r="A564" s="47" t="inlineStr">
        <is>
          <t>Ebènelle</t>
        </is>
      </c>
      <c r="B564" s="47" t="inlineStr">
        <is>
          <t>BlackthornCity_hns</t>
        </is>
      </c>
      <c r="C564" s="48" t="inlineStr">
        <is>
          <t>Matin, jour, soir</t>
        </is>
      </c>
      <c r="D564" s="54" t="inlineStr">
        <is>
          <t>Vieille Canne</t>
        </is>
      </c>
      <c r="E564" s="50" t="inlineStr">
        <is>
          <t>MAGICARPE</t>
        </is>
      </c>
      <c r="F564" s="51" t="n">
        <v>0.7</v>
      </c>
      <c r="G564" s="52" t="n">
        <v>10</v>
      </c>
      <c r="H564" s="52" t="n">
        <v>10</v>
      </c>
      <c r="I564" s="29">
        <f>IF(OR(COUNTIF('Suivi des rencontres'!$A:$A,$A564)&gt;0,COUNTIF('Suivi des rencontres'!$C:$C,$J564)&gt;0),"Non","Oui")</f>
        <v/>
      </c>
      <c r="J564" s="30" t="inlineStr">
        <is>
          <t>MAGICARPE</t>
        </is>
      </c>
    </row>
    <row r="565">
      <c r="A565" s="47" t="inlineStr">
        <is>
          <t>Ebènelle</t>
        </is>
      </c>
      <c r="B565" s="47" t="inlineStr">
        <is>
          <t>BlackthornCity_hns</t>
        </is>
      </c>
      <c r="C565" s="48" t="inlineStr">
        <is>
          <t>Matin, jour, soir</t>
        </is>
      </c>
      <c r="D565" s="54" t="inlineStr">
        <is>
          <t>Vieille Canne</t>
        </is>
      </c>
      <c r="E565" s="50" t="inlineStr">
        <is>
          <t>PTITARD</t>
        </is>
      </c>
      <c r="F565" s="51" t="n">
        <v>0.3</v>
      </c>
      <c r="G565" s="52" t="n">
        <v>10</v>
      </c>
      <c r="H565" s="52" t="n">
        <v>10</v>
      </c>
      <c r="I565" s="29">
        <f>IF(OR(COUNTIF('Suivi des rencontres'!$A:$A,$A565)&gt;0,COUNTIF('Suivi des rencontres'!$C:$C,$J565)&gt;0),"Non","Oui")</f>
        <v/>
      </c>
      <c r="J565" s="30" t="inlineStr">
        <is>
          <t>PTITARD</t>
        </is>
      </c>
    </row>
    <row r="566">
      <c r="A566" s="47" t="inlineStr">
        <is>
          <t>Ebènelle</t>
        </is>
      </c>
      <c r="B566" s="47" t="inlineStr">
        <is>
          <t>BlackthornCity_hns</t>
        </is>
      </c>
      <c r="C566" s="62" t="inlineStr">
        <is>
          <t>Nuit</t>
        </is>
      </c>
      <c r="D566" s="54" t="inlineStr">
        <is>
          <t>Vieille Canne</t>
        </is>
      </c>
      <c r="E566" s="50" t="inlineStr">
        <is>
          <t>MAGICARPE</t>
        </is>
      </c>
      <c r="F566" s="51" t="n">
        <v>0.7</v>
      </c>
      <c r="G566" s="52" t="n">
        <v>10</v>
      </c>
      <c r="H566" s="52" t="n">
        <v>10</v>
      </c>
      <c r="I566" s="29">
        <f>IF(OR(COUNTIF('Suivi des rencontres'!$A:$A,$A566)&gt;0,COUNTIF('Suivi des rencontres'!$C:$C,$J566)&gt;0),"Non","Oui")</f>
        <v/>
      </c>
      <c r="J566" s="30" t="inlineStr">
        <is>
          <t>MAGICARPE</t>
        </is>
      </c>
    </row>
    <row r="567">
      <c r="A567" s="47" t="inlineStr">
        <is>
          <t>Ebènelle</t>
        </is>
      </c>
      <c r="B567" s="47" t="inlineStr">
        <is>
          <t>BlackthornCity_hns</t>
        </is>
      </c>
      <c r="C567" s="62" t="inlineStr">
        <is>
          <t>Nuit</t>
        </is>
      </c>
      <c r="D567" s="54" t="inlineStr">
        <is>
          <t>Vieille Canne</t>
        </is>
      </c>
      <c r="E567" s="50" t="inlineStr">
        <is>
          <t>PTITARD</t>
        </is>
      </c>
      <c r="F567" s="51" t="n">
        <v>0.3</v>
      </c>
      <c r="G567" s="52" t="n">
        <v>10</v>
      </c>
      <c r="H567" s="52" t="n">
        <v>10</v>
      </c>
      <c r="I567" s="29">
        <f>IF(OR(COUNTIF('Suivi des rencontres'!$A:$A,$A567)&gt;0,COUNTIF('Suivi des rencontres'!$C:$C,$J567)&gt;0),"Non","Oui")</f>
        <v/>
      </c>
      <c r="J567" s="30" t="inlineStr">
        <is>
          <t>PTITARD</t>
        </is>
      </c>
    </row>
    <row r="568">
      <c r="A568" s="47" t="inlineStr">
        <is>
          <t>Ebènelle</t>
        </is>
      </c>
      <c r="B568" s="47" t="inlineStr">
        <is>
          <t>BlackthornCity_hns</t>
        </is>
      </c>
      <c r="C568" s="48" t="inlineStr">
        <is>
          <t>Matin, jour, soir</t>
        </is>
      </c>
      <c r="D568" s="55" t="inlineStr">
        <is>
          <t>Bonne Canne</t>
        </is>
      </c>
      <c r="E568" s="50" t="inlineStr">
        <is>
          <t>PTITARD</t>
        </is>
      </c>
      <c r="F568" s="51" t="n">
        <v>0.8</v>
      </c>
      <c r="G568" s="52" t="n">
        <v>20</v>
      </c>
      <c r="H568" s="52" t="n">
        <v>20</v>
      </c>
      <c r="I568" s="29">
        <f>IF(OR(COUNTIF('Suivi des rencontres'!$A:$A,$A568)&gt;0,COUNTIF('Suivi des rencontres'!$C:$C,$J568)&gt;0),"Non","Oui")</f>
        <v/>
      </c>
      <c r="J568" s="30" t="inlineStr">
        <is>
          <t>PTITARD</t>
        </is>
      </c>
    </row>
    <row r="569">
      <c r="A569" s="47" t="inlineStr">
        <is>
          <t>Ebènelle</t>
        </is>
      </c>
      <c r="B569" s="47" t="inlineStr">
        <is>
          <t>BlackthornCity_hns</t>
        </is>
      </c>
      <c r="C569" s="48" t="inlineStr">
        <is>
          <t>Matin, jour, soir</t>
        </is>
      </c>
      <c r="D569" s="55" t="inlineStr">
        <is>
          <t>Bonne Canne</t>
        </is>
      </c>
      <c r="E569" s="50" t="inlineStr">
        <is>
          <t>MAGICARPE</t>
        </is>
      </c>
      <c r="F569" s="51" t="n">
        <v>0.2</v>
      </c>
      <c r="G569" s="52" t="n">
        <v>20</v>
      </c>
      <c r="H569" s="52" t="n">
        <v>20</v>
      </c>
      <c r="I569" s="29">
        <f>IF(OR(COUNTIF('Suivi des rencontres'!$A:$A,$A569)&gt;0,COUNTIF('Suivi des rencontres'!$C:$C,$J569)&gt;0),"Non","Oui")</f>
        <v/>
      </c>
      <c r="J569" s="30" t="inlineStr">
        <is>
          <t>MAGICARPE</t>
        </is>
      </c>
    </row>
    <row r="570">
      <c r="A570" s="47" t="inlineStr">
        <is>
          <t>Ebènelle</t>
        </is>
      </c>
      <c r="B570" s="47" t="inlineStr">
        <is>
          <t>BlackthornCity_hns</t>
        </is>
      </c>
      <c r="C570" s="62" t="inlineStr">
        <is>
          <t>Nuit</t>
        </is>
      </c>
      <c r="D570" s="55" t="inlineStr">
        <is>
          <t>Bonne Canne</t>
        </is>
      </c>
      <c r="E570" s="50" t="inlineStr">
        <is>
          <t>PTITARD</t>
        </is>
      </c>
      <c r="F570" s="51" t="n">
        <v>0.8</v>
      </c>
      <c r="G570" s="52" t="n">
        <v>20</v>
      </c>
      <c r="H570" s="52" t="n">
        <v>20</v>
      </c>
      <c r="I570" s="29">
        <f>IF(OR(COUNTIF('Suivi des rencontres'!$A:$A,$A570)&gt;0,COUNTIF('Suivi des rencontres'!$C:$C,$J570)&gt;0),"Non","Oui")</f>
        <v/>
      </c>
      <c r="J570" s="30" t="inlineStr">
        <is>
          <t>PTITARD</t>
        </is>
      </c>
    </row>
    <row r="571">
      <c r="A571" s="47" t="inlineStr">
        <is>
          <t>Ebènelle</t>
        </is>
      </c>
      <c r="B571" s="47" t="inlineStr">
        <is>
          <t>BlackthornCity_hns</t>
        </is>
      </c>
      <c r="C571" s="62" t="inlineStr">
        <is>
          <t>Nuit</t>
        </is>
      </c>
      <c r="D571" s="55" t="inlineStr">
        <is>
          <t>Bonne Canne</t>
        </is>
      </c>
      <c r="E571" s="50" t="inlineStr">
        <is>
          <t>MAGICARPE</t>
        </is>
      </c>
      <c r="F571" s="51" t="n">
        <v>0.2</v>
      </c>
      <c r="G571" s="52" t="n">
        <v>20</v>
      </c>
      <c r="H571" s="52" t="n">
        <v>20</v>
      </c>
      <c r="I571" s="29">
        <f>IF(OR(COUNTIF('Suivi des rencontres'!$A:$A,$A571)&gt;0,COUNTIF('Suivi des rencontres'!$C:$C,$J571)&gt;0),"Non","Oui")</f>
        <v/>
      </c>
      <c r="J571" s="30" t="inlineStr">
        <is>
          <t>MAGICARPE</t>
        </is>
      </c>
    </row>
    <row r="572">
      <c r="A572" s="47" t="inlineStr">
        <is>
          <t>Ebènelle</t>
        </is>
      </c>
      <c r="B572" s="47" t="inlineStr">
        <is>
          <t>BlackthornCity_hns</t>
        </is>
      </c>
      <c r="C572" s="48" t="inlineStr">
        <is>
          <t>Matin, jour, soir</t>
        </is>
      </c>
      <c r="D572" s="56" t="inlineStr">
        <is>
          <t>Super Canne</t>
        </is>
      </c>
      <c r="E572" s="50" t="inlineStr">
        <is>
          <t>PTITARD</t>
        </is>
      </c>
      <c r="F572" s="51" t="n">
        <v>0.8100000000000001</v>
      </c>
      <c r="G572" s="52" t="n">
        <v>40</v>
      </c>
      <c r="H572" s="52" t="n">
        <v>40</v>
      </c>
      <c r="I572" s="29">
        <f>IF(OR(COUNTIF('Suivi des rencontres'!$A:$A,$A572)&gt;0,COUNTIF('Suivi des rencontres'!$C:$C,$J572)&gt;0),"Non","Oui")</f>
        <v/>
      </c>
      <c r="J572" s="30" t="inlineStr">
        <is>
          <t>PTITARD</t>
        </is>
      </c>
    </row>
    <row r="573">
      <c r="A573" s="47" t="inlineStr">
        <is>
          <t>Ebènelle</t>
        </is>
      </c>
      <c r="B573" s="47" t="inlineStr">
        <is>
          <t>BlackthornCity_hns</t>
        </is>
      </c>
      <c r="C573" s="48" t="inlineStr">
        <is>
          <t>Matin, jour, soir</t>
        </is>
      </c>
      <c r="D573" s="56" t="inlineStr">
        <is>
          <t>Super Canne</t>
        </is>
      </c>
      <c r="E573" s="50" t="inlineStr">
        <is>
          <t>MAGICARPE</t>
        </is>
      </c>
      <c r="F573" s="51" t="n">
        <v>0.15</v>
      </c>
      <c r="G573" s="52" t="n">
        <v>40</v>
      </c>
      <c r="H573" s="52" t="n">
        <v>40</v>
      </c>
      <c r="I573" s="29">
        <f>IF(OR(COUNTIF('Suivi des rencontres'!$A:$A,$A573)&gt;0,COUNTIF('Suivi des rencontres'!$C:$C,$J573)&gt;0),"Non","Oui")</f>
        <v/>
      </c>
      <c r="J573" s="30" t="inlineStr">
        <is>
          <t>MAGICARPE</t>
        </is>
      </c>
    </row>
    <row r="574">
      <c r="A574" s="47" t="inlineStr">
        <is>
          <t>Ebènelle</t>
        </is>
      </c>
      <c r="B574" s="47" t="inlineStr">
        <is>
          <t>BlackthornCity_hns</t>
        </is>
      </c>
      <c r="C574" s="48" t="inlineStr">
        <is>
          <t>Matin, jour, soir</t>
        </is>
      </c>
      <c r="D574" s="56" t="inlineStr">
        <is>
          <t>Super Canne</t>
        </is>
      </c>
      <c r="E574" s="50" t="inlineStr">
        <is>
          <t>TETARTE</t>
        </is>
      </c>
      <c r="F574" s="51" t="n">
        <v>0.04</v>
      </c>
      <c r="G574" s="52" t="n">
        <v>40</v>
      </c>
      <c r="H574" s="52" t="n">
        <v>40</v>
      </c>
      <c r="I574" s="29">
        <f>IF(OR(COUNTIF('Suivi des rencontres'!$A:$A,$A574)&gt;0,COUNTIF('Suivi des rencontres'!$C:$C,$J574)&gt;0),"Non","Oui")</f>
        <v/>
      </c>
      <c r="J574" s="30" t="inlineStr">
        <is>
          <t>PTITARD</t>
        </is>
      </c>
    </row>
    <row r="575">
      <c r="A575" s="47" t="inlineStr">
        <is>
          <t>Ebènelle</t>
        </is>
      </c>
      <c r="B575" s="47" t="inlineStr">
        <is>
          <t>BlackthornCity_hns</t>
        </is>
      </c>
      <c r="C575" s="62" t="inlineStr">
        <is>
          <t>Nuit</t>
        </is>
      </c>
      <c r="D575" s="56" t="inlineStr">
        <is>
          <t>Super Canne</t>
        </is>
      </c>
      <c r="E575" s="50" t="inlineStr">
        <is>
          <t>PTITARD</t>
        </is>
      </c>
      <c r="F575" s="51" t="n">
        <v>0.8100000000000001</v>
      </c>
      <c r="G575" s="52" t="n">
        <v>40</v>
      </c>
      <c r="H575" s="52" t="n">
        <v>40</v>
      </c>
      <c r="I575" s="29">
        <f>IF(OR(COUNTIF('Suivi des rencontres'!$A:$A,$A575)&gt;0,COUNTIF('Suivi des rencontres'!$C:$C,$J575)&gt;0),"Non","Oui")</f>
        <v/>
      </c>
      <c r="J575" s="30" t="inlineStr">
        <is>
          <t>PTITARD</t>
        </is>
      </c>
    </row>
    <row r="576">
      <c r="A576" s="47" t="inlineStr">
        <is>
          <t>Ebènelle</t>
        </is>
      </c>
      <c r="B576" s="47" t="inlineStr">
        <is>
          <t>BlackthornCity_hns</t>
        </is>
      </c>
      <c r="C576" s="62" t="inlineStr">
        <is>
          <t>Nuit</t>
        </is>
      </c>
      <c r="D576" s="56" t="inlineStr">
        <is>
          <t>Super Canne</t>
        </is>
      </c>
      <c r="E576" s="50" t="inlineStr">
        <is>
          <t>MAGICARPE</t>
        </is>
      </c>
      <c r="F576" s="51" t="n">
        <v>0.15</v>
      </c>
      <c r="G576" s="52" t="n">
        <v>40</v>
      </c>
      <c r="H576" s="52" t="n">
        <v>40</v>
      </c>
      <c r="I576" s="29">
        <f>IF(OR(COUNTIF('Suivi des rencontres'!$A:$A,$A576)&gt;0,COUNTIF('Suivi des rencontres'!$C:$C,$J576)&gt;0),"Non","Oui")</f>
        <v/>
      </c>
      <c r="J576" s="30" t="inlineStr">
        <is>
          <t>MAGICARPE</t>
        </is>
      </c>
    </row>
    <row r="577">
      <c r="A577" s="47" t="inlineStr">
        <is>
          <t>Ebènelle</t>
        </is>
      </c>
      <c r="B577" s="47" t="inlineStr">
        <is>
          <t>BlackthornCity_hns</t>
        </is>
      </c>
      <c r="C577" s="62" t="inlineStr">
        <is>
          <t>Nuit</t>
        </is>
      </c>
      <c r="D577" s="56" t="inlineStr">
        <is>
          <t>Super Canne</t>
        </is>
      </c>
      <c r="E577" s="50" t="inlineStr">
        <is>
          <t>TETARTE</t>
        </is>
      </c>
      <c r="F577" s="51" t="n">
        <v>0.04</v>
      </c>
      <c r="G577" s="52" t="n">
        <v>40</v>
      </c>
      <c r="H577" s="52" t="n">
        <v>40</v>
      </c>
      <c r="I577" s="29">
        <f>IF(OR(COUNTIF('Suivi des rencontres'!$A:$A,$A577)&gt;0,COUNTIF('Suivi des rencontres'!$C:$C,$J577)&gt;0),"Non","Oui")</f>
        <v/>
      </c>
      <c r="J577" s="30" t="inlineStr">
        <is>
          <t>PTITARD</t>
        </is>
      </c>
    </row>
    <row r="578">
      <c r="A578" s="57" t="inlineStr">
        <is>
          <t>Ecorcia</t>
        </is>
      </c>
      <c r="B578" s="57" t="inlineStr">
        <is>
          <t>AzaleaTown_hns</t>
        </is>
      </c>
      <c r="C578" s="58" t="inlineStr">
        <is>
          <t>Toute la journée</t>
        </is>
      </c>
      <c r="D578" s="64" t="inlineStr">
        <is>
          <t>Éclate-Roc</t>
        </is>
      </c>
      <c r="E578" s="59" t="inlineStr">
        <is>
          <t>POMDEPIK</t>
        </is>
      </c>
      <c r="F578" s="60" t="n">
        <v>0.6</v>
      </c>
      <c r="G578" s="61" t="n">
        <v>10</v>
      </c>
      <c r="H578" s="61" t="n">
        <v>10</v>
      </c>
      <c r="I578" s="46">
        <f>IF(OR(COUNTIF('Suivi des rencontres'!$A:$A,$A578)&gt;0,COUNTIF('Suivi des rencontres'!$C:$C,$J578)&gt;0),"Non","Oui")</f>
        <v/>
      </c>
      <c r="J578" s="30" t="inlineStr">
        <is>
          <t>POMDEPIK</t>
        </is>
      </c>
    </row>
    <row r="579">
      <c r="A579" s="35" t="inlineStr">
        <is>
          <t>Ecorcia</t>
        </is>
      </c>
      <c r="B579" s="35" t="inlineStr">
        <is>
          <t>AzaleaTown_hns</t>
        </is>
      </c>
      <c r="C579" s="33" t="inlineStr">
        <is>
          <t>Toute la journée</t>
        </is>
      </c>
      <c r="D579" s="36" t="inlineStr">
        <is>
          <t>Éclate-Roc</t>
        </is>
      </c>
      <c r="E579" s="37" t="inlineStr">
        <is>
          <t>MIMIGAL</t>
        </is>
      </c>
      <c r="F579" s="38" t="n">
        <v>0.3</v>
      </c>
      <c r="G579" s="39" t="n">
        <v>10</v>
      </c>
      <c r="H579" s="39" t="n">
        <v>10</v>
      </c>
      <c r="I579" s="29">
        <f>IF(OR(COUNTIF('Suivi des rencontres'!$A:$A,$A579)&gt;0,COUNTIF('Suivi des rencontres'!$C:$C,$J579)&gt;0),"Non","Oui")</f>
        <v/>
      </c>
      <c r="J579" s="30" t="inlineStr">
        <is>
          <t>MIMIGAL</t>
        </is>
      </c>
    </row>
    <row r="580">
      <c r="A580" s="35" t="inlineStr">
        <is>
          <t>Ecorcia</t>
        </is>
      </c>
      <c r="B580" s="35" t="inlineStr">
        <is>
          <t>AzaleaTown_hns</t>
        </is>
      </c>
      <c r="C580" s="33" t="inlineStr">
        <is>
          <t>Toute la journée</t>
        </is>
      </c>
      <c r="D580" s="36" t="inlineStr">
        <is>
          <t>Éclate-Roc</t>
        </is>
      </c>
      <c r="E580" s="37" t="inlineStr">
        <is>
          <t>CAPUMAIN</t>
        </is>
      </c>
      <c r="F580" s="38" t="n">
        <v>0.05</v>
      </c>
      <c r="G580" s="39" t="n">
        <v>10</v>
      </c>
      <c r="H580" s="39" t="n">
        <v>10</v>
      </c>
      <c r="I580" s="29">
        <f>IF(OR(COUNTIF('Suivi des rencontres'!$A:$A,$A580)&gt;0,COUNTIF('Suivi des rencontres'!$C:$C,$J580)&gt;0),"Non","Oui")</f>
        <v/>
      </c>
      <c r="J580" s="30" t="inlineStr">
        <is>
          <t>CAPUMAIN</t>
        </is>
      </c>
    </row>
    <row r="581">
      <c r="A581" s="35" t="inlineStr">
        <is>
          <t>Ecorcia</t>
        </is>
      </c>
      <c r="B581" s="35" t="inlineStr">
        <is>
          <t>AzaleaTown_hns</t>
        </is>
      </c>
      <c r="C581" s="33" t="inlineStr">
        <is>
          <t>Toute la journée</t>
        </is>
      </c>
      <c r="D581" s="36" t="inlineStr">
        <is>
          <t>Éclate-Roc</t>
        </is>
      </c>
      <c r="E581" s="37" t="inlineStr">
        <is>
          <t>SCARHINO</t>
        </is>
      </c>
      <c r="F581" s="38" t="n">
        <v>0.05</v>
      </c>
      <c r="G581" s="39" t="n">
        <v>10</v>
      </c>
      <c r="H581" s="39" t="n">
        <v>10</v>
      </c>
      <c r="I581" s="29">
        <f>IF(OR(COUNTIF('Suivi des rencontres'!$A:$A,$A581)&gt;0,COUNTIF('Suivi des rencontres'!$C:$C,$J581)&gt;0),"Non","Oui")</f>
        <v/>
      </c>
      <c r="J581" s="30" t="inlineStr">
        <is>
          <t>SCARHINO</t>
        </is>
      </c>
    </row>
    <row r="582">
      <c r="A582" s="40" t="inlineStr">
        <is>
          <t>Forêt d'Akala</t>
        </is>
      </c>
      <c r="B582" s="40" t="inlineStr">
        <is>
          <t>Akala_Forest_hns</t>
        </is>
      </c>
      <c r="C582" s="41" t="inlineStr">
        <is>
          <t>Toute la journée</t>
        </is>
      </c>
      <c r="D582" s="42" t="inlineStr">
        <is>
          <t>Herbe</t>
        </is>
      </c>
      <c r="E582" s="43" t="inlineStr">
        <is>
          <t>INSECATEUR</t>
        </is>
      </c>
      <c r="F582" s="44" t="n">
        <v>0.2</v>
      </c>
      <c r="G582" s="45" t="n">
        <v>43</v>
      </c>
      <c r="H582" s="45" t="n">
        <v>45</v>
      </c>
      <c r="I582" s="46">
        <f>IF(OR(COUNTIF('Suivi des rencontres'!$A:$A,$A582)&gt;0,COUNTIF('Suivi des rencontres'!$C:$C,$J582)&gt;0),"Non","Oui")</f>
        <v/>
      </c>
      <c r="J582" s="30" t="inlineStr">
        <is>
          <t>INSECATEUR</t>
        </is>
      </c>
    </row>
    <row r="583">
      <c r="A583" s="47" t="inlineStr">
        <is>
          <t>Forêt d'Akala</t>
        </is>
      </c>
      <c r="B583" s="47" t="inlineStr">
        <is>
          <t>Akala_Forest_hns</t>
        </is>
      </c>
      <c r="C583" s="48" t="inlineStr">
        <is>
          <t>Toute la journée</t>
        </is>
      </c>
      <c r="D583" s="49" t="inlineStr">
        <is>
          <t>Herbe</t>
        </is>
      </c>
      <c r="E583" s="50" t="inlineStr">
        <is>
          <t>SCARABRUTE</t>
        </is>
      </c>
      <c r="F583" s="51" t="n">
        <v>0.2</v>
      </c>
      <c r="G583" s="52" t="n">
        <v>43</v>
      </c>
      <c r="H583" s="52" t="n">
        <v>45</v>
      </c>
      <c r="I583" s="29">
        <f>IF(OR(COUNTIF('Suivi des rencontres'!$A:$A,$A583)&gt;0,COUNTIF('Suivi des rencontres'!$C:$C,$J583)&gt;0),"Non","Oui")</f>
        <v/>
      </c>
      <c r="J583" s="30" t="inlineStr">
        <is>
          <t>SCARABRUTE</t>
        </is>
      </c>
    </row>
    <row r="584">
      <c r="A584" s="47" t="inlineStr">
        <is>
          <t>Forêt d'Akala</t>
        </is>
      </c>
      <c r="B584" s="47" t="inlineStr">
        <is>
          <t>Akala_Forest_hns</t>
        </is>
      </c>
      <c r="C584" s="48" t="inlineStr">
        <is>
          <t>Toute la journée</t>
        </is>
      </c>
      <c r="D584" s="49" t="inlineStr">
        <is>
          <t>Herbe</t>
        </is>
      </c>
      <c r="E584" s="50" t="inlineStr">
        <is>
          <t>DARDARGNAN</t>
        </is>
      </c>
      <c r="F584" s="51" t="n">
        <v>0.1</v>
      </c>
      <c r="G584" s="52" t="n">
        <v>43</v>
      </c>
      <c r="H584" s="52" t="n">
        <v>45</v>
      </c>
      <c r="I584" s="29">
        <f>IF(OR(COUNTIF('Suivi des rencontres'!$A:$A,$A584)&gt;0,COUNTIF('Suivi des rencontres'!$C:$C,$J584)&gt;0),"Non","Oui")</f>
        <v/>
      </c>
      <c r="J584" s="30" t="inlineStr">
        <is>
          <t>ASPICOT</t>
        </is>
      </c>
    </row>
    <row r="585">
      <c r="A585" s="47" t="inlineStr">
        <is>
          <t>Forêt d'Akala</t>
        </is>
      </c>
      <c r="B585" s="47" t="inlineStr">
        <is>
          <t>Akala_Forest_hns</t>
        </is>
      </c>
      <c r="C585" s="48" t="inlineStr">
        <is>
          <t>Toute la journée</t>
        </is>
      </c>
      <c r="D585" s="49" t="inlineStr">
        <is>
          <t>Herbe</t>
        </is>
      </c>
      <c r="E585" s="50" t="inlineStr">
        <is>
          <t>PAPILUSION</t>
        </is>
      </c>
      <c r="F585" s="51" t="n">
        <v>0.1</v>
      </c>
      <c r="G585" s="52" t="n">
        <v>43</v>
      </c>
      <c r="H585" s="52" t="n">
        <v>45</v>
      </c>
      <c r="I585" s="29">
        <f>IF(OR(COUNTIF('Suivi des rencontres'!$A:$A,$A585)&gt;0,COUNTIF('Suivi des rencontres'!$C:$C,$J585)&gt;0),"Non","Oui")</f>
        <v/>
      </c>
      <c r="J585" s="30" t="inlineStr">
        <is>
          <t>CHENIPAN</t>
        </is>
      </c>
    </row>
    <row r="586">
      <c r="A586" s="47" t="inlineStr">
        <is>
          <t>Forêt d'Akala</t>
        </is>
      </c>
      <c r="B586" s="47" t="inlineStr">
        <is>
          <t>Akala_Forest_hns</t>
        </is>
      </c>
      <c r="C586" s="48" t="inlineStr">
        <is>
          <t>Toute la journée</t>
        </is>
      </c>
      <c r="D586" s="49" t="inlineStr">
        <is>
          <t>Herbe</t>
        </is>
      </c>
      <c r="E586" s="50" t="inlineStr">
        <is>
          <t>PARASECT</t>
        </is>
      </c>
      <c r="F586" s="51" t="n">
        <v>0.1</v>
      </c>
      <c r="G586" s="52" t="n">
        <v>43</v>
      </c>
      <c r="H586" s="52" t="n">
        <v>45</v>
      </c>
      <c r="I586" s="29">
        <f>IF(OR(COUNTIF('Suivi des rencontres'!$A:$A,$A586)&gt;0,COUNTIF('Suivi des rencontres'!$C:$C,$J586)&gt;0),"Non","Oui")</f>
        <v/>
      </c>
      <c r="J586" s="30" t="inlineStr">
        <is>
          <t>PARAS</t>
        </is>
      </c>
    </row>
    <row r="587">
      <c r="A587" s="47" t="inlineStr">
        <is>
          <t>Forêt d'Akala</t>
        </is>
      </c>
      <c r="B587" s="47" t="inlineStr">
        <is>
          <t>Akala_Forest_hns</t>
        </is>
      </c>
      <c r="C587" s="48" t="inlineStr">
        <is>
          <t>Toute la journée</t>
        </is>
      </c>
      <c r="D587" s="49" t="inlineStr">
        <is>
          <t>Herbe</t>
        </is>
      </c>
      <c r="E587" s="50" t="inlineStr">
        <is>
          <t>SCARHINO</t>
        </is>
      </c>
      <c r="F587" s="51" t="n">
        <v>0.1</v>
      </c>
      <c r="G587" s="52" t="n">
        <v>43</v>
      </c>
      <c r="H587" s="52" t="n">
        <v>45</v>
      </c>
      <c r="I587" s="29">
        <f>IF(OR(COUNTIF('Suivi des rencontres'!$A:$A,$A587)&gt;0,COUNTIF('Suivi des rencontres'!$C:$C,$J587)&gt;0),"Non","Oui")</f>
        <v/>
      </c>
      <c r="J587" s="30" t="inlineStr">
        <is>
          <t>SCARHINO</t>
        </is>
      </c>
    </row>
    <row r="588">
      <c r="A588" s="47" t="inlineStr">
        <is>
          <t>Forêt d'Akala</t>
        </is>
      </c>
      <c r="B588" s="47" t="inlineStr">
        <is>
          <t>Akala_Forest_hns</t>
        </is>
      </c>
      <c r="C588" s="48" t="inlineStr">
        <is>
          <t>Toute la journée</t>
        </is>
      </c>
      <c r="D588" s="49" t="inlineStr">
        <is>
          <t>Herbe</t>
        </is>
      </c>
      <c r="E588" s="50" t="inlineStr">
        <is>
          <t>CHARMILLON</t>
        </is>
      </c>
      <c r="F588" s="51" t="n">
        <v>0.05</v>
      </c>
      <c r="G588" s="52" t="n">
        <v>43</v>
      </c>
      <c r="H588" s="52" t="n">
        <v>45</v>
      </c>
      <c r="I588" s="29">
        <f>IF(OR(COUNTIF('Suivi des rencontres'!$A:$A,$A588)&gt;0,COUNTIF('Suivi des rencontres'!$C:$C,$J588)&gt;0),"Non","Oui")</f>
        <v/>
      </c>
      <c r="J588" s="30" t="inlineStr">
        <is>
          <t>CHENIPOTTE</t>
        </is>
      </c>
    </row>
    <row r="589">
      <c r="A589" s="47" t="inlineStr">
        <is>
          <t>Forêt d'Akala</t>
        </is>
      </c>
      <c r="B589" s="47" t="inlineStr">
        <is>
          <t>Akala_Forest_hns</t>
        </is>
      </c>
      <c r="C589" s="48" t="inlineStr">
        <is>
          <t>Toute la journée</t>
        </is>
      </c>
      <c r="D589" s="49" t="inlineStr">
        <is>
          <t>Herbe</t>
        </is>
      </c>
      <c r="E589" s="50" t="inlineStr">
        <is>
          <t>PAPINOX</t>
        </is>
      </c>
      <c r="F589" s="51" t="n">
        <v>0.05</v>
      </c>
      <c r="G589" s="52" t="n">
        <v>43</v>
      </c>
      <c r="H589" s="52" t="n">
        <v>45</v>
      </c>
      <c r="I589" s="29">
        <f>IF(OR(COUNTIF('Suivi des rencontres'!$A:$A,$A589)&gt;0,COUNTIF('Suivi des rencontres'!$C:$C,$J589)&gt;0),"Non","Oui")</f>
        <v/>
      </c>
      <c r="J589" s="30" t="inlineStr">
        <is>
          <t>CHENIPOTTE</t>
        </is>
      </c>
    </row>
    <row r="590">
      <c r="A590" s="47" t="inlineStr">
        <is>
          <t>Forêt d'Akala</t>
        </is>
      </c>
      <c r="B590" s="47" t="inlineStr">
        <is>
          <t>Akala_Forest_hns</t>
        </is>
      </c>
      <c r="C590" s="48" t="inlineStr">
        <is>
          <t>Toute la journée</t>
        </is>
      </c>
      <c r="D590" s="49" t="inlineStr">
        <is>
          <t>Herbe</t>
        </is>
      </c>
      <c r="E590" s="50" t="inlineStr">
        <is>
          <t>PICHU</t>
        </is>
      </c>
      <c r="F590" s="51" t="n">
        <v>0.05</v>
      </c>
      <c r="G590" s="52" t="n">
        <v>43</v>
      </c>
      <c r="H590" s="52" t="n">
        <v>45</v>
      </c>
      <c r="I590" s="29">
        <f>IF(OR(COUNTIF('Suivi des rencontres'!$A:$A,$A590)&gt;0,COUNTIF('Suivi des rencontres'!$C:$C,$J590)&gt;0),"Non","Oui")</f>
        <v/>
      </c>
      <c r="J590" s="30" t="inlineStr">
        <is>
          <t>PICHU</t>
        </is>
      </c>
    </row>
    <row r="591">
      <c r="A591" s="47" t="inlineStr">
        <is>
          <t>Forêt d'Akala</t>
        </is>
      </c>
      <c r="B591" s="47" t="inlineStr">
        <is>
          <t>Akala_Forest_hns</t>
        </is>
      </c>
      <c r="C591" s="48" t="inlineStr">
        <is>
          <t>Toute la journée</t>
        </is>
      </c>
      <c r="D591" s="49" t="inlineStr">
        <is>
          <t>Herbe</t>
        </is>
      </c>
      <c r="E591" s="50" t="inlineStr">
        <is>
          <t>PIKACHU</t>
        </is>
      </c>
      <c r="F591" s="51" t="n">
        <v>0.05</v>
      </c>
      <c r="G591" s="52" t="n">
        <v>43</v>
      </c>
      <c r="H591" s="52" t="n">
        <v>45</v>
      </c>
      <c r="I591" s="29">
        <f>IF(OR(COUNTIF('Suivi des rencontres'!$A:$A,$A591)&gt;0,COUNTIF('Suivi des rencontres'!$C:$C,$J591)&gt;0),"Non","Oui")</f>
        <v/>
      </c>
      <c r="J591" s="30" t="inlineStr">
        <is>
          <t>PICHU</t>
        </is>
      </c>
    </row>
    <row r="592">
      <c r="A592" s="57" t="inlineStr">
        <is>
          <t>Forêt de Jade</t>
        </is>
      </c>
      <c r="B592" s="57" t="inlineStr">
        <is>
          <t>ViridianForest_hns</t>
        </is>
      </c>
      <c r="C592" s="58" t="inlineStr">
        <is>
          <t>Toute la journée</t>
        </is>
      </c>
      <c r="D592" s="42" t="inlineStr">
        <is>
          <t>Herbe</t>
        </is>
      </c>
      <c r="E592" s="59" t="inlineStr">
        <is>
          <t>ASPICOT</t>
        </is>
      </c>
      <c r="F592" s="60" t="n">
        <v>0.2</v>
      </c>
      <c r="G592" s="61" t="n">
        <v>45</v>
      </c>
      <c r="H592" s="61" t="n">
        <v>46</v>
      </c>
      <c r="I592" s="46">
        <f>IF(OR(COUNTIF('Suivi des rencontres'!$A:$A,$A592)&gt;0,COUNTIF('Suivi des rencontres'!$C:$C,$J592)&gt;0),"Non","Oui")</f>
        <v/>
      </c>
      <c r="J592" s="30" t="inlineStr">
        <is>
          <t>ASPICOT</t>
        </is>
      </c>
    </row>
    <row r="593">
      <c r="A593" s="35" t="inlineStr">
        <is>
          <t>Forêt de Jade</t>
        </is>
      </c>
      <c r="B593" s="35" t="inlineStr">
        <is>
          <t>ViridianForest_hns</t>
        </is>
      </c>
      <c r="C593" s="33" t="inlineStr">
        <is>
          <t>Toute la journée</t>
        </is>
      </c>
      <c r="D593" s="49" t="inlineStr">
        <is>
          <t>Herbe</t>
        </is>
      </c>
      <c r="E593" s="37" t="inlineStr">
        <is>
          <t>CHENIPAN</t>
        </is>
      </c>
      <c r="F593" s="38" t="n">
        <v>0.2</v>
      </c>
      <c r="G593" s="39" t="n">
        <v>45</v>
      </c>
      <c r="H593" s="39" t="n">
        <v>45</v>
      </c>
      <c r="I593" s="29">
        <f>IF(OR(COUNTIF('Suivi des rencontres'!$A:$A,$A593)&gt;0,COUNTIF('Suivi des rencontres'!$C:$C,$J593)&gt;0),"Non","Oui")</f>
        <v/>
      </c>
      <c r="J593" s="30" t="inlineStr">
        <is>
          <t>CHENIPAN</t>
        </is>
      </c>
    </row>
    <row r="594">
      <c r="A594" s="35" t="inlineStr">
        <is>
          <t>Forêt de Jade</t>
        </is>
      </c>
      <c r="B594" s="35" t="inlineStr">
        <is>
          <t>ViridianForest_hns</t>
        </is>
      </c>
      <c r="C594" s="33" t="inlineStr">
        <is>
          <t>Toute la journée</t>
        </is>
      </c>
      <c r="D594" s="49" t="inlineStr">
        <is>
          <t>Herbe</t>
        </is>
      </c>
      <c r="E594" s="37" t="inlineStr">
        <is>
          <t>CHRYSACIER</t>
        </is>
      </c>
      <c r="F594" s="38" t="n">
        <v>0.1</v>
      </c>
      <c r="G594" s="39" t="n">
        <v>45</v>
      </c>
      <c r="H594" s="39" t="n">
        <v>45</v>
      </c>
      <c r="I594" s="29">
        <f>IF(OR(COUNTIF('Suivi des rencontres'!$A:$A,$A594)&gt;0,COUNTIF('Suivi des rencontres'!$C:$C,$J594)&gt;0),"Non","Oui")</f>
        <v/>
      </c>
      <c r="J594" s="30" t="inlineStr">
        <is>
          <t>CHENIPAN</t>
        </is>
      </c>
    </row>
    <row r="595">
      <c r="A595" s="35" t="inlineStr">
        <is>
          <t>Forêt de Jade</t>
        </is>
      </c>
      <c r="B595" s="35" t="inlineStr">
        <is>
          <t>ViridianForest_hns</t>
        </is>
      </c>
      <c r="C595" s="33" t="inlineStr">
        <is>
          <t>Toute la journée</t>
        </is>
      </c>
      <c r="D595" s="49" t="inlineStr">
        <is>
          <t>Herbe</t>
        </is>
      </c>
      <c r="E595" s="37" t="inlineStr">
        <is>
          <t>COCONFORT</t>
        </is>
      </c>
      <c r="F595" s="38" t="n">
        <v>0.1</v>
      </c>
      <c r="G595" s="39" t="n">
        <v>45</v>
      </c>
      <c r="H595" s="39" t="n">
        <v>46</v>
      </c>
      <c r="I595" s="29">
        <f>IF(OR(COUNTIF('Suivi des rencontres'!$A:$A,$A595)&gt;0,COUNTIF('Suivi des rencontres'!$C:$C,$J595)&gt;0),"Non","Oui")</f>
        <v/>
      </c>
      <c r="J595" s="30" t="inlineStr">
        <is>
          <t>ASPICOT</t>
        </is>
      </c>
    </row>
    <row r="596">
      <c r="A596" s="35" t="inlineStr">
        <is>
          <t>Forêt de Jade</t>
        </is>
      </c>
      <c r="B596" s="35" t="inlineStr">
        <is>
          <t>ViridianForest_hns</t>
        </is>
      </c>
      <c r="C596" s="33" t="inlineStr">
        <is>
          <t>Toute la journée</t>
        </is>
      </c>
      <c r="D596" s="49" t="inlineStr">
        <is>
          <t>Herbe</t>
        </is>
      </c>
      <c r="E596" s="37" t="inlineStr">
        <is>
          <t>MYSTHERBE</t>
        </is>
      </c>
      <c r="F596" s="38" t="n">
        <v>0.1</v>
      </c>
      <c r="G596" s="39" t="n">
        <v>45</v>
      </c>
      <c r="H596" s="39" t="n">
        <v>45</v>
      </c>
      <c r="I596" s="29">
        <f>IF(OR(COUNTIF('Suivi des rencontres'!$A:$A,$A596)&gt;0,COUNTIF('Suivi des rencontres'!$C:$C,$J596)&gt;0),"Non","Oui")</f>
        <v/>
      </c>
      <c r="J596" s="30" t="inlineStr">
        <is>
          <t>MYSTHERBE</t>
        </is>
      </c>
    </row>
    <row r="597">
      <c r="A597" s="35" t="inlineStr">
        <is>
          <t>Forêt de Jade</t>
        </is>
      </c>
      <c r="B597" s="35" t="inlineStr">
        <is>
          <t>ViridianForest_hns</t>
        </is>
      </c>
      <c r="C597" s="33" t="inlineStr">
        <is>
          <t>Toute la journée</t>
        </is>
      </c>
      <c r="D597" s="49" t="inlineStr">
        <is>
          <t>Herbe</t>
        </is>
      </c>
      <c r="E597" s="37" t="inlineStr">
        <is>
          <t>PARAS</t>
        </is>
      </c>
      <c r="F597" s="38" t="n">
        <v>0.1</v>
      </c>
      <c r="G597" s="39" t="n">
        <v>45</v>
      </c>
      <c r="H597" s="39" t="n">
        <v>46</v>
      </c>
      <c r="I597" s="29">
        <f>IF(OR(COUNTIF('Suivi des rencontres'!$A:$A,$A597)&gt;0,COUNTIF('Suivi des rencontres'!$C:$C,$J597)&gt;0),"Non","Oui")</f>
        <v/>
      </c>
      <c r="J597" s="30" t="inlineStr">
        <is>
          <t>PARAS</t>
        </is>
      </c>
    </row>
    <row r="598">
      <c r="A598" s="35" t="inlineStr">
        <is>
          <t>Forêt de Jade</t>
        </is>
      </c>
      <c r="B598" s="35" t="inlineStr">
        <is>
          <t>ViridianForest_hns</t>
        </is>
      </c>
      <c r="C598" s="33" t="inlineStr">
        <is>
          <t>Toute la journée</t>
        </is>
      </c>
      <c r="D598" s="49" t="inlineStr">
        <is>
          <t>Herbe</t>
        </is>
      </c>
      <c r="E598" s="37" t="inlineStr">
        <is>
          <t>CHENIPOTTE</t>
        </is>
      </c>
      <c r="F598" s="38" t="n">
        <v>0.05</v>
      </c>
      <c r="G598" s="39" t="n">
        <v>45</v>
      </c>
      <c r="H598" s="39" t="n">
        <v>45</v>
      </c>
      <c r="I598" s="29">
        <f>IF(OR(COUNTIF('Suivi des rencontres'!$A:$A,$A598)&gt;0,COUNTIF('Suivi des rencontres'!$C:$C,$J598)&gt;0),"Non","Oui")</f>
        <v/>
      </c>
      <c r="J598" s="30" t="inlineStr">
        <is>
          <t>CHENIPOTTE</t>
        </is>
      </c>
    </row>
    <row r="599">
      <c r="A599" s="35" t="inlineStr">
        <is>
          <t>Forêt de Jade</t>
        </is>
      </c>
      <c r="B599" s="35" t="inlineStr">
        <is>
          <t>ViridianForest_hns</t>
        </is>
      </c>
      <c r="C599" s="33" t="inlineStr">
        <is>
          <t>Toute la journée</t>
        </is>
      </c>
      <c r="D599" s="49" t="inlineStr">
        <is>
          <t>Herbe</t>
        </is>
      </c>
      <c r="E599" s="37" t="inlineStr">
        <is>
          <t>DARDARGNAN</t>
        </is>
      </c>
      <c r="F599" s="38" t="n">
        <v>0.05</v>
      </c>
      <c r="G599" s="39" t="n">
        <v>45</v>
      </c>
      <c r="H599" s="39" t="n">
        <v>45</v>
      </c>
      <c r="I599" s="29">
        <f>IF(OR(COUNTIF('Suivi des rencontres'!$A:$A,$A599)&gt;0,COUNTIF('Suivi des rencontres'!$C:$C,$J599)&gt;0),"Non","Oui")</f>
        <v/>
      </c>
      <c r="J599" s="30" t="inlineStr">
        <is>
          <t>ASPICOT</t>
        </is>
      </c>
    </row>
    <row r="600">
      <c r="A600" s="35" t="inlineStr">
        <is>
          <t>Forêt de Jade</t>
        </is>
      </c>
      <c r="B600" s="35" t="inlineStr">
        <is>
          <t>ViridianForest_hns</t>
        </is>
      </c>
      <c r="C600" s="33" t="inlineStr">
        <is>
          <t>Toute la journée</t>
        </is>
      </c>
      <c r="D600" s="49" t="inlineStr">
        <is>
          <t>Herbe</t>
        </is>
      </c>
      <c r="E600" s="37" t="inlineStr">
        <is>
          <t>PAPILUSION</t>
        </is>
      </c>
      <c r="F600" s="38" t="n">
        <v>0.05</v>
      </c>
      <c r="G600" s="39" t="n">
        <v>45</v>
      </c>
      <c r="H600" s="39" t="n">
        <v>45</v>
      </c>
      <c r="I600" s="29">
        <f>IF(OR(COUNTIF('Suivi des rencontres'!$A:$A,$A600)&gt;0,COUNTIF('Suivi des rencontres'!$C:$C,$J600)&gt;0),"Non","Oui")</f>
        <v/>
      </c>
      <c r="J600" s="30" t="inlineStr">
        <is>
          <t>CHENIPAN</t>
        </is>
      </c>
    </row>
    <row r="601">
      <c r="A601" s="35" t="inlineStr">
        <is>
          <t>Forêt de Jade</t>
        </is>
      </c>
      <c r="B601" s="35" t="inlineStr">
        <is>
          <t>ViridianForest_hns</t>
        </is>
      </c>
      <c r="C601" s="33" t="inlineStr">
        <is>
          <t>Toute la journée</t>
        </is>
      </c>
      <c r="D601" s="49" t="inlineStr">
        <is>
          <t>Herbe</t>
        </is>
      </c>
      <c r="E601" s="37" t="inlineStr">
        <is>
          <t>PIKACHU</t>
        </is>
      </c>
      <c r="F601" s="38" t="n">
        <v>0.05</v>
      </c>
      <c r="G601" s="39" t="n">
        <v>45</v>
      </c>
      <c r="H601" s="39" t="n">
        <v>45</v>
      </c>
      <c r="I601" s="29">
        <f>IF(OR(COUNTIF('Suivi des rencontres'!$A:$A,$A601)&gt;0,COUNTIF('Suivi des rencontres'!$C:$C,$J601)&gt;0),"Non","Oui")</f>
        <v/>
      </c>
      <c r="J601" s="30" t="inlineStr">
        <is>
          <t>PICHU</t>
        </is>
      </c>
    </row>
    <row r="602">
      <c r="A602" s="40" t="inlineStr">
        <is>
          <t>Grotte</t>
        </is>
      </c>
      <c r="B602" s="40" t="inlineStr">
        <is>
          <t>RockTunnel_1F_hns</t>
        </is>
      </c>
      <c r="C602" s="41" t="inlineStr">
        <is>
          <t>Matin, jour, soir</t>
        </is>
      </c>
      <c r="D602" s="42" t="inlineStr">
        <is>
          <t>Herbe</t>
        </is>
      </c>
      <c r="E602" s="43" t="inlineStr">
        <is>
          <t>OSSELAIT</t>
        </is>
      </c>
      <c r="F602" s="44" t="n">
        <v>0.3</v>
      </c>
      <c r="G602" s="45" t="n">
        <v>42</v>
      </c>
      <c r="H602" s="45" t="n">
        <v>42</v>
      </c>
      <c r="I602" s="46">
        <f>IF(OR(COUNTIF('Suivi des rencontres'!$A:$A,$A602)&gt;0,COUNTIF('Suivi des rencontres'!$C:$C,$J602)&gt;0),"Non","Oui")</f>
        <v/>
      </c>
      <c r="J602" s="30" t="inlineStr">
        <is>
          <t>OSSELAIT</t>
        </is>
      </c>
    </row>
    <row r="603">
      <c r="A603" s="47" t="inlineStr">
        <is>
          <t>Grotte</t>
        </is>
      </c>
      <c r="B603" s="47" t="inlineStr">
        <is>
          <t>RockTunnel_1F_hns</t>
        </is>
      </c>
      <c r="C603" s="48" t="inlineStr">
        <is>
          <t>Matin, jour, soir</t>
        </is>
      </c>
      <c r="D603" s="49" t="inlineStr">
        <is>
          <t>Herbe</t>
        </is>
      </c>
      <c r="E603" s="50" t="inlineStr">
        <is>
          <t>ONIX</t>
        </is>
      </c>
      <c r="F603" s="51" t="n">
        <v>0.2</v>
      </c>
      <c r="G603" s="52" t="n">
        <v>44</v>
      </c>
      <c r="H603" s="52" t="n">
        <v>46</v>
      </c>
      <c r="I603" s="29">
        <f>IF(OR(COUNTIF('Suivi des rencontres'!$A:$A,$A603)&gt;0,COUNTIF('Suivi des rencontres'!$C:$C,$J603)&gt;0),"Non","Oui")</f>
        <v/>
      </c>
      <c r="J603" s="30" t="inlineStr">
        <is>
          <t>ONIX</t>
        </is>
      </c>
    </row>
    <row r="604">
      <c r="A604" s="47" t="inlineStr">
        <is>
          <t>Grotte</t>
        </is>
      </c>
      <c r="B604" s="47" t="inlineStr">
        <is>
          <t>RockTunnel_1F_hns</t>
        </is>
      </c>
      <c r="C604" s="48" t="inlineStr">
        <is>
          <t>Matin, jour, soir</t>
        </is>
      </c>
      <c r="D604" s="49" t="inlineStr">
        <is>
          <t>Herbe</t>
        </is>
      </c>
      <c r="E604" s="50" t="inlineStr">
        <is>
          <t>RACAILLOU</t>
        </is>
      </c>
      <c r="F604" s="51" t="n">
        <v>0.2</v>
      </c>
      <c r="G604" s="52" t="n">
        <v>44</v>
      </c>
      <c r="H604" s="52" t="n">
        <v>44</v>
      </c>
      <c r="I604" s="29">
        <f>IF(OR(COUNTIF('Suivi des rencontres'!$A:$A,$A604)&gt;0,COUNTIF('Suivi des rencontres'!$C:$C,$J604)&gt;0),"Non","Oui")</f>
        <v/>
      </c>
      <c r="J604" s="30" t="inlineStr">
        <is>
          <t>RACAILLOU</t>
        </is>
      </c>
    </row>
    <row r="605">
      <c r="A605" s="47" t="inlineStr">
        <is>
          <t>Grotte</t>
        </is>
      </c>
      <c r="B605" s="47" t="inlineStr">
        <is>
          <t>RockTunnel_1F_hns</t>
        </is>
      </c>
      <c r="C605" s="48" t="inlineStr">
        <is>
          <t>Matin, jour, soir</t>
        </is>
      </c>
      <c r="D605" s="49" t="inlineStr">
        <is>
          <t>Herbe</t>
        </is>
      </c>
      <c r="E605" s="50" t="inlineStr">
        <is>
          <t>NOSFERAPTI</t>
        </is>
      </c>
      <c r="F605" s="51" t="n">
        <v>0.11</v>
      </c>
      <c r="G605" s="52" t="n">
        <v>42</v>
      </c>
      <c r="H605" s="52" t="n">
        <v>42</v>
      </c>
      <c r="I605" s="29">
        <f>IF(OR(COUNTIF('Suivi des rencontres'!$A:$A,$A605)&gt;0,COUNTIF('Suivi des rencontres'!$C:$C,$J605)&gt;0),"Non","Oui")</f>
        <v/>
      </c>
      <c r="J605" s="30" t="inlineStr">
        <is>
          <t>NOSFERAPTI</t>
        </is>
      </c>
    </row>
    <row r="606">
      <c r="A606" s="47" t="inlineStr">
        <is>
          <t>Grotte</t>
        </is>
      </c>
      <c r="B606" s="47" t="inlineStr">
        <is>
          <t>RockTunnel_1F_hns</t>
        </is>
      </c>
      <c r="C606" s="48" t="inlineStr">
        <is>
          <t>Matin, jour, soir</t>
        </is>
      </c>
      <c r="D606" s="49" t="inlineStr">
        <is>
          <t>Herbe</t>
        </is>
      </c>
      <c r="E606" s="50" t="inlineStr">
        <is>
          <t>OSSATUEUR</t>
        </is>
      </c>
      <c r="F606" s="51" t="n">
        <v>0.09</v>
      </c>
      <c r="G606" s="52" t="n">
        <v>45</v>
      </c>
      <c r="H606" s="52" t="n">
        <v>45</v>
      </c>
      <c r="I606" s="29">
        <f>IF(OR(COUNTIF('Suivi des rencontres'!$A:$A,$A606)&gt;0,COUNTIF('Suivi des rencontres'!$C:$C,$J606)&gt;0),"Non","Oui")</f>
        <v/>
      </c>
      <c r="J606" s="30" t="inlineStr">
        <is>
          <t>OSSELAIT</t>
        </is>
      </c>
    </row>
    <row r="607">
      <c r="A607" s="47" t="inlineStr">
        <is>
          <t>Grotte</t>
        </is>
      </c>
      <c r="B607" s="47" t="inlineStr">
        <is>
          <t>RockTunnel_1F_hns</t>
        </is>
      </c>
      <c r="C607" s="48" t="inlineStr">
        <is>
          <t>Matin, jour, soir</t>
        </is>
      </c>
      <c r="D607" s="49" t="inlineStr">
        <is>
          <t>Herbe</t>
        </is>
      </c>
      <c r="E607" s="50" t="inlineStr">
        <is>
          <t>KANGOUREX</t>
        </is>
      </c>
      <c r="F607" s="51" t="n">
        <v>0.05</v>
      </c>
      <c r="G607" s="52" t="n">
        <v>45</v>
      </c>
      <c r="H607" s="52" t="n">
        <v>45</v>
      </c>
      <c r="I607" s="29">
        <f>IF(OR(COUNTIF('Suivi des rencontres'!$A:$A,$A607)&gt;0,COUNTIF('Suivi des rencontres'!$C:$C,$J607)&gt;0),"Non","Oui")</f>
        <v/>
      </c>
      <c r="J607" s="30" t="inlineStr">
        <is>
          <t>KANGOUREX</t>
        </is>
      </c>
    </row>
    <row r="608">
      <c r="A608" s="47" t="inlineStr">
        <is>
          <t>Grotte</t>
        </is>
      </c>
      <c r="B608" s="47" t="inlineStr">
        <is>
          <t>RockTunnel_1F_hns</t>
        </is>
      </c>
      <c r="C608" s="48" t="inlineStr">
        <is>
          <t>Matin, jour, soir</t>
        </is>
      </c>
      <c r="D608" s="49" t="inlineStr">
        <is>
          <t>Herbe</t>
        </is>
      </c>
      <c r="E608" s="50" t="inlineStr">
        <is>
          <t>MYSDIBULE</t>
        </is>
      </c>
      <c r="F608" s="51" t="n">
        <v>0.05</v>
      </c>
      <c r="G608" s="52" t="n">
        <v>46</v>
      </c>
      <c r="H608" s="52" t="n">
        <v>46</v>
      </c>
      <c r="I608" s="29">
        <f>IF(OR(COUNTIF('Suivi des rencontres'!$A:$A,$A608)&gt;0,COUNTIF('Suivi des rencontres'!$C:$C,$J608)&gt;0),"Non","Oui")</f>
        <v/>
      </c>
      <c r="J608" s="30" t="inlineStr">
        <is>
          <t>MYSDIBULE</t>
        </is>
      </c>
    </row>
    <row r="609">
      <c r="A609" s="47" t="inlineStr">
        <is>
          <t>Grotte</t>
        </is>
      </c>
      <c r="B609" s="47" t="inlineStr">
        <is>
          <t>RockTunnel_1F_hns</t>
        </is>
      </c>
      <c r="C609" s="62" t="inlineStr">
        <is>
          <t>Nuit</t>
        </is>
      </c>
      <c r="D609" s="49" t="inlineStr">
        <is>
          <t>Herbe</t>
        </is>
      </c>
      <c r="E609" s="50" t="inlineStr">
        <is>
          <t>RACAILLOU</t>
        </is>
      </c>
      <c r="F609" s="51" t="n">
        <v>0.24</v>
      </c>
      <c r="G609" s="52" t="n">
        <v>44</v>
      </c>
      <c r="H609" s="52" t="n">
        <v>44</v>
      </c>
      <c r="I609" s="29">
        <f>IF(OR(COUNTIF('Suivi des rencontres'!$A:$A,$A609)&gt;0,COUNTIF('Suivi des rencontres'!$C:$C,$J609)&gt;0),"Non","Oui")</f>
        <v/>
      </c>
      <c r="J609" s="30" t="inlineStr">
        <is>
          <t>RACAILLOU</t>
        </is>
      </c>
    </row>
    <row r="610">
      <c r="A610" s="47" t="inlineStr">
        <is>
          <t>Grotte</t>
        </is>
      </c>
      <c r="B610" s="47" t="inlineStr">
        <is>
          <t>RockTunnel_1F_hns</t>
        </is>
      </c>
      <c r="C610" s="62" t="inlineStr">
        <is>
          <t>Nuit</t>
        </is>
      </c>
      <c r="D610" s="49" t="inlineStr">
        <is>
          <t>Herbe</t>
        </is>
      </c>
      <c r="E610" s="50" t="inlineStr">
        <is>
          <t>NOSFERAPTI</t>
        </is>
      </c>
      <c r="F610" s="51" t="n">
        <v>0.21</v>
      </c>
      <c r="G610" s="52" t="n">
        <v>42</v>
      </c>
      <c r="H610" s="52" t="n">
        <v>45</v>
      </c>
      <c r="I610" s="29">
        <f>IF(OR(COUNTIF('Suivi des rencontres'!$A:$A,$A610)&gt;0,COUNTIF('Suivi des rencontres'!$C:$C,$J610)&gt;0),"Non","Oui")</f>
        <v/>
      </c>
      <c r="J610" s="30" t="inlineStr">
        <is>
          <t>NOSFERAPTI</t>
        </is>
      </c>
    </row>
    <row r="611">
      <c r="A611" s="47" t="inlineStr">
        <is>
          <t>Grotte</t>
        </is>
      </c>
      <c r="B611" s="47" t="inlineStr">
        <is>
          <t>RockTunnel_1F_hns</t>
        </is>
      </c>
      <c r="C611" s="62" t="inlineStr">
        <is>
          <t>Nuit</t>
        </is>
      </c>
      <c r="D611" s="49" t="inlineStr">
        <is>
          <t>Herbe</t>
        </is>
      </c>
      <c r="E611" s="50" t="inlineStr">
        <is>
          <t>SPECTRUM</t>
        </is>
      </c>
      <c r="F611" s="51" t="n">
        <v>0.16</v>
      </c>
      <c r="G611" s="52" t="n">
        <v>42</v>
      </c>
      <c r="H611" s="52" t="n">
        <v>42</v>
      </c>
      <c r="I611" s="29">
        <f>IF(OR(COUNTIF('Suivi des rencontres'!$A:$A,$A611)&gt;0,COUNTIF('Suivi des rencontres'!$C:$C,$J611)&gt;0),"Non","Oui")</f>
        <v/>
      </c>
      <c r="J611" s="30" t="inlineStr">
        <is>
          <t>FANTOMINUS</t>
        </is>
      </c>
    </row>
    <row r="612">
      <c r="A612" s="47" t="inlineStr">
        <is>
          <t>Grotte</t>
        </is>
      </c>
      <c r="B612" s="47" t="inlineStr">
        <is>
          <t>RockTunnel_1F_hns</t>
        </is>
      </c>
      <c r="C612" s="62" t="inlineStr">
        <is>
          <t>Nuit</t>
        </is>
      </c>
      <c r="D612" s="49" t="inlineStr">
        <is>
          <t>Herbe</t>
        </is>
      </c>
      <c r="E612" s="50" t="inlineStr">
        <is>
          <t>ONIX</t>
        </is>
      </c>
      <c r="F612" s="51" t="n">
        <v>0.15</v>
      </c>
      <c r="G612" s="52" t="n">
        <v>46</v>
      </c>
      <c r="H612" s="52" t="n">
        <v>46</v>
      </c>
      <c r="I612" s="29">
        <f>IF(OR(COUNTIF('Suivi des rencontres'!$A:$A,$A612)&gt;0,COUNTIF('Suivi des rencontres'!$C:$C,$J612)&gt;0),"Non","Oui")</f>
        <v/>
      </c>
      <c r="J612" s="30" t="inlineStr">
        <is>
          <t>ONIX</t>
        </is>
      </c>
    </row>
    <row r="613">
      <c r="A613" s="47" t="inlineStr">
        <is>
          <t>Grotte</t>
        </is>
      </c>
      <c r="B613" s="47" t="inlineStr">
        <is>
          <t>RockTunnel_1F_hns</t>
        </is>
      </c>
      <c r="C613" s="62" t="inlineStr">
        <is>
          <t>Nuit</t>
        </is>
      </c>
      <c r="D613" s="49" t="inlineStr">
        <is>
          <t>Herbe</t>
        </is>
      </c>
      <c r="E613" s="50" t="inlineStr">
        <is>
          <t>NOSFERALTO</t>
        </is>
      </c>
      <c r="F613" s="51" t="n">
        <v>0.14</v>
      </c>
      <c r="G613" s="52" t="n">
        <v>45</v>
      </c>
      <c r="H613" s="52" t="n">
        <v>45</v>
      </c>
      <c r="I613" s="29">
        <f>IF(OR(COUNTIF('Suivi des rencontres'!$A:$A,$A613)&gt;0,COUNTIF('Suivi des rencontres'!$C:$C,$J613)&gt;0),"Non","Oui")</f>
        <v/>
      </c>
      <c r="J613" s="30" t="inlineStr">
        <is>
          <t>NOSFERAPTI</t>
        </is>
      </c>
    </row>
    <row r="614">
      <c r="A614" s="47" t="inlineStr">
        <is>
          <t>Grotte</t>
        </is>
      </c>
      <c r="B614" s="47" t="inlineStr">
        <is>
          <t>RockTunnel_1F_hns</t>
        </is>
      </c>
      <c r="C614" s="62" t="inlineStr">
        <is>
          <t>Nuit</t>
        </is>
      </c>
      <c r="D614" s="49" t="inlineStr">
        <is>
          <t>Herbe</t>
        </is>
      </c>
      <c r="E614" s="50" t="inlineStr">
        <is>
          <t>MYSDIBULE</t>
        </is>
      </c>
      <c r="F614" s="51" t="n">
        <v>0.1</v>
      </c>
      <c r="G614" s="52" t="n">
        <v>42</v>
      </c>
      <c r="H614" s="52" t="n">
        <v>45</v>
      </c>
      <c r="I614" s="29">
        <f>IF(OR(COUNTIF('Suivi des rencontres'!$A:$A,$A614)&gt;0,COUNTIF('Suivi des rencontres'!$C:$C,$J614)&gt;0),"Non","Oui")</f>
        <v/>
      </c>
      <c r="J614" s="30" t="inlineStr">
        <is>
          <t>MYSDIBULE</t>
        </is>
      </c>
    </row>
    <row r="615">
      <c r="A615" s="47" t="inlineStr">
        <is>
          <t>Grotte</t>
        </is>
      </c>
      <c r="B615" s="47" t="inlineStr">
        <is>
          <t>RockTunnel_B1F_hns</t>
        </is>
      </c>
      <c r="C615" s="48" t="inlineStr">
        <is>
          <t>Matin, jour, soir</t>
        </is>
      </c>
      <c r="D615" s="49" t="inlineStr">
        <is>
          <t>Herbe</t>
        </is>
      </c>
      <c r="E615" s="50" t="inlineStr">
        <is>
          <t>OSSELAIT</t>
        </is>
      </c>
      <c r="F615" s="51" t="n">
        <v>0.3</v>
      </c>
      <c r="G615" s="52" t="n">
        <v>42</v>
      </c>
      <c r="H615" s="52" t="n">
        <v>42</v>
      </c>
      <c r="I615" s="29">
        <f>IF(OR(COUNTIF('Suivi des rencontres'!$A:$A,$A615)&gt;0,COUNTIF('Suivi des rencontres'!$C:$C,$J615)&gt;0),"Non","Oui")</f>
        <v/>
      </c>
      <c r="J615" s="30" t="inlineStr">
        <is>
          <t>OSSELAIT</t>
        </is>
      </c>
    </row>
    <row r="616">
      <c r="A616" s="47" t="inlineStr">
        <is>
          <t>Grotte</t>
        </is>
      </c>
      <c r="B616" s="47" t="inlineStr">
        <is>
          <t>RockTunnel_B1F_hns</t>
        </is>
      </c>
      <c r="C616" s="48" t="inlineStr">
        <is>
          <t>Matin, jour, soir</t>
        </is>
      </c>
      <c r="D616" s="49" t="inlineStr">
        <is>
          <t>Herbe</t>
        </is>
      </c>
      <c r="E616" s="50" t="inlineStr">
        <is>
          <t>MACHOC</t>
        </is>
      </c>
      <c r="F616" s="51" t="n">
        <v>0.2</v>
      </c>
      <c r="G616" s="52" t="n">
        <v>43</v>
      </c>
      <c r="H616" s="52" t="n">
        <v>44</v>
      </c>
      <c r="I616" s="29">
        <f>IF(OR(COUNTIF('Suivi des rencontres'!$A:$A,$A616)&gt;0,COUNTIF('Suivi des rencontres'!$C:$C,$J616)&gt;0),"Non","Oui")</f>
        <v/>
      </c>
      <c r="J616" s="30" t="inlineStr">
        <is>
          <t>MACHOC</t>
        </is>
      </c>
    </row>
    <row r="617">
      <c r="A617" s="47" t="inlineStr">
        <is>
          <t>Grotte</t>
        </is>
      </c>
      <c r="B617" s="47" t="inlineStr">
        <is>
          <t>RockTunnel_B1F_hns</t>
        </is>
      </c>
      <c r="C617" s="48" t="inlineStr">
        <is>
          <t>Matin, jour, soir</t>
        </is>
      </c>
      <c r="D617" s="49" t="inlineStr">
        <is>
          <t>Herbe</t>
        </is>
      </c>
      <c r="E617" s="50" t="inlineStr">
        <is>
          <t>RACAILLOU</t>
        </is>
      </c>
      <c r="F617" s="51" t="n">
        <v>0.2</v>
      </c>
      <c r="G617" s="52" t="n">
        <v>44</v>
      </c>
      <c r="H617" s="52" t="n">
        <v>44</v>
      </c>
      <c r="I617" s="29">
        <f>IF(OR(COUNTIF('Suivi des rencontres'!$A:$A,$A617)&gt;0,COUNTIF('Suivi des rencontres'!$C:$C,$J617)&gt;0),"Non","Oui")</f>
        <v/>
      </c>
      <c r="J617" s="30" t="inlineStr">
        <is>
          <t>RACAILLOU</t>
        </is>
      </c>
    </row>
    <row r="618">
      <c r="A618" s="47" t="inlineStr">
        <is>
          <t>Grotte</t>
        </is>
      </c>
      <c r="B618" s="47" t="inlineStr">
        <is>
          <t>RockTunnel_B1F_hns</t>
        </is>
      </c>
      <c r="C618" s="48" t="inlineStr">
        <is>
          <t>Matin, jour, soir</t>
        </is>
      </c>
      <c r="D618" s="49" t="inlineStr">
        <is>
          <t>Herbe</t>
        </is>
      </c>
      <c r="E618" s="50" t="inlineStr">
        <is>
          <t>NOSFERAPTI</t>
        </is>
      </c>
      <c r="F618" s="51" t="n">
        <v>0.11</v>
      </c>
      <c r="G618" s="52" t="n">
        <v>42</v>
      </c>
      <c r="H618" s="52" t="n">
        <v>42</v>
      </c>
      <c r="I618" s="29">
        <f>IF(OR(COUNTIF('Suivi des rencontres'!$A:$A,$A618)&gt;0,COUNTIF('Suivi des rencontres'!$C:$C,$J618)&gt;0),"Non","Oui")</f>
        <v/>
      </c>
      <c r="J618" s="30" t="inlineStr">
        <is>
          <t>NOSFERAPTI</t>
        </is>
      </c>
    </row>
    <row r="619">
      <c r="A619" s="47" t="inlineStr">
        <is>
          <t>Grotte</t>
        </is>
      </c>
      <c r="B619" s="47" t="inlineStr">
        <is>
          <t>RockTunnel_B1F_hns</t>
        </is>
      </c>
      <c r="C619" s="48" t="inlineStr">
        <is>
          <t>Matin, jour, soir</t>
        </is>
      </c>
      <c r="D619" s="49" t="inlineStr">
        <is>
          <t>Herbe</t>
        </is>
      </c>
      <c r="E619" s="50" t="inlineStr">
        <is>
          <t>MACHOPEUR</t>
        </is>
      </c>
      <c r="F619" s="51" t="n">
        <v>0.09</v>
      </c>
      <c r="G619" s="52" t="n">
        <v>45</v>
      </c>
      <c r="H619" s="52" t="n">
        <v>45</v>
      </c>
      <c r="I619" s="29">
        <f>IF(OR(COUNTIF('Suivi des rencontres'!$A:$A,$A619)&gt;0,COUNTIF('Suivi des rencontres'!$C:$C,$J619)&gt;0),"Non","Oui")</f>
        <v/>
      </c>
      <c r="J619" s="30" t="inlineStr">
        <is>
          <t>MACHOC</t>
        </is>
      </c>
    </row>
    <row r="620">
      <c r="A620" s="47" t="inlineStr">
        <is>
          <t>Grotte</t>
        </is>
      </c>
      <c r="B620" s="47" t="inlineStr">
        <is>
          <t>RockTunnel_B1F_hns</t>
        </is>
      </c>
      <c r="C620" s="48" t="inlineStr">
        <is>
          <t>Matin, jour, soir</t>
        </is>
      </c>
      <c r="D620" s="49" t="inlineStr">
        <is>
          <t>Herbe</t>
        </is>
      </c>
      <c r="E620" s="50" t="inlineStr">
        <is>
          <t>OSSATUEUR</t>
        </is>
      </c>
      <c r="F620" s="51" t="n">
        <v>0.05</v>
      </c>
      <c r="G620" s="52" t="n">
        <v>45</v>
      </c>
      <c r="H620" s="52" t="n">
        <v>45</v>
      </c>
      <c r="I620" s="29">
        <f>IF(OR(COUNTIF('Suivi des rencontres'!$A:$A,$A620)&gt;0,COUNTIF('Suivi des rencontres'!$C:$C,$J620)&gt;0),"Non","Oui")</f>
        <v/>
      </c>
      <c r="J620" s="30" t="inlineStr">
        <is>
          <t>OSSELAIT</t>
        </is>
      </c>
    </row>
    <row r="621">
      <c r="A621" s="47" t="inlineStr">
        <is>
          <t>Grotte</t>
        </is>
      </c>
      <c r="B621" s="47" t="inlineStr">
        <is>
          <t>RockTunnel_B1F_hns</t>
        </is>
      </c>
      <c r="C621" s="48" t="inlineStr">
        <is>
          <t>Matin, jour, soir</t>
        </is>
      </c>
      <c r="D621" s="49" t="inlineStr">
        <is>
          <t>Herbe</t>
        </is>
      </c>
      <c r="E621" s="50" t="inlineStr">
        <is>
          <t>TENEFIX</t>
        </is>
      </c>
      <c r="F621" s="51" t="n">
        <v>0.05</v>
      </c>
      <c r="G621" s="52" t="n">
        <v>43</v>
      </c>
      <c r="H621" s="52" t="n">
        <v>43</v>
      </c>
      <c r="I621" s="29">
        <f>IF(OR(COUNTIF('Suivi des rencontres'!$A:$A,$A621)&gt;0,COUNTIF('Suivi des rencontres'!$C:$C,$J621)&gt;0),"Non","Oui")</f>
        <v/>
      </c>
      <c r="J621" s="30" t="inlineStr">
        <is>
          <t>TENEFIX</t>
        </is>
      </c>
    </row>
    <row r="622">
      <c r="A622" s="47" t="inlineStr">
        <is>
          <t>Grotte</t>
        </is>
      </c>
      <c r="B622" s="47" t="inlineStr">
        <is>
          <t>RockTunnel_B1F_hns</t>
        </is>
      </c>
      <c r="C622" s="62" t="inlineStr">
        <is>
          <t>Nuit</t>
        </is>
      </c>
      <c r="D622" s="49" t="inlineStr">
        <is>
          <t>Herbe</t>
        </is>
      </c>
      <c r="E622" s="50" t="inlineStr">
        <is>
          <t>RACAILLOU</t>
        </is>
      </c>
      <c r="F622" s="51" t="n">
        <v>0.35</v>
      </c>
      <c r="G622" s="52" t="n">
        <v>43</v>
      </c>
      <c r="H622" s="52" t="n">
        <v>44</v>
      </c>
      <c r="I622" s="29">
        <f>IF(OR(COUNTIF('Suivi des rencontres'!$A:$A,$A622)&gt;0,COUNTIF('Suivi des rencontres'!$C:$C,$J622)&gt;0),"Non","Oui")</f>
        <v/>
      </c>
      <c r="J622" s="30" t="inlineStr">
        <is>
          <t>RACAILLOU</t>
        </is>
      </c>
    </row>
    <row r="623">
      <c r="A623" s="47" t="inlineStr">
        <is>
          <t>Grotte</t>
        </is>
      </c>
      <c r="B623" s="47" t="inlineStr">
        <is>
          <t>RockTunnel_B1F_hns</t>
        </is>
      </c>
      <c r="C623" s="62" t="inlineStr">
        <is>
          <t>Nuit</t>
        </is>
      </c>
      <c r="D623" s="49" t="inlineStr">
        <is>
          <t>Herbe</t>
        </is>
      </c>
      <c r="E623" s="50" t="inlineStr">
        <is>
          <t>NOSFERAPTI</t>
        </is>
      </c>
      <c r="F623" s="51" t="n">
        <v>0.31</v>
      </c>
      <c r="G623" s="52" t="n">
        <v>42</v>
      </c>
      <c r="H623" s="52" t="n">
        <v>42</v>
      </c>
      <c r="I623" s="29">
        <f>IF(OR(COUNTIF('Suivi des rencontres'!$A:$A,$A623)&gt;0,COUNTIF('Suivi des rencontres'!$C:$C,$J623)&gt;0),"Non","Oui")</f>
        <v/>
      </c>
      <c r="J623" s="30" t="inlineStr">
        <is>
          <t>NOSFERAPTI</t>
        </is>
      </c>
    </row>
    <row r="624">
      <c r="A624" s="47" t="inlineStr">
        <is>
          <t>Grotte</t>
        </is>
      </c>
      <c r="B624" s="47" t="inlineStr">
        <is>
          <t>RockTunnel_B1F_hns</t>
        </is>
      </c>
      <c r="C624" s="62" t="inlineStr">
        <is>
          <t>Nuit</t>
        </is>
      </c>
      <c r="D624" s="49" t="inlineStr">
        <is>
          <t>Herbe</t>
        </is>
      </c>
      <c r="E624" s="50" t="inlineStr">
        <is>
          <t>NOSFERALTO</t>
        </is>
      </c>
      <c r="F624" s="51" t="n">
        <v>0.14</v>
      </c>
      <c r="G624" s="52" t="n">
        <v>45</v>
      </c>
      <c r="H624" s="52" t="n">
        <v>45</v>
      </c>
      <c r="I624" s="29">
        <f>IF(OR(COUNTIF('Suivi des rencontres'!$A:$A,$A624)&gt;0,COUNTIF('Suivi des rencontres'!$C:$C,$J624)&gt;0),"Non","Oui")</f>
        <v/>
      </c>
      <c r="J624" s="30" t="inlineStr">
        <is>
          <t>NOSFERAPTI</t>
        </is>
      </c>
    </row>
    <row r="625">
      <c r="A625" s="47" t="inlineStr">
        <is>
          <t>Grotte</t>
        </is>
      </c>
      <c r="B625" s="47" t="inlineStr">
        <is>
          <t>RockTunnel_B1F_hns</t>
        </is>
      </c>
      <c r="C625" s="62" t="inlineStr">
        <is>
          <t>Nuit</t>
        </is>
      </c>
      <c r="D625" s="49" t="inlineStr">
        <is>
          <t>Herbe</t>
        </is>
      </c>
      <c r="E625" s="50" t="inlineStr">
        <is>
          <t>SPECTRUM</t>
        </is>
      </c>
      <c r="F625" s="51" t="n">
        <v>0.1</v>
      </c>
      <c r="G625" s="52" t="n">
        <v>42</v>
      </c>
      <c r="H625" s="52" t="n">
        <v>42</v>
      </c>
      <c r="I625" s="29">
        <f>IF(OR(COUNTIF('Suivi des rencontres'!$A:$A,$A625)&gt;0,COUNTIF('Suivi des rencontres'!$C:$C,$J625)&gt;0),"Non","Oui")</f>
        <v/>
      </c>
      <c r="J625" s="30" t="inlineStr">
        <is>
          <t>FANTOMINUS</t>
        </is>
      </c>
    </row>
    <row r="626">
      <c r="A626" s="47" t="inlineStr">
        <is>
          <t>Grotte</t>
        </is>
      </c>
      <c r="B626" s="47" t="inlineStr">
        <is>
          <t>RockTunnel_B1F_hns</t>
        </is>
      </c>
      <c r="C626" s="62" t="inlineStr">
        <is>
          <t>Nuit</t>
        </is>
      </c>
      <c r="D626" s="49" t="inlineStr">
        <is>
          <t>Herbe</t>
        </is>
      </c>
      <c r="E626" s="50" t="inlineStr">
        <is>
          <t>TENEFIX</t>
        </is>
      </c>
      <c r="F626" s="51" t="n">
        <v>0.1</v>
      </c>
      <c r="G626" s="52" t="n">
        <v>43</v>
      </c>
      <c r="H626" s="52" t="n">
        <v>43</v>
      </c>
      <c r="I626" s="29">
        <f>IF(OR(COUNTIF('Suivi des rencontres'!$A:$A,$A626)&gt;0,COUNTIF('Suivi des rencontres'!$C:$C,$J626)&gt;0),"Non","Oui")</f>
        <v/>
      </c>
      <c r="J626" s="30" t="inlineStr">
        <is>
          <t>TENEFIX</t>
        </is>
      </c>
    </row>
    <row r="627">
      <c r="A627" s="57" t="inlineStr">
        <is>
          <t>Grotte Falaise</t>
        </is>
      </c>
      <c r="B627" s="57" t="inlineStr">
        <is>
          <t>CliffEdgeCave_hns</t>
        </is>
      </c>
      <c r="C627" s="58" t="inlineStr">
        <is>
          <t>Toute la journée</t>
        </is>
      </c>
      <c r="D627" s="42" t="inlineStr">
        <is>
          <t>Herbe</t>
        </is>
      </c>
      <c r="E627" s="59" t="inlineStr">
        <is>
          <t>NOSFERALTO</t>
        </is>
      </c>
      <c r="F627" s="60" t="n">
        <v>0.2</v>
      </c>
      <c r="G627" s="61" t="n">
        <v>23</v>
      </c>
      <c r="H627" s="61" t="n">
        <v>25</v>
      </c>
      <c r="I627" s="46">
        <f>IF(OR(COUNTIF('Suivi des rencontres'!$A:$A,$A627)&gt;0,COUNTIF('Suivi des rencontres'!$C:$C,$J627)&gt;0),"Non","Oui")</f>
        <v/>
      </c>
      <c r="J627" s="30" t="inlineStr">
        <is>
          <t>NOSFERAPTI</t>
        </is>
      </c>
    </row>
    <row r="628">
      <c r="A628" s="35" t="inlineStr">
        <is>
          <t>Grotte Falaise</t>
        </is>
      </c>
      <c r="B628" s="35" t="inlineStr">
        <is>
          <t>CliffEdgeCave_hns</t>
        </is>
      </c>
      <c r="C628" s="33" t="inlineStr">
        <is>
          <t>Toute la journée</t>
        </is>
      </c>
      <c r="D628" s="49" t="inlineStr">
        <is>
          <t>Herbe</t>
        </is>
      </c>
      <c r="E628" s="37" t="inlineStr">
        <is>
          <t>RACAILLOU</t>
        </is>
      </c>
      <c r="F628" s="38" t="n">
        <v>0.2</v>
      </c>
      <c r="G628" s="39" t="n">
        <v>23</v>
      </c>
      <c r="H628" s="39" t="n">
        <v>24</v>
      </c>
      <c r="I628" s="29">
        <f>IF(OR(COUNTIF('Suivi des rencontres'!$A:$A,$A628)&gt;0,COUNTIF('Suivi des rencontres'!$C:$C,$J628)&gt;0),"Non","Oui")</f>
        <v/>
      </c>
      <c r="J628" s="30" t="inlineStr">
        <is>
          <t>RACAILLOU</t>
        </is>
      </c>
    </row>
    <row r="629">
      <c r="A629" s="35" t="inlineStr">
        <is>
          <t>Grotte Falaise</t>
        </is>
      </c>
      <c r="B629" s="35" t="inlineStr">
        <is>
          <t>CliffEdgeCave_hns</t>
        </is>
      </c>
      <c r="C629" s="33" t="inlineStr">
        <is>
          <t>Toute la journée</t>
        </is>
      </c>
      <c r="D629" s="49" t="inlineStr">
        <is>
          <t>Herbe</t>
        </is>
      </c>
      <c r="E629" s="37" t="inlineStr">
        <is>
          <t>KRABBOSS</t>
        </is>
      </c>
      <c r="F629" s="38" t="n">
        <v>0.1</v>
      </c>
      <c r="G629" s="39" t="n">
        <v>23</v>
      </c>
      <c r="H629" s="39" t="n">
        <v>25</v>
      </c>
      <c r="I629" s="29">
        <f>IF(OR(COUNTIF('Suivi des rencontres'!$A:$A,$A629)&gt;0,COUNTIF('Suivi des rencontres'!$C:$C,$J629)&gt;0),"Non","Oui")</f>
        <v/>
      </c>
      <c r="J629" s="30" t="inlineStr">
        <is>
          <t>KRABBY</t>
        </is>
      </c>
    </row>
    <row r="630">
      <c r="A630" s="35" t="inlineStr">
        <is>
          <t>Grotte Falaise</t>
        </is>
      </c>
      <c r="B630" s="35" t="inlineStr">
        <is>
          <t>CliffEdgeCave_hns</t>
        </is>
      </c>
      <c r="C630" s="33" t="inlineStr">
        <is>
          <t>Toute la journée</t>
        </is>
      </c>
      <c r="D630" s="49" t="inlineStr">
        <is>
          <t>Herbe</t>
        </is>
      </c>
      <c r="E630" s="37" t="inlineStr">
        <is>
          <t>KRABBY</t>
        </is>
      </c>
      <c r="F630" s="38" t="n">
        <v>0.1</v>
      </c>
      <c r="G630" s="39" t="n">
        <v>23</v>
      </c>
      <c r="H630" s="39" t="n">
        <v>25</v>
      </c>
      <c r="I630" s="29">
        <f>IF(OR(COUNTIF('Suivi des rencontres'!$A:$A,$A630)&gt;0,COUNTIF('Suivi des rencontres'!$C:$C,$J630)&gt;0),"Non","Oui")</f>
        <v/>
      </c>
      <c r="J630" s="30" t="inlineStr">
        <is>
          <t>KRABBY</t>
        </is>
      </c>
    </row>
    <row r="631">
      <c r="A631" s="35" t="inlineStr">
        <is>
          <t>Grotte Falaise</t>
        </is>
      </c>
      <c r="B631" s="35" t="inlineStr">
        <is>
          <t>CliffEdgeCave_hns</t>
        </is>
      </c>
      <c r="C631" s="33" t="inlineStr">
        <is>
          <t>Toute la journée</t>
        </is>
      </c>
      <c r="D631" s="49" t="inlineStr">
        <is>
          <t>Herbe</t>
        </is>
      </c>
      <c r="E631" s="37" t="inlineStr">
        <is>
          <t>MACHOC</t>
        </is>
      </c>
      <c r="F631" s="38" t="n">
        <v>0.1</v>
      </c>
      <c r="G631" s="39" t="n">
        <v>23</v>
      </c>
      <c r="H631" s="39" t="n">
        <v>25</v>
      </c>
      <c r="I631" s="29">
        <f>IF(OR(COUNTIF('Suivi des rencontres'!$A:$A,$A631)&gt;0,COUNTIF('Suivi des rencontres'!$C:$C,$J631)&gt;0),"Non","Oui")</f>
        <v/>
      </c>
      <c r="J631" s="30" t="inlineStr">
        <is>
          <t>MACHOC</t>
        </is>
      </c>
    </row>
    <row r="632">
      <c r="A632" s="35" t="inlineStr">
        <is>
          <t>Grotte Falaise</t>
        </is>
      </c>
      <c r="B632" s="35" t="inlineStr">
        <is>
          <t>CliffEdgeCave_hns</t>
        </is>
      </c>
      <c r="C632" s="33" t="inlineStr">
        <is>
          <t>Toute la journée</t>
        </is>
      </c>
      <c r="D632" s="49" t="inlineStr">
        <is>
          <t>Herbe</t>
        </is>
      </c>
      <c r="E632" s="37" t="inlineStr">
        <is>
          <t>ONIX</t>
        </is>
      </c>
      <c r="F632" s="38" t="n">
        <v>0.1</v>
      </c>
      <c r="G632" s="39" t="n">
        <v>23</v>
      </c>
      <c r="H632" s="39" t="n">
        <v>26</v>
      </c>
      <c r="I632" s="29">
        <f>IF(OR(COUNTIF('Suivi des rencontres'!$A:$A,$A632)&gt;0,COUNTIF('Suivi des rencontres'!$C:$C,$J632)&gt;0),"Non","Oui")</f>
        <v/>
      </c>
      <c r="J632" s="30" t="inlineStr">
        <is>
          <t>ONIX</t>
        </is>
      </c>
    </row>
    <row r="633">
      <c r="A633" s="35" t="inlineStr">
        <is>
          <t>Grotte Falaise</t>
        </is>
      </c>
      <c r="B633" s="35" t="inlineStr">
        <is>
          <t>CliffEdgeCave_hns</t>
        </is>
      </c>
      <c r="C633" s="33" t="inlineStr">
        <is>
          <t>Toute la journée</t>
        </is>
      </c>
      <c r="D633" s="49" t="inlineStr">
        <is>
          <t>Herbe</t>
        </is>
      </c>
      <c r="E633" s="37" t="inlineStr">
        <is>
          <t>AXOLOTO</t>
        </is>
      </c>
      <c r="F633" s="38" t="n">
        <v>0.05</v>
      </c>
      <c r="G633" s="39" t="n">
        <v>23</v>
      </c>
      <c r="H633" s="39" t="n">
        <v>25</v>
      </c>
      <c r="I633" s="29">
        <f>IF(OR(COUNTIF('Suivi des rencontres'!$A:$A,$A633)&gt;0,COUNTIF('Suivi des rencontres'!$C:$C,$J633)&gt;0),"Non","Oui")</f>
        <v/>
      </c>
      <c r="J633" s="30" t="inlineStr">
        <is>
          <t>AXOLOTO</t>
        </is>
      </c>
    </row>
    <row r="634">
      <c r="A634" s="35" t="inlineStr">
        <is>
          <t>Grotte Falaise</t>
        </is>
      </c>
      <c r="B634" s="35" t="inlineStr">
        <is>
          <t>CliffEdgeCave_hns</t>
        </is>
      </c>
      <c r="C634" s="33" t="inlineStr">
        <is>
          <t>Toute la journée</t>
        </is>
      </c>
      <c r="D634" s="49" t="inlineStr">
        <is>
          <t>Herbe</t>
        </is>
      </c>
      <c r="E634" s="37" t="inlineStr">
        <is>
          <t>MARAISTE</t>
        </is>
      </c>
      <c r="F634" s="38" t="n">
        <v>0.05</v>
      </c>
      <c r="G634" s="39" t="n">
        <v>23</v>
      </c>
      <c r="H634" s="39" t="n">
        <v>25</v>
      </c>
      <c r="I634" s="29">
        <f>IF(OR(COUNTIF('Suivi des rencontres'!$A:$A,$A634)&gt;0,COUNTIF('Suivi des rencontres'!$C:$C,$J634)&gt;0),"Non","Oui")</f>
        <v/>
      </c>
      <c r="J634" s="30" t="inlineStr">
        <is>
          <t>AXOLOTO</t>
        </is>
      </c>
    </row>
    <row r="635">
      <c r="A635" s="35" t="inlineStr">
        <is>
          <t>Grotte Falaise</t>
        </is>
      </c>
      <c r="B635" s="35" t="inlineStr">
        <is>
          <t>CliffEdgeCave_hns</t>
        </is>
      </c>
      <c r="C635" s="33" t="inlineStr">
        <is>
          <t>Toute la journée</t>
        </is>
      </c>
      <c r="D635" s="49" t="inlineStr">
        <is>
          <t>Herbe</t>
        </is>
      </c>
      <c r="E635" s="37" t="inlineStr">
        <is>
          <t>GRAVALANCH</t>
        </is>
      </c>
      <c r="F635" s="38" t="n">
        <v>0.04</v>
      </c>
      <c r="G635" s="39" t="n">
        <v>23</v>
      </c>
      <c r="H635" s="39" t="n">
        <v>25</v>
      </c>
      <c r="I635" s="29">
        <f>IF(OR(COUNTIF('Suivi des rencontres'!$A:$A,$A635)&gt;0,COUNTIF('Suivi des rencontres'!$C:$C,$J635)&gt;0),"Non","Oui")</f>
        <v/>
      </c>
      <c r="J635" s="30" t="inlineStr">
        <is>
          <t>RACAILLOU</t>
        </is>
      </c>
    </row>
    <row r="636">
      <c r="A636" s="35" t="inlineStr">
        <is>
          <t>Grotte Falaise</t>
        </is>
      </c>
      <c r="B636" s="35" t="inlineStr">
        <is>
          <t>CliffEdgeCave_hns</t>
        </is>
      </c>
      <c r="C636" s="33" t="inlineStr">
        <is>
          <t>Toute la journée</t>
        </is>
      </c>
      <c r="D636" s="49" t="inlineStr">
        <is>
          <t>Herbe</t>
        </is>
      </c>
      <c r="E636" s="37" t="inlineStr">
        <is>
          <t>MACHOPEUR</t>
        </is>
      </c>
      <c r="F636" s="38" t="n">
        <v>0.04</v>
      </c>
      <c r="G636" s="39" t="n">
        <v>23</v>
      </c>
      <c r="H636" s="39" t="n">
        <v>25</v>
      </c>
      <c r="I636" s="29">
        <f>IF(OR(COUNTIF('Suivi des rencontres'!$A:$A,$A636)&gt;0,COUNTIF('Suivi des rencontres'!$C:$C,$J636)&gt;0),"Non","Oui")</f>
        <v/>
      </c>
      <c r="J636" s="30" t="inlineStr">
        <is>
          <t>MACHOC</t>
        </is>
      </c>
    </row>
    <row r="637">
      <c r="A637" s="35" t="inlineStr">
        <is>
          <t>Grotte Falaise</t>
        </is>
      </c>
      <c r="B637" s="35" t="inlineStr">
        <is>
          <t>CliffEdgeCave_hns</t>
        </is>
      </c>
      <c r="C637" s="33" t="inlineStr">
        <is>
          <t>Toute la journée</t>
        </is>
      </c>
      <c r="D637" s="49" t="inlineStr">
        <is>
          <t>Herbe</t>
        </is>
      </c>
      <c r="E637" s="37" t="inlineStr">
        <is>
          <t>STEELIX</t>
        </is>
      </c>
      <c r="F637" s="38" t="n">
        <v>0.02</v>
      </c>
      <c r="G637" s="39" t="n">
        <v>23</v>
      </c>
      <c r="H637" s="39" t="n">
        <v>26</v>
      </c>
      <c r="I637" s="29">
        <f>IF(OR(COUNTIF('Suivi des rencontres'!$A:$A,$A637)&gt;0,COUNTIF('Suivi des rencontres'!$C:$C,$J637)&gt;0),"Non","Oui")</f>
        <v/>
      </c>
      <c r="J637" s="30" t="inlineStr">
        <is>
          <t>ONIX</t>
        </is>
      </c>
    </row>
    <row r="638">
      <c r="A638" s="35" t="inlineStr">
        <is>
          <t>Grotte Falaise</t>
        </is>
      </c>
      <c r="B638" s="35" t="inlineStr">
        <is>
          <t>CliffEdgeCave_hns</t>
        </is>
      </c>
      <c r="C638" s="33" t="inlineStr">
        <is>
          <t>Toute la journée</t>
        </is>
      </c>
      <c r="D638" s="36" t="inlineStr">
        <is>
          <t>Éclate-Roc</t>
        </is>
      </c>
      <c r="E638" s="37" t="inlineStr">
        <is>
          <t>KRABBY</t>
        </is>
      </c>
      <c r="F638" s="38" t="n">
        <v>0.9</v>
      </c>
      <c r="G638" s="39" t="n">
        <v>23</v>
      </c>
      <c r="H638" s="39" t="n">
        <v>23</v>
      </c>
      <c r="I638" s="29">
        <f>IF(OR(COUNTIF('Suivi des rencontres'!$A:$A,$A638)&gt;0,COUNTIF('Suivi des rencontres'!$C:$C,$J638)&gt;0),"Non","Oui")</f>
        <v/>
      </c>
      <c r="J638" s="30" t="inlineStr">
        <is>
          <t>KRABBY</t>
        </is>
      </c>
    </row>
    <row r="639">
      <c r="A639" s="35" t="inlineStr">
        <is>
          <t>Grotte Falaise</t>
        </is>
      </c>
      <c r="B639" s="35" t="inlineStr">
        <is>
          <t>CliffEdgeCave_hns</t>
        </is>
      </c>
      <c r="C639" s="33" t="inlineStr">
        <is>
          <t>Toute la journée</t>
        </is>
      </c>
      <c r="D639" s="36" t="inlineStr">
        <is>
          <t>Éclate-Roc</t>
        </is>
      </c>
      <c r="E639" s="37" t="inlineStr">
        <is>
          <t>KRABBOSS</t>
        </is>
      </c>
      <c r="F639" s="38" t="n">
        <v>0.1</v>
      </c>
      <c r="G639" s="39" t="n">
        <v>28</v>
      </c>
      <c r="H639" s="39" t="n">
        <v>31</v>
      </c>
      <c r="I639" s="29">
        <f>IF(OR(COUNTIF('Suivi des rencontres'!$A:$A,$A639)&gt;0,COUNTIF('Suivi des rencontres'!$C:$C,$J639)&gt;0),"Non","Oui")</f>
        <v/>
      </c>
      <c r="J639" s="30" t="inlineStr">
        <is>
          <t>KRABBY</t>
        </is>
      </c>
    </row>
    <row r="640">
      <c r="A640" s="35" t="inlineStr">
        <is>
          <t>Grotte Falaise</t>
        </is>
      </c>
      <c r="B640" s="35" t="inlineStr">
        <is>
          <t>CliffEdgeGate_hns</t>
        </is>
      </c>
      <c r="C640" s="33" t="inlineStr">
        <is>
          <t>Toute la journée</t>
        </is>
      </c>
      <c r="D640" s="53" t="inlineStr">
        <is>
          <t>Surf</t>
        </is>
      </c>
      <c r="E640" s="37" t="inlineStr">
        <is>
          <t>AXOLOTO</t>
        </is>
      </c>
      <c r="F640" s="38" t="n">
        <v>0.9</v>
      </c>
      <c r="G640" s="39" t="n">
        <v>20</v>
      </c>
      <c r="H640" s="39" t="n">
        <v>30</v>
      </c>
      <c r="I640" s="29">
        <f>IF(OR(COUNTIF('Suivi des rencontres'!$A:$A,$A640)&gt;0,COUNTIF('Suivi des rencontres'!$C:$C,$J640)&gt;0),"Non","Oui")</f>
        <v/>
      </c>
      <c r="J640" s="30" t="inlineStr">
        <is>
          <t>AXOLOTO</t>
        </is>
      </c>
    </row>
    <row r="641">
      <c r="A641" s="35" t="inlineStr">
        <is>
          <t>Grotte Falaise</t>
        </is>
      </c>
      <c r="B641" s="35" t="inlineStr">
        <is>
          <t>CliffEdgeGate_hns</t>
        </is>
      </c>
      <c r="C641" s="33" t="inlineStr">
        <is>
          <t>Toute la journée</t>
        </is>
      </c>
      <c r="D641" s="53" t="inlineStr">
        <is>
          <t>Surf</t>
        </is>
      </c>
      <c r="E641" s="37" t="inlineStr">
        <is>
          <t>MARAISTE</t>
        </is>
      </c>
      <c r="F641" s="38" t="n">
        <v>0.1</v>
      </c>
      <c r="G641" s="39" t="n">
        <v>20</v>
      </c>
      <c r="H641" s="39" t="n">
        <v>40</v>
      </c>
      <c r="I641" s="29">
        <f>IF(OR(COUNTIF('Suivi des rencontres'!$A:$A,$A641)&gt;0,COUNTIF('Suivi des rencontres'!$C:$C,$J641)&gt;0),"Non","Oui")</f>
        <v/>
      </c>
      <c r="J641" s="30" t="inlineStr">
        <is>
          <t>AXOLOTO</t>
        </is>
      </c>
    </row>
    <row r="642">
      <c r="A642" s="40" t="inlineStr">
        <is>
          <t>Grotte d'Akala</t>
        </is>
      </c>
      <c r="B642" s="40" t="inlineStr">
        <is>
          <t>Akala_Cave_hns</t>
        </is>
      </c>
      <c r="C642" s="41" t="inlineStr">
        <is>
          <t>Toute la journée</t>
        </is>
      </c>
      <c r="D642" s="42" t="inlineStr">
        <is>
          <t>Herbe</t>
        </is>
      </c>
      <c r="E642" s="43" t="inlineStr">
        <is>
          <t>TAUPIQUEUR-A</t>
        </is>
      </c>
      <c r="F642" s="44" t="n">
        <v>0.35</v>
      </c>
      <c r="G642" s="45" t="n">
        <v>43</v>
      </c>
      <c r="H642" s="45" t="n">
        <v>45</v>
      </c>
      <c r="I642" s="46">
        <f>IF(OR(COUNTIF('Suivi des rencontres'!$A:$A,$A642)&gt;0,COUNTIF('Suivi des rencontres'!$C:$C,$J642)&gt;0),"Non","Oui")</f>
        <v/>
      </c>
      <c r="J642" s="30" t="inlineStr">
        <is>
          <t>TAUPIQUEUR-A</t>
        </is>
      </c>
    </row>
    <row r="643">
      <c r="A643" s="47" t="inlineStr">
        <is>
          <t>Grotte d'Akala</t>
        </is>
      </c>
      <c r="B643" s="47" t="inlineStr">
        <is>
          <t>Akala_Cave_hns</t>
        </is>
      </c>
      <c r="C643" s="48" t="inlineStr">
        <is>
          <t>Toute la journée</t>
        </is>
      </c>
      <c r="D643" s="49" t="inlineStr">
        <is>
          <t>Herbe</t>
        </is>
      </c>
      <c r="E643" s="50" t="inlineStr">
        <is>
          <t>OSSELAIT</t>
        </is>
      </c>
      <c r="F643" s="51" t="n">
        <v>0.25</v>
      </c>
      <c r="G643" s="52" t="n">
        <v>43</v>
      </c>
      <c r="H643" s="52" t="n">
        <v>45</v>
      </c>
      <c r="I643" s="29">
        <f>IF(OR(COUNTIF('Suivi des rencontres'!$A:$A,$A643)&gt;0,COUNTIF('Suivi des rencontres'!$C:$C,$J643)&gt;0),"Non","Oui")</f>
        <v/>
      </c>
      <c r="J643" s="30" t="inlineStr">
        <is>
          <t>OSSELAIT</t>
        </is>
      </c>
    </row>
    <row r="644">
      <c r="A644" s="47" t="inlineStr">
        <is>
          <t>Grotte d'Akala</t>
        </is>
      </c>
      <c r="B644" s="47" t="inlineStr">
        <is>
          <t>Akala_Cave_hns</t>
        </is>
      </c>
      <c r="C644" s="48" t="inlineStr">
        <is>
          <t>Toute la journée</t>
        </is>
      </c>
      <c r="D644" s="49" t="inlineStr">
        <is>
          <t>Herbe</t>
        </is>
      </c>
      <c r="E644" s="50" t="inlineStr">
        <is>
          <t>MAGMAR</t>
        </is>
      </c>
      <c r="F644" s="51" t="n">
        <v>0.2</v>
      </c>
      <c r="G644" s="52" t="n">
        <v>43</v>
      </c>
      <c r="H644" s="52" t="n">
        <v>45</v>
      </c>
      <c r="I644" s="29">
        <f>IF(OR(COUNTIF('Suivi des rencontres'!$A:$A,$A644)&gt;0,COUNTIF('Suivi des rencontres'!$C:$C,$J644)&gt;0),"Non","Oui")</f>
        <v/>
      </c>
      <c r="J644" s="30" t="inlineStr">
        <is>
          <t>MAGBY</t>
        </is>
      </c>
    </row>
    <row r="645">
      <c r="A645" s="47" t="inlineStr">
        <is>
          <t>Grotte d'Akala</t>
        </is>
      </c>
      <c r="B645" s="47" t="inlineStr">
        <is>
          <t>Akala_Cave_hns</t>
        </is>
      </c>
      <c r="C645" s="48" t="inlineStr">
        <is>
          <t>Toute la journée</t>
        </is>
      </c>
      <c r="D645" s="49" t="inlineStr">
        <is>
          <t>Herbe</t>
        </is>
      </c>
      <c r="E645" s="50" t="inlineStr">
        <is>
          <t>MACHOPEUR</t>
        </is>
      </c>
      <c r="F645" s="51" t="n">
        <v>0.1</v>
      </c>
      <c r="G645" s="52" t="n">
        <v>43</v>
      </c>
      <c r="H645" s="52" t="n">
        <v>45</v>
      </c>
      <c r="I645" s="29">
        <f>IF(OR(COUNTIF('Suivi des rencontres'!$A:$A,$A645)&gt;0,COUNTIF('Suivi des rencontres'!$C:$C,$J645)&gt;0),"Non","Oui")</f>
        <v/>
      </c>
      <c r="J645" s="30" t="inlineStr">
        <is>
          <t>MACHOC</t>
        </is>
      </c>
    </row>
    <row r="646">
      <c r="A646" s="47" t="inlineStr">
        <is>
          <t>Grotte d'Akala</t>
        </is>
      </c>
      <c r="B646" s="47" t="inlineStr">
        <is>
          <t>Akala_Cave_hns</t>
        </is>
      </c>
      <c r="C646" s="48" t="inlineStr">
        <is>
          <t>Toute la journée</t>
        </is>
      </c>
      <c r="D646" s="49" t="inlineStr">
        <is>
          <t>Herbe</t>
        </is>
      </c>
      <c r="E646" s="50" t="inlineStr">
        <is>
          <t>SELEROC</t>
        </is>
      </c>
      <c r="F646" s="51" t="n">
        <v>0.05</v>
      </c>
      <c r="G646" s="52" t="n">
        <v>43</v>
      </c>
      <c r="H646" s="52" t="n">
        <v>45</v>
      </c>
      <c r="I646" s="29">
        <f>IF(OR(COUNTIF('Suivi des rencontres'!$A:$A,$A646)&gt;0,COUNTIF('Suivi des rencontres'!$C:$C,$J646)&gt;0),"Non","Oui")</f>
        <v/>
      </c>
      <c r="J646" s="30" t="inlineStr">
        <is>
          <t>SELEROC</t>
        </is>
      </c>
    </row>
    <row r="647">
      <c r="A647" s="47" t="inlineStr">
        <is>
          <t>Grotte d'Akala</t>
        </is>
      </c>
      <c r="B647" s="47" t="inlineStr">
        <is>
          <t>Akala_Cave_hns</t>
        </is>
      </c>
      <c r="C647" s="48" t="inlineStr">
        <is>
          <t>Toute la journée</t>
        </is>
      </c>
      <c r="D647" s="49" t="inlineStr">
        <is>
          <t>Herbe</t>
        </is>
      </c>
      <c r="E647" s="50" t="inlineStr">
        <is>
          <t>SOLAROC</t>
        </is>
      </c>
      <c r="F647" s="51" t="n">
        <v>0.05</v>
      </c>
      <c r="G647" s="52" t="n">
        <v>43</v>
      </c>
      <c r="H647" s="52" t="n">
        <v>45</v>
      </c>
      <c r="I647" s="29">
        <f>IF(OR(COUNTIF('Suivi des rencontres'!$A:$A,$A647)&gt;0,COUNTIF('Suivi des rencontres'!$C:$C,$J647)&gt;0),"Non","Oui")</f>
        <v/>
      </c>
      <c r="J647" s="30" t="inlineStr">
        <is>
          <t>SOLAROC</t>
        </is>
      </c>
    </row>
    <row r="648">
      <c r="A648" s="57" t="inlineStr">
        <is>
          <t>Grotte d'Ula-Ula</t>
        </is>
      </c>
      <c r="B648" s="57" t="inlineStr">
        <is>
          <t>UlaUla_Cave_2_hns</t>
        </is>
      </c>
      <c r="C648" s="58" t="inlineStr">
        <is>
          <t>Toute la journée</t>
        </is>
      </c>
      <c r="D648" s="42" t="inlineStr">
        <is>
          <t>Herbe</t>
        </is>
      </c>
      <c r="E648" s="59" t="inlineStr">
        <is>
          <t>TADMORV-A</t>
        </is>
      </c>
      <c r="F648" s="60" t="n">
        <v>1</v>
      </c>
      <c r="G648" s="61" t="n">
        <v>43</v>
      </c>
      <c r="H648" s="61" t="n">
        <v>45</v>
      </c>
      <c r="I648" s="46">
        <f>IF(OR(COUNTIF('Suivi des rencontres'!$A:$A,$A648)&gt;0,COUNTIF('Suivi des rencontres'!$C:$C,$J648)&gt;0),"Non","Oui")</f>
        <v/>
      </c>
      <c r="J648" s="30" t="inlineStr">
        <is>
          <t>TADMORV-A</t>
        </is>
      </c>
    </row>
    <row r="649">
      <c r="A649" s="40" t="inlineStr">
        <is>
          <t>Grotte de Poni</t>
        </is>
      </c>
      <c r="B649" s="40" t="inlineStr">
        <is>
          <t>Poni_Cave_hns</t>
        </is>
      </c>
      <c r="C649" s="41" t="inlineStr">
        <is>
          <t>Toute la journée</t>
        </is>
      </c>
      <c r="D649" s="42" t="inlineStr">
        <is>
          <t>Herbe</t>
        </is>
      </c>
      <c r="E649" s="43" t="inlineStr">
        <is>
          <t>RACAILLOU-A</t>
        </is>
      </c>
      <c r="F649" s="44" t="n">
        <v>0.4</v>
      </c>
      <c r="G649" s="45" t="n">
        <v>43</v>
      </c>
      <c r="H649" s="45" t="n">
        <v>45</v>
      </c>
      <c r="I649" s="46">
        <f>IF(OR(COUNTIF('Suivi des rencontres'!$A:$A,$A649)&gt;0,COUNTIF('Suivi des rencontres'!$C:$C,$J649)&gt;0),"Non","Oui")</f>
        <v/>
      </c>
      <c r="J649" s="30" t="inlineStr">
        <is>
          <t>RACAILLOU-A</t>
        </is>
      </c>
    </row>
    <row r="650">
      <c r="A650" s="47" t="inlineStr">
        <is>
          <t>Grotte de Poni</t>
        </is>
      </c>
      <c r="B650" s="47" t="inlineStr">
        <is>
          <t>Poni_Cave_hns</t>
        </is>
      </c>
      <c r="C650" s="48" t="inlineStr">
        <is>
          <t>Toute la journée</t>
        </is>
      </c>
      <c r="D650" s="49" t="inlineStr">
        <is>
          <t>Herbe</t>
        </is>
      </c>
      <c r="E650" s="50" t="inlineStr">
        <is>
          <t>ELEKTEK</t>
        </is>
      </c>
      <c r="F650" s="51" t="n">
        <v>0.2</v>
      </c>
      <c r="G650" s="52" t="n">
        <v>43</v>
      </c>
      <c r="H650" s="52" t="n">
        <v>45</v>
      </c>
      <c r="I650" s="29">
        <f>IF(OR(COUNTIF('Suivi des rencontres'!$A:$A,$A650)&gt;0,COUNTIF('Suivi des rencontres'!$C:$C,$J650)&gt;0),"Non","Oui")</f>
        <v/>
      </c>
      <c r="J650" s="30" t="inlineStr">
        <is>
          <t>ELEKID</t>
        </is>
      </c>
    </row>
    <row r="651">
      <c r="A651" s="47" t="inlineStr">
        <is>
          <t>Grotte de Poni</t>
        </is>
      </c>
      <c r="B651" s="47" t="inlineStr">
        <is>
          <t>Poni_Cave_hns</t>
        </is>
      </c>
      <c r="C651" s="48" t="inlineStr">
        <is>
          <t>Toute la journée</t>
        </is>
      </c>
      <c r="D651" s="49" t="inlineStr">
        <is>
          <t>Herbe</t>
        </is>
      </c>
      <c r="E651" s="50" t="inlineStr">
        <is>
          <t>GRAVALANCH-A</t>
        </is>
      </c>
      <c r="F651" s="51" t="n">
        <v>0.15</v>
      </c>
      <c r="G651" s="52" t="n">
        <v>43</v>
      </c>
      <c r="H651" s="52" t="n">
        <v>45</v>
      </c>
      <c r="I651" s="29">
        <f>IF(OR(COUNTIF('Suivi des rencontres'!$A:$A,$A651)&gt;0,COUNTIF('Suivi des rencontres'!$C:$C,$J651)&gt;0),"Non","Oui")</f>
        <v/>
      </c>
      <c r="J651" s="30" t="inlineStr">
        <is>
          <t>RACAILLOU-A</t>
        </is>
      </c>
    </row>
    <row r="652">
      <c r="A652" s="47" t="inlineStr">
        <is>
          <t>Grotte de Poni</t>
        </is>
      </c>
      <c r="B652" s="47" t="inlineStr">
        <is>
          <t>Poni_Cave_hns</t>
        </is>
      </c>
      <c r="C652" s="48" t="inlineStr">
        <is>
          <t>Toute la journée</t>
        </is>
      </c>
      <c r="D652" s="49" t="inlineStr">
        <is>
          <t>Herbe</t>
        </is>
      </c>
      <c r="E652" s="50" t="inlineStr">
        <is>
          <t>NOSFERALTO</t>
        </is>
      </c>
      <c r="F652" s="51" t="n">
        <v>0.15</v>
      </c>
      <c r="G652" s="52" t="n">
        <v>43</v>
      </c>
      <c r="H652" s="52" t="n">
        <v>45</v>
      </c>
      <c r="I652" s="29">
        <f>IF(OR(COUNTIF('Suivi des rencontres'!$A:$A,$A652)&gt;0,COUNTIF('Suivi des rencontres'!$C:$C,$J652)&gt;0),"Non","Oui")</f>
        <v/>
      </c>
      <c r="J652" s="30" t="inlineStr">
        <is>
          <t>NOSFERAPTI</t>
        </is>
      </c>
    </row>
    <row r="653">
      <c r="A653" s="47" t="inlineStr">
        <is>
          <t>Grotte de Poni</t>
        </is>
      </c>
      <c r="B653" s="47" t="inlineStr">
        <is>
          <t>Poni_Cave_hns</t>
        </is>
      </c>
      <c r="C653" s="48" t="inlineStr">
        <is>
          <t>Toute la journée</t>
        </is>
      </c>
      <c r="D653" s="49" t="inlineStr">
        <is>
          <t>Herbe</t>
        </is>
      </c>
      <c r="E653" s="50" t="inlineStr">
        <is>
          <t>DYNAVOLT</t>
        </is>
      </c>
      <c r="F653" s="51" t="n">
        <v>0.05</v>
      </c>
      <c r="G653" s="52" t="n">
        <v>43</v>
      </c>
      <c r="H653" s="52" t="n">
        <v>45</v>
      </c>
      <c r="I653" s="29">
        <f>IF(OR(COUNTIF('Suivi des rencontres'!$A:$A,$A653)&gt;0,COUNTIF('Suivi des rencontres'!$C:$C,$J653)&gt;0),"Non","Oui")</f>
        <v/>
      </c>
      <c r="J653" s="30" t="inlineStr">
        <is>
          <t>DYNAVOLT</t>
        </is>
      </c>
    </row>
    <row r="654">
      <c r="A654" s="47" t="inlineStr">
        <is>
          <t>Grotte de Poni</t>
        </is>
      </c>
      <c r="B654" s="47" t="inlineStr">
        <is>
          <t>Poni_Cave_hns</t>
        </is>
      </c>
      <c r="C654" s="48" t="inlineStr">
        <is>
          <t>Toute la journée</t>
        </is>
      </c>
      <c r="D654" s="49" t="inlineStr">
        <is>
          <t>Herbe</t>
        </is>
      </c>
      <c r="E654" s="50" t="inlineStr">
        <is>
          <t>MYSDIBULE</t>
        </is>
      </c>
      <c r="F654" s="51" t="n">
        <v>0.05</v>
      </c>
      <c r="G654" s="52" t="n">
        <v>43</v>
      </c>
      <c r="H654" s="52" t="n">
        <v>45</v>
      </c>
      <c r="I654" s="29">
        <f>IF(OR(COUNTIF('Suivi des rencontres'!$A:$A,$A654)&gt;0,COUNTIF('Suivi des rencontres'!$C:$C,$J654)&gt;0),"Non","Oui")</f>
        <v/>
      </c>
      <c r="J654" s="30" t="inlineStr">
        <is>
          <t>MYSDIBULE</t>
        </is>
      </c>
    </row>
    <row r="655">
      <c r="A655" s="47" t="inlineStr">
        <is>
          <t>Grotte de Poni</t>
        </is>
      </c>
      <c r="B655" s="47" t="inlineStr">
        <is>
          <t>Poni_Cave_hns</t>
        </is>
      </c>
      <c r="C655" s="48" t="inlineStr">
        <is>
          <t>Toute la journée</t>
        </is>
      </c>
      <c r="D655" s="53" t="inlineStr">
        <is>
          <t>Surf</t>
        </is>
      </c>
      <c r="E655" s="50" t="inlineStr">
        <is>
          <t>AKWAKWAK</t>
        </is>
      </c>
      <c r="F655" s="51" t="n">
        <v>0.9</v>
      </c>
      <c r="G655" s="52" t="n">
        <v>43</v>
      </c>
      <c r="H655" s="52" t="n">
        <v>45</v>
      </c>
      <c r="I655" s="29">
        <f>IF(OR(COUNTIF('Suivi des rencontres'!$A:$A,$A655)&gt;0,COUNTIF('Suivi des rencontres'!$C:$C,$J655)&gt;0),"Non","Oui")</f>
        <v/>
      </c>
      <c r="J655" s="30" t="inlineStr">
        <is>
          <t>PSYKOKWAK</t>
        </is>
      </c>
    </row>
    <row r="656">
      <c r="A656" s="47" t="inlineStr">
        <is>
          <t>Grotte de Poni</t>
        </is>
      </c>
      <c r="B656" s="47" t="inlineStr">
        <is>
          <t>Poni_Cave_hns</t>
        </is>
      </c>
      <c r="C656" s="48" t="inlineStr">
        <is>
          <t>Toute la journée</t>
        </is>
      </c>
      <c r="D656" s="53" t="inlineStr">
        <is>
          <t>Surf</t>
        </is>
      </c>
      <c r="E656" s="50" t="inlineStr">
        <is>
          <t>NOSFERALTO</t>
        </is>
      </c>
      <c r="F656" s="51" t="n">
        <v>0.1</v>
      </c>
      <c r="G656" s="52" t="n">
        <v>43</v>
      </c>
      <c r="H656" s="52" t="n">
        <v>45</v>
      </c>
      <c r="I656" s="29">
        <f>IF(OR(COUNTIF('Suivi des rencontres'!$A:$A,$A656)&gt;0,COUNTIF('Suivi des rencontres'!$C:$C,$J656)&gt;0),"Non","Oui")</f>
        <v/>
      </c>
      <c r="J656" s="30" t="inlineStr">
        <is>
          <t>NOSFERAPTI</t>
        </is>
      </c>
    </row>
    <row r="657">
      <c r="A657" s="47" t="inlineStr">
        <is>
          <t>Grotte de Poni</t>
        </is>
      </c>
      <c r="B657" s="47" t="inlineStr">
        <is>
          <t>Poni_Cave_hns</t>
        </is>
      </c>
      <c r="C657" s="48" t="inlineStr">
        <is>
          <t>Toute la journée</t>
        </is>
      </c>
      <c r="D657" s="54" t="inlineStr">
        <is>
          <t>Vieille Canne</t>
        </is>
      </c>
      <c r="E657" s="50" t="inlineStr">
        <is>
          <t>MAGICARPE</t>
        </is>
      </c>
      <c r="F657" s="51" t="n">
        <v>1</v>
      </c>
      <c r="G657" s="52" t="n">
        <v>43</v>
      </c>
      <c r="H657" s="52" t="n">
        <v>45</v>
      </c>
      <c r="I657" s="29">
        <f>IF(OR(COUNTIF('Suivi des rencontres'!$A:$A,$A657)&gt;0,COUNTIF('Suivi des rencontres'!$C:$C,$J657)&gt;0),"Non","Oui")</f>
        <v/>
      </c>
      <c r="J657" s="30" t="inlineStr">
        <is>
          <t>MAGICARPE</t>
        </is>
      </c>
    </row>
    <row r="658">
      <c r="A658" s="47" t="inlineStr">
        <is>
          <t>Grotte de Poni</t>
        </is>
      </c>
      <c r="B658" s="47" t="inlineStr">
        <is>
          <t>Poni_Cave_hns</t>
        </is>
      </c>
      <c r="C658" s="48" t="inlineStr">
        <is>
          <t>Toute la journée</t>
        </is>
      </c>
      <c r="D658" s="55" t="inlineStr">
        <is>
          <t>Bonne Canne</t>
        </is>
      </c>
      <c r="E658" s="50" t="inlineStr">
        <is>
          <t>MAGICARPE</t>
        </is>
      </c>
      <c r="F658" s="51" t="n">
        <v>0.6</v>
      </c>
      <c r="G658" s="52" t="n">
        <v>43</v>
      </c>
      <c r="H658" s="52" t="n">
        <v>45</v>
      </c>
      <c r="I658" s="29">
        <f>IF(OR(COUNTIF('Suivi des rencontres'!$A:$A,$A658)&gt;0,COUNTIF('Suivi des rencontres'!$C:$C,$J658)&gt;0),"Non","Oui")</f>
        <v/>
      </c>
      <c r="J658" s="30" t="inlineStr">
        <is>
          <t>MAGICARPE</t>
        </is>
      </c>
    </row>
    <row r="659">
      <c r="A659" s="47" t="inlineStr">
        <is>
          <t>Grotte de Poni</t>
        </is>
      </c>
      <c r="B659" s="47" t="inlineStr">
        <is>
          <t>Poni_Cave_hns</t>
        </is>
      </c>
      <c r="C659" s="48" t="inlineStr">
        <is>
          <t>Toute la journée</t>
        </is>
      </c>
      <c r="D659" s="55" t="inlineStr">
        <is>
          <t>Bonne Canne</t>
        </is>
      </c>
      <c r="E659" s="50" t="inlineStr">
        <is>
          <t>KRABBY</t>
        </is>
      </c>
      <c r="F659" s="51" t="n">
        <v>0.4</v>
      </c>
      <c r="G659" s="52" t="n">
        <v>43</v>
      </c>
      <c r="H659" s="52" t="n">
        <v>45</v>
      </c>
      <c r="I659" s="29">
        <f>IF(OR(COUNTIF('Suivi des rencontres'!$A:$A,$A659)&gt;0,COUNTIF('Suivi des rencontres'!$C:$C,$J659)&gt;0),"Non","Oui")</f>
        <v/>
      </c>
      <c r="J659" s="30" t="inlineStr">
        <is>
          <t>KRABBY</t>
        </is>
      </c>
    </row>
    <row r="660">
      <c r="A660" s="47" t="inlineStr">
        <is>
          <t>Grotte de Poni</t>
        </is>
      </c>
      <c r="B660" s="47" t="inlineStr">
        <is>
          <t>Poni_Cave_hns</t>
        </is>
      </c>
      <c r="C660" s="48" t="inlineStr">
        <is>
          <t>Toute la journée</t>
        </is>
      </c>
      <c r="D660" s="56" t="inlineStr">
        <is>
          <t>Super Canne</t>
        </is>
      </c>
      <c r="E660" s="50" t="inlineStr">
        <is>
          <t>KRABBOSS</t>
        </is>
      </c>
      <c r="F660" s="51" t="n">
        <v>0.95</v>
      </c>
      <c r="G660" s="52" t="n">
        <v>43</v>
      </c>
      <c r="H660" s="52" t="n">
        <v>45</v>
      </c>
      <c r="I660" s="29">
        <f>IF(OR(COUNTIF('Suivi des rencontres'!$A:$A,$A660)&gt;0,COUNTIF('Suivi des rencontres'!$C:$C,$J660)&gt;0),"Non","Oui")</f>
        <v/>
      </c>
      <c r="J660" s="30" t="inlineStr">
        <is>
          <t>KRABBY</t>
        </is>
      </c>
    </row>
    <row r="661">
      <c r="A661" s="47" t="inlineStr">
        <is>
          <t>Grotte de Poni</t>
        </is>
      </c>
      <c r="B661" s="47" t="inlineStr">
        <is>
          <t>Poni_Cave_hns</t>
        </is>
      </c>
      <c r="C661" s="48" t="inlineStr">
        <is>
          <t>Toute la journée</t>
        </is>
      </c>
      <c r="D661" s="56" t="inlineStr">
        <is>
          <t>Super Canne</t>
        </is>
      </c>
      <c r="E661" s="50" t="inlineStr">
        <is>
          <t>BARLOCHE</t>
        </is>
      </c>
      <c r="F661" s="51" t="n">
        <v>0.05</v>
      </c>
      <c r="G661" s="52" t="n">
        <v>43</v>
      </c>
      <c r="H661" s="52" t="n">
        <v>45</v>
      </c>
      <c r="I661" s="29">
        <f>IF(OR(COUNTIF('Suivi des rencontres'!$A:$A,$A661)&gt;0,COUNTIF('Suivi des rencontres'!$C:$C,$J661)&gt;0),"Non","Oui")</f>
        <v/>
      </c>
      <c r="J661" s="30" t="inlineStr">
        <is>
          <t>BARLOCHE</t>
        </is>
      </c>
    </row>
    <row r="662">
      <c r="A662" s="57" t="inlineStr">
        <is>
          <t>Ile Lointaine</t>
        </is>
      </c>
      <c r="B662" s="57" t="inlineStr">
        <is>
          <t>FarawayIsland_Entrance_hns</t>
        </is>
      </c>
      <c r="C662" s="58" t="inlineStr">
        <is>
          <t>Toute la journée</t>
        </is>
      </c>
      <c r="D662" s="42" t="inlineStr">
        <is>
          <t>Herbe</t>
        </is>
      </c>
      <c r="E662" s="59" t="inlineStr">
        <is>
          <t>AZURILL</t>
        </is>
      </c>
      <c r="F662" s="60" t="n">
        <v>0.2</v>
      </c>
      <c r="G662" s="61" t="n">
        <v>5</v>
      </c>
      <c r="H662" s="61" t="n">
        <v>5</v>
      </c>
      <c r="I662" s="46">
        <f>IF(OR(COUNTIF('Suivi des rencontres'!$A:$A,$A662)&gt;0,COUNTIF('Suivi des rencontres'!$C:$C,$J662)&gt;0),"Non","Oui")</f>
        <v/>
      </c>
      <c r="J662" s="30" t="inlineStr">
        <is>
          <t>AZURILL</t>
        </is>
      </c>
    </row>
    <row r="663">
      <c r="A663" s="35" t="inlineStr">
        <is>
          <t>Ile Lointaine</t>
        </is>
      </c>
      <c r="B663" s="35" t="inlineStr">
        <is>
          <t>FarawayIsland_Entrance_hns</t>
        </is>
      </c>
      <c r="C663" s="33" t="inlineStr">
        <is>
          <t>Toute la journée</t>
        </is>
      </c>
      <c r="D663" s="49" t="inlineStr">
        <is>
          <t>Herbe</t>
        </is>
      </c>
      <c r="E663" s="37" t="inlineStr">
        <is>
          <t>OKEOKE</t>
        </is>
      </c>
      <c r="F663" s="38" t="n">
        <v>0.2</v>
      </c>
      <c r="G663" s="39" t="n">
        <v>5</v>
      </c>
      <c r="H663" s="39" t="n">
        <v>5</v>
      </c>
      <c r="I663" s="29">
        <f>IF(OR(COUNTIF('Suivi des rencontres'!$A:$A,$A663)&gt;0,COUNTIF('Suivi des rencontres'!$C:$C,$J663)&gt;0),"Non","Oui")</f>
        <v/>
      </c>
      <c r="J663" s="30" t="inlineStr">
        <is>
          <t>OKEOKE</t>
        </is>
      </c>
    </row>
    <row r="664">
      <c r="A664" s="35" t="inlineStr">
        <is>
          <t>Ile Lointaine</t>
        </is>
      </c>
      <c r="B664" s="35" t="inlineStr">
        <is>
          <t>FarawayIsland_Entrance_hns</t>
        </is>
      </c>
      <c r="C664" s="33" t="inlineStr">
        <is>
          <t>Toute la journée</t>
        </is>
      </c>
      <c r="D664" s="49" t="inlineStr">
        <is>
          <t>Herbe</t>
        </is>
      </c>
      <c r="E664" s="37" t="inlineStr">
        <is>
          <t>ARCKO</t>
        </is>
      </c>
      <c r="F664" s="38" t="n">
        <v>0.1</v>
      </c>
      <c r="G664" s="39" t="n">
        <v>5</v>
      </c>
      <c r="H664" s="39" t="n">
        <v>5</v>
      </c>
      <c r="I664" s="29">
        <f>IF(OR(COUNTIF('Suivi des rencontres'!$A:$A,$A664)&gt;0,COUNTIF('Suivi des rencontres'!$C:$C,$J664)&gt;0),"Non","Oui")</f>
        <v/>
      </c>
      <c r="J664" s="30" t="inlineStr">
        <is>
          <t>ARCKO</t>
        </is>
      </c>
    </row>
    <row r="665">
      <c r="A665" s="35" t="inlineStr">
        <is>
          <t>Ile Lointaine</t>
        </is>
      </c>
      <c r="B665" s="35" t="inlineStr">
        <is>
          <t>FarawayIsland_Entrance_hns</t>
        </is>
      </c>
      <c r="C665" s="33" t="inlineStr">
        <is>
          <t>Toute la journée</t>
        </is>
      </c>
      <c r="D665" s="49" t="inlineStr">
        <is>
          <t>Herbe</t>
        </is>
      </c>
      <c r="E665" s="37" t="inlineStr">
        <is>
          <t>ELEKID</t>
        </is>
      </c>
      <c r="F665" s="38" t="n">
        <v>0.1</v>
      </c>
      <c r="G665" s="39" t="n">
        <v>5</v>
      </c>
      <c r="H665" s="39" t="n">
        <v>5</v>
      </c>
      <c r="I665" s="29">
        <f>IF(OR(COUNTIF('Suivi des rencontres'!$A:$A,$A665)&gt;0,COUNTIF('Suivi des rencontres'!$C:$C,$J665)&gt;0),"Non","Oui")</f>
        <v/>
      </c>
      <c r="J665" s="30" t="inlineStr">
        <is>
          <t>ELEKID</t>
        </is>
      </c>
    </row>
    <row r="666">
      <c r="A666" s="35" t="inlineStr">
        <is>
          <t>Ile Lointaine</t>
        </is>
      </c>
      <c r="B666" s="35" t="inlineStr">
        <is>
          <t>FarawayIsland_Entrance_hns</t>
        </is>
      </c>
      <c r="C666" s="33" t="inlineStr">
        <is>
          <t>Toute la journée</t>
        </is>
      </c>
      <c r="D666" s="49" t="inlineStr">
        <is>
          <t>Herbe</t>
        </is>
      </c>
      <c r="E666" s="37" t="inlineStr">
        <is>
          <t>GOBOU</t>
        </is>
      </c>
      <c r="F666" s="38" t="n">
        <v>0.1</v>
      </c>
      <c r="G666" s="39" t="n">
        <v>5</v>
      </c>
      <c r="H666" s="39" t="n">
        <v>5</v>
      </c>
      <c r="I666" s="29">
        <f>IF(OR(COUNTIF('Suivi des rencontres'!$A:$A,$A666)&gt;0,COUNTIF('Suivi des rencontres'!$C:$C,$J666)&gt;0),"Non","Oui")</f>
        <v/>
      </c>
      <c r="J666" s="30" t="inlineStr">
        <is>
          <t>GOBOU</t>
        </is>
      </c>
    </row>
    <row r="667">
      <c r="A667" s="35" t="inlineStr">
        <is>
          <t>Ile Lointaine</t>
        </is>
      </c>
      <c r="B667" s="35" t="inlineStr">
        <is>
          <t>FarawayIsland_Entrance_hns</t>
        </is>
      </c>
      <c r="C667" s="33" t="inlineStr">
        <is>
          <t>Toute la journée</t>
        </is>
      </c>
      <c r="D667" s="49" t="inlineStr">
        <is>
          <t>Herbe</t>
        </is>
      </c>
      <c r="E667" s="37" t="inlineStr">
        <is>
          <t>MAGBY</t>
        </is>
      </c>
      <c r="F667" s="38" t="n">
        <v>0.1</v>
      </c>
      <c r="G667" s="39" t="n">
        <v>5</v>
      </c>
      <c r="H667" s="39" t="n">
        <v>5</v>
      </c>
      <c r="I667" s="29">
        <f>IF(OR(COUNTIF('Suivi des rencontres'!$A:$A,$A667)&gt;0,COUNTIF('Suivi des rencontres'!$C:$C,$J667)&gt;0),"Non","Oui")</f>
        <v/>
      </c>
      <c r="J667" s="30" t="inlineStr">
        <is>
          <t>MAGBY</t>
        </is>
      </c>
    </row>
    <row r="668">
      <c r="A668" s="35" t="inlineStr">
        <is>
          <t>Ile Lointaine</t>
        </is>
      </c>
      <c r="B668" s="35" t="inlineStr">
        <is>
          <t>FarawayIsland_Entrance_hns</t>
        </is>
      </c>
      <c r="C668" s="33" t="inlineStr">
        <is>
          <t>Toute la journée</t>
        </is>
      </c>
      <c r="D668" s="49" t="inlineStr">
        <is>
          <t>Herbe</t>
        </is>
      </c>
      <c r="E668" s="37" t="inlineStr">
        <is>
          <t>POUSSIFEU</t>
        </is>
      </c>
      <c r="F668" s="38" t="n">
        <v>0.1</v>
      </c>
      <c r="G668" s="39" t="n">
        <v>5</v>
      </c>
      <c r="H668" s="39" t="n">
        <v>5</v>
      </c>
      <c r="I668" s="29">
        <f>IF(OR(COUNTIF('Suivi des rencontres'!$A:$A,$A668)&gt;0,COUNTIF('Suivi des rencontres'!$C:$C,$J668)&gt;0),"Non","Oui")</f>
        <v/>
      </c>
      <c r="J668" s="30" t="inlineStr">
        <is>
          <t>POUSSIFEU</t>
        </is>
      </c>
    </row>
    <row r="669">
      <c r="A669" s="35" t="inlineStr">
        <is>
          <t>Ile Lointaine</t>
        </is>
      </c>
      <c r="B669" s="35" t="inlineStr">
        <is>
          <t>FarawayIsland_Entrance_hns</t>
        </is>
      </c>
      <c r="C669" s="33" t="inlineStr">
        <is>
          <t>Toute la journée</t>
        </is>
      </c>
      <c r="D669" s="49" t="inlineStr">
        <is>
          <t>Herbe</t>
        </is>
      </c>
      <c r="E669" s="37" t="inlineStr">
        <is>
          <t>DEBUGANT</t>
        </is>
      </c>
      <c r="F669" s="38" t="n">
        <v>0.05</v>
      </c>
      <c r="G669" s="39" t="n">
        <v>5</v>
      </c>
      <c r="H669" s="39" t="n">
        <v>5</v>
      </c>
      <c r="I669" s="29">
        <f>IF(OR(COUNTIF('Suivi des rencontres'!$A:$A,$A669)&gt;0,COUNTIF('Suivi des rencontres'!$C:$C,$J669)&gt;0),"Non","Oui")</f>
        <v/>
      </c>
      <c r="J669" s="30" t="inlineStr">
        <is>
          <t>DEBUGANT</t>
        </is>
      </c>
    </row>
    <row r="670">
      <c r="A670" s="35" t="inlineStr">
        <is>
          <t>Ile Lointaine</t>
        </is>
      </c>
      <c r="B670" s="35" t="inlineStr">
        <is>
          <t>FarawayIsland_Entrance_hns</t>
        </is>
      </c>
      <c r="C670" s="33" t="inlineStr">
        <is>
          <t>Toute la journée</t>
        </is>
      </c>
      <c r="D670" s="49" t="inlineStr">
        <is>
          <t>Herbe</t>
        </is>
      </c>
      <c r="E670" s="37" t="inlineStr">
        <is>
          <t>TOGEPI</t>
        </is>
      </c>
      <c r="F670" s="38" t="n">
        <v>0.05</v>
      </c>
      <c r="G670" s="39" t="n">
        <v>5</v>
      </c>
      <c r="H670" s="39" t="n">
        <v>5</v>
      </c>
      <c r="I670" s="29">
        <f>IF(OR(COUNTIF('Suivi des rencontres'!$A:$A,$A670)&gt;0,COUNTIF('Suivi des rencontres'!$C:$C,$J670)&gt;0),"Non","Oui")</f>
        <v/>
      </c>
      <c r="J670" s="30" t="inlineStr">
        <is>
          <t>TOGEPI</t>
        </is>
      </c>
    </row>
    <row r="671">
      <c r="A671" s="40" t="inlineStr">
        <is>
          <t>Iles Ecume</t>
        </is>
      </c>
      <c r="B671" s="40" t="inlineStr">
        <is>
          <t>SeafoamIslands_1F_hns</t>
        </is>
      </c>
      <c r="C671" s="41" t="inlineStr">
        <is>
          <t>Toute la journée</t>
        </is>
      </c>
      <c r="D671" s="42" t="inlineStr">
        <is>
          <t>Herbe</t>
        </is>
      </c>
      <c r="E671" s="43" t="inlineStr">
        <is>
          <t>LAMANTINE</t>
        </is>
      </c>
      <c r="F671" s="44" t="n">
        <v>0.2</v>
      </c>
      <c r="G671" s="45" t="n">
        <v>40</v>
      </c>
      <c r="H671" s="45" t="n">
        <v>42</v>
      </c>
      <c r="I671" s="46">
        <f>IF(OR(COUNTIF('Suivi des rencontres'!$A:$A,$A671)&gt;0,COUNTIF('Suivi des rencontres'!$C:$C,$J671)&gt;0),"Non","Oui")</f>
        <v/>
      </c>
      <c r="J671" s="30" t="inlineStr">
        <is>
          <t>OTARIA</t>
        </is>
      </c>
    </row>
    <row r="672">
      <c r="A672" s="47" t="inlineStr">
        <is>
          <t>Iles Ecume</t>
        </is>
      </c>
      <c r="B672" s="47" t="inlineStr">
        <is>
          <t>SeafoamIslands_1F_hns</t>
        </is>
      </c>
      <c r="C672" s="48" t="inlineStr">
        <is>
          <t>Toute la journée</t>
        </is>
      </c>
      <c r="D672" s="49" t="inlineStr">
        <is>
          <t>Herbe</t>
        </is>
      </c>
      <c r="E672" s="50" t="inlineStr">
        <is>
          <t>LIPPOUTOU</t>
        </is>
      </c>
      <c r="F672" s="51" t="n">
        <v>0.2</v>
      </c>
      <c r="G672" s="52" t="n">
        <v>40</v>
      </c>
      <c r="H672" s="52" t="n">
        <v>48</v>
      </c>
      <c r="I672" s="29">
        <f>IF(OR(COUNTIF('Suivi des rencontres'!$A:$A,$A672)&gt;0,COUNTIF('Suivi des rencontres'!$C:$C,$J672)&gt;0),"Non","Oui")</f>
        <v/>
      </c>
      <c r="J672" s="30" t="inlineStr">
        <is>
          <t>LIPPOUTI</t>
        </is>
      </c>
    </row>
    <row r="673">
      <c r="A673" s="47" t="inlineStr">
        <is>
          <t>Iles Ecume</t>
        </is>
      </c>
      <c r="B673" s="47" t="inlineStr">
        <is>
          <t>SeafoamIslands_1F_hns</t>
        </is>
      </c>
      <c r="C673" s="48" t="inlineStr">
        <is>
          <t>Toute la journée</t>
        </is>
      </c>
      <c r="D673" s="49" t="inlineStr">
        <is>
          <t>Herbe</t>
        </is>
      </c>
      <c r="E673" s="50" t="inlineStr">
        <is>
          <t>OTARIA</t>
        </is>
      </c>
      <c r="F673" s="51" t="n">
        <v>0.2</v>
      </c>
      <c r="G673" s="52" t="n">
        <v>43</v>
      </c>
      <c r="H673" s="52" t="n">
        <v>47</v>
      </c>
      <c r="I673" s="29">
        <f>IF(OR(COUNTIF('Suivi des rencontres'!$A:$A,$A673)&gt;0,COUNTIF('Suivi des rencontres'!$C:$C,$J673)&gt;0),"Non","Oui")</f>
        <v/>
      </c>
      <c r="J673" s="30" t="inlineStr">
        <is>
          <t>OTARIA</t>
        </is>
      </c>
    </row>
    <row r="674">
      <c r="A674" s="47" t="inlineStr">
        <is>
          <t>Iles Ecume</t>
        </is>
      </c>
      <c r="B674" s="47" t="inlineStr">
        <is>
          <t>SeafoamIslands_1F_hns</t>
        </is>
      </c>
      <c r="C674" s="48" t="inlineStr">
        <is>
          <t>Toute la journée</t>
        </is>
      </c>
      <c r="D674" s="49" t="inlineStr">
        <is>
          <t>Herbe</t>
        </is>
      </c>
      <c r="E674" s="50" t="inlineStr">
        <is>
          <t>COCHIGNON</t>
        </is>
      </c>
      <c r="F674" s="51" t="n">
        <v>0.15</v>
      </c>
      <c r="G674" s="52" t="n">
        <v>40</v>
      </c>
      <c r="H674" s="52" t="n">
        <v>43</v>
      </c>
      <c r="I674" s="29">
        <f>IF(OR(COUNTIF('Suivi des rencontres'!$A:$A,$A674)&gt;0,COUNTIF('Suivi des rencontres'!$C:$C,$J674)&gt;0),"Non","Oui")</f>
        <v/>
      </c>
      <c r="J674" s="30" t="inlineStr">
        <is>
          <t>MARCACRIN</t>
        </is>
      </c>
    </row>
    <row r="675">
      <c r="A675" s="47" t="inlineStr">
        <is>
          <t>Iles Ecume</t>
        </is>
      </c>
      <c r="B675" s="47" t="inlineStr">
        <is>
          <t>SeafoamIslands_1F_hns</t>
        </is>
      </c>
      <c r="C675" s="48" t="inlineStr">
        <is>
          <t>Toute la journée</t>
        </is>
      </c>
      <c r="D675" s="49" t="inlineStr">
        <is>
          <t>Herbe</t>
        </is>
      </c>
      <c r="E675" s="50" t="inlineStr">
        <is>
          <t>CADOIZO</t>
        </is>
      </c>
      <c r="F675" s="51" t="n">
        <v>0.1</v>
      </c>
      <c r="G675" s="52" t="n">
        <v>40</v>
      </c>
      <c r="H675" s="52" t="n">
        <v>43</v>
      </c>
      <c r="I675" s="29">
        <f>IF(OR(COUNTIF('Suivi des rencontres'!$A:$A,$A675)&gt;0,COUNTIF('Suivi des rencontres'!$C:$C,$J675)&gt;0),"Non","Oui")</f>
        <v/>
      </c>
      <c r="J675" s="30" t="inlineStr">
        <is>
          <t>CADOIZO</t>
        </is>
      </c>
    </row>
    <row r="676">
      <c r="A676" s="47" t="inlineStr">
        <is>
          <t>Iles Ecume</t>
        </is>
      </c>
      <c r="B676" s="47" t="inlineStr">
        <is>
          <t>SeafoamIslands_1F_hns</t>
        </is>
      </c>
      <c r="C676" s="48" t="inlineStr">
        <is>
          <t>Toute la journée</t>
        </is>
      </c>
      <c r="D676" s="49" t="inlineStr">
        <is>
          <t>Herbe</t>
        </is>
      </c>
      <c r="E676" s="50" t="inlineStr">
        <is>
          <t>LIPPOUTI</t>
        </is>
      </c>
      <c r="F676" s="51" t="n">
        <v>0.1</v>
      </c>
      <c r="G676" s="52" t="n">
        <v>45</v>
      </c>
      <c r="H676" s="52" t="n">
        <v>47</v>
      </c>
      <c r="I676" s="29">
        <f>IF(OR(COUNTIF('Suivi des rencontres'!$A:$A,$A676)&gt;0,COUNTIF('Suivi des rencontres'!$C:$C,$J676)&gt;0),"Non","Oui")</f>
        <v/>
      </c>
      <c r="J676" s="30" t="inlineStr">
        <is>
          <t>LIPPOUTI</t>
        </is>
      </c>
    </row>
    <row r="677">
      <c r="A677" s="47" t="inlineStr">
        <is>
          <t>Iles Ecume</t>
        </is>
      </c>
      <c r="B677" s="47" t="inlineStr">
        <is>
          <t>SeafoamIslands_1F_hns</t>
        </is>
      </c>
      <c r="C677" s="48" t="inlineStr">
        <is>
          <t>Toute la journée</t>
        </is>
      </c>
      <c r="D677" s="49" t="inlineStr">
        <is>
          <t>Herbe</t>
        </is>
      </c>
      <c r="E677" s="50" t="inlineStr">
        <is>
          <t>STALGAMIN</t>
        </is>
      </c>
      <c r="F677" s="51" t="n">
        <v>0.05</v>
      </c>
      <c r="G677" s="52" t="n">
        <v>40</v>
      </c>
      <c r="H677" s="52" t="n">
        <v>44</v>
      </c>
      <c r="I677" s="29">
        <f>IF(OR(COUNTIF('Suivi des rencontres'!$A:$A,$A677)&gt;0,COUNTIF('Suivi des rencontres'!$C:$C,$J677)&gt;0),"Non","Oui")</f>
        <v/>
      </c>
      <c r="J677" s="30" t="inlineStr">
        <is>
          <t>STALGAMIN</t>
        </is>
      </c>
    </row>
    <row r="678">
      <c r="A678" s="47" t="inlineStr">
        <is>
          <t>Iles Ecume</t>
        </is>
      </c>
      <c r="B678" s="47" t="inlineStr">
        <is>
          <t>SeafoamIslands_B1F_hns</t>
        </is>
      </c>
      <c r="C678" s="48" t="inlineStr">
        <is>
          <t>Toute la journée</t>
        </is>
      </c>
      <c r="D678" s="49" t="inlineStr">
        <is>
          <t>Herbe</t>
        </is>
      </c>
      <c r="E678" s="50" t="inlineStr">
        <is>
          <t>LAMANTINE</t>
        </is>
      </c>
      <c r="F678" s="51" t="n">
        <v>0.2</v>
      </c>
      <c r="G678" s="52" t="n">
        <v>40</v>
      </c>
      <c r="H678" s="52" t="n">
        <v>42</v>
      </c>
      <c r="I678" s="29">
        <f>IF(OR(COUNTIF('Suivi des rencontres'!$A:$A,$A678)&gt;0,COUNTIF('Suivi des rencontres'!$C:$C,$J678)&gt;0),"Non","Oui")</f>
        <v/>
      </c>
      <c r="J678" s="30" t="inlineStr">
        <is>
          <t>OTARIA</t>
        </is>
      </c>
    </row>
    <row r="679">
      <c r="A679" s="47" t="inlineStr">
        <is>
          <t>Iles Ecume</t>
        </is>
      </c>
      <c r="B679" s="47" t="inlineStr">
        <is>
          <t>SeafoamIslands_B1F_hns</t>
        </is>
      </c>
      <c r="C679" s="48" t="inlineStr">
        <is>
          <t>Toute la journée</t>
        </is>
      </c>
      <c r="D679" s="49" t="inlineStr">
        <is>
          <t>Herbe</t>
        </is>
      </c>
      <c r="E679" s="50" t="inlineStr">
        <is>
          <t>LIPPOUTOU</t>
        </is>
      </c>
      <c r="F679" s="51" t="n">
        <v>0.2</v>
      </c>
      <c r="G679" s="52" t="n">
        <v>40</v>
      </c>
      <c r="H679" s="52" t="n">
        <v>48</v>
      </c>
      <c r="I679" s="29">
        <f>IF(OR(COUNTIF('Suivi des rencontres'!$A:$A,$A679)&gt;0,COUNTIF('Suivi des rencontres'!$C:$C,$J679)&gt;0),"Non","Oui")</f>
        <v/>
      </c>
      <c r="J679" s="30" t="inlineStr">
        <is>
          <t>LIPPOUTI</t>
        </is>
      </c>
    </row>
    <row r="680">
      <c r="A680" s="47" t="inlineStr">
        <is>
          <t>Iles Ecume</t>
        </is>
      </c>
      <c r="B680" s="47" t="inlineStr">
        <is>
          <t>SeafoamIslands_B1F_hns</t>
        </is>
      </c>
      <c r="C680" s="48" t="inlineStr">
        <is>
          <t>Toute la journée</t>
        </is>
      </c>
      <c r="D680" s="49" t="inlineStr">
        <is>
          <t>Herbe</t>
        </is>
      </c>
      <c r="E680" s="50" t="inlineStr">
        <is>
          <t>OTARIA</t>
        </is>
      </c>
      <c r="F680" s="51" t="n">
        <v>0.2</v>
      </c>
      <c r="G680" s="52" t="n">
        <v>43</v>
      </c>
      <c r="H680" s="52" t="n">
        <v>47</v>
      </c>
      <c r="I680" s="29">
        <f>IF(OR(COUNTIF('Suivi des rencontres'!$A:$A,$A680)&gt;0,COUNTIF('Suivi des rencontres'!$C:$C,$J680)&gt;0),"Non","Oui")</f>
        <v/>
      </c>
      <c r="J680" s="30" t="inlineStr">
        <is>
          <t>OTARIA</t>
        </is>
      </c>
    </row>
    <row r="681">
      <c r="A681" s="47" t="inlineStr">
        <is>
          <t>Iles Ecume</t>
        </is>
      </c>
      <c r="B681" s="47" t="inlineStr">
        <is>
          <t>SeafoamIslands_B1F_hns</t>
        </is>
      </c>
      <c r="C681" s="48" t="inlineStr">
        <is>
          <t>Toute la journée</t>
        </is>
      </c>
      <c r="D681" s="49" t="inlineStr">
        <is>
          <t>Herbe</t>
        </is>
      </c>
      <c r="E681" s="50" t="inlineStr">
        <is>
          <t>COCHIGNON</t>
        </is>
      </c>
      <c r="F681" s="51" t="n">
        <v>0.15</v>
      </c>
      <c r="G681" s="52" t="n">
        <v>40</v>
      </c>
      <c r="H681" s="52" t="n">
        <v>44</v>
      </c>
      <c r="I681" s="29">
        <f>IF(OR(COUNTIF('Suivi des rencontres'!$A:$A,$A681)&gt;0,COUNTIF('Suivi des rencontres'!$C:$C,$J681)&gt;0),"Non","Oui")</f>
        <v/>
      </c>
      <c r="J681" s="30" t="inlineStr">
        <is>
          <t>MARCACRIN</t>
        </is>
      </c>
    </row>
    <row r="682">
      <c r="A682" s="47" t="inlineStr">
        <is>
          <t>Iles Ecume</t>
        </is>
      </c>
      <c r="B682" s="47" t="inlineStr">
        <is>
          <t>SeafoamIslands_B1F_hns</t>
        </is>
      </c>
      <c r="C682" s="48" t="inlineStr">
        <is>
          <t>Toute la journée</t>
        </is>
      </c>
      <c r="D682" s="49" t="inlineStr">
        <is>
          <t>Herbe</t>
        </is>
      </c>
      <c r="E682" s="50" t="inlineStr">
        <is>
          <t>CADOIZO</t>
        </is>
      </c>
      <c r="F682" s="51" t="n">
        <v>0.1</v>
      </c>
      <c r="G682" s="52" t="n">
        <v>40</v>
      </c>
      <c r="H682" s="52" t="n">
        <v>43</v>
      </c>
      <c r="I682" s="29">
        <f>IF(OR(COUNTIF('Suivi des rencontres'!$A:$A,$A682)&gt;0,COUNTIF('Suivi des rencontres'!$C:$C,$J682)&gt;0),"Non","Oui")</f>
        <v/>
      </c>
      <c r="J682" s="30" t="inlineStr">
        <is>
          <t>CADOIZO</t>
        </is>
      </c>
    </row>
    <row r="683">
      <c r="A683" s="47" t="inlineStr">
        <is>
          <t>Iles Ecume</t>
        </is>
      </c>
      <c r="B683" s="47" t="inlineStr">
        <is>
          <t>SeafoamIslands_B1F_hns</t>
        </is>
      </c>
      <c r="C683" s="48" t="inlineStr">
        <is>
          <t>Toute la journée</t>
        </is>
      </c>
      <c r="D683" s="49" t="inlineStr">
        <is>
          <t>Herbe</t>
        </is>
      </c>
      <c r="E683" s="50" t="inlineStr">
        <is>
          <t>LIPPOUTI</t>
        </is>
      </c>
      <c r="F683" s="51" t="n">
        <v>0.1</v>
      </c>
      <c r="G683" s="52" t="n">
        <v>45</v>
      </c>
      <c r="H683" s="52" t="n">
        <v>47</v>
      </c>
      <c r="I683" s="29">
        <f>IF(OR(COUNTIF('Suivi des rencontres'!$A:$A,$A683)&gt;0,COUNTIF('Suivi des rencontres'!$C:$C,$J683)&gt;0),"Non","Oui")</f>
        <v/>
      </c>
      <c r="J683" s="30" t="inlineStr">
        <is>
          <t>LIPPOUTI</t>
        </is>
      </c>
    </row>
    <row r="684">
      <c r="A684" s="47" t="inlineStr">
        <is>
          <t>Iles Ecume</t>
        </is>
      </c>
      <c r="B684" s="47" t="inlineStr">
        <is>
          <t>SeafoamIslands_B1F_hns</t>
        </is>
      </c>
      <c r="C684" s="48" t="inlineStr">
        <is>
          <t>Toute la journée</t>
        </is>
      </c>
      <c r="D684" s="49" t="inlineStr">
        <is>
          <t>Herbe</t>
        </is>
      </c>
      <c r="E684" s="50" t="inlineStr">
        <is>
          <t>OBALIE</t>
        </is>
      </c>
      <c r="F684" s="51" t="n">
        <v>0.05</v>
      </c>
      <c r="G684" s="52" t="n">
        <v>40</v>
      </c>
      <c r="H684" s="52" t="n">
        <v>42</v>
      </c>
      <c r="I684" s="29">
        <f>IF(OR(COUNTIF('Suivi des rencontres'!$A:$A,$A684)&gt;0,COUNTIF('Suivi des rencontres'!$C:$C,$J684)&gt;0),"Non","Oui")</f>
        <v/>
      </c>
      <c r="J684" s="30" t="inlineStr">
        <is>
          <t>OBALIE</t>
        </is>
      </c>
    </row>
    <row r="685">
      <c r="A685" s="57" t="inlineStr">
        <is>
          <t>Irisia</t>
        </is>
      </c>
      <c r="B685" s="57" t="inlineStr">
        <is>
          <t>CianwoodCity_hns</t>
        </is>
      </c>
      <c r="C685" s="58" t="inlineStr">
        <is>
          <t>Matin, jour, soir</t>
        </is>
      </c>
      <c r="D685" s="63" t="inlineStr">
        <is>
          <t>Surf</t>
        </is>
      </c>
      <c r="E685" s="59" t="inlineStr">
        <is>
          <t>TENTACOOL</t>
        </is>
      </c>
      <c r="F685" s="60" t="n">
        <v>0.96</v>
      </c>
      <c r="G685" s="61" t="n">
        <v>15</v>
      </c>
      <c r="H685" s="61" t="n">
        <v>24</v>
      </c>
      <c r="I685" s="46">
        <f>IF(OR(COUNTIF('Suivi des rencontres'!$A:$A,$A685)&gt;0,COUNTIF('Suivi des rencontres'!$C:$C,$J685)&gt;0),"Non","Oui")</f>
        <v/>
      </c>
      <c r="J685" s="30" t="inlineStr">
        <is>
          <t>TENTACOOL</t>
        </is>
      </c>
    </row>
    <row r="686">
      <c r="A686" s="35" t="inlineStr">
        <is>
          <t>Irisia</t>
        </is>
      </c>
      <c r="B686" s="35" t="inlineStr">
        <is>
          <t>CianwoodCity_hns</t>
        </is>
      </c>
      <c r="C686" s="33" t="inlineStr">
        <is>
          <t>Matin, jour, soir</t>
        </is>
      </c>
      <c r="D686" s="53" t="inlineStr">
        <is>
          <t>Surf</t>
        </is>
      </c>
      <c r="E686" s="37" t="inlineStr">
        <is>
          <t>TENTACRUEL</t>
        </is>
      </c>
      <c r="F686" s="38" t="n">
        <v>0.04</v>
      </c>
      <c r="G686" s="39" t="n">
        <v>20</v>
      </c>
      <c r="H686" s="39" t="n">
        <v>24</v>
      </c>
      <c r="I686" s="29">
        <f>IF(OR(COUNTIF('Suivi des rencontres'!$A:$A,$A686)&gt;0,COUNTIF('Suivi des rencontres'!$C:$C,$J686)&gt;0),"Non","Oui")</f>
        <v/>
      </c>
      <c r="J686" s="30" t="inlineStr">
        <is>
          <t>TENTACOOL</t>
        </is>
      </c>
    </row>
    <row r="687">
      <c r="A687" s="35" t="inlineStr">
        <is>
          <t>Irisia</t>
        </is>
      </c>
      <c r="B687" s="35" t="inlineStr">
        <is>
          <t>CianwoodCity_hns</t>
        </is>
      </c>
      <c r="C687" s="62" t="inlineStr">
        <is>
          <t>Nuit</t>
        </is>
      </c>
      <c r="D687" s="53" t="inlineStr">
        <is>
          <t>Surf</t>
        </is>
      </c>
      <c r="E687" s="37" t="inlineStr">
        <is>
          <t>TENTACOOL</t>
        </is>
      </c>
      <c r="F687" s="38" t="n">
        <v>0.96</v>
      </c>
      <c r="G687" s="39" t="n">
        <v>15</v>
      </c>
      <c r="H687" s="39" t="n">
        <v>24</v>
      </c>
      <c r="I687" s="29">
        <f>IF(OR(COUNTIF('Suivi des rencontres'!$A:$A,$A687)&gt;0,COUNTIF('Suivi des rencontres'!$C:$C,$J687)&gt;0),"Non","Oui")</f>
        <v/>
      </c>
      <c r="J687" s="30" t="inlineStr">
        <is>
          <t>TENTACOOL</t>
        </is>
      </c>
    </row>
    <row r="688">
      <c r="A688" s="35" t="inlineStr">
        <is>
          <t>Irisia</t>
        </is>
      </c>
      <c r="B688" s="35" t="inlineStr">
        <is>
          <t>CianwoodCity_hns</t>
        </is>
      </c>
      <c r="C688" s="62" t="inlineStr">
        <is>
          <t>Nuit</t>
        </is>
      </c>
      <c r="D688" s="53" t="inlineStr">
        <is>
          <t>Surf</t>
        </is>
      </c>
      <c r="E688" s="37" t="inlineStr">
        <is>
          <t>TENTACRUEL</t>
        </is>
      </c>
      <c r="F688" s="38" t="n">
        <v>0.04</v>
      </c>
      <c r="G688" s="39" t="n">
        <v>20</v>
      </c>
      <c r="H688" s="39" t="n">
        <v>24</v>
      </c>
      <c r="I688" s="29">
        <f>IF(OR(COUNTIF('Suivi des rencontres'!$A:$A,$A688)&gt;0,COUNTIF('Suivi des rencontres'!$C:$C,$J688)&gt;0),"Non","Oui")</f>
        <v/>
      </c>
      <c r="J688" s="30" t="inlineStr">
        <is>
          <t>TENTACOOL</t>
        </is>
      </c>
    </row>
    <row r="689">
      <c r="A689" s="35" t="inlineStr">
        <is>
          <t>Irisia</t>
        </is>
      </c>
      <c r="B689" s="35" t="inlineStr">
        <is>
          <t>CianwoodCity_hns</t>
        </is>
      </c>
      <c r="C689" s="33" t="inlineStr">
        <is>
          <t>Toute la journée</t>
        </is>
      </c>
      <c r="D689" s="36" t="inlineStr">
        <is>
          <t>Éclate-Roc</t>
        </is>
      </c>
      <c r="E689" s="37" t="inlineStr">
        <is>
          <t>RACAILLOU</t>
        </is>
      </c>
      <c r="F689" s="38" t="n">
        <v>0.95</v>
      </c>
      <c r="G689" s="39" t="n">
        <v>20</v>
      </c>
      <c r="H689" s="39" t="n">
        <v>22</v>
      </c>
      <c r="I689" s="29">
        <f>IF(OR(COUNTIF('Suivi des rencontres'!$A:$A,$A689)&gt;0,COUNTIF('Suivi des rencontres'!$C:$C,$J689)&gt;0),"Non","Oui")</f>
        <v/>
      </c>
      <c r="J689" s="30" t="inlineStr">
        <is>
          <t>RACAILLOU</t>
        </is>
      </c>
    </row>
    <row r="690">
      <c r="A690" s="35" t="inlineStr">
        <is>
          <t>Irisia</t>
        </is>
      </c>
      <c r="B690" s="35" t="inlineStr">
        <is>
          <t>CianwoodCity_hns</t>
        </is>
      </c>
      <c r="C690" s="33" t="inlineStr">
        <is>
          <t>Toute la journée</t>
        </is>
      </c>
      <c r="D690" s="36" t="inlineStr">
        <is>
          <t>Éclate-Roc</t>
        </is>
      </c>
      <c r="E690" s="37" t="inlineStr">
        <is>
          <t>CARATROC</t>
        </is>
      </c>
      <c r="F690" s="38" t="n">
        <v>0.05</v>
      </c>
      <c r="G690" s="39" t="n">
        <v>20</v>
      </c>
      <c r="H690" s="39" t="n">
        <v>22</v>
      </c>
      <c r="I690" s="29">
        <f>IF(OR(COUNTIF('Suivi des rencontres'!$A:$A,$A690)&gt;0,COUNTIF('Suivi des rencontres'!$C:$C,$J690)&gt;0),"Non","Oui")</f>
        <v/>
      </c>
      <c r="J690" s="30" t="inlineStr">
        <is>
          <t>CARATROC</t>
        </is>
      </c>
    </row>
    <row r="691">
      <c r="A691" s="35" t="inlineStr">
        <is>
          <t>Irisia</t>
        </is>
      </c>
      <c r="B691" s="35" t="inlineStr">
        <is>
          <t>CianwoodCity_hns</t>
        </is>
      </c>
      <c r="C691" s="33" t="inlineStr">
        <is>
          <t>Matin, jour, soir</t>
        </is>
      </c>
      <c r="D691" s="54" t="inlineStr">
        <is>
          <t>Vieille Canne</t>
        </is>
      </c>
      <c r="E691" s="37" t="inlineStr">
        <is>
          <t>MAGICARPE</t>
        </is>
      </c>
      <c r="F691" s="38" t="n">
        <v>0.7</v>
      </c>
      <c r="G691" s="39" t="n">
        <v>10</v>
      </c>
      <c r="H691" s="39" t="n">
        <v>10</v>
      </c>
      <c r="I691" s="29">
        <f>IF(OR(COUNTIF('Suivi des rencontres'!$A:$A,$A691)&gt;0,COUNTIF('Suivi des rencontres'!$C:$C,$J691)&gt;0),"Non","Oui")</f>
        <v/>
      </c>
      <c r="J691" s="30" t="inlineStr">
        <is>
          <t>MAGICARPE</t>
        </is>
      </c>
    </row>
    <row r="692">
      <c r="A692" s="35" t="inlineStr">
        <is>
          <t>Irisia</t>
        </is>
      </c>
      <c r="B692" s="35" t="inlineStr">
        <is>
          <t>CianwoodCity_hns</t>
        </is>
      </c>
      <c r="C692" s="33" t="inlineStr">
        <is>
          <t>Matin, jour, soir</t>
        </is>
      </c>
      <c r="D692" s="54" t="inlineStr">
        <is>
          <t>Vieille Canne</t>
        </is>
      </c>
      <c r="E692" s="37" t="inlineStr">
        <is>
          <t>KOKIYAS</t>
        </is>
      </c>
      <c r="F692" s="38" t="n">
        <v>0.3</v>
      </c>
      <c r="G692" s="39" t="n">
        <v>10</v>
      </c>
      <c r="H692" s="39" t="n">
        <v>10</v>
      </c>
      <c r="I692" s="29">
        <f>IF(OR(COUNTIF('Suivi des rencontres'!$A:$A,$A692)&gt;0,COUNTIF('Suivi des rencontres'!$C:$C,$J692)&gt;0),"Non","Oui")</f>
        <v/>
      </c>
      <c r="J692" s="30" t="inlineStr">
        <is>
          <t>KOKIYAS</t>
        </is>
      </c>
    </row>
    <row r="693">
      <c r="A693" s="35" t="inlineStr">
        <is>
          <t>Irisia</t>
        </is>
      </c>
      <c r="B693" s="35" t="inlineStr">
        <is>
          <t>CianwoodCity_hns</t>
        </is>
      </c>
      <c r="C693" s="62" t="inlineStr">
        <is>
          <t>Nuit</t>
        </is>
      </c>
      <c r="D693" s="54" t="inlineStr">
        <is>
          <t>Vieille Canne</t>
        </is>
      </c>
      <c r="E693" s="37" t="inlineStr">
        <is>
          <t>MAGICARPE</t>
        </is>
      </c>
      <c r="F693" s="38" t="n">
        <v>0.7</v>
      </c>
      <c r="G693" s="39" t="n">
        <v>10</v>
      </c>
      <c r="H693" s="39" t="n">
        <v>10</v>
      </c>
      <c r="I693" s="29">
        <f>IF(OR(COUNTIF('Suivi des rencontres'!$A:$A,$A693)&gt;0,COUNTIF('Suivi des rencontres'!$C:$C,$J693)&gt;0),"Non","Oui")</f>
        <v/>
      </c>
      <c r="J693" s="30" t="inlineStr">
        <is>
          <t>MAGICARPE</t>
        </is>
      </c>
    </row>
    <row r="694">
      <c r="A694" s="35" t="inlineStr">
        <is>
          <t>Irisia</t>
        </is>
      </c>
      <c r="B694" s="35" t="inlineStr">
        <is>
          <t>CianwoodCity_hns</t>
        </is>
      </c>
      <c r="C694" s="62" t="inlineStr">
        <is>
          <t>Nuit</t>
        </is>
      </c>
      <c r="D694" s="54" t="inlineStr">
        <is>
          <t>Vieille Canne</t>
        </is>
      </c>
      <c r="E694" s="37" t="inlineStr">
        <is>
          <t>KRABBY</t>
        </is>
      </c>
      <c r="F694" s="38" t="n">
        <v>0.3</v>
      </c>
      <c r="G694" s="39" t="n">
        <v>10</v>
      </c>
      <c r="H694" s="39" t="n">
        <v>10</v>
      </c>
      <c r="I694" s="29">
        <f>IF(OR(COUNTIF('Suivi des rencontres'!$A:$A,$A694)&gt;0,COUNTIF('Suivi des rencontres'!$C:$C,$J694)&gt;0),"Non","Oui")</f>
        <v/>
      </c>
      <c r="J694" s="30" t="inlineStr">
        <is>
          <t>KRABBY</t>
        </is>
      </c>
    </row>
    <row r="695">
      <c r="A695" s="35" t="inlineStr">
        <is>
          <t>Irisia</t>
        </is>
      </c>
      <c r="B695" s="35" t="inlineStr">
        <is>
          <t>CianwoodCity_hns</t>
        </is>
      </c>
      <c r="C695" s="33" t="inlineStr">
        <is>
          <t>Matin, jour, soir</t>
        </is>
      </c>
      <c r="D695" s="55" t="inlineStr">
        <is>
          <t>Bonne Canne</t>
        </is>
      </c>
      <c r="E695" s="37" t="inlineStr">
        <is>
          <t>MAGICARPE</t>
        </is>
      </c>
      <c r="F695" s="38" t="n">
        <v>0.6</v>
      </c>
      <c r="G695" s="39" t="n">
        <v>20</v>
      </c>
      <c r="H695" s="39" t="n">
        <v>20</v>
      </c>
      <c r="I695" s="29">
        <f>IF(OR(COUNTIF('Suivi des rencontres'!$A:$A,$A695)&gt;0,COUNTIF('Suivi des rencontres'!$C:$C,$J695)&gt;0),"Non","Oui")</f>
        <v/>
      </c>
      <c r="J695" s="30" t="inlineStr">
        <is>
          <t>MAGICARPE</t>
        </is>
      </c>
    </row>
    <row r="696">
      <c r="A696" s="35" t="inlineStr">
        <is>
          <t>Irisia</t>
        </is>
      </c>
      <c r="B696" s="35" t="inlineStr">
        <is>
          <t>CianwoodCity_hns</t>
        </is>
      </c>
      <c r="C696" s="33" t="inlineStr">
        <is>
          <t>Matin, jour, soir</t>
        </is>
      </c>
      <c r="D696" s="55" t="inlineStr">
        <is>
          <t>Bonne Canne</t>
        </is>
      </c>
      <c r="E696" s="37" t="inlineStr">
        <is>
          <t>KOKIYAS</t>
        </is>
      </c>
      <c r="F696" s="38" t="n">
        <v>0.2</v>
      </c>
      <c r="G696" s="39" t="n">
        <v>20</v>
      </c>
      <c r="H696" s="39" t="n">
        <v>20</v>
      </c>
      <c r="I696" s="29">
        <f>IF(OR(COUNTIF('Suivi des rencontres'!$A:$A,$A696)&gt;0,COUNTIF('Suivi des rencontres'!$C:$C,$J696)&gt;0),"Non","Oui")</f>
        <v/>
      </c>
      <c r="J696" s="30" t="inlineStr">
        <is>
          <t>KOKIYAS</t>
        </is>
      </c>
    </row>
    <row r="697">
      <c r="A697" s="35" t="inlineStr">
        <is>
          <t>Irisia</t>
        </is>
      </c>
      <c r="B697" s="35" t="inlineStr">
        <is>
          <t>CianwoodCity_hns</t>
        </is>
      </c>
      <c r="C697" s="33" t="inlineStr">
        <is>
          <t>Matin, jour, soir</t>
        </is>
      </c>
      <c r="D697" s="55" t="inlineStr">
        <is>
          <t>Bonne Canne</t>
        </is>
      </c>
      <c r="E697" s="37" t="inlineStr">
        <is>
          <t>LOUPIO</t>
        </is>
      </c>
      <c r="F697" s="38" t="n">
        <v>0.2</v>
      </c>
      <c r="G697" s="39" t="n">
        <v>20</v>
      </c>
      <c r="H697" s="39" t="n">
        <v>20</v>
      </c>
      <c r="I697" s="29">
        <f>IF(OR(COUNTIF('Suivi des rencontres'!$A:$A,$A697)&gt;0,COUNTIF('Suivi des rencontres'!$C:$C,$J697)&gt;0),"Non","Oui")</f>
        <v/>
      </c>
      <c r="J697" s="30" t="inlineStr">
        <is>
          <t>LOUPIO</t>
        </is>
      </c>
    </row>
    <row r="698">
      <c r="A698" s="35" t="inlineStr">
        <is>
          <t>Irisia</t>
        </is>
      </c>
      <c r="B698" s="35" t="inlineStr">
        <is>
          <t>CianwoodCity_hns</t>
        </is>
      </c>
      <c r="C698" s="62" t="inlineStr">
        <is>
          <t>Nuit</t>
        </is>
      </c>
      <c r="D698" s="55" t="inlineStr">
        <is>
          <t>Bonne Canne</t>
        </is>
      </c>
      <c r="E698" s="37" t="inlineStr">
        <is>
          <t>KRABBY</t>
        </is>
      </c>
      <c r="F698" s="38" t="n">
        <v>0.6</v>
      </c>
      <c r="G698" s="39" t="n">
        <v>20</v>
      </c>
      <c r="H698" s="39" t="n">
        <v>20</v>
      </c>
      <c r="I698" s="29">
        <f>IF(OR(COUNTIF('Suivi des rencontres'!$A:$A,$A698)&gt;0,COUNTIF('Suivi des rencontres'!$C:$C,$J698)&gt;0),"Non","Oui")</f>
        <v/>
      </c>
      <c r="J698" s="30" t="inlineStr">
        <is>
          <t>KRABBY</t>
        </is>
      </c>
    </row>
    <row r="699">
      <c r="A699" s="35" t="inlineStr">
        <is>
          <t>Irisia</t>
        </is>
      </c>
      <c r="B699" s="35" t="inlineStr">
        <is>
          <t>CianwoodCity_hns</t>
        </is>
      </c>
      <c r="C699" s="62" t="inlineStr">
        <is>
          <t>Nuit</t>
        </is>
      </c>
      <c r="D699" s="55" t="inlineStr">
        <is>
          <t>Bonne Canne</t>
        </is>
      </c>
      <c r="E699" s="37" t="inlineStr">
        <is>
          <t>MAGICARPE</t>
        </is>
      </c>
      <c r="F699" s="38" t="n">
        <v>0.2</v>
      </c>
      <c r="G699" s="39" t="n">
        <v>20</v>
      </c>
      <c r="H699" s="39" t="n">
        <v>20</v>
      </c>
      <c r="I699" s="29">
        <f>IF(OR(COUNTIF('Suivi des rencontres'!$A:$A,$A699)&gt;0,COUNTIF('Suivi des rencontres'!$C:$C,$J699)&gt;0),"Non","Oui")</f>
        <v/>
      </c>
      <c r="J699" s="30" t="inlineStr">
        <is>
          <t>MAGICARPE</t>
        </is>
      </c>
    </row>
    <row r="700">
      <c r="A700" s="35" t="inlineStr">
        <is>
          <t>Irisia</t>
        </is>
      </c>
      <c r="B700" s="35" t="inlineStr">
        <is>
          <t>CianwoodCity_hns</t>
        </is>
      </c>
      <c r="C700" s="62" t="inlineStr">
        <is>
          <t>Nuit</t>
        </is>
      </c>
      <c r="D700" s="55" t="inlineStr">
        <is>
          <t>Bonne Canne</t>
        </is>
      </c>
      <c r="E700" s="37" t="inlineStr">
        <is>
          <t>STARI</t>
        </is>
      </c>
      <c r="F700" s="38" t="n">
        <v>0.2</v>
      </c>
      <c r="G700" s="39" t="n">
        <v>20</v>
      </c>
      <c r="H700" s="39" t="n">
        <v>20</v>
      </c>
      <c r="I700" s="29">
        <f>IF(OR(COUNTIF('Suivi des rencontres'!$A:$A,$A700)&gt;0,COUNTIF('Suivi des rencontres'!$C:$C,$J700)&gt;0),"Non","Oui")</f>
        <v/>
      </c>
      <c r="J700" s="30" t="inlineStr">
        <is>
          <t>STARI</t>
        </is>
      </c>
    </row>
    <row r="701">
      <c r="A701" s="35" t="inlineStr">
        <is>
          <t>Irisia</t>
        </is>
      </c>
      <c r="B701" s="35" t="inlineStr">
        <is>
          <t>CianwoodCity_hns</t>
        </is>
      </c>
      <c r="C701" s="33" t="inlineStr">
        <is>
          <t>Matin, jour, soir</t>
        </is>
      </c>
      <c r="D701" s="56" t="inlineStr">
        <is>
          <t>Super Canne</t>
        </is>
      </c>
      <c r="E701" s="37" t="inlineStr">
        <is>
          <t>KOKIYAS</t>
        </is>
      </c>
      <c r="F701" s="38" t="n">
        <v>0.4</v>
      </c>
      <c r="G701" s="39" t="n">
        <v>40</v>
      </c>
      <c r="H701" s="39" t="n">
        <v>40</v>
      </c>
      <c r="I701" s="29">
        <f>IF(OR(COUNTIF('Suivi des rencontres'!$A:$A,$A701)&gt;0,COUNTIF('Suivi des rencontres'!$C:$C,$J701)&gt;0),"Non","Oui")</f>
        <v/>
      </c>
      <c r="J701" s="30" t="inlineStr">
        <is>
          <t>KOKIYAS</t>
        </is>
      </c>
    </row>
    <row r="702">
      <c r="A702" s="35" t="inlineStr">
        <is>
          <t>Irisia</t>
        </is>
      </c>
      <c r="B702" s="35" t="inlineStr">
        <is>
          <t>CianwoodCity_hns</t>
        </is>
      </c>
      <c r="C702" s="33" t="inlineStr">
        <is>
          <t>Matin, jour, soir</t>
        </is>
      </c>
      <c r="D702" s="56" t="inlineStr">
        <is>
          <t>Super Canne</t>
        </is>
      </c>
      <c r="E702" s="37" t="inlineStr">
        <is>
          <t>LOUPIO</t>
        </is>
      </c>
      <c r="F702" s="38" t="n">
        <v>0.4</v>
      </c>
      <c r="G702" s="39" t="n">
        <v>20</v>
      </c>
      <c r="H702" s="39" t="n">
        <v>20</v>
      </c>
      <c r="I702" s="29">
        <f>IF(OR(COUNTIF('Suivi des rencontres'!$A:$A,$A702)&gt;0,COUNTIF('Suivi des rencontres'!$C:$C,$J702)&gt;0),"Non","Oui")</f>
        <v/>
      </c>
      <c r="J702" s="30" t="inlineStr">
        <is>
          <t>LOUPIO</t>
        </is>
      </c>
    </row>
    <row r="703">
      <c r="A703" s="35" t="inlineStr">
        <is>
          <t>Irisia</t>
        </is>
      </c>
      <c r="B703" s="35" t="inlineStr">
        <is>
          <t>CianwoodCity_hns</t>
        </is>
      </c>
      <c r="C703" s="33" t="inlineStr">
        <is>
          <t>Matin, jour, soir</t>
        </is>
      </c>
      <c r="D703" s="56" t="inlineStr">
        <is>
          <t>Super Canne</t>
        </is>
      </c>
      <c r="E703" s="37" t="inlineStr">
        <is>
          <t>LANTURN</t>
        </is>
      </c>
      <c r="F703" s="38" t="n">
        <v>0.15</v>
      </c>
      <c r="G703" s="39" t="n">
        <v>40</v>
      </c>
      <c r="H703" s="39" t="n">
        <v>40</v>
      </c>
      <c r="I703" s="29">
        <f>IF(OR(COUNTIF('Suivi des rencontres'!$A:$A,$A703)&gt;0,COUNTIF('Suivi des rencontres'!$C:$C,$J703)&gt;0),"Non","Oui")</f>
        <v/>
      </c>
      <c r="J703" s="30" t="inlineStr">
        <is>
          <t>LOUPIO</t>
        </is>
      </c>
    </row>
    <row r="704">
      <c r="A704" s="35" t="inlineStr">
        <is>
          <t>Irisia</t>
        </is>
      </c>
      <c r="B704" s="35" t="inlineStr">
        <is>
          <t>CianwoodCity_hns</t>
        </is>
      </c>
      <c r="C704" s="33" t="inlineStr">
        <is>
          <t>Matin, jour, soir</t>
        </is>
      </c>
      <c r="D704" s="56" t="inlineStr">
        <is>
          <t>Super Canne</t>
        </is>
      </c>
      <c r="E704" s="37" t="inlineStr">
        <is>
          <t>TENTACRUEL</t>
        </is>
      </c>
      <c r="F704" s="38" t="n">
        <v>0.05</v>
      </c>
      <c r="G704" s="39" t="n">
        <v>40</v>
      </c>
      <c r="H704" s="39" t="n">
        <v>40</v>
      </c>
      <c r="I704" s="29">
        <f>IF(OR(COUNTIF('Suivi des rencontres'!$A:$A,$A704)&gt;0,COUNTIF('Suivi des rencontres'!$C:$C,$J704)&gt;0),"Non","Oui")</f>
        <v/>
      </c>
      <c r="J704" s="30" t="inlineStr">
        <is>
          <t>TENTACOOL</t>
        </is>
      </c>
    </row>
    <row r="705">
      <c r="A705" s="35" t="inlineStr">
        <is>
          <t>Irisia</t>
        </is>
      </c>
      <c r="B705" s="35" t="inlineStr">
        <is>
          <t>CianwoodCity_hns</t>
        </is>
      </c>
      <c r="C705" s="62" t="inlineStr">
        <is>
          <t>Nuit</t>
        </is>
      </c>
      <c r="D705" s="56" t="inlineStr">
        <is>
          <t>Super Canne</t>
        </is>
      </c>
      <c r="E705" s="37" t="inlineStr">
        <is>
          <t>STARI</t>
        </is>
      </c>
      <c r="F705" s="38" t="n">
        <v>0.44</v>
      </c>
      <c r="G705" s="39" t="n">
        <v>40</v>
      </c>
      <c r="H705" s="39" t="n">
        <v>40</v>
      </c>
      <c r="I705" s="29">
        <f>IF(OR(COUNTIF('Suivi des rencontres'!$A:$A,$A705)&gt;0,COUNTIF('Suivi des rencontres'!$C:$C,$J705)&gt;0),"Non","Oui")</f>
        <v/>
      </c>
      <c r="J705" s="30" t="inlineStr">
        <is>
          <t>STARI</t>
        </is>
      </c>
    </row>
    <row r="706">
      <c r="A706" s="35" t="inlineStr">
        <is>
          <t>Irisia</t>
        </is>
      </c>
      <c r="B706" s="35" t="inlineStr">
        <is>
          <t>CianwoodCity_hns</t>
        </is>
      </c>
      <c r="C706" s="62" t="inlineStr">
        <is>
          <t>Nuit</t>
        </is>
      </c>
      <c r="D706" s="56" t="inlineStr">
        <is>
          <t>Super Canne</t>
        </is>
      </c>
      <c r="E706" s="37" t="inlineStr">
        <is>
          <t>KRABBY</t>
        </is>
      </c>
      <c r="F706" s="38" t="n">
        <v>0.41</v>
      </c>
      <c r="G706" s="39" t="n">
        <v>40</v>
      </c>
      <c r="H706" s="39" t="n">
        <v>40</v>
      </c>
      <c r="I706" s="29">
        <f>IF(OR(COUNTIF('Suivi des rencontres'!$A:$A,$A706)&gt;0,COUNTIF('Suivi des rencontres'!$C:$C,$J706)&gt;0),"Non","Oui")</f>
        <v/>
      </c>
      <c r="J706" s="30" t="inlineStr">
        <is>
          <t>KRABBY</t>
        </is>
      </c>
    </row>
    <row r="707">
      <c r="A707" s="35" t="inlineStr">
        <is>
          <t>Irisia</t>
        </is>
      </c>
      <c r="B707" s="35" t="inlineStr">
        <is>
          <t>CianwoodCity_hns</t>
        </is>
      </c>
      <c r="C707" s="62" t="inlineStr">
        <is>
          <t>Nuit</t>
        </is>
      </c>
      <c r="D707" s="56" t="inlineStr">
        <is>
          <t>Super Canne</t>
        </is>
      </c>
      <c r="E707" s="37" t="inlineStr">
        <is>
          <t>KRABBOSS</t>
        </is>
      </c>
      <c r="F707" s="38" t="n">
        <v>0.15</v>
      </c>
      <c r="G707" s="39" t="n">
        <v>40</v>
      </c>
      <c r="H707" s="39" t="n">
        <v>40</v>
      </c>
      <c r="I707" s="29">
        <f>IF(OR(COUNTIF('Suivi des rencontres'!$A:$A,$A707)&gt;0,COUNTIF('Suivi des rencontres'!$C:$C,$J707)&gt;0),"Non","Oui")</f>
        <v/>
      </c>
      <c r="J707" s="30" t="inlineStr">
        <is>
          <t>KRABBY</t>
        </is>
      </c>
    </row>
    <row r="708">
      <c r="A708" s="40" t="inlineStr">
        <is>
          <t>Jadielle</t>
        </is>
      </c>
      <c r="B708" s="40" t="inlineStr">
        <is>
          <t>ViridianCity_hns</t>
        </is>
      </c>
      <c r="C708" s="41" t="inlineStr">
        <is>
          <t>Matin, jour, soir</t>
        </is>
      </c>
      <c r="D708" s="63" t="inlineStr">
        <is>
          <t>Surf</t>
        </is>
      </c>
      <c r="E708" s="43" t="inlineStr">
        <is>
          <t>PTITARD</t>
        </is>
      </c>
      <c r="F708" s="44" t="n">
        <v>0.96</v>
      </c>
      <c r="G708" s="45" t="n">
        <v>45</v>
      </c>
      <c r="H708" s="45" t="n">
        <v>47</v>
      </c>
      <c r="I708" s="46">
        <f>IF(OR(COUNTIF('Suivi des rencontres'!$A:$A,$A708)&gt;0,COUNTIF('Suivi des rencontres'!$C:$C,$J708)&gt;0),"Non","Oui")</f>
        <v/>
      </c>
      <c r="J708" s="30" t="inlineStr">
        <is>
          <t>PTITARD</t>
        </is>
      </c>
    </row>
    <row r="709">
      <c r="A709" s="47" t="inlineStr">
        <is>
          <t>Jadielle</t>
        </is>
      </c>
      <c r="B709" s="47" t="inlineStr">
        <is>
          <t>ViridianCity_hns</t>
        </is>
      </c>
      <c r="C709" s="48" t="inlineStr">
        <is>
          <t>Matin, jour, soir</t>
        </is>
      </c>
      <c r="D709" s="53" t="inlineStr">
        <is>
          <t>Surf</t>
        </is>
      </c>
      <c r="E709" s="50" t="inlineStr">
        <is>
          <t>TETARTE</t>
        </is>
      </c>
      <c r="F709" s="51" t="n">
        <v>0.04</v>
      </c>
      <c r="G709" s="52" t="n">
        <v>41</v>
      </c>
      <c r="H709" s="52" t="n">
        <v>47</v>
      </c>
      <c r="I709" s="29">
        <f>IF(OR(COUNTIF('Suivi des rencontres'!$A:$A,$A709)&gt;0,COUNTIF('Suivi des rencontres'!$C:$C,$J709)&gt;0),"Non","Oui")</f>
        <v/>
      </c>
      <c r="J709" s="30" t="inlineStr">
        <is>
          <t>PTITARD</t>
        </is>
      </c>
    </row>
    <row r="710">
      <c r="A710" s="47" t="inlineStr">
        <is>
          <t>Jadielle</t>
        </is>
      </c>
      <c r="B710" s="47" t="inlineStr">
        <is>
          <t>ViridianCity_hns</t>
        </is>
      </c>
      <c r="C710" s="62" t="inlineStr">
        <is>
          <t>Nuit</t>
        </is>
      </c>
      <c r="D710" s="53" t="inlineStr">
        <is>
          <t>Surf</t>
        </is>
      </c>
      <c r="E710" s="50" t="inlineStr">
        <is>
          <t>PTITARD</t>
        </is>
      </c>
      <c r="F710" s="51" t="n">
        <v>0.96</v>
      </c>
      <c r="G710" s="52" t="n">
        <v>45</v>
      </c>
      <c r="H710" s="52" t="n">
        <v>47</v>
      </c>
      <c r="I710" s="29">
        <f>IF(OR(COUNTIF('Suivi des rencontres'!$A:$A,$A710)&gt;0,COUNTIF('Suivi des rencontres'!$C:$C,$J710)&gt;0),"Non","Oui")</f>
        <v/>
      </c>
      <c r="J710" s="30" t="inlineStr">
        <is>
          <t>PTITARD</t>
        </is>
      </c>
    </row>
    <row r="711">
      <c r="A711" s="47" t="inlineStr">
        <is>
          <t>Jadielle</t>
        </is>
      </c>
      <c r="B711" s="47" t="inlineStr">
        <is>
          <t>ViridianCity_hns</t>
        </is>
      </c>
      <c r="C711" s="62" t="inlineStr">
        <is>
          <t>Nuit</t>
        </is>
      </c>
      <c r="D711" s="53" t="inlineStr">
        <is>
          <t>Surf</t>
        </is>
      </c>
      <c r="E711" s="50" t="inlineStr">
        <is>
          <t>TETARTE</t>
        </is>
      </c>
      <c r="F711" s="51" t="n">
        <v>0.04</v>
      </c>
      <c r="G711" s="52" t="n">
        <v>41</v>
      </c>
      <c r="H711" s="52" t="n">
        <v>47</v>
      </c>
      <c r="I711" s="29">
        <f>IF(OR(COUNTIF('Suivi des rencontres'!$A:$A,$A711)&gt;0,COUNTIF('Suivi des rencontres'!$C:$C,$J711)&gt;0),"Non","Oui")</f>
        <v/>
      </c>
      <c r="J711" s="30" t="inlineStr">
        <is>
          <t>PTITARD</t>
        </is>
      </c>
    </row>
    <row r="712">
      <c r="A712" s="47" t="inlineStr">
        <is>
          <t>Jadielle</t>
        </is>
      </c>
      <c r="B712" s="47" t="inlineStr">
        <is>
          <t>ViridianCity_hns</t>
        </is>
      </c>
      <c r="C712" s="48" t="inlineStr">
        <is>
          <t>Matin, jour, soir</t>
        </is>
      </c>
      <c r="D712" s="36" t="inlineStr">
        <is>
          <t>Éclate-Roc</t>
        </is>
      </c>
      <c r="E712" s="50" t="inlineStr">
        <is>
          <t>POMDEPIK</t>
        </is>
      </c>
      <c r="F712" s="51" t="n">
        <v>0.6</v>
      </c>
      <c r="G712" s="52" t="n">
        <v>41</v>
      </c>
      <c r="H712" s="52" t="n">
        <v>43</v>
      </c>
      <c r="I712" s="29">
        <f>IF(OR(COUNTIF('Suivi des rencontres'!$A:$A,$A712)&gt;0,COUNTIF('Suivi des rencontres'!$C:$C,$J712)&gt;0),"Non","Oui")</f>
        <v/>
      </c>
      <c r="J712" s="30" t="inlineStr">
        <is>
          <t>POMDEPIK</t>
        </is>
      </c>
    </row>
    <row r="713">
      <c r="A713" s="47" t="inlineStr">
        <is>
          <t>Jadielle</t>
        </is>
      </c>
      <c r="B713" s="47" t="inlineStr">
        <is>
          <t>ViridianCity_hns</t>
        </is>
      </c>
      <c r="C713" s="48" t="inlineStr">
        <is>
          <t>Matin, jour, soir</t>
        </is>
      </c>
      <c r="D713" s="36" t="inlineStr">
        <is>
          <t>Éclate-Roc</t>
        </is>
      </c>
      <c r="E713" s="50" t="inlineStr">
        <is>
          <t>NOEUNOEUF</t>
        </is>
      </c>
      <c r="F713" s="51" t="n">
        <v>0.3</v>
      </c>
      <c r="G713" s="52" t="n">
        <v>41</v>
      </c>
      <c r="H713" s="52" t="n">
        <v>43</v>
      </c>
      <c r="I713" s="29">
        <f>IF(OR(COUNTIF('Suivi des rencontres'!$A:$A,$A713)&gt;0,COUNTIF('Suivi des rencontres'!$C:$C,$J713)&gt;0),"Non","Oui")</f>
        <v/>
      </c>
      <c r="J713" s="30" t="inlineStr">
        <is>
          <t>NOEUNOEUF</t>
        </is>
      </c>
    </row>
    <row r="714">
      <c r="A714" s="47" t="inlineStr">
        <is>
          <t>Jadielle</t>
        </is>
      </c>
      <c r="B714" s="47" t="inlineStr">
        <is>
          <t>ViridianCity_hns</t>
        </is>
      </c>
      <c r="C714" s="48" t="inlineStr">
        <is>
          <t>Matin, jour, soir</t>
        </is>
      </c>
      <c r="D714" s="36" t="inlineStr">
        <is>
          <t>Éclate-Roc</t>
        </is>
      </c>
      <c r="E714" s="50" t="inlineStr">
        <is>
          <t>COXY</t>
        </is>
      </c>
      <c r="F714" s="51" t="n">
        <v>0.05</v>
      </c>
      <c r="G714" s="52" t="n">
        <v>41</v>
      </c>
      <c r="H714" s="52" t="n">
        <v>43</v>
      </c>
      <c r="I714" s="29">
        <f>IF(OR(COUNTIF('Suivi des rencontres'!$A:$A,$A714)&gt;0,COUNTIF('Suivi des rencontres'!$C:$C,$J714)&gt;0),"Non","Oui")</f>
        <v/>
      </c>
      <c r="J714" s="30" t="inlineStr">
        <is>
          <t>COXY</t>
        </is>
      </c>
    </row>
    <row r="715">
      <c r="A715" s="47" t="inlineStr">
        <is>
          <t>Jadielle</t>
        </is>
      </c>
      <c r="B715" s="47" t="inlineStr">
        <is>
          <t>ViridianCity_hns</t>
        </is>
      </c>
      <c r="C715" s="48" t="inlineStr">
        <is>
          <t>Matin, jour, soir</t>
        </is>
      </c>
      <c r="D715" s="36" t="inlineStr">
        <is>
          <t>Éclate-Roc</t>
        </is>
      </c>
      <c r="E715" s="50" t="inlineStr">
        <is>
          <t>MIMIGAL</t>
        </is>
      </c>
      <c r="F715" s="51" t="n">
        <v>0.05</v>
      </c>
      <c r="G715" s="52" t="n">
        <v>41</v>
      </c>
      <c r="H715" s="52" t="n">
        <v>43</v>
      </c>
      <c r="I715" s="29">
        <f>IF(OR(COUNTIF('Suivi des rencontres'!$A:$A,$A715)&gt;0,COUNTIF('Suivi des rencontres'!$C:$C,$J715)&gt;0),"Non","Oui")</f>
        <v/>
      </c>
      <c r="J715" s="30" t="inlineStr">
        <is>
          <t>MIMIGAL</t>
        </is>
      </c>
    </row>
    <row r="716">
      <c r="A716" s="47" t="inlineStr">
        <is>
          <t>Jadielle</t>
        </is>
      </c>
      <c r="B716" s="47" t="inlineStr">
        <is>
          <t>ViridianCity_hns</t>
        </is>
      </c>
      <c r="C716" s="62" t="inlineStr">
        <is>
          <t>Nuit</t>
        </is>
      </c>
      <c r="D716" s="36" t="inlineStr">
        <is>
          <t>Éclate-Roc</t>
        </is>
      </c>
      <c r="E716" s="50" t="inlineStr">
        <is>
          <t>POMDEPIK</t>
        </is>
      </c>
      <c r="F716" s="51" t="n">
        <v>0.6</v>
      </c>
      <c r="G716" s="52" t="n">
        <v>41</v>
      </c>
      <c r="H716" s="52" t="n">
        <v>43</v>
      </c>
      <c r="I716" s="29">
        <f>IF(OR(COUNTIF('Suivi des rencontres'!$A:$A,$A716)&gt;0,COUNTIF('Suivi des rencontres'!$C:$C,$J716)&gt;0),"Non","Oui")</f>
        <v/>
      </c>
      <c r="J716" s="30" t="inlineStr">
        <is>
          <t>POMDEPIK</t>
        </is>
      </c>
    </row>
    <row r="717">
      <c r="A717" s="47" t="inlineStr">
        <is>
          <t>Jadielle</t>
        </is>
      </c>
      <c r="B717" s="47" t="inlineStr">
        <is>
          <t>ViridianCity_hns</t>
        </is>
      </c>
      <c r="C717" s="62" t="inlineStr">
        <is>
          <t>Nuit</t>
        </is>
      </c>
      <c r="D717" s="36" t="inlineStr">
        <is>
          <t>Éclate-Roc</t>
        </is>
      </c>
      <c r="E717" s="50" t="inlineStr">
        <is>
          <t>NOEUNOEUF</t>
        </is>
      </c>
      <c r="F717" s="51" t="n">
        <v>0.3</v>
      </c>
      <c r="G717" s="52" t="n">
        <v>41</v>
      </c>
      <c r="H717" s="52" t="n">
        <v>43</v>
      </c>
      <c r="I717" s="29">
        <f>IF(OR(COUNTIF('Suivi des rencontres'!$A:$A,$A717)&gt;0,COUNTIF('Suivi des rencontres'!$C:$C,$J717)&gt;0),"Non","Oui")</f>
        <v/>
      </c>
      <c r="J717" s="30" t="inlineStr">
        <is>
          <t>NOEUNOEUF</t>
        </is>
      </c>
    </row>
    <row r="718">
      <c r="A718" s="47" t="inlineStr">
        <is>
          <t>Jadielle</t>
        </is>
      </c>
      <c r="B718" s="47" t="inlineStr">
        <is>
          <t>ViridianCity_hns</t>
        </is>
      </c>
      <c r="C718" s="62" t="inlineStr">
        <is>
          <t>Nuit</t>
        </is>
      </c>
      <c r="D718" s="36" t="inlineStr">
        <is>
          <t>Éclate-Roc</t>
        </is>
      </c>
      <c r="E718" s="50" t="inlineStr">
        <is>
          <t>COXY</t>
        </is>
      </c>
      <c r="F718" s="51" t="n">
        <v>0.05</v>
      </c>
      <c r="G718" s="52" t="n">
        <v>41</v>
      </c>
      <c r="H718" s="52" t="n">
        <v>43</v>
      </c>
      <c r="I718" s="29">
        <f>IF(OR(COUNTIF('Suivi des rencontres'!$A:$A,$A718)&gt;0,COUNTIF('Suivi des rencontres'!$C:$C,$J718)&gt;0),"Non","Oui")</f>
        <v/>
      </c>
      <c r="J718" s="30" t="inlineStr">
        <is>
          <t>COXY</t>
        </is>
      </c>
    </row>
    <row r="719">
      <c r="A719" s="47" t="inlineStr">
        <is>
          <t>Jadielle</t>
        </is>
      </c>
      <c r="B719" s="47" t="inlineStr">
        <is>
          <t>ViridianCity_hns</t>
        </is>
      </c>
      <c r="C719" s="62" t="inlineStr">
        <is>
          <t>Nuit</t>
        </is>
      </c>
      <c r="D719" s="36" t="inlineStr">
        <is>
          <t>Éclate-Roc</t>
        </is>
      </c>
      <c r="E719" s="50" t="inlineStr">
        <is>
          <t>MIMIGAL</t>
        </is>
      </c>
      <c r="F719" s="51" t="n">
        <v>0.05</v>
      </c>
      <c r="G719" s="52" t="n">
        <v>41</v>
      </c>
      <c r="H719" s="52" t="n">
        <v>43</v>
      </c>
      <c r="I719" s="29">
        <f>IF(OR(COUNTIF('Suivi des rencontres'!$A:$A,$A719)&gt;0,COUNTIF('Suivi des rencontres'!$C:$C,$J719)&gt;0),"Non","Oui")</f>
        <v/>
      </c>
      <c r="J719" s="30" t="inlineStr">
        <is>
          <t>MIMIGAL</t>
        </is>
      </c>
    </row>
    <row r="720">
      <c r="A720" s="47" t="inlineStr">
        <is>
          <t>Jadielle</t>
        </is>
      </c>
      <c r="B720" s="47" t="inlineStr">
        <is>
          <t>ViridianCity_hns</t>
        </is>
      </c>
      <c r="C720" s="48" t="inlineStr">
        <is>
          <t>Matin, jour, soir</t>
        </is>
      </c>
      <c r="D720" s="54" t="inlineStr">
        <is>
          <t>Vieille Canne</t>
        </is>
      </c>
      <c r="E720" s="50" t="inlineStr">
        <is>
          <t>MAGICARPE</t>
        </is>
      </c>
      <c r="F720" s="51" t="n">
        <v>0.7</v>
      </c>
      <c r="G720" s="52" t="n">
        <v>41</v>
      </c>
      <c r="H720" s="52" t="n">
        <v>43</v>
      </c>
      <c r="I720" s="29">
        <f>IF(OR(COUNTIF('Suivi des rencontres'!$A:$A,$A720)&gt;0,COUNTIF('Suivi des rencontres'!$C:$C,$J720)&gt;0),"Non","Oui")</f>
        <v/>
      </c>
      <c r="J720" s="30" t="inlineStr">
        <is>
          <t>MAGICARPE</t>
        </is>
      </c>
    </row>
    <row r="721">
      <c r="A721" s="47" t="inlineStr">
        <is>
          <t>Jadielle</t>
        </is>
      </c>
      <c r="B721" s="47" t="inlineStr">
        <is>
          <t>ViridianCity_hns</t>
        </is>
      </c>
      <c r="C721" s="48" t="inlineStr">
        <is>
          <t>Matin, jour, soir</t>
        </is>
      </c>
      <c r="D721" s="54" t="inlineStr">
        <is>
          <t>Vieille Canne</t>
        </is>
      </c>
      <c r="E721" s="50" t="inlineStr">
        <is>
          <t>PTITARD</t>
        </is>
      </c>
      <c r="F721" s="51" t="n">
        <v>0.3</v>
      </c>
      <c r="G721" s="52" t="n">
        <v>41</v>
      </c>
      <c r="H721" s="52" t="n">
        <v>43</v>
      </c>
      <c r="I721" s="29">
        <f>IF(OR(COUNTIF('Suivi des rencontres'!$A:$A,$A721)&gt;0,COUNTIF('Suivi des rencontres'!$C:$C,$J721)&gt;0),"Non","Oui")</f>
        <v/>
      </c>
      <c r="J721" s="30" t="inlineStr">
        <is>
          <t>PTITARD</t>
        </is>
      </c>
    </row>
    <row r="722">
      <c r="A722" s="47" t="inlineStr">
        <is>
          <t>Jadielle</t>
        </is>
      </c>
      <c r="B722" s="47" t="inlineStr">
        <is>
          <t>ViridianCity_hns</t>
        </is>
      </c>
      <c r="C722" s="62" t="inlineStr">
        <is>
          <t>Nuit</t>
        </is>
      </c>
      <c r="D722" s="54" t="inlineStr">
        <is>
          <t>Vieille Canne</t>
        </is>
      </c>
      <c r="E722" s="50" t="inlineStr">
        <is>
          <t>MAGICARPE</t>
        </is>
      </c>
      <c r="F722" s="51" t="n">
        <v>0.7</v>
      </c>
      <c r="G722" s="52" t="n">
        <v>41</v>
      </c>
      <c r="H722" s="52" t="n">
        <v>43</v>
      </c>
      <c r="I722" s="29">
        <f>IF(OR(COUNTIF('Suivi des rencontres'!$A:$A,$A722)&gt;0,COUNTIF('Suivi des rencontres'!$C:$C,$J722)&gt;0),"Non","Oui")</f>
        <v/>
      </c>
      <c r="J722" s="30" t="inlineStr">
        <is>
          <t>MAGICARPE</t>
        </is>
      </c>
    </row>
    <row r="723">
      <c r="A723" s="47" t="inlineStr">
        <is>
          <t>Jadielle</t>
        </is>
      </c>
      <c r="B723" s="47" t="inlineStr">
        <is>
          <t>ViridianCity_hns</t>
        </is>
      </c>
      <c r="C723" s="62" t="inlineStr">
        <is>
          <t>Nuit</t>
        </is>
      </c>
      <c r="D723" s="54" t="inlineStr">
        <is>
          <t>Vieille Canne</t>
        </is>
      </c>
      <c r="E723" s="50" t="inlineStr">
        <is>
          <t>PTITARD</t>
        </is>
      </c>
      <c r="F723" s="51" t="n">
        <v>0.3</v>
      </c>
      <c r="G723" s="52" t="n">
        <v>41</v>
      </c>
      <c r="H723" s="52" t="n">
        <v>43</v>
      </c>
      <c r="I723" s="29">
        <f>IF(OR(COUNTIF('Suivi des rencontres'!$A:$A,$A723)&gt;0,COUNTIF('Suivi des rencontres'!$C:$C,$J723)&gt;0),"Non","Oui")</f>
        <v/>
      </c>
      <c r="J723" s="30" t="inlineStr">
        <is>
          <t>PTITARD</t>
        </is>
      </c>
    </row>
    <row r="724">
      <c r="A724" s="47" t="inlineStr">
        <is>
          <t>Jadielle</t>
        </is>
      </c>
      <c r="B724" s="47" t="inlineStr">
        <is>
          <t>ViridianCity_hns</t>
        </is>
      </c>
      <c r="C724" s="48" t="inlineStr">
        <is>
          <t>Matin, jour, soir</t>
        </is>
      </c>
      <c r="D724" s="55" t="inlineStr">
        <is>
          <t>Bonne Canne</t>
        </is>
      </c>
      <c r="E724" s="50" t="inlineStr">
        <is>
          <t>PTITARD</t>
        </is>
      </c>
      <c r="F724" s="51" t="n">
        <v>0.8</v>
      </c>
      <c r="G724" s="52" t="n">
        <v>42</v>
      </c>
      <c r="H724" s="52" t="n">
        <v>44</v>
      </c>
      <c r="I724" s="29">
        <f>IF(OR(COUNTIF('Suivi des rencontres'!$A:$A,$A724)&gt;0,COUNTIF('Suivi des rencontres'!$C:$C,$J724)&gt;0),"Non","Oui")</f>
        <v/>
      </c>
      <c r="J724" s="30" t="inlineStr">
        <is>
          <t>PTITARD</t>
        </is>
      </c>
    </row>
    <row r="725">
      <c r="A725" s="47" t="inlineStr">
        <is>
          <t>Jadielle</t>
        </is>
      </c>
      <c r="B725" s="47" t="inlineStr">
        <is>
          <t>ViridianCity_hns</t>
        </is>
      </c>
      <c r="C725" s="48" t="inlineStr">
        <is>
          <t>Matin, jour, soir</t>
        </is>
      </c>
      <c r="D725" s="55" t="inlineStr">
        <is>
          <t>Bonne Canne</t>
        </is>
      </c>
      <c r="E725" s="50" t="inlineStr">
        <is>
          <t>MAGICARPE</t>
        </is>
      </c>
      <c r="F725" s="51" t="n">
        <v>0.2</v>
      </c>
      <c r="G725" s="52" t="n">
        <v>42</v>
      </c>
      <c r="H725" s="52" t="n">
        <v>44</v>
      </c>
      <c r="I725" s="29">
        <f>IF(OR(COUNTIF('Suivi des rencontres'!$A:$A,$A725)&gt;0,COUNTIF('Suivi des rencontres'!$C:$C,$J725)&gt;0),"Non","Oui")</f>
        <v/>
      </c>
      <c r="J725" s="30" t="inlineStr">
        <is>
          <t>MAGICARPE</t>
        </is>
      </c>
    </row>
    <row r="726">
      <c r="A726" s="47" t="inlineStr">
        <is>
          <t>Jadielle</t>
        </is>
      </c>
      <c r="B726" s="47" t="inlineStr">
        <is>
          <t>ViridianCity_hns</t>
        </is>
      </c>
      <c r="C726" s="62" t="inlineStr">
        <is>
          <t>Nuit</t>
        </is>
      </c>
      <c r="D726" s="55" t="inlineStr">
        <is>
          <t>Bonne Canne</t>
        </is>
      </c>
      <c r="E726" s="50" t="inlineStr">
        <is>
          <t>PTITARD</t>
        </is>
      </c>
      <c r="F726" s="51" t="n">
        <v>0.8</v>
      </c>
      <c r="G726" s="52" t="n">
        <v>42</v>
      </c>
      <c r="H726" s="52" t="n">
        <v>44</v>
      </c>
      <c r="I726" s="29">
        <f>IF(OR(COUNTIF('Suivi des rencontres'!$A:$A,$A726)&gt;0,COUNTIF('Suivi des rencontres'!$C:$C,$J726)&gt;0),"Non","Oui")</f>
        <v/>
      </c>
      <c r="J726" s="30" t="inlineStr">
        <is>
          <t>PTITARD</t>
        </is>
      </c>
    </row>
    <row r="727">
      <c r="A727" s="47" t="inlineStr">
        <is>
          <t>Jadielle</t>
        </is>
      </c>
      <c r="B727" s="47" t="inlineStr">
        <is>
          <t>ViridianCity_hns</t>
        </is>
      </c>
      <c r="C727" s="62" t="inlineStr">
        <is>
          <t>Nuit</t>
        </is>
      </c>
      <c r="D727" s="55" t="inlineStr">
        <is>
          <t>Bonne Canne</t>
        </is>
      </c>
      <c r="E727" s="50" t="inlineStr">
        <is>
          <t>MAGICARPE</t>
        </is>
      </c>
      <c r="F727" s="51" t="n">
        <v>0.2</v>
      </c>
      <c r="G727" s="52" t="n">
        <v>42</v>
      </c>
      <c r="H727" s="52" t="n">
        <v>44</v>
      </c>
      <c r="I727" s="29">
        <f>IF(OR(COUNTIF('Suivi des rencontres'!$A:$A,$A727)&gt;0,COUNTIF('Suivi des rencontres'!$C:$C,$J727)&gt;0),"Non","Oui")</f>
        <v/>
      </c>
      <c r="J727" s="30" t="inlineStr">
        <is>
          <t>MAGICARPE</t>
        </is>
      </c>
    </row>
    <row r="728">
      <c r="A728" s="47" t="inlineStr">
        <is>
          <t>Jadielle</t>
        </is>
      </c>
      <c r="B728" s="47" t="inlineStr">
        <is>
          <t>ViridianCity_hns</t>
        </is>
      </c>
      <c r="C728" s="48" t="inlineStr">
        <is>
          <t>Matin, jour, soir</t>
        </is>
      </c>
      <c r="D728" s="56" t="inlineStr">
        <is>
          <t>Super Canne</t>
        </is>
      </c>
      <c r="E728" s="50" t="inlineStr">
        <is>
          <t>PTITARD</t>
        </is>
      </c>
      <c r="F728" s="51" t="n">
        <v>0.5600000000000001</v>
      </c>
      <c r="G728" s="52" t="n">
        <v>40</v>
      </c>
      <c r="H728" s="52" t="n">
        <v>40</v>
      </c>
      <c r="I728" s="29">
        <f>IF(OR(COUNTIF('Suivi des rencontres'!$A:$A,$A728)&gt;0,COUNTIF('Suivi des rencontres'!$C:$C,$J728)&gt;0),"Non","Oui")</f>
        <v/>
      </c>
      <c r="J728" s="30" t="inlineStr">
        <is>
          <t>PTITARD</t>
        </is>
      </c>
    </row>
    <row r="729">
      <c r="A729" s="47" t="inlineStr">
        <is>
          <t>Jadielle</t>
        </is>
      </c>
      <c r="B729" s="47" t="inlineStr">
        <is>
          <t>ViridianCity_hns</t>
        </is>
      </c>
      <c r="C729" s="48" t="inlineStr">
        <is>
          <t>Matin, jour, soir</t>
        </is>
      </c>
      <c r="D729" s="56" t="inlineStr">
        <is>
          <t>Super Canne</t>
        </is>
      </c>
      <c r="E729" s="50" t="inlineStr">
        <is>
          <t>MAGICARPE</t>
        </is>
      </c>
      <c r="F729" s="51" t="n">
        <v>0.4</v>
      </c>
      <c r="G729" s="52" t="n">
        <v>40</v>
      </c>
      <c r="H729" s="52" t="n">
        <v>40</v>
      </c>
      <c r="I729" s="29">
        <f>IF(OR(COUNTIF('Suivi des rencontres'!$A:$A,$A729)&gt;0,COUNTIF('Suivi des rencontres'!$C:$C,$J729)&gt;0),"Non","Oui")</f>
        <v/>
      </c>
      <c r="J729" s="30" t="inlineStr">
        <is>
          <t>MAGICARPE</t>
        </is>
      </c>
    </row>
    <row r="730">
      <c r="A730" s="47" t="inlineStr">
        <is>
          <t>Jadielle</t>
        </is>
      </c>
      <c r="B730" s="47" t="inlineStr">
        <is>
          <t>ViridianCity_hns</t>
        </is>
      </c>
      <c r="C730" s="48" t="inlineStr">
        <is>
          <t>Matin, jour, soir</t>
        </is>
      </c>
      <c r="D730" s="56" t="inlineStr">
        <is>
          <t>Super Canne</t>
        </is>
      </c>
      <c r="E730" s="50" t="inlineStr">
        <is>
          <t>TETARTE</t>
        </is>
      </c>
      <c r="F730" s="51" t="n">
        <v>0.04</v>
      </c>
      <c r="G730" s="52" t="n">
        <v>40</v>
      </c>
      <c r="H730" s="52" t="n">
        <v>40</v>
      </c>
      <c r="I730" s="29">
        <f>IF(OR(COUNTIF('Suivi des rencontres'!$A:$A,$A730)&gt;0,COUNTIF('Suivi des rencontres'!$C:$C,$J730)&gt;0),"Non","Oui")</f>
        <v/>
      </c>
      <c r="J730" s="30" t="inlineStr">
        <is>
          <t>PTITARD</t>
        </is>
      </c>
    </row>
    <row r="731">
      <c r="A731" s="47" t="inlineStr">
        <is>
          <t>Jadielle</t>
        </is>
      </c>
      <c r="B731" s="47" t="inlineStr">
        <is>
          <t>ViridianCity_hns</t>
        </is>
      </c>
      <c r="C731" s="62" t="inlineStr">
        <is>
          <t>Nuit</t>
        </is>
      </c>
      <c r="D731" s="56" t="inlineStr">
        <is>
          <t>Super Canne</t>
        </is>
      </c>
      <c r="E731" s="50" t="inlineStr">
        <is>
          <t>PTITARD</t>
        </is>
      </c>
      <c r="F731" s="51" t="n">
        <v>0.5600000000000001</v>
      </c>
      <c r="G731" s="52" t="n">
        <v>40</v>
      </c>
      <c r="H731" s="52" t="n">
        <v>40</v>
      </c>
      <c r="I731" s="29">
        <f>IF(OR(COUNTIF('Suivi des rencontres'!$A:$A,$A731)&gt;0,COUNTIF('Suivi des rencontres'!$C:$C,$J731)&gt;0),"Non","Oui")</f>
        <v/>
      </c>
      <c r="J731" s="30" t="inlineStr">
        <is>
          <t>PTITARD</t>
        </is>
      </c>
    </row>
    <row r="732">
      <c r="A732" s="47" t="inlineStr">
        <is>
          <t>Jadielle</t>
        </is>
      </c>
      <c r="B732" s="47" t="inlineStr">
        <is>
          <t>ViridianCity_hns</t>
        </is>
      </c>
      <c r="C732" s="62" t="inlineStr">
        <is>
          <t>Nuit</t>
        </is>
      </c>
      <c r="D732" s="56" t="inlineStr">
        <is>
          <t>Super Canne</t>
        </is>
      </c>
      <c r="E732" s="50" t="inlineStr">
        <is>
          <t>MAGICARPE</t>
        </is>
      </c>
      <c r="F732" s="51" t="n">
        <v>0.4</v>
      </c>
      <c r="G732" s="52" t="n">
        <v>40</v>
      </c>
      <c r="H732" s="52" t="n">
        <v>40</v>
      </c>
      <c r="I732" s="29">
        <f>IF(OR(COUNTIF('Suivi des rencontres'!$A:$A,$A732)&gt;0,COUNTIF('Suivi des rencontres'!$C:$C,$J732)&gt;0),"Non","Oui")</f>
        <v/>
      </c>
      <c r="J732" s="30" t="inlineStr">
        <is>
          <t>MAGICARPE</t>
        </is>
      </c>
    </row>
    <row r="733">
      <c r="A733" s="47" t="inlineStr">
        <is>
          <t>Jadielle</t>
        </is>
      </c>
      <c r="B733" s="47" t="inlineStr">
        <is>
          <t>ViridianCity_hns</t>
        </is>
      </c>
      <c r="C733" s="62" t="inlineStr">
        <is>
          <t>Nuit</t>
        </is>
      </c>
      <c r="D733" s="56" t="inlineStr">
        <is>
          <t>Super Canne</t>
        </is>
      </c>
      <c r="E733" s="50" t="inlineStr">
        <is>
          <t>TETARTE</t>
        </is>
      </c>
      <c r="F733" s="51" t="n">
        <v>0.04</v>
      </c>
      <c r="G733" s="52" t="n">
        <v>40</v>
      </c>
      <c r="H733" s="52" t="n">
        <v>40</v>
      </c>
      <c r="I733" s="29">
        <f>IF(OR(COUNTIF('Suivi des rencontres'!$A:$A,$A733)&gt;0,COUNTIF('Suivi des rencontres'!$C:$C,$J733)&gt;0),"Non","Oui")</f>
        <v/>
      </c>
      <c r="J733" s="30" t="inlineStr">
        <is>
          <t>PTITARD</t>
        </is>
      </c>
    </row>
    <row r="734">
      <c r="A734" s="57" t="inlineStr">
        <is>
          <t>Lac Colère</t>
        </is>
      </c>
      <c r="B734" s="57" t="inlineStr">
        <is>
          <t>LakeOfRage_hns</t>
        </is>
      </c>
      <c r="C734" s="58" t="inlineStr">
        <is>
          <t>Toute la journée</t>
        </is>
      </c>
      <c r="D734" s="63" t="inlineStr">
        <is>
          <t>Surf</t>
        </is>
      </c>
      <c r="E734" s="59" t="inlineStr">
        <is>
          <t>MAGICARPE</t>
        </is>
      </c>
      <c r="F734" s="60" t="n">
        <v>0.99</v>
      </c>
      <c r="G734" s="61" t="n">
        <v>10</v>
      </c>
      <c r="H734" s="61" t="n">
        <v>13</v>
      </c>
      <c r="I734" s="46">
        <f>IF(OR(COUNTIF('Suivi des rencontres'!$A:$A,$A734)&gt;0,COUNTIF('Suivi des rencontres'!$C:$C,$J734)&gt;0),"Non","Oui")</f>
        <v/>
      </c>
      <c r="J734" s="30" t="inlineStr">
        <is>
          <t>MAGICARPE</t>
        </is>
      </c>
    </row>
    <row r="735">
      <c r="A735" s="35" t="inlineStr">
        <is>
          <t>Lac Colère</t>
        </is>
      </c>
      <c r="B735" s="35" t="inlineStr">
        <is>
          <t>LakeOfRage_hns</t>
        </is>
      </c>
      <c r="C735" s="33" t="inlineStr">
        <is>
          <t>Toute la journée</t>
        </is>
      </c>
      <c r="D735" s="53" t="inlineStr">
        <is>
          <t>Surf</t>
        </is>
      </c>
      <c r="E735" s="37" t="inlineStr">
        <is>
          <t>LEVIATOR</t>
        </is>
      </c>
      <c r="F735" s="38" t="n">
        <v>0.01</v>
      </c>
      <c r="G735" s="39" t="n">
        <v>10</v>
      </c>
      <c r="H735" s="39" t="n">
        <v>13</v>
      </c>
      <c r="I735" s="29">
        <f>IF(OR(COUNTIF('Suivi des rencontres'!$A:$A,$A735)&gt;0,COUNTIF('Suivi des rencontres'!$C:$C,$J735)&gt;0),"Non","Oui")</f>
        <v/>
      </c>
      <c r="J735" s="30" t="inlineStr">
        <is>
          <t>MAGICARPE</t>
        </is>
      </c>
    </row>
    <row r="736">
      <c r="A736" s="35" t="inlineStr">
        <is>
          <t>Lac Colère</t>
        </is>
      </c>
      <c r="B736" s="35" t="inlineStr">
        <is>
          <t>LakeOfRage_hns</t>
        </is>
      </c>
      <c r="C736" s="33" t="inlineStr">
        <is>
          <t>Toute la journée</t>
        </is>
      </c>
      <c r="D736" s="36" t="inlineStr">
        <is>
          <t>Éclate-Roc</t>
        </is>
      </c>
      <c r="E736" s="37" t="inlineStr">
        <is>
          <t>POMDEPIK</t>
        </is>
      </c>
      <c r="F736" s="38" t="n">
        <v>0.6</v>
      </c>
      <c r="G736" s="39" t="n">
        <v>20</v>
      </c>
      <c r="H736" s="39" t="n">
        <v>20</v>
      </c>
      <c r="I736" s="29">
        <f>IF(OR(COUNTIF('Suivi des rencontres'!$A:$A,$A736)&gt;0,COUNTIF('Suivi des rencontres'!$C:$C,$J736)&gt;0),"Non","Oui")</f>
        <v/>
      </c>
      <c r="J736" s="30" t="inlineStr">
        <is>
          <t>POMDEPIK</t>
        </is>
      </c>
    </row>
    <row r="737">
      <c r="A737" s="35" t="inlineStr">
        <is>
          <t>Lac Colère</t>
        </is>
      </c>
      <c r="B737" s="35" t="inlineStr">
        <is>
          <t>LakeOfRage_hns</t>
        </is>
      </c>
      <c r="C737" s="33" t="inlineStr">
        <is>
          <t>Toute la journée</t>
        </is>
      </c>
      <c r="D737" s="36" t="inlineStr">
        <is>
          <t>Éclate-Roc</t>
        </is>
      </c>
      <c r="E737" s="37" t="inlineStr">
        <is>
          <t>NOEUNOEUF</t>
        </is>
      </c>
      <c r="F737" s="38" t="n">
        <v>0.3</v>
      </c>
      <c r="G737" s="39" t="n">
        <v>20</v>
      </c>
      <c r="H737" s="39" t="n">
        <v>20</v>
      </c>
      <c r="I737" s="29">
        <f>IF(OR(COUNTIF('Suivi des rencontres'!$A:$A,$A737)&gt;0,COUNTIF('Suivi des rencontres'!$C:$C,$J737)&gt;0),"Non","Oui")</f>
        <v/>
      </c>
      <c r="J737" s="30" t="inlineStr">
        <is>
          <t>NOEUNOEUF</t>
        </is>
      </c>
    </row>
    <row r="738">
      <c r="A738" s="35" t="inlineStr">
        <is>
          <t>Lac Colère</t>
        </is>
      </c>
      <c r="B738" s="35" t="inlineStr">
        <is>
          <t>LakeOfRage_hns</t>
        </is>
      </c>
      <c r="C738" s="33" t="inlineStr">
        <is>
          <t>Toute la journée</t>
        </is>
      </c>
      <c r="D738" s="36" t="inlineStr">
        <is>
          <t>Éclate-Roc</t>
        </is>
      </c>
      <c r="E738" s="37" t="inlineStr">
        <is>
          <t>MIMITOSS</t>
        </is>
      </c>
      <c r="F738" s="38" t="n">
        <v>0.1</v>
      </c>
      <c r="G738" s="39" t="n">
        <v>20</v>
      </c>
      <c r="H738" s="39" t="n">
        <v>20</v>
      </c>
      <c r="I738" s="29">
        <f>IF(OR(COUNTIF('Suivi des rencontres'!$A:$A,$A738)&gt;0,COUNTIF('Suivi des rencontres'!$C:$C,$J738)&gt;0),"Non","Oui")</f>
        <v/>
      </c>
      <c r="J738" s="30" t="inlineStr">
        <is>
          <t>MIMITOSS</t>
        </is>
      </c>
    </row>
    <row r="739">
      <c r="A739" s="35" t="inlineStr">
        <is>
          <t>Lac Colère</t>
        </is>
      </c>
      <c r="B739" s="35" t="inlineStr">
        <is>
          <t>LakeOfRage_hns</t>
        </is>
      </c>
      <c r="C739" s="33" t="inlineStr">
        <is>
          <t>Toute la journée</t>
        </is>
      </c>
      <c r="D739" s="54" t="inlineStr">
        <is>
          <t>Vieille Canne</t>
        </is>
      </c>
      <c r="E739" s="37" t="inlineStr">
        <is>
          <t>MAGICARPE</t>
        </is>
      </c>
      <c r="F739" s="38" t="n">
        <v>1</v>
      </c>
      <c r="G739" s="39" t="n">
        <v>10</v>
      </c>
      <c r="H739" s="39" t="n">
        <v>10</v>
      </c>
      <c r="I739" s="29">
        <f>IF(OR(COUNTIF('Suivi des rencontres'!$A:$A,$A739)&gt;0,COUNTIF('Suivi des rencontres'!$C:$C,$J739)&gt;0),"Non","Oui")</f>
        <v/>
      </c>
      <c r="J739" s="30" t="inlineStr">
        <is>
          <t>MAGICARPE</t>
        </is>
      </c>
    </row>
    <row r="740">
      <c r="A740" s="35" t="inlineStr">
        <is>
          <t>Lac Colère</t>
        </is>
      </c>
      <c r="B740" s="35" t="inlineStr">
        <is>
          <t>LakeOfRage_hns</t>
        </is>
      </c>
      <c r="C740" s="33" t="inlineStr">
        <is>
          <t>Toute la journée</t>
        </is>
      </c>
      <c r="D740" s="55" t="inlineStr">
        <is>
          <t>Bonne Canne</t>
        </is>
      </c>
      <c r="E740" s="37" t="inlineStr">
        <is>
          <t>MAGICARPE</t>
        </is>
      </c>
      <c r="F740" s="38" t="n">
        <v>0.8</v>
      </c>
      <c r="G740" s="39" t="n">
        <v>20</v>
      </c>
      <c r="H740" s="39" t="n">
        <v>20</v>
      </c>
      <c r="I740" s="29">
        <f>IF(OR(COUNTIF('Suivi des rencontres'!$A:$A,$A740)&gt;0,COUNTIF('Suivi des rencontres'!$C:$C,$J740)&gt;0),"Non","Oui")</f>
        <v/>
      </c>
      <c r="J740" s="30" t="inlineStr">
        <is>
          <t>MAGICARPE</t>
        </is>
      </c>
    </row>
    <row r="741">
      <c r="A741" s="35" t="inlineStr">
        <is>
          <t>Lac Colère</t>
        </is>
      </c>
      <c r="B741" s="35" t="inlineStr">
        <is>
          <t>LakeOfRage_hns</t>
        </is>
      </c>
      <c r="C741" s="33" t="inlineStr">
        <is>
          <t>Toute la journée</t>
        </is>
      </c>
      <c r="D741" s="55" t="inlineStr">
        <is>
          <t>Bonne Canne</t>
        </is>
      </c>
      <c r="E741" s="37" t="inlineStr">
        <is>
          <t>LEVIATOR</t>
        </is>
      </c>
      <c r="F741" s="38" t="n">
        <v>0.2</v>
      </c>
      <c r="G741" s="39" t="n">
        <v>40</v>
      </c>
      <c r="H741" s="39" t="n">
        <v>40</v>
      </c>
      <c r="I741" s="29">
        <f>IF(OR(COUNTIF('Suivi des rencontres'!$A:$A,$A741)&gt;0,COUNTIF('Suivi des rencontres'!$C:$C,$J741)&gt;0),"Non","Oui")</f>
        <v/>
      </c>
      <c r="J741" s="30" t="inlineStr">
        <is>
          <t>MAGICARPE</t>
        </is>
      </c>
    </row>
    <row r="742">
      <c r="A742" s="35" t="inlineStr">
        <is>
          <t>Lac Colère</t>
        </is>
      </c>
      <c r="B742" s="35" t="inlineStr">
        <is>
          <t>LakeOfRage_hns</t>
        </is>
      </c>
      <c r="C742" s="33" t="inlineStr">
        <is>
          <t>Toute la journée</t>
        </is>
      </c>
      <c r="D742" s="56" t="inlineStr">
        <is>
          <t>Super Canne</t>
        </is>
      </c>
      <c r="E742" s="37" t="inlineStr">
        <is>
          <t>LEVIATOR</t>
        </is>
      </c>
      <c r="F742" s="38" t="n">
        <v>0.99</v>
      </c>
      <c r="G742" s="39" t="n">
        <v>40</v>
      </c>
      <c r="H742" s="39" t="n">
        <v>40</v>
      </c>
      <c r="I742" s="29">
        <f>IF(OR(COUNTIF('Suivi des rencontres'!$A:$A,$A742)&gt;0,COUNTIF('Suivi des rencontres'!$C:$C,$J742)&gt;0),"Non","Oui")</f>
        <v/>
      </c>
      <c r="J742" s="30" t="inlineStr">
        <is>
          <t>MAGICARPE</t>
        </is>
      </c>
    </row>
    <row r="743">
      <c r="A743" s="35" t="inlineStr">
        <is>
          <t>Lac Colère</t>
        </is>
      </c>
      <c r="B743" s="35" t="inlineStr">
        <is>
          <t>LakeOfRage_hns</t>
        </is>
      </c>
      <c r="C743" s="33" t="inlineStr">
        <is>
          <t>Toute la journée</t>
        </is>
      </c>
      <c r="D743" s="56" t="inlineStr">
        <is>
          <t>Super Canne</t>
        </is>
      </c>
      <c r="E743" s="37" t="inlineStr">
        <is>
          <t>MAGICARPE</t>
        </is>
      </c>
      <c r="F743" s="38" t="n">
        <v>0.01</v>
      </c>
      <c r="G743" s="39" t="n">
        <v>100</v>
      </c>
      <c r="H743" s="39" t="n">
        <v>100</v>
      </c>
      <c r="I743" s="29">
        <f>IF(OR(COUNTIF('Suivi des rencontres'!$A:$A,$A743)&gt;0,COUNTIF('Suivi des rencontres'!$C:$C,$J743)&gt;0),"Non","Oui")</f>
        <v/>
      </c>
      <c r="J743" s="30" t="inlineStr">
        <is>
          <t>MAGICARPE</t>
        </is>
      </c>
    </row>
    <row r="744">
      <c r="A744" s="40" t="inlineStr">
        <is>
          <t>Lavanville</t>
        </is>
      </c>
      <c r="B744" s="40" t="inlineStr">
        <is>
          <t>LavenderTown_hns</t>
        </is>
      </c>
      <c r="C744" s="41" t="inlineStr">
        <is>
          <t>Toute la journée</t>
        </is>
      </c>
      <c r="D744" s="64" t="inlineStr">
        <is>
          <t>Éclate-Roc</t>
        </is>
      </c>
      <c r="E744" s="43" t="inlineStr">
        <is>
          <t>POMDEPIK</t>
        </is>
      </c>
      <c r="F744" s="44" t="n">
        <v>0.6</v>
      </c>
      <c r="G744" s="45" t="n">
        <v>41</v>
      </c>
      <c r="H744" s="45" t="n">
        <v>43</v>
      </c>
      <c r="I744" s="46">
        <f>IF(OR(COUNTIF('Suivi des rencontres'!$A:$A,$A744)&gt;0,COUNTIF('Suivi des rencontres'!$C:$C,$J744)&gt;0),"Non","Oui")</f>
        <v/>
      </c>
      <c r="J744" s="30" t="inlineStr">
        <is>
          <t>POMDEPIK</t>
        </is>
      </c>
    </row>
    <row r="745">
      <c r="A745" s="47" t="inlineStr">
        <is>
          <t>Lavanville</t>
        </is>
      </c>
      <c r="B745" s="47" t="inlineStr">
        <is>
          <t>LavenderTown_hns</t>
        </is>
      </c>
      <c r="C745" s="48" t="inlineStr">
        <is>
          <t>Toute la journée</t>
        </is>
      </c>
      <c r="D745" s="36" t="inlineStr">
        <is>
          <t>Éclate-Roc</t>
        </is>
      </c>
      <c r="E745" s="50" t="inlineStr">
        <is>
          <t>NOEUNOEUF</t>
        </is>
      </c>
      <c r="F745" s="51" t="n">
        <v>0.3</v>
      </c>
      <c r="G745" s="52" t="n">
        <v>41</v>
      </c>
      <c r="H745" s="52" t="n">
        <v>43</v>
      </c>
      <c r="I745" s="29">
        <f>IF(OR(COUNTIF('Suivi des rencontres'!$A:$A,$A745)&gt;0,COUNTIF('Suivi des rencontres'!$C:$C,$J745)&gt;0),"Non","Oui")</f>
        <v/>
      </c>
      <c r="J745" s="30" t="inlineStr">
        <is>
          <t>NOEUNOEUF</t>
        </is>
      </c>
    </row>
    <row r="746">
      <c r="A746" s="47" t="inlineStr">
        <is>
          <t>Lavanville</t>
        </is>
      </c>
      <c r="B746" s="47" t="inlineStr">
        <is>
          <t>LavenderTown_hns</t>
        </is>
      </c>
      <c r="C746" s="48" t="inlineStr">
        <is>
          <t>Toute la journée</t>
        </is>
      </c>
      <c r="D746" s="36" t="inlineStr">
        <is>
          <t>Éclate-Roc</t>
        </is>
      </c>
      <c r="E746" s="50" t="inlineStr">
        <is>
          <t>COXY</t>
        </is>
      </c>
      <c r="F746" s="51" t="n">
        <v>0.05</v>
      </c>
      <c r="G746" s="52" t="n">
        <v>41</v>
      </c>
      <c r="H746" s="52" t="n">
        <v>43</v>
      </c>
      <c r="I746" s="29">
        <f>IF(OR(COUNTIF('Suivi des rencontres'!$A:$A,$A746)&gt;0,COUNTIF('Suivi des rencontres'!$C:$C,$J746)&gt;0),"Non","Oui")</f>
        <v/>
      </c>
      <c r="J746" s="30" t="inlineStr">
        <is>
          <t>COXY</t>
        </is>
      </c>
    </row>
    <row r="747">
      <c r="A747" s="47" t="inlineStr">
        <is>
          <t>Lavanville</t>
        </is>
      </c>
      <c r="B747" s="47" t="inlineStr">
        <is>
          <t>LavenderTown_hns</t>
        </is>
      </c>
      <c r="C747" s="48" t="inlineStr">
        <is>
          <t>Toute la journée</t>
        </is>
      </c>
      <c r="D747" s="36" t="inlineStr">
        <is>
          <t>Éclate-Roc</t>
        </is>
      </c>
      <c r="E747" s="50" t="inlineStr">
        <is>
          <t>MIMIGAL</t>
        </is>
      </c>
      <c r="F747" s="51" t="n">
        <v>0.05</v>
      </c>
      <c r="G747" s="52" t="n">
        <v>41</v>
      </c>
      <c r="H747" s="52" t="n">
        <v>43</v>
      </c>
      <c r="I747" s="29">
        <f>IF(OR(COUNTIF('Suivi des rencontres'!$A:$A,$A747)&gt;0,COUNTIF('Suivi des rencontres'!$C:$C,$J747)&gt;0),"Non","Oui")</f>
        <v/>
      </c>
      <c r="J747" s="30" t="inlineStr">
        <is>
          <t>MIMIGAL</t>
        </is>
      </c>
    </row>
    <row r="748">
      <c r="A748" s="57" t="inlineStr">
        <is>
          <t>Mauville</t>
        </is>
      </c>
      <c r="B748" s="57" t="inlineStr">
        <is>
          <t>VioletCity_hns</t>
        </is>
      </c>
      <c r="C748" s="58" t="inlineStr">
        <is>
          <t>Matin, jour, soir</t>
        </is>
      </c>
      <c r="D748" s="63" t="inlineStr">
        <is>
          <t>Surf</t>
        </is>
      </c>
      <c r="E748" s="59" t="inlineStr">
        <is>
          <t>PTITARD</t>
        </is>
      </c>
      <c r="F748" s="60" t="n">
        <v>0.96</v>
      </c>
      <c r="G748" s="61" t="n">
        <v>15</v>
      </c>
      <c r="H748" s="61" t="n">
        <v>24</v>
      </c>
      <c r="I748" s="46">
        <f>IF(OR(COUNTIF('Suivi des rencontres'!$A:$A,$A748)&gt;0,COUNTIF('Suivi des rencontres'!$C:$C,$J748)&gt;0),"Non","Oui")</f>
        <v/>
      </c>
      <c r="J748" s="30" t="inlineStr">
        <is>
          <t>PTITARD</t>
        </is>
      </c>
    </row>
    <row r="749">
      <c r="A749" s="35" t="inlineStr">
        <is>
          <t>Mauville</t>
        </is>
      </c>
      <c r="B749" s="35" t="inlineStr">
        <is>
          <t>VioletCity_hns</t>
        </is>
      </c>
      <c r="C749" s="33" t="inlineStr">
        <is>
          <t>Matin, jour, soir</t>
        </is>
      </c>
      <c r="D749" s="53" t="inlineStr">
        <is>
          <t>Surf</t>
        </is>
      </c>
      <c r="E749" s="37" t="inlineStr">
        <is>
          <t>TETARTE</t>
        </is>
      </c>
      <c r="F749" s="38" t="n">
        <v>0.04</v>
      </c>
      <c r="G749" s="39" t="n">
        <v>20</v>
      </c>
      <c r="H749" s="39" t="n">
        <v>24</v>
      </c>
      <c r="I749" s="29">
        <f>IF(OR(COUNTIF('Suivi des rencontres'!$A:$A,$A749)&gt;0,COUNTIF('Suivi des rencontres'!$C:$C,$J749)&gt;0),"Non","Oui")</f>
        <v/>
      </c>
      <c r="J749" s="30" t="inlineStr">
        <is>
          <t>PTITARD</t>
        </is>
      </c>
    </row>
    <row r="750">
      <c r="A750" s="35" t="inlineStr">
        <is>
          <t>Mauville</t>
        </is>
      </c>
      <c r="B750" s="35" t="inlineStr">
        <is>
          <t>VioletCity_hns</t>
        </is>
      </c>
      <c r="C750" s="62" t="inlineStr">
        <is>
          <t>Nuit</t>
        </is>
      </c>
      <c r="D750" s="53" t="inlineStr">
        <is>
          <t>Surf</t>
        </is>
      </c>
      <c r="E750" s="37" t="inlineStr">
        <is>
          <t>PTITARD</t>
        </is>
      </c>
      <c r="F750" s="38" t="n">
        <v>0.96</v>
      </c>
      <c r="G750" s="39" t="n">
        <v>15</v>
      </c>
      <c r="H750" s="39" t="n">
        <v>24</v>
      </c>
      <c r="I750" s="29">
        <f>IF(OR(COUNTIF('Suivi des rencontres'!$A:$A,$A750)&gt;0,COUNTIF('Suivi des rencontres'!$C:$C,$J750)&gt;0),"Non","Oui")</f>
        <v/>
      </c>
      <c r="J750" s="30" t="inlineStr">
        <is>
          <t>PTITARD</t>
        </is>
      </c>
    </row>
    <row r="751">
      <c r="A751" s="35" t="inlineStr">
        <is>
          <t>Mauville</t>
        </is>
      </c>
      <c r="B751" s="35" t="inlineStr">
        <is>
          <t>VioletCity_hns</t>
        </is>
      </c>
      <c r="C751" s="62" t="inlineStr">
        <is>
          <t>Nuit</t>
        </is>
      </c>
      <c r="D751" s="53" t="inlineStr">
        <is>
          <t>Surf</t>
        </is>
      </c>
      <c r="E751" s="37" t="inlineStr">
        <is>
          <t>TETARTE</t>
        </is>
      </c>
      <c r="F751" s="38" t="n">
        <v>0.04</v>
      </c>
      <c r="G751" s="39" t="n">
        <v>20</v>
      </c>
      <c r="H751" s="39" t="n">
        <v>24</v>
      </c>
      <c r="I751" s="29">
        <f>IF(OR(COUNTIF('Suivi des rencontres'!$A:$A,$A751)&gt;0,COUNTIF('Suivi des rencontres'!$C:$C,$J751)&gt;0),"Non","Oui")</f>
        <v/>
      </c>
      <c r="J751" s="30" t="inlineStr">
        <is>
          <t>PTITARD</t>
        </is>
      </c>
    </row>
    <row r="752">
      <c r="A752" s="35" t="inlineStr">
        <is>
          <t>Mauville</t>
        </is>
      </c>
      <c r="B752" s="35" t="inlineStr">
        <is>
          <t>VioletCity_hns</t>
        </is>
      </c>
      <c r="C752" s="33" t="inlineStr">
        <is>
          <t>Matin, jour, soir</t>
        </is>
      </c>
      <c r="D752" s="36" t="inlineStr">
        <is>
          <t>Éclate-Roc</t>
        </is>
      </c>
      <c r="E752" s="37" t="inlineStr">
        <is>
          <t>CHETIFLOR</t>
        </is>
      </c>
      <c r="F752" s="38" t="n">
        <v>0.6</v>
      </c>
      <c r="G752" s="39" t="n">
        <v>10</v>
      </c>
      <c r="H752" s="39" t="n">
        <v>10</v>
      </c>
      <c r="I752" s="29">
        <f>IF(OR(COUNTIF('Suivi des rencontres'!$A:$A,$A752)&gt;0,COUNTIF('Suivi des rencontres'!$C:$C,$J752)&gt;0),"Non","Oui")</f>
        <v/>
      </c>
      <c r="J752" s="30" t="inlineStr">
        <is>
          <t>CHETIFLOR</t>
        </is>
      </c>
    </row>
    <row r="753">
      <c r="A753" s="35" t="inlineStr">
        <is>
          <t>Mauville</t>
        </is>
      </c>
      <c r="B753" s="35" t="inlineStr">
        <is>
          <t>VioletCity_hns</t>
        </is>
      </c>
      <c r="C753" s="33" t="inlineStr">
        <is>
          <t>Matin, jour, soir</t>
        </is>
      </c>
      <c r="D753" s="36" t="inlineStr">
        <is>
          <t>Éclate-Roc</t>
        </is>
      </c>
      <c r="E753" s="37" t="inlineStr">
        <is>
          <t>RATTATA</t>
        </is>
      </c>
      <c r="F753" s="38" t="n">
        <v>0.3</v>
      </c>
      <c r="G753" s="39" t="n">
        <v>10</v>
      </c>
      <c r="H753" s="39" t="n">
        <v>10</v>
      </c>
      <c r="I753" s="29">
        <f>IF(OR(COUNTIF('Suivi des rencontres'!$A:$A,$A753)&gt;0,COUNTIF('Suivi des rencontres'!$C:$C,$J753)&gt;0),"Non","Oui")</f>
        <v/>
      </c>
      <c r="J753" s="30" t="inlineStr">
        <is>
          <t>RATTATA</t>
        </is>
      </c>
    </row>
    <row r="754">
      <c r="A754" s="35" t="inlineStr">
        <is>
          <t>Mauville</t>
        </is>
      </c>
      <c r="B754" s="35" t="inlineStr">
        <is>
          <t>VioletCity_hns</t>
        </is>
      </c>
      <c r="C754" s="33" t="inlineStr">
        <is>
          <t>Matin, jour, soir</t>
        </is>
      </c>
      <c r="D754" s="36" t="inlineStr">
        <is>
          <t>Éclate-Roc</t>
        </is>
      </c>
      <c r="E754" s="37" t="inlineStr">
        <is>
          <t>COXY</t>
        </is>
      </c>
      <c r="F754" s="38" t="n">
        <v>0.05</v>
      </c>
      <c r="G754" s="39" t="n">
        <v>10</v>
      </c>
      <c r="H754" s="39" t="n">
        <v>10</v>
      </c>
      <c r="I754" s="29">
        <f>IF(OR(COUNTIF('Suivi des rencontres'!$A:$A,$A754)&gt;0,COUNTIF('Suivi des rencontres'!$C:$C,$J754)&gt;0),"Non","Oui")</f>
        <v/>
      </c>
      <c r="J754" s="30" t="inlineStr">
        <is>
          <t>COXY</t>
        </is>
      </c>
    </row>
    <row r="755">
      <c r="A755" s="35" t="inlineStr">
        <is>
          <t>Mauville</t>
        </is>
      </c>
      <c r="B755" s="35" t="inlineStr">
        <is>
          <t>VioletCity_hns</t>
        </is>
      </c>
      <c r="C755" s="33" t="inlineStr">
        <is>
          <t>Matin, jour, soir</t>
        </is>
      </c>
      <c r="D755" s="36" t="inlineStr">
        <is>
          <t>Éclate-Roc</t>
        </is>
      </c>
      <c r="E755" s="37" t="inlineStr">
        <is>
          <t>MIMIGAL</t>
        </is>
      </c>
      <c r="F755" s="38" t="n">
        <v>0.05</v>
      </c>
      <c r="G755" s="39" t="n">
        <v>10</v>
      </c>
      <c r="H755" s="39" t="n">
        <v>10</v>
      </c>
      <c r="I755" s="29">
        <f>IF(OR(COUNTIF('Suivi des rencontres'!$A:$A,$A755)&gt;0,COUNTIF('Suivi des rencontres'!$C:$C,$J755)&gt;0),"Non","Oui")</f>
        <v/>
      </c>
      <c r="J755" s="30" t="inlineStr">
        <is>
          <t>MIMIGAL</t>
        </is>
      </c>
    </row>
    <row r="756">
      <c r="A756" s="35" t="inlineStr">
        <is>
          <t>Mauville</t>
        </is>
      </c>
      <c r="B756" s="35" t="inlineStr">
        <is>
          <t>VioletCity_hns</t>
        </is>
      </c>
      <c r="C756" s="62" t="inlineStr">
        <is>
          <t>Nuit</t>
        </is>
      </c>
      <c r="D756" s="36" t="inlineStr">
        <is>
          <t>Éclate-Roc</t>
        </is>
      </c>
      <c r="E756" s="37" t="inlineStr">
        <is>
          <t>CHETIFLOR</t>
        </is>
      </c>
      <c r="F756" s="38" t="n">
        <v>0.6</v>
      </c>
      <c r="G756" s="39" t="n">
        <v>10</v>
      </c>
      <c r="H756" s="39" t="n">
        <v>10</v>
      </c>
      <c r="I756" s="29">
        <f>IF(OR(COUNTIF('Suivi des rencontres'!$A:$A,$A756)&gt;0,COUNTIF('Suivi des rencontres'!$C:$C,$J756)&gt;0),"Non","Oui")</f>
        <v/>
      </c>
      <c r="J756" s="30" t="inlineStr">
        <is>
          <t>CHETIFLOR</t>
        </is>
      </c>
    </row>
    <row r="757">
      <c r="A757" s="35" t="inlineStr">
        <is>
          <t>Mauville</t>
        </is>
      </c>
      <c r="B757" s="35" t="inlineStr">
        <is>
          <t>VioletCity_hns</t>
        </is>
      </c>
      <c r="C757" s="62" t="inlineStr">
        <is>
          <t>Nuit</t>
        </is>
      </c>
      <c r="D757" s="36" t="inlineStr">
        <is>
          <t>Éclate-Roc</t>
        </is>
      </c>
      <c r="E757" s="37" t="inlineStr">
        <is>
          <t>RATTATA</t>
        </is>
      </c>
      <c r="F757" s="38" t="n">
        <v>0.3</v>
      </c>
      <c r="G757" s="39" t="n">
        <v>10</v>
      </c>
      <c r="H757" s="39" t="n">
        <v>10</v>
      </c>
      <c r="I757" s="29">
        <f>IF(OR(COUNTIF('Suivi des rencontres'!$A:$A,$A757)&gt;0,COUNTIF('Suivi des rencontres'!$C:$C,$J757)&gt;0),"Non","Oui")</f>
        <v/>
      </c>
      <c r="J757" s="30" t="inlineStr">
        <is>
          <t>RATTATA</t>
        </is>
      </c>
    </row>
    <row r="758">
      <c r="A758" s="35" t="inlineStr">
        <is>
          <t>Mauville</t>
        </is>
      </c>
      <c r="B758" s="35" t="inlineStr">
        <is>
          <t>VioletCity_hns</t>
        </is>
      </c>
      <c r="C758" s="62" t="inlineStr">
        <is>
          <t>Nuit</t>
        </is>
      </c>
      <c r="D758" s="36" t="inlineStr">
        <is>
          <t>Éclate-Roc</t>
        </is>
      </c>
      <c r="E758" s="37" t="inlineStr">
        <is>
          <t>COXY</t>
        </is>
      </c>
      <c r="F758" s="38" t="n">
        <v>0.05</v>
      </c>
      <c r="G758" s="39" t="n">
        <v>10</v>
      </c>
      <c r="H758" s="39" t="n">
        <v>10</v>
      </c>
      <c r="I758" s="29">
        <f>IF(OR(COUNTIF('Suivi des rencontres'!$A:$A,$A758)&gt;0,COUNTIF('Suivi des rencontres'!$C:$C,$J758)&gt;0),"Non","Oui")</f>
        <v/>
      </c>
      <c r="J758" s="30" t="inlineStr">
        <is>
          <t>COXY</t>
        </is>
      </c>
    </row>
    <row r="759">
      <c r="A759" s="35" t="inlineStr">
        <is>
          <t>Mauville</t>
        </is>
      </c>
      <c r="B759" s="35" t="inlineStr">
        <is>
          <t>VioletCity_hns</t>
        </is>
      </c>
      <c r="C759" s="62" t="inlineStr">
        <is>
          <t>Nuit</t>
        </is>
      </c>
      <c r="D759" s="36" t="inlineStr">
        <is>
          <t>Éclate-Roc</t>
        </is>
      </c>
      <c r="E759" s="37" t="inlineStr">
        <is>
          <t>MIMIGAL</t>
        </is>
      </c>
      <c r="F759" s="38" t="n">
        <v>0.05</v>
      </c>
      <c r="G759" s="39" t="n">
        <v>10</v>
      </c>
      <c r="H759" s="39" t="n">
        <v>10</v>
      </c>
      <c r="I759" s="29">
        <f>IF(OR(COUNTIF('Suivi des rencontres'!$A:$A,$A759)&gt;0,COUNTIF('Suivi des rencontres'!$C:$C,$J759)&gt;0),"Non","Oui")</f>
        <v/>
      </c>
      <c r="J759" s="30" t="inlineStr">
        <is>
          <t>MIMIGAL</t>
        </is>
      </c>
    </row>
    <row r="760">
      <c r="A760" s="35" t="inlineStr">
        <is>
          <t>Mauville</t>
        </is>
      </c>
      <c r="B760" s="35" t="inlineStr">
        <is>
          <t>VioletCity_hns</t>
        </is>
      </c>
      <c r="C760" s="33" t="inlineStr">
        <is>
          <t>Matin, jour, soir</t>
        </is>
      </c>
      <c r="D760" s="54" t="inlineStr">
        <is>
          <t>Vieille Canne</t>
        </is>
      </c>
      <c r="E760" s="37" t="inlineStr">
        <is>
          <t>MAGICARPE</t>
        </is>
      </c>
      <c r="F760" s="38" t="n">
        <v>0.7</v>
      </c>
      <c r="G760" s="39" t="n">
        <v>10</v>
      </c>
      <c r="H760" s="39" t="n">
        <v>10</v>
      </c>
      <c r="I760" s="29">
        <f>IF(OR(COUNTIF('Suivi des rencontres'!$A:$A,$A760)&gt;0,COUNTIF('Suivi des rencontres'!$C:$C,$J760)&gt;0),"Non","Oui")</f>
        <v/>
      </c>
      <c r="J760" s="30" t="inlineStr">
        <is>
          <t>MAGICARPE</t>
        </is>
      </c>
    </row>
    <row r="761">
      <c r="A761" s="35" t="inlineStr">
        <is>
          <t>Mauville</t>
        </is>
      </c>
      <c r="B761" s="35" t="inlineStr">
        <is>
          <t>VioletCity_hns</t>
        </is>
      </c>
      <c r="C761" s="33" t="inlineStr">
        <is>
          <t>Matin, jour, soir</t>
        </is>
      </c>
      <c r="D761" s="54" t="inlineStr">
        <is>
          <t>Vieille Canne</t>
        </is>
      </c>
      <c r="E761" s="37" t="inlineStr">
        <is>
          <t>PTITARD</t>
        </is>
      </c>
      <c r="F761" s="38" t="n">
        <v>0.3</v>
      </c>
      <c r="G761" s="39" t="n">
        <v>10</v>
      </c>
      <c r="H761" s="39" t="n">
        <v>10</v>
      </c>
      <c r="I761" s="29">
        <f>IF(OR(COUNTIF('Suivi des rencontres'!$A:$A,$A761)&gt;0,COUNTIF('Suivi des rencontres'!$C:$C,$J761)&gt;0),"Non","Oui")</f>
        <v/>
      </c>
      <c r="J761" s="30" t="inlineStr">
        <is>
          <t>PTITARD</t>
        </is>
      </c>
    </row>
    <row r="762">
      <c r="A762" s="35" t="inlineStr">
        <is>
          <t>Mauville</t>
        </is>
      </c>
      <c r="B762" s="35" t="inlineStr">
        <is>
          <t>VioletCity_hns</t>
        </is>
      </c>
      <c r="C762" s="62" t="inlineStr">
        <is>
          <t>Nuit</t>
        </is>
      </c>
      <c r="D762" s="54" t="inlineStr">
        <is>
          <t>Vieille Canne</t>
        </is>
      </c>
      <c r="E762" s="37" t="inlineStr">
        <is>
          <t>MAGICARPE</t>
        </is>
      </c>
      <c r="F762" s="38" t="n">
        <v>0.7</v>
      </c>
      <c r="G762" s="39" t="n">
        <v>10</v>
      </c>
      <c r="H762" s="39" t="n">
        <v>10</v>
      </c>
      <c r="I762" s="29">
        <f>IF(OR(COUNTIF('Suivi des rencontres'!$A:$A,$A762)&gt;0,COUNTIF('Suivi des rencontres'!$C:$C,$J762)&gt;0),"Non","Oui")</f>
        <v/>
      </c>
      <c r="J762" s="30" t="inlineStr">
        <is>
          <t>MAGICARPE</t>
        </is>
      </c>
    </row>
    <row r="763">
      <c r="A763" s="35" t="inlineStr">
        <is>
          <t>Mauville</t>
        </is>
      </c>
      <c r="B763" s="35" t="inlineStr">
        <is>
          <t>VioletCity_hns</t>
        </is>
      </c>
      <c r="C763" s="62" t="inlineStr">
        <is>
          <t>Nuit</t>
        </is>
      </c>
      <c r="D763" s="54" t="inlineStr">
        <is>
          <t>Vieille Canne</t>
        </is>
      </c>
      <c r="E763" s="37" t="inlineStr">
        <is>
          <t>PTITARD</t>
        </is>
      </c>
      <c r="F763" s="38" t="n">
        <v>0.3</v>
      </c>
      <c r="G763" s="39" t="n">
        <v>10</v>
      </c>
      <c r="H763" s="39" t="n">
        <v>10</v>
      </c>
      <c r="I763" s="29">
        <f>IF(OR(COUNTIF('Suivi des rencontres'!$A:$A,$A763)&gt;0,COUNTIF('Suivi des rencontres'!$C:$C,$J763)&gt;0),"Non","Oui")</f>
        <v/>
      </c>
      <c r="J763" s="30" t="inlineStr">
        <is>
          <t>PTITARD</t>
        </is>
      </c>
    </row>
    <row r="764">
      <c r="A764" s="35" t="inlineStr">
        <is>
          <t>Mauville</t>
        </is>
      </c>
      <c r="B764" s="35" t="inlineStr">
        <is>
          <t>VioletCity_hns</t>
        </is>
      </c>
      <c r="C764" s="33" t="inlineStr">
        <is>
          <t>Matin, jour, soir</t>
        </is>
      </c>
      <c r="D764" s="55" t="inlineStr">
        <is>
          <t>Bonne Canne</t>
        </is>
      </c>
      <c r="E764" s="37" t="inlineStr">
        <is>
          <t>PTITARD</t>
        </is>
      </c>
      <c r="F764" s="38" t="n">
        <v>0.8</v>
      </c>
      <c r="G764" s="39" t="n">
        <v>20</v>
      </c>
      <c r="H764" s="39" t="n">
        <v>20</v>
      </c>
      <c r="I764" s="29">
        <f>IF(OR(COUNTIF('Suivi des rencontres'!$A:$A,$A764)&gt;0,COUNTIF('Suivi des rencontres'!$C:$C,$J764)&gt;0),"Non","Oui")</f>
        <v/>
      </c>
      <c r="J764" s="30" t="inlineStr">
        <is>
          <t>PTITARD</t>
        </is>
      </c>
    </row>
    <row r="765">
      <c r="A765" s="35" t="inlineStr">
        <is>
          <t>Mauville</t>
        </is>
      </c>
      <c r="B765" s="35" t="inlineStr">
        <is>
          <t>VioletCity_hns</t>
        </is>
      </c>
      <c r="C765" s="33" t="inlineStr">
        <is>
          <t>Matin, jour, soir</t>
        </is>
      </c>
      <c r="D765" s="55" t="inlineStr">
        <is>
          <t>Bonne Canne</t>
        </is>
      </c>
      <c r="E765" s="37" t="inlineStr">
        <is>
          <t>MAGICARPE</t>
        </is>
      </c>
      <c r="F765" s="38" t="n">
        <v>0.2</v>
      </c>
      <c r="G765" s="39" t="n">
        <v>20</v>
      </c>
      <c r="H765" s="39" t="n">
        <v>20</v>
      </c>
      <c r="I765" s="29">
        <f>IF(OR(COUNTIF('Suivi des rencontres'!$A:$A,$A765)&gt;0,COUNTIF('Suivi des rencontres'!$C:$C,$J765)&gt;0),"Non","Oui")</f>
        <v/>
      </c>
      <c r="J765" s="30" t="inlineStr">
        <is>
          <t>MAGICARPE</t>
        </is>
      </c>
    </row>
    <row r="766">
      <c r="A766" s="35" t="inlineStr">
        <is>
          <t>Mauville</t>
        </is>
      </c>
      <c r="B766" s="35" t="inlineStr">
        <is>
          <t>VioletCity_hns</t>
        </is>
      </c>
      <c r="C766" s="62" t="inlineStr">
        <is>
          <t>Nuit</t>
        </is>
      </c>
      <c r="D766" s="55" t="inlineStr">
        <is>
          <t>Bonne Canne</t>
        </is>
      </c>
      <c r="E766" s="37" t="inlineStr">
        <is>
          <t>PTITARD</t>
        </is>
      </c>
      <c r="F766" s="38" t="n">
        <v>0.8</v>
      </c>
      <c r="G766" s="39" t="n">
        <v>20</v>
      </c>
      <c r="H766" s="39" t="n">
        <v>20</v>
      </c>
      <c r="I766" s="29">
        <f>IF(OR(COUNTIF('Suivi des rencontres'!$A:$A,$A766)&gt;0,COUNTIF('Suivi des rencontres'!$C:$C,$J766)&gt;0),"Non","Oui")</f>
        <v/>
      </c>
      <c r="J766" s="30" t="inlineStr">
        <is>
          <t>PTITARD</t>
        </is>
      </c>
    </row>
    <row r="767">
      <c r="A767" s="35" t="inlineStr">
        <is>
          <t>Mauville</t>
        </is>
      </c>
      <c r="B767" s="35" t="inlineStr">
        <is>
          <t>VioletCity_hns</t>
        </is>
      </c>
      <c r="C767" s="62" t="inlineStr">
        <is>
          <t>Nuit</t>
        </is>
      </c>
      <c r="D767" s="55" t="inlineStr">
        <is>
          <t>Bonne Canne</t>
        </is>
      </c>
      <c r="E767" s="37" t="inlineStr">
        <is>
          <t>MAGICARPE</t>
        </is>
      </c>
      <c r="F767" s="38" t="n">
        <v>0.2</v>
      </c>
      <c r="G767" s="39" t="n">
        <v>20</v>
      </c>
      <c r="H767" s="39" t="n">
        <v>20</v>
      </c>
      <c r="I767" s="29">
        <f>IF(OR(COUNTIF('Suivi des rencontres'!$A:$A,$A767)&gt;0,COUNTIF('Suivi des rencontres'!$C:$C,$J767)&gt;0),"Non","Oui")</f>
        <v/>
      </c>
      <c r="J767" s="30" t="inlineStr">
        <is>
          <t>MAGICARPE</t>
        </is>
      </c>
    </row>
    <row r="768">
      <c r="A768" s="35" t="inlineStr">
        <is>
          <t>Mauville</t>
        </is>
      </c>
      <c r="B768" s="35" t="inlineStr">
        <is>
          <t>VioletCity_hns</t>
        </is>
      </c>
      <c r="C768" s="33" t="inlineStr">
        <is>
          <t>Matin, jour, soir</t>
        </is>
      </c>
      <c r="D768" s="56" t="inlineStr">
        <is>
          <t>Super Canne</t>
        </is>
      </c>
      <c r="E768" s="37" t="inlineStr">
        <is>
          <t>PTITARD</t>
        </is>
      </c>
      <c r="F768" s="38" t="n">
        <v>0.8100000000000001</v>
      </c>
      <c r="G768" s="39" t="n">
        <v>40</v>
      </c>
      <c r="H768" s="39" t="n">
        <v>40</v>
      </c>
      <c r="I768" s="29">
        <f>IF(OR(COUNTIF('Suivi des rencontres'!$A:$A,$A768)&gt;0,COUNTIF('Suivi des rencontres'!$C:$C,$J768)&gt;0),"Non","Oui")</f>
        <v/>
      </c>
      <c r="J768" s="30" t="inlineStr">
        <is>
          <t>PTITARD</t>
        </is>
      </c>
    </row>
    <row r="769">
      <c r="A769" s="35" t="inlineStr">
        <is>
          <t>Mauville</t>
        </is>
      </c>
      <c r="B769" s="35" t="inlineStr">
        <is>
          <t>VioletCity_hns</t>
        </is>
      </c>
      <c r="C769" s="33" t="inlineStr">
        <is>
          <t>Matin, jour, soir</t>
        </is>
      </c>
      <c r="D769" s="56" t="inlineStr">
        <is>
          <t>Super Canne</t>
        </is>
      </c>
      <c r="E769" s="37" t="inlineStr">
        <is>
          <t>MAGICARPE</t>
        </is>
      </c>
      <c r="F769" s="38" t="n">
        <v>0.15</v>
      </c>
      <c r="G769" s="39" t="n">
        <v>40</v>
      </c>
      <c r="H769" s="39" t="n">
        <v>40</v>
      </c>
      <c r="I769" s="29">
        <f>IF(OR(COUNTIF('Suivi des rencontres'!$A:$A,$A769)&gt;0,COUNTIF('Suivi des rencontres'!$C:$C,$J769)&gt;0),"Non","Oui")</f>
        <v/>
      </c>
      <c r="J769" s="30" t="inlineStr">
        <is>
          <t>MAGICARPE</t>
        </is>
      </c>
    </row>
    <row r="770">
      <c r="A770" s="35" t="inlineStr">
        <is>
          <t>Mauville</t>
        </is>
      </c>
      <c r="B770" s="35" t="inlineStr">
        <is>
          <t>VioletCity_hns</t>
        </is>
      </c>
      <c r="C770" s="33" t="inlineStr">
        <is>
          <t>Matin, jour, soir</t>
        </is>
      </c>
      <c r="D770" s="56" t="inlineStr">
        <is>
          <t>Super Canne</t>
        </is>
      </c>
      <c r="E770" s="37" t="inlineStr">
        <is>
          <t>TETARTE</t>
        </is>
      </c>
      <c r="F770" s="38" t="n">
        <v>0.04</v>
      </c>
      <c r="G770" s="39" t="n">
        <v>40</v>
      </c>
      <c r="H770" s="39" t="n">
        <v>40</v>
      </c>
      <c r="I770" s="29">
        <f>IF(OR(COUNTIF('Suivi des rencontres'!$A:$A,$A770)&gt;0,COUNTIF('Suivi des rencontres'!$C:$C,$J770)&gt;0),"Non","Oui")</f>
        <v/>
      </c>
      <c r="J770" s="30" t="inlineStr">
        <is>
          <t>PTITARD</t>
        </is>
      </c>
    </row>
    <row r="771">
      <c r="A771" s="35" t="inlineStr">
        <is>
          <t>Mauville</t>
        </is>
      </c>
      <c r="B771" s="35" t="inlineStr">
        <is>
          <t>VioletCity_hns</t>
        </is>
      </c>
      <c r="C771" s="62" t="inlineStr">
        <is>
          <t>Nuit</t>
        </is>
      </c>
      <c r="D771" s="56" t="inlineStr">
        <is>
          <t>Super Canne</t>
        </is>
      </c>
      <c r="E771" s="37" t="inlineStr">
        <is>
          <t>PTITARD</t>
        </is>
      </c>
      <c r="F771" s="38" t="n">
        <v>0.8100000000000001</v>
      </c>
      <c r="G771" s="39" t="n">
        <v>40</v>
      </c>
      <c r="H771" s="39" t="n">
        <v>40</v>
      </c>
      <c r="I771" s="29">
        <f>IF(OR(COUNTIF('Suivi des rencontres'!$A:$A,$A771)&gt;0,COUNTIF('Suivi des rencontres'!$C:$C,$J771)&gt;0),"Non","Oui")</f>
        <v/>
      </c>
      <c r="J771" s="30" t="inlineStr">
        <is>
          <t>PTITARD</t>
        </is>
      </c>
    </row>
    <row r="772">
      <c r="A772" s="35" t="inlineStr">
        <is>
          <t>Mauville</t>
        </is>
      </c>
      <c r="B772" s="35" t="inlineStr">
        <is>
          <t>VioletCity_hns</t>
        </is>
      </c>
      <c r="C772" s="62" t="inlineStr">
        <is>
          <t>Nuit</t>
        </is>
      </c>
      <c r="D772" s="56" t="inlineStr">
        <is>
          <t>Super Canne</t>
        </is>
      </c>
      <c r="E772" s="37" t="inlineStr">
        <is>
          <t>MAGICARPE</t>
        </is>
      </c>
      <c r="F772" s="38" t="n">
        <v>0.15</v>
      </c>
      <c r="G772" s="39" t="n">
        <v>40</v>
      </c>
      <c r="H772" s="39" t="n">
        <v>40</v>
      </c>
      <c r="I772" s="29">
        <f>IF(OR(COUNTIF('Suivi des rencontres'!$A:$A,$A772)&gt;0,COUNTIF('Suivi des rencontres'!$C:$C,$J772)&gt;0),"Non","Oui")</f>
        <v/>
      </c>
      <c r="J772" s="30" t="inlineStr">
        <is>
          <t>MAGICARPE</t>
        </is>
      </c>
    </row>
    <row r="773">
      <c r="A773" s="35" t="inlineStr">
        <is>
          <t>Mauville</t>
        </is>
      </c>
      <c r="B773" s="35" t="inlineStr">
        <is>
          <t>VioletCity_hns</t>
        </is>
      </c>
      <c r="C773" s="62" t="inlineStr">
        <is>
          <t>Nuit</t>
        </is>
      </c>
      <c r="D773" s="56" t="inlineStr">
        <is>
          <t>Super Canne</t>
        </is>
      </c>
      <c r="E773" s="37" t="inlineStr">
        <is>
          <t>TETARTE</t>
        </is>
      </c>
      <c r="F773" s="38" t="n">
        <v>0.04</v>
      </c>
      <c r="G773" s="39" t="n">
        <v>40</v>
      </c>
      <c r="H773" s="39" t="n">
        <v>40</v>
      </c>
      <c r="I773" s="29">
        <f>IF(OR(COUNTIF('Suivi des rencontres'!$A:$A,$A773)&gt;0,COUNTIF('Suivi des rencontres'!$C:$C,$J773)&gt;0),"Non","Oui")</f>
        <v/>
      </c>
      <c r="J773" s="30" t="inlineStr">
        <is>
          <t>PTITARD</t>
        </is>
      </c>
    </row>
    <row r="774">
      <c r="A774" s="40" t="inlineStr">
        <is>
          <t>Mele-Mele</t>
        </is>
      </c>
      <c r="B774" s="40" t="inlineStr">
        <is>
          <t>MelemeleIsle_hns</t>
        </is>
      </c>
      <c r="C774" s="41" t="inlineStr">
        <is>
          <t>Toute la journée</t>
        </is>
      </c>
      <c r="D774" s="42" t="inlineStr">
        <is>
          <t>Herbe</t>
        </is>
      </c>
      <c r="E774" s="43" t="inlineStr">
        <is>
          <t>MIAOUSS-A</t>
        </is>
      </c>
      <c r="F774" s="44" t="n">
        <v>0.2</v>
      </c>
      <c r="G774" s="45" t="n">
        <v>43</v>
      </c>
      <c r="H774" s="45" t="n">
        <v>45</v>
      </c>
      <c r="I774" s="46">
        <f>IF(OR(COUNTIF('Suivi des rencontres'!$A:$A,$A774)&gt;0,COUNTIF('Suivi des rencontres'!$C:$C,$J774)&gt;0),"Non","Oui")</f>
        <v/>
      </c>
      <c r="J774" s="30" t="inlineStr">
        <is>
          <t>MIAOUSS-A</t>
        </is>
      </c>
    </row>
    <row r="775">
      <c r="A775" s="47" t="inlineStr">
        <is>
          <t>Mele-Mele</t>
        </is>
      </c>
      <c r="B775" s="47" t="inlineStr">
        <is>
          <t>MelemeleIsle_hns</t>
        </is>
      </c>
      <c r="C775" s="48" t="inlineStr">
        <is>
          <t>Toute la journée</t>
        </is>
      </c>
      <c r="D775" s="49" t="inlineStr">
        <is>
          <t>Herbe</t>
        </is>
      </c>
      <c r="E775" s="50" t="inlineStr">
        <is>
          <t>RATTATA-A</t>
        </is>
      </c>
      <c r="F775" s="51" t="n">
        <v>0.2</v>
      </c>
      <c r="G775" s="52" t="n">
        <v>43</v>
      </c>
      <c r="H775" s="52" t="n">
        <v>45</v>
      </c>
      <c r="I775" s="29">
        <f>IF(OR(COUNTIF('Suivi des rencontres'!$A:$A,$A775)&gt;0,COUNTIF('Suivi des rencontres'!$C:$C,$J775)&gt;0),"Non","Oui")</f>
        <v/>
      </c>
      <c r="J775" s="30" t="inlineStr">
        <is>
          <t>RATTATA-A</t>
        </is>
      </c>
    </row>
    <row r="776">
      <c r="A776" s="47" t="inlineStr">
        <is>
          <t>Mele-Mele</t>
        </is>
      </c>
      <c r="B776" s="47" t="inlineStr">
        <is>
          <t>MelemeleIsle_hns</t>
        </is>
      </c>
      <c r="C776" s="48" t="inlineStr">
        <is>
          <t>Toute la journée</t>
        </is>
      </c>
      <c r="D776" s="49" t="inlineStr">
        <is>
          <t>Herbe</t>
        </is>
      </c>
      <c r="E776" s="50" t="inlineStr">
        <is>
          <t>ROUCOOL</t>
        </is>
      </c>
      <c r="F776" s="51" t="n">
        <v>0.2</v>
      </c>
      <c r="G776" s="52" t="n">
        <v>43</v>
      </c>
      <c r="H776" s="52" t="n">
        <v>45</v>
      </c>
      <c r="I776" s="29">
        <f>IF(OR(COUNTIF('Suivi des rencontres'!$A:$A,$A776)&gt;0,COUNTIF('Suivi des rencontres'!$C:$C,$J776)&gt;0),"Non","Oui")</f>
        <v/>
      </c>
      <c r="J776" s="30" t="inlineStr">
        <is>
          <t>ROUCOOL</t>
        </is>
      </c>
    </row>
    <row r="777">
      <c r="A777" s="47" t="inlineStr">
        <is>
          <t>Mele-Mele</t>
        </is>
      </c>
      <c r="B777" s="47" t="inlineStr">
        <is>
          <t>MelemeleIsle_hns</t>
        </is>
      </c>
      <c r="C777" s="48" t="inlineStr">
        <is>
          <t>Toute la journée</t>
        </is>
      </c>
      <c r="D777" s="49" t="inlineStr">
        <is>
          <t>Herbe</t>
        </is>
      </c>
      <c r="E777" s="50" t="inlineStr">
        <is>
          <t>EVOLI</t>
        </is>
      </c>
      <c r="F777" s="51" t="n">
        <v>0.1</v>
      </c>
      <c r="G777" s="52" t="n">
        <v>43</v>
      </c>
      <c r="H777" s="52" t="n">
        <v>45</v>
      </c>
      <c r="I777" s="29">
        <f>IF(OR(COUNTIF('Suivi des rencontres'!$A:$A,$A777)&gt;0,COUNTIF('Suivi des rencontres'!$C:$C,$J777)&gt;0),"Non","Oui")</f>
        <v/>
      </c>
      <c r="J777" s="30" t="inlineStr">
        <is>
          <t>EVOLI</t>
        </is>
      </c>
    </row>
    <row r="778">
      <c r="A778" s="47" t="inlineStr">
        <is>
          <t>Mele-Mele</t>
        </is>
      </c>
      <c r="B778" s="47" t="inlineStr">
        <is>
          <t>MelemeleIsle_hns</t>
        </is>
      </c>
      <c r="C778" s="48" t="inlineStr">
        <is>
          <t>Toute la journée</t>
        </is>
      </c>
      <c r="D778" s="49" t="inlineStr">
        <is>
          <t>Herbe</t>
        </is>
      </c>
      <c r="E778" s="50" t="inlineStr">
        <is>
          <t>PERSIAN-A</t>
        </is>
      </c>
      <c r="F778" s="51" t="n">
        <v>0.1</v>
      </c>
      <c r="G778" s="52" t="n">
        <v>43</v>
      </c>
      <c r="H778" s="52" t="n">
        <v>45</v>
      </c>
      <c r="I778" s="29">
        <f>IF(OR(COUNTIF('Suivi des rencontres'!$A:$A,$A778)&gt;0,COUNTIF('Suivi des rencontres'!$C:$C,$J778)&gt;0),"Non","Oui")</f>
        <v/>
      </c>
      <c r="J778" s="30" t="inlineStr">
        <is>
          <t>MIAOUSS-A</t>
        </is>
      </c>
    </row>
    <row r="779">
      <c r="A779" s="47" t="inlineStr">
        <is>
          <t>Mele-Mele</t>
        </is>
      </c>
      <c r="B779" s="47" t="inlineStr">
        <is>
          <t>MelemeleIsle_hns</t>
        </is>
      </c>
      <c r="C779" s="48" t="inlineStr">
        <is>
          <t>Toute la journée</t>
        </is>
      </c>
      <c r="D779" s="49" t="inlineStr">
        <is>
          <t>Herbe</t>
        </is>
      </c>
      <c r="E779" s="50" t="inlineStr">
        <is>
          <t>RATTATAC-A</t>
        </is>
      </c>
      <c r="F779" s="51" t="n">
        <v>0.1</v>
      </c>
      <c r="G779" s="52" t="n">
        <v>43</v>
      </c>
      <c r="H779" s="52" t="n">
        <v>45</v>
      </c>
      <c r="I779" s="29">
        <f>IF(OR(COUNTIF('Suivi des rencontres'!$A:$A,$A779)&gt;0,COUNTIF('Suivi des rencontres'!$C:$C,$J779)&gt;0),"Non","Oui")</f>
        <v/>
      </c>
      <c r="J779" s="30" t="inlineStr">
        <is>
          <t>RATTATA-A</t>
        </is>
      </c>
    </row>
    <row r="780">
      <c r="A780" s="47" t="inlineStr">
        <is>
          <t>Mele-Mele</t>
        </is>
      </c>
      <c r="B780" s="47" t="inlineStr">
        <is>
          <t>MelemeleIsle_hns</t>
        </is>
      </c>
      <c r="C780" s="48" t="inlineStr">
        <is>
          <t>Toute la journée</t>
        </is>
      </c>
      <c r="D780" s="49" t="inlineStr">
        <is>
          <t>Herbe</t>
        </is>
      </c>
      <c r="E780" s="50" t="inlineStr">
        <is>
          <t>NIRONDELLE</t>
        </is>
      </c>
      <c r="F780" s="51" t="n">
        <v>0.05</v>
      </c>
      <c r="G780" s="52" t="n">
        <v>43</v>
      </c>
      <c r="H780" s="52" t="n">
        <v>45</v>
      </c>
      <c r="I780" s="29">
        <f>IF(OR(COUNTIF('Suivi des rencontres'!$A:$A,$A780)&gt;0,COUNTIF('Suivi des rencontres'!$C:$C,$J780)&gt;0),"Non","Oui")</f>
        <v/>
      </c>
      <c r="J780" s="30" t="inlineStr">
        <is>
          <t>NIRONDELLE</t>
        </is>
      </c>
    </row>
    <row r="781">
      <c r="A781" s="47" t="inlineStr">
        <is>
          <t>Mele-Mele</t>
        </is>
      </c>
      <c r="B781" s="47" t="inlineStr">
        <is>
          <t>MelemeleIsle_hns</t>
        </is>
      </c>
      <c r="C781" s="48" t="inlineStr">
        <is>
          <t>Toute la journée</t>
        </is>
      </c>
      <c r="D781" s="49" t="inlineStr">
        <is>
          <t>Herbe</t>
        </is>
      </c>
      <c r="E781" s="50" t="inlineStr">
        <is>
          <t>PHYLLALI</t>
        </is>
      </c>
      <c r="F781" s="51" t="n">
        <v>0.05</v>
      </c>
      <c r="G781" s="52" t="n">
        <v>43</v>
      </c>
      <c r="H781" s="52" t="n">
        <v>45</v>
      </c>
      <c r="I781" s="29">
        <f>IF(OR(COUNTIF('Suivi des rencontres'!$A:$A,$A781)&gt;0,COUNTIF('Suivi des rencontres'!$C:$C,$J781)&gt;0),"Non","Oui")</f>
        <v/>
      </c>
      <c r="J781" s="30" t="inlineStr">
        <is>
          <t>EVOLI</t>
        </is>
      </c>
    </row>
    <row r="782">
      <c r="A782" s="47" t="inlineStr">
        <is>
          <t>Mele-Mele</t>
        </is>
      </c>
      <c r="B782" s="47" t="inlineStr">
        <is>
          <t>MelemeleIsle_hns</t>
        </is>
      </c>
      <c r="C782" s="48" t="inlineStr">
        <is>
          <t>Toute la journée</t>
        </is>
      </c>
      <c r="D782" s="53" t="inlineStr">
        <is>
          <t>Surf</t>
        </is>
      </c>
      <c r="E782" s="50" t="inlineStr">
        <is>
          <t>TENTACOOL</t>
        </is>
      </c>
      <c r="F782" s="51" t="n">
        <v>0.6</v>
      </c>
      <c r="G782" s="52" t="n">
        <v>43</v>
      </c>
      <c r="H782" s="52" t="n">
        <v>45</v>
      </c>
      <c r="I782" s="29">
        <f>IF(OR(COUNTIF('Suivi des rencontres'!$A:$A,$A782)&gt;0,COUNTIF('Suivi des rencontres'!$C:$C,$J782)&gt;0),"Non","Oui")</f>
        <v/>
      </c>
      <c r="J782" s="30" t="inlineStr">
        <is>
          <t>TENTACOOL</t>
        </is>
      </c>
    </row>
    <row r="783">
      <c r="A783" s="47" t="inlineStr">
        <is>
          <t>Mele-Mele</t>
        </is>
      </c>
      <c r="B783" s="47" t="inlineStr">
        <is>
          <t>MelemeleIsle_hns</t>
        </is>
      </c>
      <c r="C783" s="48" t="inlineStr">
        <is>
          <t>Toute la journée</t>
        </is>
      </c>
      <c r="D783" s="53" t="inlineStr">
        <is>
          <t>Surf</t>
        </is>
      </c>
      <c r="E783" s="50" t="inlineStr">
        <is>
          <t>GOELISE</t>
        </is>
      </c>
      <c r="F783" s="51" t="n">
        <v>0.35</v>
      </c>
      <c r="G783" s="52" t="n">
        <v>43</v>
      </c>
      <c r="H783" s="52" t="n">
        <v>45</v>
      </c>
      <c r="I783" s="29">
        <f>IF(OR(COUNTIF('Suivi des rencontres'!$A:$A,$A783)&gt;0,COUNTIF('Suivi des rencontres'!$C:$C,$J783)&gt;0),"Non","Oui")</f>
        <v/>
      </c>
      <c r="J783" s="30" t="inlineStr">
        <is>
          <t>GOELISE</t>
        </is>
      </c>
    </row>
    <row r="784">
      <c r="A784" s="47" t="inlineStr">
        <is>
          <t>Mele-Mele</t>
        </is>
      </c>
      <c r="B784" s="47" t="inlineStr">
        <is>
          <t>MelemeleIsle_hns</t>
        </is>
      </c>
      <c r="C784" s="48" t="inlineStr">
        <is>
          <t>Toute la journée</t>
        </is>
      </c>
      <c r="D784" s="53" t="inlineStr">
        <is>
          <t>Surf</t>
        </is>
      </c>
      <c r="E784" s="50" t="inlineStr">
        <is>
          <t>BABIMANTA</t>
        </is>
      </c>
      <c r="F784" s="51" t="n">
        <v>0.05</v>
      </c>
      <c r="G784" s="52" t="n">
        <v>43</v>
      </c>
      <c r="H784" s="52" t="n">
        <v>45</v>
      </c>
      <c r="I784" s="29">
        <f>IF(OR(COUNTIF('Suivi des rencontres'!$A:$A,$A784)&gt;0,COUNTIF('Suivi des rencontres'!$C:$C,$J784)&gt;0),"Non","Oui")</f>
        <v/>
      </c>
      <c r="J784" s="30" t="inlineStr">
        <is>
          <t>BABIMANTA</t>
        </is>
      </c>
    </row>
    <row r="785">
      <c r="A785" s="47" t="inlineStr">
        <is>
          <t>Mele-Mele</t>
        </is>
      </c>
      <c r="B785" s="47" t="inlineStr">
        <is>
          <t>MelemeleIsle_hns</t>
        </is>
      </c>
      <c r="C785" s="48" t="inlineStr">
        <is>
          <t>Toute la journée</t>
        </is>
      </c>
      <c r="D785" s="54" t="inlineStr">
        <is>
          <t>Vieille Canne</t>
        </is>
      </c>
      <c r="E785" s="50" t="inlineStr">
        <is>
          <t>MAGICARPE</t>
        </is>
      </c>
      <c r="F785" s="51" t="n">
        <v>0.7</v>
      </c>
      <c r="G785" s="52" t="n">
        <v>43</v>
      </c>
      <c r="H785" s="52" t="n">
        <v>45</v>
      </c>
      <c r="I785" s="29">
        <f>IF(OR(COUNTIF('Suivi des rencontres'!$A:$A,$A785)&gt;0,COUNTIF('Suivi des rencontres'!$C:$C,$J785)&gt;0),"Non","Oui")</f>
        <v/>
      </c>
      <c r="J785" s="30" t="inlineStr">
        <is>
          <t>MAGICARPE</t>
        </is>
      </c>
    </row>
    <row r="786">
      <c r="A786" s="47" t="inlineStr">
        <is>
          <t>Mele-Mele</t>
        </is>
      </c>
      <c r="B786" s="47" t="inlineStr">
        <is>
          <t>MelemeleIsle_hns</t>
        </is>
      </c>
      <c r="C786" s="48" t="inlineStr">
        <is>
          <t>Toute la journée</t>
        </is>
      </c>
      <c r="D786" s="54" t="inlineStr">
        <is>
          <t>Vieille Canne</t>
        </is>
      </c>
      <c r="E786" s="50" t="inlineStr">
        <is>
          <t>REMORAID</t>
        </is>
      </c>
      <c r="F786" s="51" t="n">
        <v>0.3</v>
      </c>
      <c r="G786" s="52" t="n">
        <v>43</v>
      </c>
      <c r="H786" s="52" t="n">
        <v>45</v>
      </c>
      <c r="I786" s="29">
        <f>IF(OR(COUNTIF('Suivi des rencontres'!$A:$A,$A786)&gt;0,COUNTIF('Suivi des rencontres'!$C:$C,$J786)&gt;0),"Non","Oui")</f>
        <v/>
      </c>
      <c r="J786" s="30" t="inlineStr">
        <is>
          <t>REMORAID</t>
        </is>
      </c>
    </row>
    <row r="787">
      <c r="A787" s="47" t="inlineStr">
        <is>
          <t>Mele-Mele</t>
        </is>
      </c>
      <c r="B787" s="47" t="inlineStr">
        <is>
          <t>MelemeleIsle_hns</t>
        </is>
      </c>
      <c r="C787" s="48" t="inlineStr">
        <is>
          <t>Toute la journée</t>
        </is>
      </c>
      <c r="D787" s="55" t="inlineStr">
        <is>
          <t>Bonne Canne</t>
        </is>
      </c>
      <c r="E787" s="50" t="inlineStr">
        <is>
          <t>CORAYON</t>
        </is>
      </c>
      <c r="F787" s="51" t="n">
        <v>0.6</v>
      </c>
      <c r="G787" s="52" t="n">
        <v>43</v>
      </c>
      <c r="H787" s="52" t="n">
        <v>45</v>
      </c>
      <c r="I787" s="29">
        <f>IF(OR(COUNTIF('Suivi des rencontres'!$A:$A,$A787)&gt;0,COUNTIF('Suivi des rencontres'!$C:$C,$J787)&gt;0),"Non","Oui")</f>
        <v/>
      </c>
      <c r="J787" s="30" t="inlineStr">
        <is>
          <t>CORAYON</t>
        </is>
      </c>
    </row>
    <row r="788">
      <c r="A788" s="47" t="inlineStr">
        <is>
          <t>Mele-Mele</t>
        </is>
      </c>
      <c r="B788" s="47" t="inlineStr">
        <is>
          <t>MelemeleIsle_hns</t>
        </is>
      </c>
      <c r="C788" s="48" t="inlineStr">
        <is>
          <t>Toute la journée</t>
        </is>
      </c>
      <c r="D788" s="55" t="inlineStr">
        <is>
          <t>Bonne Canne</t>
        </is>
      </c>
      <c r="E788" s="50" t="inlineStr">
        <is>
          <t>LOVDISC</t>
        </is>
      </c>
      <c r="F788" s="51" t="n">
        <v>0.2</v>
      </c>
      <c r="G788" s="52" t="n">
        <v>43</v>
      </c>
      <c r="H788" s="52" t="n">
        <v>45</v>
      </c>
      <c r="I788" s="29">
        <f>IF(OR(COUNTIF('Suivi des rencontres'!$A:$A,$A788)&gt;0,COUNTIF('Suivi des rencontres'!$C:$C,$J788)&gt;0),"Non","Oui")</f>
        <v/>
      </c>
      <c r="J788" s="30" t="inlineStr">
        <is>
          <t>LOVDISC</t>
        </is>
      </c>
    </row>
    <row r="789">
      <c r="A789" s="47" t="inlineStr">
        <is>
          <t>Mele-Mele</t>
        </is>
      </c>
      <c r="B789" s="47" t="inlineStr">
        <is>
          <t>MelemeleIsle_hns</t>
        </is>
      </c>
      <c r="C789" s="48" t="inlineStr">
        <is>
          <t>Toute la journée</t>
        </is>
      </c>
      <c r="D789" s="55" t="inlineStr">
        <is>
          <t>Bonne Canne</t>
        </is>
      </c>
      <c r="E789" s="50" t="inlineStr">
        <is>
          <t>STARI</t>
        </is>
      </c>
      <c r="F789" s="51" t="n">
        <v>0.2</v>
      </c>
      <c r="G789" s="52" t="n">
        <v>43</v>
      </c>
      <c r="H789" s="52" t="n">
        <v>45</v>
      </c>
      <c r="I789" s="29">
        <f>IF(OR(COUNTIF('Suivi des rencontres'!$A:$A,$A789)&gt;0,COUNTIF('Suivi des rencontres'!$C:$C,$J789)&gt;0),"Non","Oui")</f>
        <v/>
      </c>
      <c r="J789" s="30" t="inlineStr">
        <is>
          <t>STARI</t>
        </is>
      </c>
    </row>
    <row r="790">
      <c r="A790" s="47" t="inlineStr">
        <is>
          <t>Mele-Mele</t>
        </is>
      </c>
      <c r="B790" s="47" t="inlineStr">
        <is>
          <t>MelemeleIsle_hns</t>
        </is>
      </c>
      <c r="C790" s="48" t="inlineStr">
        <is>
          <t>Toute la journée</t>
        </is>
      </c>
      <c r="D790" s="56" t="inlineStr">
        <is>
          <t>Super Canne</t>
        </is>
      </c>
      <c r="E790" s="50" t="inlineStr">
        <is>
          <t>HYPOCEAN</t>
        </is>
      </c>
      <c r="F790" s="51" t="n">
        <v>0.55</v>
      </c>
      <c r="G790" s="52" t="n">
        <v>43</v>
      </c>
      <c r="H790" s="52" t="n">
        <v>45</v>
      </c>
      <c r="I790" s="29">
        <f>IF(OR(COUNTIF('Suivi des rencontres'!$A:$A,$A790)&gt;0,COUNTIF('Suivi des rencontres'!$C:$C,$J790)&gt;0),"Non","Oui")</f>
        <v/>
      </c>
      <c r="J790" s="30" t="inlineStr">
        <is>
          <t>HYPOTREMPE</t>
        </is>
      </c>
    </row>
    <row r="791">
      <c r="A791" s="47" t="inlineStr">
        <is>
          <t>Mele-Mele</t>
        </is>
      </c>
      <c r="B791" s="47" t="inlineStr">
        <is>
          <t>MelemeleIsle_hns</t>
        </is>
      </c>
      <c r="C791" s="48" t="inlineStr">
        <is>
          <t>Toute la journée</t>
        </is>
      </c>
      <c r="D791" s="56" t="inlineStr">
        <is>
          <t>Super Canne</t>
        </is>
      </c>
      <c r="E791" s="50" t="inlineStr">
        <is>
          <t>STAROSS</t>
        </is>
      </c>
      <c r="F791" s="51" t="n">
        <v>0.4</v>
      </c>
      <c r="G791" s="52" t="n">
        <v>43</v>
      </c>
      <c r="H791" s="52" t="n">
        <v>45</v>
      </c>
      <c r="I791" s="29">
        <f>IF(OR(COUNTIF('Suivi des rencontres'!$A:$A,$A791)&gt;0,COUNTIF('Suivi des rencontres'!$C:$C,$J791)&gt;0),"Non","Oui")</f>
        <v/>
      </c>
      <c r="J791" s="30" t="inlineStr">
        <is>
          <t>STARI</t>
        </is>
      </c>
    </row>
    <row r="792">
      <c r="A792" s="47" t="inlineStr">
        <is>
          <t>Mele-Mele</t>
        </is>
      </c>
      <c r="B792" s="47" t="inlineStr">
        <is>
          <t>MelemeleIsle_hns</t>
        </is>
      </c>
      <c r="C792" s="48" t="inlineStr">
        <is>
          <t>Toute la journée</t>
        </is>
      </c>
      <c r="D792" s="56" t="inlineStr">
        <is>
          <t>Super Canne</t>
        </is>
      </c>
      <c r="E792" s="50" t="inlineStr">
        <is>
          <t>COQUIPERL</t>
        </is>
      </c>
      <c r="F792" s="51" t="n">
        <v>0.05</v>
      </c>
      <c r="G792" s="52" t="n">
        <v>43</v>
      </c>
      <c r="H792" s="52" t="n">
        <v>45</v>
      </c>
      <c r="I792" s="29">
        <f>IF(OR(COUNTIF('Suivi des rencontres'!$A:$A,$A792)&gt;0,COUNTIF('Suivi des rencontres'!$C:$C,$J792)&gt;0),"Non","Oui")</f>
        <v/>
      </c>
      <c r="J792" s="30" t="inlineStr">
        <is>
          <t>COQUIPERL</t>
        </is>
      </c>
    </row>
    <row r="793">
      <c r="A793" s="57" t="inlineStr">
        <is>
          <t>Mer de Mele-Mele</t>
        </is>
      </c>
      <c r="B793" s="57" t="inlineStr">
        <is>
          <t>AlolaWater_hns</t>
        </is>
      </c>
      <c r="C793" s="58" t="inlineStr">
        <is>
          <t>Toute la journée</t>
        </is>
      </c>
      <c r="D793" s="63" t="inlineStr">
        <is>
          <t>Surf</t>
        </is>
      </c>
      <c r="E793" s="59" t="inlineStr">
        <is>
          <t>TENTACOOL</t>
        </is>
      </c>
      <c r="F793" s="60" t="n">
        <v>0.6</v>
      </c>
      <c r="G793" s="61" t="n">
        <v>43</v>
      </c>
      <c r="H793" s="61" t="n">
        <v>45</v>
      </c>
      <c r="I793" s="46">
        <f>IF(OR(COUNTIF('Suivi des rencontres'!$A:$A,$A793)&gt;0,COUNTIF('Suivi des rencontres'!$C:$C,$J793)&gt;0),"Non","Oui")</f>
        <v/>
      </c>
      <c r="J793" s="30" t="inlineStr">
        <is>
          <t>TENTACOOL</t>
        </is>
      </c>
    </row>
    <row r="794">
      <c r="A794" s="35" t="inlineStr">
        <is>
          <t>Mer de Mele-Mele</t>
        </is>
      </c>
      <c r="B794" s="35" t="inlineStr">
        <is>
          <t>AlolaWater_hns</t>
        </is>
      </c>
      <c r="C794" s="33" t="inlineStr">
        <is>
          <t>Toute la journée</t>
        </is>
      </c>
      <c r="D794" s="53" t="inlineStr">
        <is>
          <t>Surf</t>
        </is>
      </c>
      <c r="E794" s="37" t="inlineStr">
        <is>
          <t>BABIMANTA</t>
        </is>
      </c>
      <c r="F794" s="38" t="n">
        <v>0.35</v>
      </c>
      <c r="G794" s="39" t="n">
        <v>43</v>
      </c>
      <c r="H794" s="39" t="n">
        <v>45</v>
      </c>
      <c r="I794" s="29">
        <f>IF(OR(COUNTIF('Suivi des rencontres'!$A:$A,$A794)&gt;0,COUNTIF('Suivi des rencontres'!$C:$C,$J794)&gt;0),"Non","Oui")</f>
        <v/>
      </c>
      <c r="J794" s="30" t="inlineStr">
        <is>
          <t>BABIMANTA</t>
        </is>
      </c>
    </row>
    <row r="795">
      <c r="A795" s="35" t="inlineStr">
        <is>
          <t>Mer de Mele-Mele</t>
        </is>
      </c>
      <c r="B795" s="35" t="inlineStr">
        <is>
          <t>AlolaWater_hns</t>
        </is>
      </c>
      <c r="C795" s="33" t="inlineStr">
        <is>
          <t>Toute la journée</t>
        </is>
      </c>
      <c r="D795" s="53" t="inlineStr">
        <is>
          <t>Surf</t>
        </is>
      </c>
      <c r="E795" s="37" t="inlineStr">
        <is>
          <t>GOELISE</t>
        </is>
      </c>
      <c r="F795" s="38" t="n">
        <v>0.05</v>
      </c>
      <c r="G795" s="39" t="n">
        <v>43</v>
      </c>
      <c r="H795" s="39" t="n">
        <v>45</v>
      </c>
      <c r="I795" s="29">
        <f>IF(OR(COUNTIF('Suivi des rencontres'!$A:$A,$A795)&gt;0,COUNTIF('Suivi des rencontres'!$C:$C,$J795)&gt;0),"Non","Oui")</f>
        <v/>
      </c>
      <c r="J795" s="30" t="inlineStr">
        <is>
          <t>GOELISE</t>
        </is>
      </c>
    </row>
    <row r="796">
      <c r="A796" s="35" t="inlineStr">
        <is>
          <t>Mer de Mele-Mele</t>
        </is>
      </c>
      <c r="B796" s="35" t="inlineStr">
        <is>
          <t>AlolaWater_hns</t>
        </is>
      </c>
      <c r="C796" s="33" t="inlineStr">
        <is>
          <t>Toute la journée</t>
        </is>
      </c>
      <c r="D796" s="54" t="inlineStr">
        <is>
          <t>Vieille Canne</t>
        </is>
      </c>
      <c r="E796" s="37" t="inlineStr">
        <is>
          <t>MAGICARPE</t>
        </is>
      </c>
      <c r="F796" s="38" t="n">
        <v>0.7</v>
      </c>
      <c r="G796" s="39" t="n">
        <v>43</v>
      </c>
      <c r="H796" s="39" t="n">
        <v>45</v>
      </c>
      <c r="I796" s="29">
        <f>IF(OR(COUNTIF('Suivi des rencontres'!$A:$A,$A796)&gt;0,COUNTIF('Suivi des rencontres'!$C:$C,$J796)&gt;0),"Non","Oui")</f>
        <v/>
      </c>
      <c r="J796" s="30" t="inlineStr">
        <is>
          <t>MAGICARPE</t>
        </is>
      </c>
    </row>
    <row r="797">
      <c r="A797" s="35" t="inlineStr">
        <is>
          <t>Mer de Mele-Mele</t>
        </is>
      </c>
      <c r="B797" s="35" t="inlineStr">
        <is>
          <t>AlolaWater_hns</t>
        </is>
      </c>
      <c r="C797" s="33" t="inlineStr">
        <is>
          <t>Toute la journée</t>
        </is>
      </c>
      <c r="D797" s="54" t="inlineStr">
        <is>
          <t>Vieille Canne</t>
        </is>
      </c>
      <c r="E797" s="37" t="inlineStr">
        <is>
          <t>REMORAID</t>
        </is>
      </c>
      <c r="F797" s="38" t="n">
        <v>0.3</v>
      </c>
      <c r="G797" s="39" t="n">
        <v>43</v>
      </c>
      <c r="H797" s="39" t="n">
        <v>45</v>
      </c>
      <c r="I797" s="29">
        <f>IF(OR(COUNTIF('Suivi des rencontres'!$A:$A,$A797)&gt;0,COUNTIF('Suivi des rencontres'!$C:$C,$J797)&gt;0),"Non","Oui")</f>
        <v/>
      </c>
      <c r="J797" s="30" t="inlineStr">
        <is>
          <t>REMORAID</t>
        </is>
      </c>
    </row>
    <row r="798">
      <c r="A798" s="35" t="inlineStr">
        <is>
          <t>Mer de Mele-Mele</t>
        </is>
      </c>
      <c r="B798" s="35" t="inlineStr">
        <is>
          <t>AlolaWater_hns</t>
        </is>
      </c>
      <c r="C798" s="33" t="inlineStr">
        <is>
          <t>Toute la journée</t>
        </is>
      </c>
      <c r="D798" s="55" t="inlineStr">
        <is>
          <t>Bonne Canne</t>
        </is>
      </c>
      <c r="E798" s="37" t="inlineStr">
        <is>
          <t>CORAYON</t>
        </is>
      </c>
      <c r="F798" s="38" t="n">
        <v>0.6</v>
      </c>
      <c r="G798" s="39" t="n">
        <v>43</v>
      </c>
      <c r="H798" s="39" t="n">
        <v>45</v>
      </c>
      <c r="I798" s="29">
        <f>IF(OR(COUNTIF('Suivi des rencontres'!$A:$A,$A798)&gt;0,COUNTIF('Suivi des rencontres'!$C:$C,$J798)&gt;0),"Non","Oui")</f>
        <v/>
      </c>
      <c r="J798" s="30" t="inlineStr">
        <is>
          <t>CORAYON</t>
        </is>
      </c>
    </row>
    <row r="799">
      <c r="A799" s="35" t="inlineStr">
        <is>
          <t>Mer de Mele-Mele</t>
        </is>
      </c>
      <c r="B799" s="35" t="inlineStr">
        <is>
          <t>AlolaWater_hns</t>
        </is>
      </c>
      <c r="C799" s="33" t="inlineStr">
        <is>
          <t>Toute la journée</t>
        </is>
      </c>
      <c r="D799" s="55" t="inlineStr">
        <is>
          <t>Bonne Canne</t>
        </is>
      </c>
      <c r="E799" s="37" t="inlineStr">
        <is>
          <t>LOVDISC</t>
        </is>
      </c>
      <c r="F799" s="38" t="n">
        <v>0.2</v>
      </c>
      <c r="G799" s="39" t="n">
        <v>43</v>
      </c>
      <c r="H799" s="39" t="n">
        <v>45</v>
      </c>
      <c r="I799" s="29">
        <f>IF(OR(COUNTIF('Suivi des rencontres'!$A:$A,$A799)&gt;0,COUNTIF('Suivi des rencontres'!$C:$C,$J799)&gt;0),"Non","Oui")</f>
        <v/>
      </c>
      <c r="J799" s="30" t="inlineStr">
        <is>
          <t>LOVDISC</t>
        </is>
      </c>
    </row>
    <row r="800">
      <c r="A800" s="35" t="inlineStr">
        <is>
          <t>Mer de Mele-Mele</t>
        </is>
      </c>
      <c r="B800" s="35" t="inlineStr">
        <is>
          <t>AlolaWater_hns</t>
        </is>
      </c>
      <c r="C800" s="33" t="inlineStr">
        <is>
          <t>Toute la journée</t>
        </is>
      </c>
      <c r="D800" s="55" t="inlineStr">
        <is>
          <t>Bonne Canne</t>
        </is>
      </c>
      <c r="E800" s="37" t="inlineStr">
        <is>
          <t>STARI</t>
        </is>
      </c>
      <c r="F800" s="38" t="n">
        <v>0.2</v>
      </c>
      <c r="G800" s="39" t="n">
        <v>43</v>
      </c>
      <c r="H800" s="39" t="n">
        <v>45</v>
      </c>
      <c r="I800" s="29">
        <f>IF(OR(COUNTIF('Suivi des rencontres'!$A:$A,$A800)&gt;0,COUNTIF('Suivi des rencontres'!$C:$C,$J800)&gt;0),"Non","Oui")</f>
        <v/>
      </c>
      <c r="J800" s="30" t="inlineStr">
        <is>
          <t>STARI</t>
        </is>
      </c>
    </row>
    <row r="801">
      <c r="A801" s="35" t="inlineStr">
        <is>
          <t>Mer de Mele-Mele</t>
        </is>
      </c>
      <c r="B801" s="35" t="inlineStr">
        <is>
          <t>AlolaWater_hns</t>
        </is>
      </c>
      <c r="C801" s="33" t="inlineStr">
        <is>
          <t>Toute la journée</t>
        </is>
      </c>
      <c r="D801" s="56" t="inlineStr">
        <is>
          <t>Super Canne</t>
        </is>
      </c>
      <c r="E801" s="37" t="inlineStr">
        <is>
          <t>HYPOCEAN</t>
        </is>
      </c>
      <c r="F801" s="38" t="n">
        <v>0.55</v>
      </c>
      <c r="G801" s="39" t="n">
        <v>43</v>
      </c>
      <c r="H801" s="39" t="n">
        <v>45</v>
      </c>
      <c r="I801" s="29">
        <f>IF(OR(COUNTIF('Suivi des rencontres'!$A:$A,$A801)&gt;0,COUNTIF('Suivi des rencontres'!$C:$C,$J801)&gt;0),"Non","Oui")</f>
        <v/>
      </c>
      <c r="J801" s="30" t="inlineStr">
        <is>
          <t>HYPOTREMPE</t>
        </is>
      </c>
    </row>
    <row r="802">
      <c r="A802" s="35" t="inlineStr">
        <is>
          <t>Mer de Mele-Mele</t>
        </is>
      </c>
      <c r="B802" s="35" t="inlineStr">
        <is>
          <t>AlolaWater_hns</t>
        </is>
      </c>
      <c r="C802" s="33" t="inlineStr">
        <is>
          <t>Toute la journée</t>
        </is>
      </c>
      <c r="D802" s="56" t="inlineStr">
        <is>
          <t>Super Canne</t>
        </is>
      </c>
      <c r="E802" s="37" t="inlineStr">
        <is>
          <t>STARI</t>
        </is>
      </c>
      <c r="F802" s="38" t="n">
        <v>0.4</v>
      </c>
      <c r="G802" s="39" t="n">
        <v>43</v>
      </c>
      <c r="H802" s="39" t="n">
        <v>45</v>
      </c>
      <c r="I802" s="29">
        <f>IF(OR(COUNTIF('Suivi des rencontres'!$A:$A,$A802)&gt;0,COUNTIF('Suivi des rencontres'!$C:$C,$J802)&gt;0),"Non","Oui")</f>
        <v/>
      </c>
      <c r="J802" s="30" t="inlineStr">
        <is>
          <t>STARI</t>
        </is>
      </c>
    </row>
    <row r="803">
      <c r="A803" s="35" t="inlineStr">
        <is>
          <t>Mer de Mele-Mele</t>
        </is>
      </c>
      <c r="B803" s="35" t="inlineStr">
        <is>
          <t>AlolaWater_hns</t>
        </is>
      </c>
      <c r="C803" s="33" t="inlineStr">
        <is>
          <t>Toute la journée</t>
        </is>
      </c>
      <c r="D803" s="56" t="inlineStr">
        <is>
          <t>Super Canne</t>
        </is>
      </c>
      <c r="E803" s="37" t="inlineStr">
        <is>
          <t>COQUIPERL</t>
        </is>
      </c>
      <c r="F803" s="38" t="n">
        <v>0.05</v>
      </c>
      <c r="G803" s="39" t="n">
        <v>43</v>
      </c>
      <c r="H803" s="39" t="n">
        <v>45</v>
      </c>
      <c r="I803" s="29">
        <f>IF(OR(COUNTIF('Suivi des rencontres'!$A:$A,$A803)&gt;0,COUNTIF('Suivi des rencontres'!$C:$C,$J803)&gt;0),"Non","Oui")</f>
        <v/>
      </c>
      <c r="J803" s="30" t="inlineStr">
        <is>
          <t>COQUIPERL</t>
        </is>
      </c>
    </row>
    <row r="804">
      <c r="A804" s="40" t="inlineStr">
        <is>
          <t>Mont Argenté</t>
        </is>
      </c>
      <c r="B804" s="40" t="inlineStr">
        <is>
          <t>MtSilver_1F_ItemRoom_hns</t>
        </is>
      </c>
      <c r="C804" s="41" t="inlineStr">
        <is>
          <t>Matin, jour, soir</t>
        </is>
      </c>
      <c r="D804" s="42" t="inlineStr">
        <is>
          <t>Herbe</t>
        </is>
      </c>
      <c r="E804" s="43" t="inlineStr">
        <is>
          <t>URSARING</t>
        </is>
      </c>
      <c r="F804" s="44" t="n">
        <v>0.3</v>
      </c>
      <c r="G804" s="45" t="n">
        <v>64</v>
      </c>
      <c r="H804" s="45" t="n">
        <v>64</v>
      </c>
      <c r="I804" s="46">
        <f>IF(OR(COUNTIF('Suivi des rencontres'!$A:$A,$A804)&gt;0,COUNTIF('Suivi des rencontres'!$C:$C,$J804)&gt;0),"Non","Oui")</f>
        <v/>
      </c>
      <c r="J804" s="30" t="inlineStr">
        <is>
          <t>TEDDIURSA</t>
        </is>
      </c>
    </row>
    <row r="805">
      <c r="A805" s="47" t="inlineStr">
        <is>
          <t>Mont Argenté</t>
        </is>
      </c>
      <c r="B805" s="47" t="inlineStr">
        <is>
          <t>MtSilver_1F_ItemRoom_hns</t>
        </is>
      </c>
      <c r="C805" s="48" t="inlineStr">
        <is>
          <t>Matin, jour, soir</t>
        </is>
      </c>
      <c r="D805" s="49" t="inlineStr">
        <is>
          <t>Herbe</t>
        </is>
      </c>
      <c r="E805" s="50" t="inlineStr">
        <is>
          <t>GRAVALANCH</t>
        </is>
      </c>
      <c r="F805" s="51" t="n">
        <v>0.2</v>
      </c>
      <c r="G805" s="52" t="n">
        <v>63</v>
      </c>
      <c r="H805" s="52" t="n">
        <v>63</v>
      </c>
      <c r="I805" s="29">
        <f>IF(OR(COUNTIF('Suivi des rencontres'!$A:$A,$A805)&gt;0,COUNTIF('Suivi des rencontres'!$C:$C,$J805)&gt;0),"Non","Oui")</f>
        <v/>
      </c>
      <c r="J805" s="30" t="inlineStr">
        <is>
          <t>RACAILLOU</t>
        </is>
      </c>
    </row>
    <row r="806">
      <c r="A806" s="47" t="inlineStr">
        <is>
          <t>Mont Argenté</t>
        </is>
      </c>
      <c r="B806" s="47" t="inlineStr">
        <is>
          <t>MtSilver_1F_ItemRoom_hns</t>
        </is>
      </c>
      <c r="C806" s="48" t="inlineStr">
        <is>
          <t>Matin, jour, soir</t>
        </is>
      </c>
      <c r="D806" s="49" t="inlineStr">
        <is>
          <t>Herbe</t>
        </is>
      </c>
      <c r="E806" s="50" t="inlineStr">
        <is>
          <t>ONIX</t>
        </is>
      </c>
      <c r="F806" s="51" t="n">
        <v>0.15</v>
      </c>
      <c r="G806" s="52" t="n">
        <v>62</v>
      </c>
      <c r="H806" s="52" t="n">
        <v>62</v>
      </c>
      <c r="I806" s="29">
        <f>IF(OR(COUNTIF('Suivi des rencontres'!$A:$A,$A806)&gt;0,COUNTIF('Suivi des rencontres'!$C:$C,$J806)&gt;0),"Non","Oui")</f>
        <v/>
      </c>
      <c r="J806" s="30" t="inlineStr">
        <is>
          <t>ONIX</t>
        </is>
      </c>
    </row>
    <row r="807">
      <c r="A807" s="47" t="inlineStr">
        <is>
          <t>Mont Argenté</t>
        </is>
      </c>
      <c r="B807" s="47" t="inlineStr">
        <is>
          <t>MtSilver_1F_ItemRoom_hns</t>
        </is>
      </c>
      <c r="C807" s="48" t="inlineStr">
        <is>
          <t>Matin, jour, soir</t>
        </is>
      </c>
      <c r="D807" s="49" t="inlineStr">
        <is>
          <t>Herbe</t>
        </is>
      </c>
      <c r="E807" s="50" t="inlineStr">
        <is>
          <t>MAGMAR</t>
        </is>
      </c>
      <c r="F807" s="51" t="n">
        <v>0.14</v>
      </c>
      <c r="G807" s="52" t="n">
        <v>65</v>
      </c>
      <c r="H807" s="52" t="n">
        <v>65</v>
      </c>
      <c r="I807" s="29">
        <f>IF(OR(COUNTIF('Suivi des rencontres'!$A:$A,$A807)&gt;0,COUNTIF('Suivi des rencontres'!$C:$C,$J807)&gt;0),"Non","Oui")</f>
        <v/>
      </c>
      <c r="J807" s="30" t="inlineStr">
        <is>
          <t>MAGBY</t>
        </is>
      </c>
    </row>
    <row r="808">
      <c r="A808" s="47" t="inlineStr">
        <is>
          <t>Mont Argenté</t>
        </is>
      </c>
      <c r="B808" s="47" t="inlineStr">
        <is>
          <t>MtSilver_1F_ItemRoom_hns</t>
        </is>
      </c>
      <c r="C808" s="48" t="inlineStr">
        <is>
          <t>Matin, jour, soir</t>
        </is>
      </c>
      <c r="D808" s="49" t="inlineStr">
        <is>
          <t>Herbe</t>
        </is>
      </c>
      <c r="E808" s="50" t="inlineStr">
        <is>
          <t>ELEKTEK</t>
        </is>
      </c>
      <c r="F808" s="51" t="n">
        <v>0.1</v>
      </c>
      <c r="G808" s="52" t="n">
        <v>63</v>
      </c>
      <c r="H808" s="52" t="n">
        <v>63</v>
      </c>
      <c r="I808" s="29">
        <f>IF(OR(COUNTIF('Suivi des rencontres'!$A:$A,$A808)&gt;0,COUNTIF('Suivi des rencontres'!$C:$C,$J808)&gt;0),"Non","Oui")</f>
        <v/>
      </c>
      <c r="J808" s="30" t="inlineStr">
        <is>
          <t>ELEKID</t>
        </is>
      </c>
    </row>
    <row r="809">
      <c r="A809" s="47" t="inlineStr">
        <is>
          <t>Mont Argenté</t>
        </is>
      </c>
      <c r="B809" s="47" t="inlineStr">
        <is>
          <t>MtSilver_1F_ItemRoom_hns</t>
        </is>
      </c>
      <c r="C809" s="48" t="inlineStr">
        <is>
          <t>Matin, jour, soir</t>
        </is>
      </c>
      <c r="D809" s="49" t="inlineStr">
        <is>
          <t>Herbe</t>
        </is>
      </c>
      <c r="E809" s="50" t="inlineStr">
        <is>
          <t>NOSFERALTO</t>
        </is>
      </c>
      <c r="F809" s="51" t="n">
        <v>0.05</v>
      </c>
      <c r="G809" s="52" t="n">
        <v>65</v>
      </c>
      <c r="H809" s="52" t="n">
        <v>65</v>
      </c>
      <c r="I809" s="29">
        <f>IF(OR(COUNTIF('Suivi des rencontres'!$A:$A,$A809)&gt;0,COUNTIF('Suivi des rencontres'!$C:$C,$J809)&gt;0),"Non","Oui")</f>
        <v/>
      </c>
      <c r="J809" s="30" t="inlineStr">
        <is>
          <t>NOSFERAPTI</t>
        </is>
      </c>
    </row>
    <row r="810">
      <c r="A810" s="47" t="inlineStr">
        <is>
          <t>Mont Argenté</t>
        </is>
      </c>
      <c r="B810" s="47" t="inlineStr">
        <is>
          <t>MtSilver_1F_ItemRoom_hns</t>
        </is>
      </c>
      <c r="C810" s="48" t="inlineStr">
        <is>
          <t>Matin, jour, soir</t>
        </is>
      </c>
      <c r="D810" s="49" t="inlineStr">
        <is>
          <t>Herbe</t>
        </is>
      </c>
      <c r="E810" s="50" t="inlineStr">
        <is>
          <t>YMPHECT</t>
        </is>
      </c>
      <c r="F810" s="51" t="n">
        <v>0.05</v>
      </c>
      <c r="G810" s="52" t="n">
        <v>35</v>
      </c>
      <c r="H810" s="52" t="n">
        <v>40</v>
      </c>
      <c r="I810" s="29">
        <f>IF(OR(COUNTIF('Suivi des rencontres'!$A:$A,$A810)&gt;0,COUNTIF('Suivi des rencontres'!$C:$C,$J810)&gt;0),"Non","Oui")</f>
        <v/>
      </c>
      <c r="J810" s="30" t="inlineStr">
        <is>
          <t>EMBRYLEX</t>
        </is>
      </c>
    </row>
    <row r="811">
      <c r="A811" s="47" t="inlineStr">
        <is>
          <t>Mont Argenté</t>
        </is>
      </c>
      <c r="B811" s="47" t="inlineStr">
        <is>
          <t>MtSilver_1F_ItemRoom_hns</t>
        </is>
      </c>
      <c r="C811" s="48" t="inlineStr">
        <is>
          <t>Matin, jour, soir</t>
        </is>
      </c>
      <c r="D811" s="49" t="inlineStr">
        <is>
          <t>Herbe</t>
        </is>
      </c>
      <c r="E811" s="50" t="inlineStr">
        <is>
          <t>EMBRYLEX</t>
        </is>
      </c>
      <c r="F811" s="51" t="n">
        <v>0.01</v>
      </c>
      <c r="G811" s="52" t="n">
        <v>15</v>
      </c>
      <c r="H811" s="52" t="n">
        <v>20</v>
      </c>
      <c r="I811" s="29">
        <f>IF(OR(COUNTIF('Suivi des rencontres'!$A:$A,$A811)&gt;0,COUNTIF('Suivi des rencontres'!$C:$C,$J811)&gt;0),"Non","Oui")</f>
        <v/>
      </c>
      <c r="J811" s="30" t="inlineStr">
        <is>
          <t>EMBRYLEX</t>
        </is>
      </c>
    </row>
    <row r="812">
      <c r="A812" s="47" t="inlineStr">
        <is>
          <t>Mont Argenté</t>
        </is>
      </c>
      <c r="B812" s="47" t="inlineStr">
        <is>
          <t>MtSilver_1F_ItemRoom_hns</t>
        </is>
      </c>
      <c r="C812" s="62" t="inlineStr">
        <is>
          <t>Nuit</t>
        </is>
      </c>
      <c r="D812" s="49" t="inlineStr">
        <is>
          <t>Herbe</t>
        </is>
      </c>
      <c r="E812" s="50" t="inlineStr">
        <is>
          <t>NOSFERALTO</t>
        </is>
      </c>
      <c r="F812" s="51" t="n">
        <v>0.4</v>
      </c>
      <c r="G812" s="52" t="n">
        <v>62</v>
      </c>
      <c r="H812" s="52" t="n">
        <v>66</v>
      </c>
      <c r="I812" s="29">
        <f>IF(OR(COUNTIF('Suivi des rencontres'!$A:$A,$A812)&gt;0,COUNTIF('Suivi des rencontres'!$C:$C,$J812)&gt;0),"Non","Oui")</f>
        <v/>
      </c>
      <c r="J812" s="30" t="inlineStr">
        <is>
          <t>NOSFERAPTI</t>
        </is>
      </c>
    </row>
    <row r="813">
      <c r="A813" s="47" t="inlineStr">
        <is>
          <t>Mont Argenté</t>
        </is>
      </c>
      <c r="B813" s="47" t="inlineStr">
        <is>
          <t>MtSilver_1F_ItemRoom_hns</t>
        </is>
      </c>
      <c r="C813" s="62" t="inlineStr">
        <is>
          <t>Nuit</t>
        </is>
      </c>
      <c r="D813" s="49" t="inlineStr">
        <is>
          <t>Herbe</t>
        </is>
      </c>
      <c r="E813" s="50" t="inlineStr">
        <is>
          <t>GRAVALANCH</t>
        </is>
      </c>
      <c r="F813" s="51" t="n">
        <v>0.3</v>
      </c>
      <c r="G813" s="52" t="n">
        <v>63</v>
      </c>
      <c r="H813" s="52" t="n">
        <v>63</v>
      </c>
      <c r="I813" s="29">
        <f>IF(OR(COUNTIF('Suivi des rencontres'!$A:$A,$A813)&gt;0,COUNTIF('Suivi des rencontres'!$C:$C,$J813)&gt;0),"Non","Oui")</f>
        <v/>
      </c>
      <c r="J813" s="30" t="inlineStr">
        <is>
          <t>RACAILLOU</t>
        </is>
      </c>
    </row>
    <row r="814">
      <c r="A814" s="47" t="inlineStr">
        <is>
          <t>Mont Argenté</t>
        </is>
      </c>
      <c r="B814" s="47" t="inlineStr">
        <is>
          <t>MtSilver_1F_ItemRoom_hns</t>
        </is>
      </c>
      <c r="C814" s="62" t="inlineStr">
        <is>
          <t>Nuit</t>
        </is>
      </c>
      <c r="D814" s="49" t="inlineStr">
        <is>
          <t>Herbe</t>
        </is>
      </c>
      <c r="E814" s="50" t="inlineStr">
        <is>
          <t>AKWAKWAK</t>
        </is>
      </c>
      <c r="F814" s="51" t="n">
        <v>0.15</v>
      </c>
      <c r="G814" s="52" t="n">
        <v>65</v>
      </c>
      <c r="H814" s="52" t="n">
        <v>65</v>
      </c>
      <c r="I814" s="29">
        <f>IF(OR(COUNTIF('Suivi des rencontres'!$A:$A,$A814)&gt;0,COUNTIF('Suivi des rencontres'!$C:$C,$J814)&gt;0),"Non","Oui")</f>
        <v/>
      </c>
      <c r="J814" s="30" t="inlineStr">
        <is>
          <t>PSYKOKWAK</t>
        </is>
      </c>
    </row>
    <row r="815">
      <c r="A815" s="47" t="inlineStr">
        <is>
          <t>Mont Argenté</t>
        </is>
      </c>
      <c r="B815" s="47" t="inlineStr">
        <is>
          <t>MtSilver_1F_ItemRoom_hns</t>
        </is>
      </c>
      <c r="C815" s="62" t="inlineStr">
        <is>
          <t>Nuit</t>
        </is>
      </c>
      <c r="D815" s="49" t="inlineStr">
        <is>
          <t>Herbe</t>
        </is>
      </c>
      <c r="E815" s="50" t="inlineStr">
        <is>
          <t>ONIX</t>
        </is>
      </c>
      <c r="F815" s="51" t="n">
        <v>0.15</v>
      </c>
      <c r="G815" s="52" t="n">
        <v>62</v>
      </c>
      <c r="H815" s="52" t="n">
        <v>62</v>
      </c>
      <c r="I815" s="29">
        <f>IF(OR(COUNTIF('Suivi des rencontres'!$A:$A,$A815)&gt;0,COUNTIF('Suivi des rencontres'!$C:$C,$J815)&gt;0),"Non","Oui")</f>
        <v/>
      </c>
      <c r="J815" s="30" t="inlineStr">
        <is>
          <t>ONIX</t>
        </is>
      </c>
    </row>
    <row r="816">
      <c r="A816" s="47" t="inlineStr">
        <is>
          <t>Mont Argenté</t>
        </is>
      </c>
      <c r="B816" s="47" t="inlineStr">
        <is>
          <t>MtSilver_1F_ItemRoom_hns</t>
        </is>
      </c>
      <c r="C816" s="48" t="inlineStr">
        <is>
          <t>Matin, jour, soir</t>
        </is>
      </c>
      <c r="D816" s="54" t="inlineStr">
        <is>
          <t>Vieille Canne</t>
        </is>
      </c>
      <c r="E816" s="50" t="inlineStr">
        <is>
          <t>MAGICARPE</t>
        </is>
      </c>
      <c r="F816" s="51" t="n">
        <v>0.7</v>
      </c>
      <c r="G816" s="52" t="n">
        <v>10</v>
      </c>
      <c r="H816" s="52" t="n">
        <v>10</v>
      </c>
      <c r="I816" s="29">
        <f>IF(OR(COUNTIF('Suivi des rencontres'!$A:$A,$A816)&gt;0,COUNTIF('Suivi des rencontres'!$C:$C,$J816)&gt;0),"Non","Oui")</f>
        <v/>
      </c>
      <c r="J816" s="30" t="inlineStr">
        <is>
          <t>MAGICARPE</t>
        </is>
      </c>
    </row>
    <row r="817">
      <c r="A817" s="47" t="inlineStr">
        <is>
          <t>Mont Argenté</t>
        </is>
      </c>
      <c r="B817" s="47" t="inlineStr">
        <is>
          <t>MtSilver_1F_ItemRoom_hns</t>
        </is>
      </c>
      <c r="C817" s="48" t="inlineStr">
        <is>
          <t>Matin, jour, soir</t>
        </is>
      </c>
      <c r="D817" s="54" t="inlineStr">
        <is>
          <t>Vieille Canne</t>
        </is>
      </c>
      <c r="E817" s="50" t="inlineStr">
        <is>
          <t>PTITARD</t>
        </is>
      </c>
      <c r="F817" s="51" t="n">
        <v>0.3</v>
      </c>
      <c r="G817" s="52" t="n">
        <v>10</v>
      </c>
      <c r="H817" s="52" t="n">
        <v>10</v>
      </c>
      <c r="I817" s="29">
        <f>IF(OR(COUNTIF('Suivi des rencontres'!$A:$A,$A817)&gt;0,COUNTIF('Suivi des rencontres'!$C:$C,$J817)&gt;0),"Non","Oui")</f>
        <v/>
      </c>
      <c r="J817" s="30" t="inlineStr">
        <is>
          <t>PTITARD</t>
        </is>
      </c>
    </row>
    <row r="818">
      <c r="A818" s="47" t="inlineStr">
        <is>
          <t>Mont Argenté</t>
        </is>
      </c>
      <c r="B818" s="47" t="inlineStr">
        <is>
          <t>MtSilver_1F_ItemRoom_hns</t>
        </is>
      </c>
      <c r="C818" s="62" t="inlineStr">
        <is>
          <t>Nuit</t>
        </is>
      </c>
      <c r="D818" s="54" t="inlineStr">
        <is>
          <t>Vieille Canne</t>
        </is>
      </c>
      <c r="E818" s="50" t="inlineStr">
        <is>
          <t>MAGICARPE</t>
        </is>
      </c>
      <c r="F818" s="51" t="n">
        <v>0.7</v>
      </c>
      <c r="G818" s="52" t="n">
        <v>10</v>
      </c>
      <c r="H818" s="52" t="n">
        <v>10</v>
      </c>
      <c r="I818" s="29">
        <f>IF(OR(COUNTIF('Suivi des rencontres'!$A:$A,$A818)&gt;0,COUNTIF('Suivi des rencontres'!$C:$C,$J818)&gt;0),"Non","Oui")</f>
        <v/>
      </c>
      <c r="J818" s="30" t="inlineStr">
        <is>
          <t>MAGICARPE</t>
        </is>
      </c>
    </row>
    <row r="819">
      <c r="A819" s="47" t="inlineStr">
        <is>
          <t>Mont Argenté</t>
        </is>
      </c>
      <c r="B819" s="47" t="inlineStr">
        <is>
          <t>MtSilver_1F_ItemRoom_hns</t>
        </is>
      </c>
      <c r="C819" s="62" t="inlineStr">
        <is>
          <t>Nuit</t>
        </is>
      </c>
      <c r="D819" s="54" t="inlineStr">
        <is>
          <t>Vieille Canne</t>
        </is>
      </c>
      <c r="E819" s="50" t="inlineStr">
        <is>
          <t>PTITARD</t>
        </is>
      </c>
      <c r="F819" s="51" t="n">
        <v>0.3</v>
      </c>
      <c r="G819" s="52" t="n">
        <v>10</v>
      </c>
      <c r="H819" s="52" t="n">
        <v>10</v>
      </c>
      <c r="I819" s="29">
        <f>IF(OR(COUNTIF('Suivi des rencontres'!$A:$A,$A819)&gt;0,COUNTIF('Suivi des rencontres'!$C:$C,$J819)&gt;0),"Non","Oui")</f>
        <v/>
      </c>
      <c r="J819" s="30" t="inlineStr">
        <is>
          <t>PTITARD</t>
        </is>
      </c>
    </row>
    <row r="820">
      <c r="A820" s="47" t="inlineStr">
        <is>
          <t>Mont Argenté</t>
        </is>
      </c>
      <c r="B820" s="47" t="inlineStr">
        <is>
          <t>MtSilver_1F_ItemRoom_hns</t>
        </is>
      </c>
      <c r="C820" s="48" t="inlineStr">
        <is>
          <t>Matin, jour, soir</t>
        </is>
      </c>
      <c r="D820" s="55" t="inlineStr">
        <is>
          <t>Bonne Canne</t>
        </is>
      </c>
      <c r="E820" s="50" t="inlineStr">
        <is>
          <t>PTITARD</t>
        </is>
      </c>
      <c r="F820" s="51" t="n">
        <v>0.8</v>
      </c>
      <c r="G820" s="52" t="n">
        <v>20</v>
      </c>
      <c r="H820" s="52" t="n">
        <v>40</v>
      </c>
      <c r="I820" s="29">
        <f>IF(OR(COUNTIF('Suivi des rencontres'!$A:$A,$A820)&gt;0,COUNTIF('Suivi des rencontres'!$C:$C,$J820)&gt;0),"Non","Oui")</f>
        <v/>
      </c>
      <c r="J820" s="30" t="inlineStr">
        <is>
          <t>PTITARD</t>
        </is>
      </c>
    </row>
    <row r="821">
      <c r="A821" s="47" t="inlineStr">
        <is>
          <t>Mont Argenté</t>
        </is>
      </c>
      <c r="B821" s="47" t="inlineStr">
        <is>
          <t>MtSilver_1F_ItemRoom_hns</t>
        </is>
      </c>
      <c r="C821" s="48" t="inlineStr">
        <is>
          <t>Matin, jour, soir</t>
        </is>
      </c>
      <c r="D821" s="55" t="inlineStr">
        <is>
          <t>Bonne Canne</t>
        </is>
      </c>
      <c r="E821" s="50" t="inlineStr">
        <is>
          <t>MAGICARPE</t>
        </is>
      </c>
      <c r="F821" s="51" t="n">
        <v>0.2</v>
      </c>
      <c r="G821" s="52" t="n">
        <v>20</v>
      </c>
      <c r="H821" s="52" t="n">
        <v>20</v>
      </c>
      <c r="I821" s="29">
        <f>IF(OR(COUNTIF('Suivi des rencontres'!$A:$A,$A821)&gt;0,COUNTIF('Suivi des rencontres'!$C:$C,$J821)&gt;0),"Non","Oui")</f>
        <v/>
      </c>
      <c r="J821" s="30" t="inlineStr">
        <is>
          <t>MAGICARPE</t>
        </is>
      </c>
    </row>
    <row r="822">
      <c r="A822" s="47" t="inlineStr">
        <is>
          <t>Mont Argenté</t>
        </is>
      </c>
      <c r="B822" s="47" t="inlineStr">
        <is>
          <t>MtSilver_1F_ItemRoom_hns</t>
        </is>
      </c>
      <c r="C822" s="62" t="inlineStr">
        <is>
          <t>Nuit</t>
        </is>
      </c>
      <c r="D822" s="55" t="inlineStr">
        <is>
          <t>Bonne Canne</t>
        </is>
      </c>
      <c r="E822" s="50" t="inlineStr">
        <is>
          <t>PTITARD</t>
        </is>
      </c>
      <c r="F822" s="51" t="n">
        <v>0.8</v>
      </c>
      <c r="G822" s="52" t="n">
        <v>20</v>
      </c>
      <c r="H822" s="52" t="n">
        <v>40</v>
      </c>
      <c r="I822" s="29">
        <f>IF(OR(COUNTIF('Suivi des rencontres'!$A:$A,$A822)&gt;0,COUNTIF('Suivi des rencontres'!$C:$C,$J822)&gt;0),"Non","Oui")</f>
        <v/>
      </c>
      <c r="J822" s="30" t="inlineStr">
        <is>
          <t>PTITARD</t>
        </is>
      </c>
    </row>
    <row r="823">
      <c r="A823" s="47" t="inlineStr">
        <is>
          <t>Mont Argenté</t>
        </is>
      </c>
      <c r="B823" s="47" t="inlineStr">
        <is>
          <t>MtSilver_1F_ItemRoom_hns</t>
        </is>
      </c>
      <c r="C823" s="62" t="inlineStr">
        <is>
          <t>Nuit</t>
        </is>
      </c>
      <c r="D823" s="55" t="inlineStr">
        <is>
          <t>Bonne Canne</t>
        </is>
      </c>
      <c r="E823" s="50" t="inlineStr">
        <is>
          <t>MAGICARPE</t>
        </is>
      </c>
      <c r="F823" s="51" t="n">
        <v>0.2</v>
      </c>
      <c r="G823" s="52" t="n">
        <v>20</v>
      </c>
      <c r="H823" s="52" t="n">
        <v>20</v>
      </c>
      <c r="I823" s="29">
        <f>IF(OR(COUNTIF('Suivi des rencontres'!$A:$A,$A823)&gt;0,COUNTIF('Suivi des rencontres'!$C:$C,$J823)&gt;0),"Non","Oui")</f>
        <v/>
      </c>
      <c r="J823" s="30" t="inlineStr">
        <is>
          <t>MAGICARPE</t>
        </is>
      </c>
    </row>
    <row r="824">
      <c r="A824" s="47" t="inlineStr">
        <is>
          <t>Mont Argenté</t>
        </is>
      </c>
      <c r="B824" s="47" t="inlineStr">
        <is>
          <t>MtSilver_1F_ItemRoom_hns</t>
        </is>
      </c>
      <c r="C824" s="48" t="inlineStr">
        <is>
          <t>Matin, jour, soir</t>
        </is>
      </c>
      <c r="D824" s="56" t="inlineStr">
        <is>
          <t>Super Canne</t>
        </is>
      </c>
      <c r="E824" s="50" t="inlineStr">
        <is>
          <t>MAGICARPE</t>
        </is>
      </c>
      <c r="F824" s="51" t="n">
        <v>0.44</v>
      </c>
      <c r="G824" s="52" t="n">
        <v>40</v>
      </c>
      <c r="H824" s="52" t="n">
        <v>40</v>
      </c>
      <c r="I824" s="29">
        <f>IF(OR(COUNTIF('Suivi des rencontres'!$A:$A,$A824)&gt;0,COUNTIF('Suivi des rencontres'!$C:$C,$J824)&gt;0),"Non","Oui")</f>
        <v/>
      </c>
      <c r="J824" s="30" t="inlineStr">
        <is>
          <t>MAGICARPE</t>
        </is>
      </c>
    </row>
    <row r="825">
      <c r="A825" s="47" t="inlineStr">
        <is>
          <t>Mont Argenté</t>
        </is>
      </c>
      <c r="B825" s="47" t="inlineStr">
        <is>
          <t>MtSilver_1F_ItemRoom_hns</t>
        </is>
      </c>
      <c r="C825" s="48" t="inlineStr">
        <is>
          <t>Matin, jour, soir</t>
        </is>
      </c>
      <c r="D825" s="56" t="inlineStr">
        <is>
          <t>Super Canne</t>
        </is>
      </c>
      <c r="E825" s="50" t="inlineStr">
        <is>
          <t>TETARTE</t>
        </is>
      </c>
      <c r="F825" s="51" t="n">
        <v>0.4</v>
      </c>
      <c r="G825" s="52" t="n">
        <v>40</v>
      </c>
      <c r="H825" s="52" t="n">
        <v>40</v>
      </c>
      <c r="I825" s="29">
        <f>IF(OR(COUNTIF('Suivi des rencontres'!$A:$A,$A825)&gt;0,COUNTIF('Suivi des rencontres'!$C:$C,$J825)&gt;0),"Non","Oui")</f>
        <v/>
      </c>
      <c r="J825" s="30" t="inlineStr">
        <is>
          <t>PTITARD</t>
        </is>
      </c>
    </row>
    <row r="826">
      <c r="A826" s="47" t="inlineStr">
        <is>
          <t>Mont Argenté</t>
        </is>
      </c>
      <c r="B826" s="47" t="inlineStr">
        <is>
          <t>MtSilver_1F_ItemRoom_hns</t>
        </is>
      </c>
      <c r="C826" s="48" t="inlineStr">
        <is>
          <t>Matin, jour, soir</t>
        </is>
      </c>
      <c r="D826" s="56" t="inlineStr">
        <is>
          <t>Super Canne</t>
        </is>
      </c>
      <c r="E826" s="50" t="inlineStr">
        <is>
          <t>PTITARD</t>
        </is>
      </c>
      <c r="F826" s="51" t="n">
        <v>0.16</v>
      </c>
      <c r="G826" s="52" t="n">
        <v>40</v>
      </c>
      <c r="H826" s="52" t="n">
        <v>40</v>
      </c>
      <c r="I826" s="29">
        <f>IF(OR(COUNTIF('Suivi des rencontres'!$A:$A,$A826)&gt;0,COUNTIF('Suivi des rencontres'!$C:$C,$J826)&gt;0),"Non","Oui")</f>
        <v/>
      </c>
      <c r="J826" s="30" t="inlineStr">
        <is>
          <t>PTITARD</t>
        </is>
      </c>
    </row>
    <row r="827">
      <c r="A827" s="47" t="inlineStr">
        <is>
          <t>Mont Argenté</t>
        </is>
      </c>
      <c r="B827" s="47" t="inlineStr">
        <is>
          <t>MtSilver_1F_ItemRoom_hns</t>
        </is>
      </c>
      <c r="C827" s="62" t="inlineStr">
        <is>
          <t>Nuit</t>
        </is>
      </c>
      <c r="D827" s="56" t="inlineStr">
        <is>
          <t>Super Canne</t>
        </is>
      </c>
      <c r="E827" s="50" t="inlineStr">
        <is>
          <t>MAGICARPE</t>
        </is>
      </c>
      <c r="F827" s="51" t="n">
        <v>0.44</v>
      </c>
      <c r="G827" s="52" t="n">
        <v>40</v>
      </c>
      <c r="H827" s="52" t="n">
        <v>40</v>
      </c>
      <c r="I827" s="29">
        <f>IF(OR(COUNTIF('Suivi des rencontres'!$A:$A,$A827)&gt;0,COUNTIF('Suivi des rencontres'!$C:$C,$J827)&gt;0),"Non","Oui")</f>
        <v/>
      </c>
      <c r="J827" s="30" t="inlineStr">
        <is>
          <t>MAGICARPE</t>
        </is>
      </c>
    </row>
    <row r="828">
      <c r="A828" s="47" t="inlineStr">
        <is>
          <t>Mont Argenté</t>
        </is>
      </c>
      <c r="B828" s="47" t="inlineStr">
        <is>
          <t>MtSilver_1F_ItemRoom_hns</t>
        </is>
      </c>
      <c r="C828" s="62" t="inlineStr">
        <is>
          <t>Nuit</t>
        </is>
      </c>
      <c r="D828" s="56" t="inlineStr">
        <is>
          <t>Super Canne</t>
        </is>
      </c>
      <c r="E828" s="50" t="inlineStr">
        <is>
          <t>TETARTE</t>
        </is>
      </c>
      <c r="F828" s="51" t="n">
        <v>0.4</v>
      </c>
      <c r="G828" s="52" t="n">
        <v>40</v>
      </c>
      <c r="H828" s="52" t="n">
        <v>40</v>
      </c>
      <c r="I828" s="29">
        <f>IF(OR(COUNTIF('Suivi des rencontres'!$A:$A,$A828)&gt;0,COUNTIF('Suivi des rencontres'!$C:$C,$J828)&gt;0),"Non","Oui")</f>
        <v/>
      </c>
      <c r="J828" s="30" t="inlineStr">
        <is>
          <t>PTITARD</t>
        </is>
      </c>
    </row>
    <row r="829">
      <c r="A829" s="47" t="inlineStr">
        <is>
          <t>Mont Argenté</t>
        </is>
      </c>
      <c r="B829" s="47" t="inlineStr">
        <is>
          <t>MtSilver_1F_ItemRoom_hns</t>
        </is>
      </c>
      <c r="C829" s="62" t="inlineStr">
        <is>
          <t>Nuit</t>
        </is>
      </c>
      <c r="D829" s="56" t="inlineStr">
        <is>
          <t>Super Canne</t>
        </is>
      </c>
      <c r="E829" s="50" t="inlineStr">
        <is>
          <t>PTITARD</t>
        </is>
      </c>
      <c r="F829" s="51" t="n">
        <v>0.16</v>
      </c>
      <c r="G829" s="52" t="n">
        <v>40</v>
      </c>
      <c r="H829" s="52" t="n">
        <v>40</v>
      </c>
      <c r="I829" s="29">
        <f>IF(OR(COUNTIF('Suivi des rencontres'!$A:$A,$A829)&gt;0,COUNTIF('Suivi des rencontres'!$C:$C,$J829)&gt;0),"Non","Oui")</f>
        <v/>
      </c>
      <c r="J829" s="30" t="inlineStr">
        <is>
          <t>PTITARD</t>
        </is>
      </c>
    </row>
    <row r="830">
      <c r="A830" s="47" t="inlineStr">
        <is>
          <t>Mont Argenté</t>
        </is>
      </c>
      <c r="B830" s="47" t="inlineStr">
        <is>
          <t>MtSilver_1F_MoltresRoom_hns</t>
        </is>
      </c>
      <c r="C830" s="48" t="inlineStr">
        <is>
          <t>Matin, jour, soir</t>
        </is>
      </c>
      <c r="D830" s="49" t="inlineStr">
        <is>
          <t>Herbe</t>
        </is>
      </c>
      <c r="E830" s="50" t="inlineStr">
        <is>
          <t>MACHOPEUR</t>
        </is>
      </c>
      <c r="F830" s="51" t="n">
        <v>0.3</v>
      </c>
      <c r="G830" s="52" t="n">
        <v>64</v>
      </c>
      <c r="H830" s="52" t="n">
        <v>64</v>
      </c>
      <c r="I830" s="29">
        <f>IF(OR(COUNTIF('Suivi des rencontres'!$A:$A,$A830)&gt;0,COUNTIF('Suivi des rencontres'!$C:$C,$J830)&gt;0),"Non","Oui")</f>
        <v/>
      </c>
      <c r="J830" s="30" t="inlineStr">
        <is>
          <t>MACHOC</t>
        </is>
      </c>
    </row>
    <row r="831">
      <c r="A831" s="47" t="inlineStr">
        <is>
          <t>Mont Argenté</t>
        </is>
      </c>
      <c r="B831" s="47" t="inlineStr">
        <is>
          <t>MtSilver_1F_MoltresRoom_hns</t>
        </is>
      </c>
      <c r="C831" s="48" t="inlineStr">
        <is>
          <t>Matin, jour, soir</t>
        </is>
      </c>
      <c r="D831" s="49" t="inlineStr">
        <is>
          <t>Herbe</t>
        </is>
      </c>
      <c r="E831" s="50" t="inlineStr">
        <is>
          <t>GRAVALANCH</t>
        </is>
      </c>
      <c r="F831" s="51" t="n">
        <v>0.2</v>
      </c>
      <c r="G831" s="52" t="n">
        <v>63</v>
      </c>
      <c r="H831" s="52" t="n">
        <v>63</v>
      </c>
      <c r="I831" s="29">
        <f>IF(OR(COUNTIF('Suivi des rencontres'!$A:$A,$A831)&gt;0,COUNTIF('Suivi des rencontres'!$C:$C,$J831)&gt;0),"Non","Oui")</f>
        <v/>
      </c>
      <c r="J831" s="30" t="inlineStr">
        <is>
          <t>RACAILLOU</t>
        </is>
      </c>
    </row>
    <row r="832">
      <c r="A832" s="47" t="inlineStr">
        <is>
          <t>Mont Argenté</t>
        </is>
      </c>
      <c r="B832" s="47" t="inlineStr">
        <is>
          <t>MtSilver_1F_MoltresRoom_hns</t>
        </is>
      </c>
      <c r="C832" s="48" t="inlineStr">
        <is>
          <t>Matin, jour, soir</t>
        </is>
      </c>
      <c r="D832" s="49" t="inlineStr">
        <is>
          <t>Herbe</t>
        </is>
      </c>
      <c r="E832" s="50" t="inlineStr">
        <is>
          <t>ONIX</t>
        </is>
      </c>
      <c r="F832" s="51" t="n">
        <v>0.15</v>
      </c>
      <c r="G832" s="52" t="n">
        <v>62</v>
      </c>
      <c r="H832" s="52" t="n">
        <v>62</v>
      </c>
      <c r="I832" s="29">
        <f>IF(OR(COUNTIF('Suivi des rencontres'!$A:$A,$A832)&gt;0,COUNTIF('Suivi des rencontres'!$C:$C,$J832)&gt;0),"Non","Oui")</f>
        <v/>
      </c>
      <c r="J832" s="30" t="inlineStr">
        <is>
          <t>ONIX</t>
        </is>
      </c>
    </row>
    <row r="833">
      <c r="A833" s="47" t="inlineStr">
        <is>
          <t>Mont Argenté</t>
        </is>
      </c>
      <c r="B833" s="47" t="inlineStr">
        <is>
          <t>MtSilver_1F_MoltresRoom_hns</t>
        </is>
      </c>
      <c r="C833" s="48" t="inlineStr">
        <is>
          <t>Matin, jour, soir</t>
        </is>
      </c>
      <c r="D833" s="49" t="inlineStr">
        <is>
          <t>Herbe</t>
        </is>
      </c>
      <c r="E833" s="50" t="inlineStr">
        <is>
          <t>MAGMAR</t>
        </is>
      </c>
      <c r="F833" s="51" t="n">
        <v>0.14</v>
      </c>
      <c r="G833" s="52" t="n">
        <v>65</v>
      </c>
      <c r="H833" s="52" t="n">
        <v>65</v>
      </c>
      <c r="I833" s="29">
        <f>IF(OR(COUNTIF('Suivi des rencontres'!$A:$A,$A833)&gt;0,COUNTIF('Suivi des rencontres'!$C:$C,$J833)&gt;0),"Non","Oui")</f>
        <v/>
      </c>
      <c r="J833" s="30" t="inlineStr">
        <is>
          <t>MAGBY</t>
        </is>
      </c>
    </row>
    <row r="834">
      <c r="A834" s="47" t="inlineStr">
        <is>
          <t>Mont Argenté</t>
        </is>
      </c>
      <c r="B834" s="47" t="inlineStr">
        <is>
          <t>MtSilver_1F_MoltresRoom_hns</t>
        </is>
      </c>
      <c r="C834" s="48" t="inlineStr">
        <is>
          <t>Matin, jour, soir</t>
        </is>
      </c>
      <c r="D834" s="49" t="inlineStr">
        <is>
          <t>Herbe</t>
        </is>
      </c>
      <c r="E834" s="50" t="inlineStr">
        <is>
          <t>ELEKTEK</t>
        </is>
      </c>
      <c r="F834" s="51" t="n">
        <v>0.1</v>
      </c>
      <c r="G834" s="52" t="n">
        <v>63</v>
      </c>
      <c r="H834" s="52" t="n">
        <v>63</v>
      </c>
      <c r="I834" s="29">
        <f>IF(OR(COUNTIF('Suivi des rencontres'!$A:$A,$A834)&gt;0,COUNTIF('Suivi des rencontres'!$C:$C,$J834)&gt;0),"Non","Oui")</f>
        <v/>
      </c>
      <c r="J834" s="30" t="inlineStr">
        <is>
          <t>ELEKID</t>
        </is>
      </c>
    </row>
    <row r="835">
      <c r="A835" s="47" t="inlineStr">
        <is>
          <t>Mont Argenté</t>
        </is>
      </c>
      <c r="B835" s="47" t="inlineStr">
        <is>
          <t>MtSilver_1F_MoltresRoom_hns</t>
        </is>
      </c>
      <c r="C835" s="48" t="inlineStr">
        <is>
          <t>Matin, jour, soir</t>
        </is>
      </c>
      <c r="D835" s="49" t="inlineStr">
        <is>
          <t>Herbe</t>
        </is>
      </c>
      <c r="E835" s="50" t="inlineStr">
        <is>
          <t>NOSFERALTO</t>
        </is>
      </c>
      <c r="F835" s="51" t="n">
        <v>0.05</v>
      </c>
      <c r="G835" s="52" t="n">
        <v>65</v>
      </c>
      <c r="H835" s="52" t="n">
        <v>65</v>
      </c>
      <c r="I835" s="29">
        <f>IF(OR(COUNTIF('Suivi des rencontres'!$A:$A,$A835)&gt;0,COUNTIF('Suivi des rencontres'!$C:$C,$J835)&gt;0),"Non","Oui")</f>
        <v/>
      </c>
      <c r="J835" s="30" t="inlineStr">
        <is>
          <t>NOSFERAPTI</t>
        </is>
      </c>
    </row>
    <row r="836">
      <c r="A836" s="47" t="inlineStr">
        <is>
          <t>Mont Argenté</t>
        </is>
      </c>
      <c r="B836" s="47" t="inlineStr">
        <is>
          <t>MtSilver_1F_MoltresRoom_hns</t>
        </is>
      </c>
      <c r="C836" s="48" t="inlineStr">
        <is>
          <t>Matin, jour, soir</t>
        </is>
      </c>
      <c r="D836" s="49" t="inlineStr">
        <is>
          <t>Herbe</t>
        </is>
      </c>
      <c r="E836" s="50" t="inlineStr">
        <is>
          <t>YMPHECT</t>
        </is>
      </c>
      <c r="F836" s="51" t="n">
        <v>0.05</v>
      </c>
      <c r="G836" s="52" t="n">
        <v>35</v>
      </c>
      <c r="H836" s="52" t="n">
        <v>40</v>
      </c>
      <c r="I836" s="29">
        <f>IF(OR(COUNTIF('Suivi des rencontres'!$A:$A,$A836)&gt;0,COUNTIF('Suivi des rencontres'!$C:$C,$J836)&gt;0),"Non","Oui")</f>
        <v/>
      </c>
      <c r="J836" s="30" t="inlineStr">
        <is>
          <t>EMBRYLEX</t>
        </is>
      </c>
    </row>
    <row r="837">
      <c r="A837" s="47" t="inlineStr">
        <is>
          <t>Mont Argenté</t>
        </is>
      </c>
      <c r="B837" s="47" t="inlineStr">
        <is>
          <t>MtSilver_1F_MoltresRoom_hns</t>
        </is>
      </c>
      <c r="C837" s="48" t="inlineStr">
        <is>
          <t>Matin, jour, soir</t>
        </is>
      </c>
      <c r="D837" s="49" t="inlineStr">
        <is>
          <t>Herbe</t>
        </is>
      </c>
      <c r="E837" s="50" t="inlineStr">
        <is>
          <t>PARASECT</t>
        </is>
      </c>
      <c r="F837" s="51" t="n">
        <v>0.01</v>
      </c>
      <c r="G837" s="52" t="n">
        <v>62</v>
      </c>
      <c r="H837" s="52" t="n">
        <v>64</v>
      </c>
      <c r="I837" s="29">
        <f>IF(OR(COUNTIF('Suivi des rencontres'!$A:$A,$A837)&gt;0,COUNTIF('Suivi des rencontres'!$C:$C,$J837)&gt;0),"Non","Oui")</f>
        <v/>
      </c>
      <c r="J837" s="30" t="inlineStr">
        <is>
          <t>PARAS</t>
        </is>
      </c>
    </row>
    <row r="838">
      <c r="A838" s="47" t="inlineStr">
        <is>
          <t>Mont Argenté</t>
        </is>
      </c>
      <c r="B838" s="47" t="inlineStr">
        <is>
          <t>MtSilver_1F_MoltresRoom_hns</t>
        </is>
      </c>
      <c r="C838" s="62" t="inlineStr">
        <is>
          <t>Nuit</t>
        </is>
      </c>
      <c r="D838" s="49" t="inlineStr">
        <is>
          <t>Herbe</t>
        </is>
      </c>
      <c r="E838" s="50" t="inlineStr">
        <is>
          <t>NOSFERALTO</t>
        </is>
      </c>
      <c r="F838" s="51" t="n">
        <v>0.4</v>
      </c>
      <c r="G838" s="52" t="n">
        <v>66</v>
      </c>
      <c r="H838" s="52" t="n">
        <v>68</v>
      </c>
      <c r="I838" s="29">
        <f>IF(OR(COUNTIF('Suivi des rencontres'!$A:$A,$A838)&gt;0,COUNTIF('Suivi des rencontres'!$C:$C,$J838)&gt;0),"Non","Oui")</f>
        <v/>
      </c>
      <c r="J838" s="30" t="inlineStr">
        <is>
          <t>NOSFERAPTI</t>
        </is>
      </c>
    </row>
    <row r="839">
      <c r="A839" s="47" t="inlineStr">
        <is>
          <t>Mont Argenté</t>
        </is>
      </c>
      <c r="B839" s="47" t="inlineStr">
        <is>
          <t>MtSilver_1F_MoltresRoom_hns</t>
        </is>
      </c>
      <c r="C839" s="62" t="inlineStr">
        <is>
          <t>Nuit</t>
        </is>
      </c>
      <c r="D839" s="49" t="inlineStr">
        <is>
          <t>Herbe</t>
        </is>
      </c>
      <c r="E839" s="50" t="inlineStr">
        <is>
          <t>AKWAKWAK</t>
        </is>
      </c>
      <c r="F839" s="51" t="n">
        <v>0.3</v>
      </c>
      <c r="G839" s="52" t="n">
        <v>68</v>
      </c>
      <c r="H839" s="52" t="n">
        <v>68</v>
      </c>
      <c r="I839" s="29">
        <f>IF(OR(COUNTIF('Suivi des rencontres'!$A:$A,$A839)&gt;0,COUNTIF('Suivi des rencontres'!$C:$C,$J839)&gt;0),"Non","Oui")</f>
        <v/>
      </c>
      <c r="J839" s="30" t="inlineStr">
        <is>
          <t>PSYKOKWAK</t>
        </is>
      </c>
    </row>
    <row r="840">
      <c r="A840" s="47" t="inlineStr">
        <is>
          <t>Mont Argenté</t>
        </is>
      </c>
      <c r="B840" s="47" t="inlineStr">
        <is>
          <t>MtSilver_1F_MoltresRoom_hns</t>
        </is>
      </c>
      <c r="C840" s="62" t="inlineStr">
        <is>
          <t>Nuit</t>
        </is>
      </c>
      <c r="D840" s="49" t="inlineStr">
        <is>
          <t>Herbe</t>
        </is>
      </c>
      <c r="E840" s="50" t="inlineStr">
        <is>
          <t>FEUFOREVE</t>
        </is>
      </c>
      <c r="F840" s="51" t="n">
        <v>0.15</v>
      </c>
      <c r="G840" s="52" t="n">
        <v>65</v>
      </c>
      <c r="H840" s="52" t="n">
        <v>65</v>
      </c>
      <c r="I840" s="29">
        <f>IF(OR(COUNTIF('Suivi des rencontres'!$A:$A,$A840)&gt;0,COUNTIF('Suivi des rencontres'!$C:$C,$J840)&gt;0),"Non","Oui")</f>
        <v/>
      </c>
      <c r="J840" s="30" t="inlineStr">
        <is>
          <t>FEUFOREVE</t>
        </is>
      </c>
    </row>
    <row r="841">
      <c r="A841" s="47" t="inlineStr">
        <is>
          <t>Mont Argenté</t>
        </is>
      </c>
      <c r="B841" s="47" t="inlineStr">
        <is>
          <t>MtSilver_1F_MoltresRoom_hns</t>
        </is>
      </c>
      <c r="C841" s="62" t="inlineStr">
        <is>
          <t>Nuit</t>
        </is>
      </c>
      <c r="D841" s="49" t="inlineStr">
        <is>
          <t>Herbe</t>
        </is>
      </c>
      <c r="E841" s="50" t="inlineStr">
        <is>
          <t>PARASECT</t>
        </is>
      </c>
      <c r="F841" s="51" t="n">
        <v>0.15</v>
      </c>
      <c r="G841" s="52" t="n">
        <v>66</v>
      </c>
      <c r="H841" s="52" t="n">
        <v>68</v>
      </c>
      <c r="I841" s="29">
        <f>IF(OR(COUNTIF('Suivi des rencontres'!$A:$A,$A841)&gt;0,COUNTIF('Suivi des rencontres'!$C:$C,$J841)&gt;0),"Non","Oui")</f>
        <v/>
      </c>
      <c r="J841" s="30" t="inlineStr">
        <is>
          <t>PARAS</t>
        </is>
      </c>
    </row>
    <row r="842">
      <c r="A842" s="47" t="inlineStr">
        <is>
          <t>Mont Argenté</t>
        </is>
      </c>
      <c r="B842" s="47" t="inlineStr">
        <is>
          <t>MtSilver_1F_MoltresRoom_hns</t>
        </is>
      </c>
      <c r="C842" s="48" t="inlineStr">
        <is>
          <t>Matin, jour, soir</t>
        </is>
      </c>
      <c r="D842" s="53" t="inlineStr">
        <is>
          <t>Surf</t>
        </is>
      </c>
      <c r="E842" s="50" t="inlineStr">
        <is>
          <t>POISSOROY</t>
        </is>
      </c>
      <c r="F842" s="51" t="n">
        <v>0.65</v>
      </c>
      <c r="G842" s="52" t="n">
        <v>35</v>
      </c>
      <c r="H842" s="52" t="n">
        <v>39</v>
      </c>
      <c r="I842" s="29">
        <f>IF(OR(COUNTIF('Suivi des rencontres'!$A:$A,$A842)&gt;0,COUNTIF('Suivi des rencontres'!$C:$C,$J842)&gt;0),"Non","Oui")</f>
        <v/>
      </c>
      <c r="J842" s="30" t="inlineStr">
        <is>
          <t>POISSIRENE</t>
        </is>
      </c>
    </row>
    <row r="843">
      <c r="A843" s="47" t="inlineStr">
        <is>
          <t>Mont Argenté</t>
        </is>
      </c>
      <c r="B843" s="47" t="inlineStr">
        <is>
          <t>MtSilver_1F_MoltresRoom_hns</t>
        </is>
      </c>
      <c r="C843" s="48" t="inlineStr">
        <is>
          <t>Matin, jour, soir</t>
        </is>
      </c>
      <c r="D843" s="53" t="inlineStr">
        <is>
          <t>Surf</t>
        </is>
      </c>
      <c r="E843" s="50" t="inlineStr">
        <is>
          <t>AKWAKWAK</t>
        </is>
      </c>
      <c r="F843" s="51" t="n">
        <v>0.3</v>
      </c>
      <c r="G843" s="52" t="n">
        <v>35</v>
      </c>
      <c r="H843" s="52" t="n">
        <v>39</v>
      </c>
      <c r="I843" s="29">
        <f>IF(OR(COUNTIF('Suivi des rencontres'!$A:$A,$A843)&gt;0,COUNTIF('Suivi des rencontres'!$C:$C,$J843)&gt;0),"Non","Oui")</f>
        <v/>
      </c>
      <c r="J843" s="30" t="inlineStr">
        <is>
          <t>PSYKOKWAK</t>
        </is>
      </c>
    </row>
    <row r="844">
      <c r="A844" s="47" t="inlineStr">
        <is>
          <t>Mont Argenté</t>
        </is>
      </c>
      <c r="B844" s="47" t="inlineStr">
        <is>
          <t>MtSilver_1F_MoltresRoom_hns</t>
        </is>
      </c>
      <c r="C844" s="48" t="inlineStr">
        <is>
          <t>Matin, jour, soir</t>
        </is>
      </c>
      <c r="D844" s="53" t="inlineStr">
        <is>
          <t>Surf</t>
        </is>
      </c>
      <c r="E844" s="50" t="inlineStr">
        <is>
          <t>POISSIRENE</t>
        </is>
      </c>
      <c r="F844" s="51" t="n">
        <v>0.05</v>
      </c>
      <c r="G844" s="52" t="n">
        <v>35</v>
      </c>
      <c r="H844" s="52" t="n">
        <v>39</v>
      </c>
      <c r="I844" s="29">
        <f>IF(OR(COUNTIF('Suivi des rencontres'!$A:$A,$A844)&gt;0,COUNTIF('Suivi des rencontres'!$C:$C,$J844)&gt;0),"Non","Oui")</f>
        <v/>
      </c>
      <c r="J844" s="30" t="inlineStr">
        <is>
          <t>POISSIRENE</t>
        </is>
      </c>
    </row>
    <row r="845">
      <c r="A845" s="47" t="inlineStr">
        <is>
          <t>Mont Argenté</t>
        </is>
      </c>
      <c r="B845" s="47" t="inlineStr">
        <is>
          <t>MtSilver_1F_MoltresRoom_hns</t>
        </is>
      </c>
      <c r="C845" s="62" t="inlineStr">
        <is>
          <t>Nuit</t>
        </is>
      </c>
      <c r="D845" s="53" t="inlineStr">
        <is>
          <t>Surf</t>
        </is>
      </c>
      <c r="E845" s="50" t="inlineStr">
        <is>
          <t>POISSOROY</t>
        </is>
      </c>
      <c r="F845" s="51" t="n">
        <v>0.65</v>
      </c>
      <c r="G845" s="52" t="n">
        <v>35</v>
      </c>
      <c r="H845" s="52" t="n">
        <v>39</v>
      </c>
      <c r="I845" s="29">
        <f>IF(OR(COUNTIF('Suivi des rencontres'!$A:$A,$A845)&gt;0,COUNTIF('Suivi des rencontres'!$C:$C,$J845)&gt;0),"Non","Oui")</f>
        <v/>
      </c>
      <c r="J845" s="30" t="inlineStr">
        <is>
          <t>POISSIRENE</t>
        </is>
      </c>
    </row>
    <row r="846">
      <c r="A846" s="47" t="inlineStr">
        <is>
          <t>Mont Argenté</t>
        </is>
      </c>
      <c r="B846" s="47" t="inlineStr">
        <is>
          <t>MtSilver_1F_MoltresRoom_hns</t>
        </is>
      </c>
      <c r="C846" s="62" t="inlineStr">
        <is>
          <t>Nuit</t>
        </is>
      </c>
      <c r="D846" s="53" t="inlineStr">
        <is>
          <t>Surf</t>
        </is>
      </c>
      <c r="E846" s="50" t="inlineStr">
        <is>
          <t>AKWAKWAK</t>
        </is>
      </c>
      <c r="F846" s="51" t="n">
        <v>0.3</v>
      </c>
      <c r="G846" s="52" t="n">
        <v>35</v>
      </c>
      <c r="H846" s="52" t="n">
        <v>39</v>
      </c>
      <c r="I846" s="29">
        <f>IF(OR(COUNTIF('Suivi des rencontres'!$A:$A,$A846)&gt;0,COUNTIF('Suivi des rencontres'!$C:$C,$J846)&gt;0),"Non","Oui")</f>
        <v/>
      </c>
      <c r="J846" s="30" t="inlineStr">
        <is>
          <t>PSYKOKWAK</t>
        </is>
      </c>
    </row>
    <row r="847">
      <c r="A847" s="47" t="inlineStr">
        <is>
          <t>Mont Argenté</t>
        </is>
      </c>
      <c r="B847" s="47" t="inlineStr">
        <is>
          <t>MtSilver_1F_MoltresRoom_hns</t>
        </is>
      </c>
      <c r="C847" s="62" t="inlineStr">
        <is>
          <t>Nuit</t>
        </is>
      </c>
      <c r="D847" s="53" t="inlineStr">
        <is>
          <t>Surf</t>
        </is>
      </c>
      <c r="E847" s="50" t="inlineStr">
        <is>
          <t>POISSIRENE</t>
        </is>
      </c>
      <c r="F847" s="51" t="n">
        <v>0.05</v>
      </c>
      <c r="G847" s="52" t="n">
        <v>35</v>
      </c>
      <c r="H847" s="52" t="n">
        <v>39</v>
      </c>
      <c r="I847" s="29">
        <f>IF(OR(COUNTIF('Suivi des rencontres'!$A:$A,$A847)&gt;0,COUNTIF('Suivi des rencontres'!$C:$C,$J847)&gt;0),"Non","Oui")</f>
        <v/>
      </c>
      <c r="J847" s="30" t="inlineStr">
        <is>
          <t>POISSIRENE</t>
        </is>
      </c>
    </row>
    <row r="848">
      <c r="A848" s="47" t="inlineStr">
        <is>
          <t>Mont Argenté</t>
        </is>
      </c>
      <c r="B848" s="47" t="inlineStr">
        <is>
          <t>MtSilver_1F_MoltresRoom_hns</t>
        </is>
      </c>
      <c r="C848" s="48" t="inlineStr">
        <is>
          <t>Matin, jour, soir</t>
        </is>
      </c>
      <c r="D848" s="54" t="inlineStr">
        <is>
          <t>Vieille Canne</t>
        </is>
      </c>
      <c r="E848" s="50" t="inlineStr">
        <is>
          <t>MAGICARPE</t>
        </is>
      </c>
      <c r="F848" s="51" t="n">
        <v>0.7</v>
      </c>
      <c r="G848" s="52" t="n">
        <v>10</v>
      </c>
      <c r="H848" s="52" t="n">
        <v>10</v>
      </c>
      <c r="I848" s="29">
        <f>IF(OR(COUNTIF('Suivi des rencontres'!$A:$A,$A848)&gt;0,COUNTIF('Suivi des rencontres'!$C:$C,$J848)&gt;0),"Non","Oui")</f>
        <v/>
      </c>
      <c r="J848" s="30" t="inlineStr">
        <is>
          <t>MAGICARPE</t>
        </is>
      </c>
    </row>
    <row r="849">
      <c r="A849" s="47" t="inlineStr">
        <is>
          <t>Mont Argenté</t>
        </is>
      </c>
      <c r="B849" s="47" t="inlineStr">
        <is>
          <t>MtSilver_1F_MoltresRoom_hns</t>
        </is>
      </c>
      <c r="C849" s="48" t="inlineStr">
        <is>
          <t>Matin, jour, soir</t>
        </is>
      </c>
      <c r="D849" s="54" t="inlineStr">
        <is>
          <t>Vieille Canne</t>
        </is>
      </c>
      <c r="E849" s="50" t="inlineStr">
        <is>
          <t>PTITARD</t>
        </is>
      </c>
      <c r="F849" s="51" t="n">
        <v>0.3</v>
      </c>
      <c r="G849" s="52" t="n">
        <v>10</v>
      </c>
      <c r="H849" s="52" t="n">
        <v>10</v>
      </c>
      <c r="I849" s="29">
        <f>IF(OR(COUNTIF('Suivi des rencontres'!$A:$A,$A849)&gt;0,COUNTIF('Suivi des rencontres'!$C:$C,$J849)&gt;0),"Non","Oui")</f>
        <v/>
      </c>
      <c r="J849" s="30" t="inlineStr">
        <is>
          <t>PTITARD</t>
        </is>
      </c>
    </row>
    <row r="850">
      <c r="A850" s="47" t="inlineStr">
        <is>
          <t>Mont Argenté</t>
        </is>
      </c>
      <c r="B850" s="47" t="inlineStr">
        <is>
          <t>MtSilver_1F_MoltresRoom_hns</t>
        </is>
      </c>
      <c r="C850" s="62" t="inlineStr">
        <is>
          <t>Nuit</t>
        </is>
      </c>
      <c r="D850" s="54" t="inlineStr">
        <is>
          <t>Vieille Canne</t>
        </is>
      </c>
      <c r="E850" s="50" t="inlineStr">
        <is>
          <t>MAGICARPE</t>
        </is>
      </c>
      <c r="F850" s="51" t="n">
        <v>0.7</v>
      </c>
      <c r="G850" s="52" t="n">
        <v>10</v>
      </c>
      <c r="H850" s="52" t="n">
        <v>10</v>
      </c>
      <c r="I850" s="29">
        <f>IF(OR(COUNTIF('Suivi des rencontres'!$A:$A,$A850)&gt;0,COUNTIF('Suivi des rencontres'!$C:$C,$J850)&gt;0),"Non","Oui")</f>
        <v/>
      </c>
      <c r="J850" s="30" t="inlineStr">
        <is>
          <t>MAGICARPE</t>
        </is>
      </c>
    </row>
    <row r="851">
      <c r="A851" s="47" t="inlineStr">
        <is>
          <t>Mont Argenté</t>
        </is>
      </c>
      <c r="B851" s="47" t="inlineStr">
        <is>
          <t>MtSilver_1F_MoltresRoom_hns</t>
        </is>
      </c>
      <c r="C851" s="62" t="inlineStr">
        <is>
          <t>Nuit</t>
        </is>
      </c>
      <c r="D851" s="54" t="inlineStr">
        <is>
          <t>Vieille Canne</t>
        </is>
      </c>
      <c r="E851" s="50" t="inlineStr">
        <is>
          <t>PTITARD</t>
        </is>
      </c>
      <c r="F851" s="51" t="n">
        <v>0.3</v>
      </c>
      <c r="G851" s="52" t="n">
        <v>10</v>
      </c>
      <c r="H851" s="52" t="n">
        <v>10</v>
      </c>
      <c r="I851" s="29">
        <f>IF(OR(COUNTIF('Suivi des rencontres'!$A:$A,$A851)&gt;0,COUNTIF('Suivi des rencontres'!$C:$C,$J851)&gt;0),"Non","Oui")</f>
        <v/>
      </c>
      <c r="J851" s="30" t="inlineStr">
        <is>
          <t>PTITARD</t>
        </is>
      </c>
    </row>
    <row r="852">
      <c r="A852" s="47" t="inlineStr">
        <is>
          <t>Mont Argenté</t>
        </is>
      </c>
      <c r="B852" s="47" t="inlineStr">
        <is>
          <t>MtSilver_1F_MoltresRoom_hns</t>
        </is>
      </c>
      <c r="C852" s="48" t="inlineStr">
        <is>
          <t>Matin, jour, soir</t>
        </is>
      </c>
      <c r="D852" s="55" t="inlineStr">
        <is>
          <t>Bonne Canne</t>
        </is>
      </c>
      <c r="E852" s="50" t="inlineStr">
        <is>
          <t>PTITARD</t>
        </is>
      </c>
      <c r="F852" s="51" t="n">
        <v>0.8</v>
      </c>
      <c r="G852" s="52" t="n">
        <v>20</v>
      </c>
      <c r="H852" s="52" t="n">
        <v>40</v>
      </c>
      <c r="I852" s="29">
        <f>IF(OR(COUNTIF('Suivi des rencontres'!$A:$A,$A852)&gt;0,COUNTIF('Suivi des rencontres'!$C:$C,$J852)&gt;0),"Non","Oui")</f>
        <v/>
      </c>
      <c r="J852" s="30" t="inlineStr">
        <is>
          <t>PTITARD</t>
        </is>
      </c>
    </row>
    <row r="853">
      <c r="A853" s="47" t="inlineStr">
        <is>
          <t>Mont Argenté</t>
        </is>
      </c>
      <c r="B853" s="47" t="inlineStr">
        <is>
          <t>MtSilver_1F_MoltresRoom_hns</t>
        </is>
      </c>
      <c r="C853" s="48" t="inlineStr">
        <is>
          <t>Matin, jour, soir</t>
        </is>
      </c>
      <c r="D853" s="55" t="inlineStr">
        <is>
          <t>Bonne Canne</t>
        </is>
      </c>
      <c r="E853" s="50" t="inlineStr">
        <is>
          <t>MAGICARPE</t>
        </is>
      </c>
      <c r="F853" s="51" t="n">
        <v>0.2</v>
      </c>
      <c r="G853" s="52" t="n">
        <v>20</v>
      </c>
      <c r="H853" s="52" t="n">
        <v>20</v>
      </c>
      <c r="I853" s="29">
        <f>IF(OR(COUNTIF('Suivi des rencontres'!$A:$A,$A853)&gt;0,COUNTIF('Suivi des rencontres'!$C:$C,$J853)&gt;0),"Non","Oui")</f>
        <v/>
      </c>
      <c r="J853" s="30" t="inlineStr">
        <is>
          <t>MAGICARPE</t>
        </is>
      </c>
    </row>
    <row r="854">
      <c r="A854" s="47" t="inlineStr">
        <is>
          <t>Mont Argenté</t>
        </is>
      </c>
      <c r="B854" s="47" t="inlineStr">
        <is>
          <t>MtSilver_1F_MoltresRoom_hns</t>
        </is>
      </c>
      <c r="C854" s="62" t="inlineStr">
        <is>
          <t>Nuit</t>
        </is>
      </c>
      <c r="D854" s="55" t="inlineStr">
        <is>
          <t>Bonne Canne</t>
        </is>
      </c>
      <c r="E854" s="50" t="inlineStr">
        <is>
          <t>PTITARD</t>
        </is>
      </c>
      <c r="F854" s="51" t="n">
        <v>0.8</v>
      </c>
      <c r="G854" s="52" t="n">
        <v>20</v>
      </c>
      <c r="H854" s="52" t="n">
        <v>40</v>
      </c>
      <c r="I854" s="29">
        <f>IF(OR(COUNTIF('Suivi des rencontres'!$A:$A,$A854)&gt;0,COUNTIF('Suivi des rencontres'!$C:$C,$J854)&gt;0),"Non","Oui")</f>
        <v/>
      </c>
      <c r="J854" s="30" t="inlineStr">
        <is>
          <t>PTITARD</t>
        </is>
      </c>
    </row>
    <row r="855">
      <c r="A855" s="47" t="inlineStr">
        <is>
          <t>Mont Argenté</t>
        </is>
      </c>
      <c r="B855" s="47" t="inlineStr">
        <is>
          <t>MtSilver_1F_MoltresRoom_hns</t>
        </is>
      </c>
      <c r="C855" s="62" t="inlineStr">
        <is>
          <t>Nuit</t>
        </is>
      </c>
      <c r="D855" s="55" t="inlineStr">
        <is>
          <t>Bonne Canne</t>
        </is>
      </c>
      <c r="E855" s="50" t="inlineStr">
        <is>
          <t>MAGICARPE</t>
        </is>
      </c>
      <c r="F855" s="51" t="n">
        <v>0.2</v>
      </c>
      <c r="G855" s="52" t="n">
        <v>20</v>
      </c>
      <c r="H855" s="52" t="n">
        <v>20</v>
      </c>
      <c r="I855" s="29">
        <f>IF(OR(COUNTIF('Suivi des rencontres'!$A:$A,$A855)&gt;0,COUNTIF('Suivi des rencontres'!$C:$C,$J855)&gt;0),"Non","Oui")</f>
        <v/>
      </c>
      <c r="J855" s="30" t="inlineStr">
        <is>
          <t>MAGICARPE</t>
        </is>
      </c>
    </row>
    <row r="856">
      <c r="A856" s="47" t="inlineStr">
        <is>
          <t>Mont Argenté</t>
        </is>
      </c>
      <c r="B856" s="47" t="inlineStr">
        <is>
          <t>MtSilver_1F_MoltresRoom_hns</t>
        </is>
      </c>
      <c r="C856" s="48" t="inlineStr">
        <is>
          <t>Matin, jour, soir</t>
        </is>
      </c>
      <c r="D856" s="56" t="inlineStr">
        <is>
          <t>Super Canne</t>
        </is>
      </c>
      <c r="E856" s="50" t="inlineStr">
        <is>
          <t>MAGICARPE</t>
        </is>
      </c>
      <c r="F856" s="51" t="n">
        <v>0.44</v>
      </c>
      <c r="G856" s="52" t="n">
        <v>40</v>
      </c>
      <c r="H856" s="52" t="n">
        <v>40</v>
      </c>
      <c r="I856" s="29">
        <f>IF(OR(COUNTIF('Suivi des rencontres'!$A:$A,$A856)&gt;0,COUNTIF('Suivi des rencontres'!$C:$C,$J856)&gt;0),"Non","Oui")</f>
        <v/>
      </c>
      <c r="J856" s="30" t="inlineStr">
        <is>
          <t>MAGICARPE</t>
        </is>
      </c>
    </row>
    <row r="857">
      <c r="A857" s="47" t="inlineStr">
        <is>
          <t>Mont Argenté</t>
        </is>
      </c>
      <c r="B857" s="47" t="inlineStr">
        <is>
          <t>MtSilver_1F_MoltresRoom_hns</t>
        </is>
      </c>
      <c r="C857" s="48" t="inlineStr">
        <is>
          <t>Matin, jour, soir</t>
        </is>
      </c>
      <c r="D857" s="56" t="inlineStr">
        <is>
          <t>Super Canne</t>
        </is>
      </c>
      <c r="E857" s="50" t="inlineStr">
        <is>
          <t>TETARTE</t>
        </is>
      </c>
      <c r="F857" s="51" t="n">
        <v>0.4</v>
      </c>
      <c r="G857" s="52" t="n">
        <v>40</v>
      </c>
      <c r="H857" s="52" t="n">
        <v>40</v>
      </c>
      <c r="I857" s="29">
        <f>IF(OR(COUNTIF('Suivi des rencontres'!$A:$A,$A857)&gt;0,COUNTIF('Suivi des rencontres'!$C:$C,$J857)&gt;0),"Non","Oui")</f>
        <v/>
      </c>
      <c r="J857" s="30" t="inlineStr">
        <is>
          <t>PTITARD</t>
        </is>
      </c>
    </row>
    <row r="858">
      <c r="A858" s="47" t="inlineStr">
        <is>
          <t>Mont Argenté</t>
        </is>
      </c>
      <c r="B858" s="47" t="inlineStr">
        <is>
          <t>MtSilver_1F_MoltresRoom_hns</t>
        </is>
      </c>
      <c r="C858" s="48" t="inlineStr">
        <is>
          <t>Matin, jour, soir</t>
        </is>
      </c>
      <c r="D858" s="56" t="inlineStr">
        <is>
          <t>Super Canne</t>
        </is>
      </c>
      <c r="E858" s="50" t="inlineStr">
        <is>
          <t>PTITARD</t>
        </is>
      </c>
      <c r="F858" s="51" t="n">
        <v>0.16</v>
      </c>
      <c r="G858" s="52" t="n">
        <v>40</v>
      </c>
      <c r="H858" s="52" t="n">
        <v>40</v>
      </c>
      <c r="I858" s="29">
        <f>IF(OR(COUNTIF('Suivi des rencontres'!$A:$A,$A858)&gt;0,COUNTIF('Suivi des rencontres'!$C:$C,$J858)&gt;0),"Non","Oui")</f>
        <v/>
      </c>
      <c r="J858" s="30" t="inlineStr">
        <is>
          <t>PTITARD</t>
        </is>
      </c>
    </row>
    <row r="859">
      <c r="A859" s="47" t="inlineStr">
        <is>
          <t>Mont Argenté</t>
        </is>
      </c>
      <c r="B859" s="47" t="inlineStr">
        <is>
          <t>MtSilver_1F_MoltresRoom_hns</t>
        </is>
      </c>
      <c r="C859" s="62" t="inlineStr">
        <is>
          <t>Nuit</t>
        </is>
      </c>
      <c r="D859" s="56" t="inlineStr">
        <is>
          <t>Super Canne</t>
        </is>
      </c>
      <c r="E859" s="50" t="inlineStr">
        <is>
          <t>MAGICARPE</t>
        </is>
      </c>
      <c r="F859" s="51" t="n">
        <v>0.44</v>
      </c>
      <c r="G859" s="52" t="n">
        <v>40</v>
      </c>
      <c r="H859" s="52" t="n">
        <v>40</v>
      </c>
      <c r="I859" s="29">
        <f>IF(OR(COUNTIF('Suivi des rencontres'!$A:$A,$A859)&gt;0,COUNTIF('Suivi des rencontres'!$C:$C,$J859)&gt;0),"Non","Oui")</f>
        <v/>
      </c>
      <c r="J859" s="30" t="inlineStr">
        <is>
          <t>MAGICARPE</t>
        </is>
      </c>
    </row>
    <row r="860">
      <c r="A860" s="47" t="inlineStr">
        <is>
          <t>Mont Argenté</t>
        </is>
      </c>
      <c r="B860" s="47" t="inlineStr">
        <is>
          <t>MtSilver_1F_MoltresRoom_hns</t>
        </is>
      </c>
      <c r="C860" s="62" t="inlineStr">
        <is>
          <t>Nuit</t>
        </is>
      </c>
      <c r="D860" s="56" t="inlineStr">
        <is>
          <t>Super Canne</t>
        </is>
      </c>
      <c r="E860" s="50" t="inlineStr">
        <is>
          <t>TETARTE</t>
        </is>
      </c>
      <c r="F860" s="51" t="n">
        <v>0.4</v>
      </c>
      <c r="G860" s="52" t="n">
        <v>40</v>
      </c>
      <c r="H860" s="52" t="n">
        <v>40</v>
      </c>
      <c r="I860" s="29">
        <f>IF(OR(COUNTIF('Suivi des rencontres'!$A:$A,$A860)&gt;0,COUNTIF('Suivi des rencontres'!$C:$C,$J860)&gt;0),"Non","Oui")</f>
        <v/>
      </c>
      <c r="J860" s="30" t="inlineStr">
        <is>
          <t>PTITARD</t>
        </is>
      </c>
    </row>
    <row r="861">
      <c r="A861" s="47" t="inlineStr">
        <is>
          <t>Mont Argenté</t>
        </is>
      </c>
      <c r="B861" s="47" t="inlineStr">
        <is>
          <t>MtSilver_1F_MoltresRoom_hns</t>
        </is>
      </c>
      <c r="C861" s="62" t="inlineStr">
        <is>
          <t>Nuit</t>
        </is>
      </c>
      <c r="D861" s="56" t="inlineStr">
        <is>
          <t>Super Canne</t>
        </is>
      </c>
      <c r="E861" s="50" t="inlineStr">
        <is>
          <t>PTITARD</t>
        </is>
      </c>
      <c r="F861" s="51" t="n">
        <v>0.16</v>
      </c>
      <c r="G861" s="52" t="n">
        <v>40</v>
      </c>
      <c r="H861" s="52" t="n">
        <v>40</v>
      </c>
      <c r="I861" s="29">
        <f>IF(OR(COUNTIF('Suivi des rencontres'!$A:$A,$A861)&gt;0,COUNTIF('Suivi des rencontres'!$C:$C,$J861)&gt;0),"Non","Oui")</f>
        <v/>
      </c>
      <c r="J861" s="30" t="inlineStr">
        <is>
          <t>PTITARD</t>
        </is>
      </c>
    </row>
    <row r="862">
      <c r="A862" s="47" t="inlineStr">
        <is>
          <t>Mont Argenté</t>
        </is>
      </c>
      <c r="B862" s="47" t="inlineStr">
        <is>
          <t>MtSilver_1F_WaterfallRoom_hns</t>
        </is>
      </c>
      <c r="C862" s="48" t="inlineStr">
        <is>
          <t>Matin, jour, soir</t>
        </is>
      </c>
      <c r="D862" s="49" t="inlineStr">
        <is>
          <t>Herbe</t>
        </is>
      </c>
      <c r="E862" s="50" t="inlineStr">
        <is>
          <t>URSARING</t>
        </is>
      </c>
      <c r="F862" s="51" t="n">
        <v>0.3</v>
      </c>
      <c r="G862" s="52" t="n">
        <v>64</v>
      </c>
      <c r="H862" s="52" t="n">
        <v>64</v>
      </c>
      <c r="I862" s="29">
        <f>IF(OR(COUNTIF('Suivi des rencontres'!$A:$A,$A862)&gt;0,COUNTIF('Suivi des rencontres'!$C:$C,$J862)&gt;0),"Non","Oui")</f>
        <v/>
      </c>
      <c r="J862" s="30" t="inlineStr">
        <is>
          <t>TEDDIURSA</t>
        </is>
      </c>
    </row>
    <row r="863">
      <c r="A863" s="47" t="inlineStr">
        <is>
          <t>Mont Argenté</t>
        </is>
      </c>
      <c r="B863" s="47" t="inlineStr">
        <is>
          <t>MtSilver_1F_WaterfallRoom_hns</t>
        </is>
      </c>
      <c r="C863" s="48" t="inlineStr">
        <is>
          <t>Matin, jour, soir</t>
        </is>
      </c>
      <c r="D863" s="49" t="inlineStr">
        <is>
          <t>Herbe</t>
        </is>
      </c>
      <c r="E863" s="50" t="inlineStr">
        <is>
          <t>GROLEM</t>
        </is>
      </c>
      <c r="F863" s="51" t="n">
        <v>0.2</v>
      </c>
      <c r="G863" s="52" t="n">
        <v>63</v>
      </c>
      <c r="H863" s="52" t="n">
        <v>63</v>
      </c>
      <c r="I863" s="29">
        <f>IF(OR(COUNTIF('Suivi des rencontres'!$A:$A,$A863)&gt;0,COUNTIF('Suivi des rencontres'!$C:$C,$J863)&gt;0),"Non","Oui")</f>
        <v/>
      </c>
      <c r="J863" s="30" t="inlineStr">
        <is>
          <t>RACAILLOU</t>
        </is>
      </c>
    </row>
    <row r="864">
      <c r="A864" s="47" t="inlineStr">
        <is>
          <t>Mont Argenté</t>
        </is>
      </c>
      <c r="B864" s="47" t="inlineStr">
        <is>
          <t>MtSilver_1F_WaterfallRoom_hns</t>
        </is>
      </c>
      <c r="C864" s="48" t="inlineStr">
        <is>
          <t>Matin, jour, soir</t>
        </is>
      </c>
      <c r="D864" s="49" t="inlineStr">
        <is>
          <t>Herbe</t>
        </is>
      </c>
      <c r="E864" s="50" t="inlineStr">
        <is>
          <t>ONIX</t>
        </is>
      </c>
      <c r="F864" s="51" t="n">
        <v>0.15</v>
      </c>
      <c r="G864" s="52" t="n">
        <v>62</v>
      </c>
      <c r="H864" s="52" t="n">
        <v>62</v>
      </c>
      <c r="I864" s="29">
        <f>IF(OR(COUNTIF('Suivi des rencontres'!$A:$A,$A864)&gt;0,COUNTIF('Suivi des rencontres'!$C:$C,$J864)&gt;0),"Non","Oui")</f>
        <v/>
      </c>
      <c r="J864" s="30" t="inlineStr">
        <is>
          <t>ONIX</t>
        </is>
      </c>
    </row>
    <row r="865">
      <c r="A865" s="47" t="inlineStr">
        <is>
          <t>Mont Argenté</t>
        </is>
      </c>
      <c r="B865" s="47" t="inlineStr">
        <is>
          <t>MtSilver_1F_WaterfallRoom_hns</t>
        </is>
      </c>
      <c r="C865" s="48" t="inlineStr">
        <is>
          <t>Matin, jour, soir</t>
        </is>
      </c>
      <c r="D865" s="49" t="inlineStr">
        <is>
          <t>Herbe</t>
        </is>
      </c>
      <c r="E865" s="50" t="inlineStr">
        <is>
          <t>MAGMAR</t>
        </is>
      </c>
      <c r="F865" s="51" t="n">
        <v>0.14</v>
      </c>
      <c r="G865" s="52" t="n">
        <v>65</v>
      </c>
      <c r="H865" s="52" t="n">
        <v>65</v>
      </c>
      <c r="I865" s="29">
        <f>IF(OR(COUNTIF('Suivi des rencontres'!$A:$A,$A865)&gt;0,COUNTIF('Suivi des rencontres'!$C:$C,$J865)&gt;0),"Non","Oui")</f>
        <v/>
      </c>
      <c r="J865" s="30" t="inlineStr">
        <is>
          <t>MAGBY</t>
        </is>
      </c>
    </row>
    <row r="866">
      <c r="A866" s="47" t="inlineStr">
        <is>
          <t>Mont Argenté</t>
        </is>
      </c>
      <c r="B866" s="47" t="inlineStr">
        <is>
          <t>MtSilver_1F_WaterfallRoom_hns</t>
        </is>
      </c>
      <c r="C866" s="48" t="inlineStr">
        <is>
          <t>Matin, jour, soir</t>
        </is>
      </c>
      <c r="D866" s="49" t="inlineStr">
        <is>
          <t>Herbe</t>
        </is>
      </c>
      <c r="E866" s="50" t="inlineStr">
        <is>
          <t>ELEKTEK</t>
        </is>
      </c>
      <c r="F866" s="51" t="n">
        <v>0.1</v>
      </c>
      <c r="G866" s="52" t="n">
        <v>63</v>
      </c>
      <c r="H866" s="52" t="n">
        <v>63</v>
      </c>
      <c r="I866" s="29">
        <f>IF(OR(COUNTIF('Suivi des rencontres'!$A:$A,$A866)&gt;0,COUNTIF('Suivi des rencontres'!$C:$C,$J866)&gt;0),"Non","Oui")</f>
        <v/>
      </c>
      <c r="J866" s="30" t="inlineStr">
        <is>
          <t>ELEKID</t>
        </is>
      </c>
    </row>
    <row r="867">
      <c r="A867" s="47" t="inlineStr">
        <is>
          <t>Mont Argenté</t>
        </is>
      </c>
      <c r="B867" s="47" t="inlineStr">
        <is>
          <t>MtSilver_1F_WaterfallRoom_hns</t>
        </is>
      </c>
      <c r="C867" s="48" t="inlineStr">
        <is>
          <t>Matin, jour, soir</t>
        </is>
      </c>
      <c r="D867" s="49" t="inlineStr">
        <is>
          <t>Herbe</t>
        </is>
      </c>
      <c r="E867" s="50" t="inlineStr">
        <is>
          <t>YMPHECT</t>
        </is>
      </c>
      <c r="F867" s="51" t="n">
        <v>0.05</v>
      </c>
      <c r="G867" s="52" t="n">
        <v>35</v>
      </c>
      <c r="H867" s="52" t="n">
        <v>40</v>
      </c>
      <c r="I867" s="29">
        <f>IF(OR(COUNTIF('Suivi des rencontres'!$A:$A,$A867)&gt;0,COUNTIF('Suivi des rencontres'!$C:$C,$J867)&gt;0),"Non","Oui")</f>
        <v/>
      </c>
      <c r="J867" s="30" t="inlineStr">
        <is>
          <t>EMBRYLEX</t>
        </is>
      </c>
    </row>
    <row r="868">
      <c r="A868" s="47" t="inlineStr">
        <is>
          <t>Mont Argenté</t>
        </is>
      </c>
      <c r="B868" s="47" t="inlineStr">
        <is>
          <t>MtSilver_1F_WaterfallRoom_hns</t>
        </is>
      </c>
      <c r="C868" s="48" t="inlineStr">
        <is>
          <t>Matin, jour, soir</t>
        </is>
      </c>
      <c r="D868" s="49" t="inlineStr">
        <is>
          <t>Herbe</t>
        </is>
      </c>
      <c r="E868" s="50" t="inlineStr">
        <is>
          <t>NOSFERALTO</t>
        </is>
      </c>
      <c r="F868" s="51" t="n">
        <v>0.04</v>
      </c>
      <c r="G868" s="52" t="n">
        <v>65</v>
      </c>
      <c r="H868" s="52" t="n">
        <v>65</v>
      </c>
      <c r="I868" s="29">
        <f>IF(OR(COUNTIF('Suivi des rencontres'!$A:$A,$A868)&gt;0,COUNTIF('Suivi des rencontres'!$C:$C,$J868)&gt;0),"Non","Oui")</f>
        <v/>
      </c>
      <c r="J868" s="30" t="inlineStr">
        <is>
          <t>NOSFERAPTI</t>
        </is>
      </c>
    </row>
    <row r="869">
      <c r="A869" s="47" t="inlineStr">
        <is>
          <t>Mont Argenté</t>
        </is>
      </c>
      <c r="B869" s="47" t="inlineStr">
        <is>
          <t>MtSilver_1F_WaterfallRoom_hns</t>
        </is>
      </c>
      <c r="C869" s="48" t="inlineStr">
        <is>
          <t>Matin, jour, soir</t>
        </is>
      </c>
      <c r="D869" s="49" t="inlineStr">
        <is>
          <t>Herbe</t>
        </is>
      </c>
      <c r="E869" s="50" t="inlineStr">
        <is>
          <t>EMBRYLEX</t>
        </is>
      </c>
      <c r="F869" s="51" t="n">
        <v>0.01</v>
      </c>
      <c r="G869" s="52" t="n">
        <v>15</v>
      </c>
      <c r="H869" s="52" t="n">
        <v>20</v>
      </c>
      <c r="I869" s="29">
        <f>IF(OR(COUNTIF('Suivi des rencontres'!$A:$A,$A869)&gt;0,COUNTIF('Suivi des rencontres'!$C:$C,$J869)&gt;0),"Non","Oui")</f>
        <v/>
      </c>
      <c r="J869" s="30" t="inlineStr">
        <is>
          <t>EMBRYLEX</t>
        </is>
      </c>
    </row>
    <row r="870">
      <c r="A870" s="47" t="inlineStr">
        <is>
          <t>Mont Argenté</t>
        </is>
      </c>
      <c r="B870" s="47" t="inlineStr">
        <is>
          <t>MtSilver_1F_WaterfallRoom_hns</t>
        </is>
      </c>
      <c r="C870" s="48" t="inlineStr">
        <is>
          <t>Matin, jour, soir</t>
        </is>
      </c>
      <c r="D870" s="49" t="inlineStr">
        <is>
          <t>Herbe</t>
        </is>
      </c>
      <c r="E870" s="50" t="inlineStr">
        <is>
          <t>PARASECT</t>
        </is>
      </c>
      <c r="F870" s="51" t="n">
        <v>0.01</v>
      </c>
      <c r="G870" s="52" t="n">
        <v>65</v>
      </c>
      <c r="H870" s="52" t="n">
        <v>65</v>
      </c>
      <c r="I870" s="29">
        <f>IF(OR(COUNTIF('Suivi des rencontres'!$A:$A,$A870)&gt;0,COUNTIF('Suivi des rencontres'!$C:$C,$J870)&gt;0),"Non","Oui")</f>
        <v/>
      </c>
      <c r="J870" s="30" t="inlineStr">
        <is>
          <t>PARAS</t>
        </is>
      </c>
    </row>
    <row r="871">
      <c r="A871" s="47" t="inlineStr">
        <is>
          <t>Mont Argenté</t>
        </is>
      </c>
      <c r="B871" s="47" t="inlineStr">
        <is>
          <t>MtSilver_1F_WaterfallRoom_hns</t>
        </is>
      </c>
      <c r="C871" s="62" t="inlineStr">
        <is>
          <t>Nuit</t>
        </is>
      </c>
      <c r="D871" s="49" t="inlineStr">
        <is>
          <t>Herbe</t>
        </is>
      </c>
      <c r="E871" s="50" t="inlineStr">
        <is>
          <t>URSARING</t>
        </is>
      </c>
      <c r="F871" s="51" t="n">
        <v>0.3</v>
      </c>
      <c r="G871" s="52" t="n">
        <v>64</v>
      </c>
      <c r="H871" s="52" t="n">
        <v>64</v>
      </c>
      <c r="I871" s="29">
        <f>IF(OR(COUNTIF('Suivi des rencontres'!$A:$A,$A871)&gt;0,COUNTIF('Suivi des rencontres'!$C:$C,$J871)&gt;0),"Non","Oui")</f>
        <v/>
      </c>
      <c r="J871" s="30" t="inlineStr">
        <is>
          <t>TEDDIURSA</t>
        </is>
      </c>
    </row>
    <row r="872">
      <c r="A872" s="47" t="inlineStr">
        <is>
          <t>Mont Argenté</t>
        </is>
      </c>
      <c r="B872" s="47" t="inlineStr">
        <is>
          <t>MtSilver_1F_WaterfallRoom_hns</t>
        </is>
      </c>
      <c r="C872" s="62" t="inlineStr">
        <is>
          <t>Nuit</t>
        </is>
      </c>
      <c r="D872" s="49" t="inlineStr">
        <is>
          <t>Herbe</t>
        </is>
      </c>
      <c r="E872" s="50" t="inlineStr">
        <is>
          <t>GROLEM</t>
        </is>
      </c>
      <c r="F872" s="51" t="n">
        <v>0.2</v>
      </c>
      <c r="G872" s="52" t="n">
        <v>63</v>
      </c>
      <c r="H872" s="52" t="n">
        <v>63</v>
      </c>
      <c r="I872" s="29">
        <f>IF(OR(COUNTIF('Suivi des rencontres'!$A:$A,$A872)&gt;0,COUNTIF('Suivi des rencontres'!$C:$C,$J872)&gt;0),"Non","Oui")</f>
        <v/>
      </c>
      <c r="J872" s="30" t="inlineStr">
        <is>
          <t>RACAILLOU</t>
        </is>
      </c>
    </row>
    <row r="873">
      <c r="A873" s="47" t="inlineStr">
        <is>
          <t>Mont Argenté</t>
        </is>
      </c>
      <c r="B873" s="47" t="inlineStr">
        <is>
          <t>MtSilver_1F_WaterfallRoom_hns</t>
        </is>
      </c>
      <c r="C873" s="62" t="inlineStr">
        <is>
          <t>Nuit</t>
        </is>
      </c>
      <c r="D873" s="49" t="inlineStr">
        <is>
          <t>Herbe</t>
        </is>
      </c>
      <c r="E873" s="50" t="inlineStr">
        <is>
          <t>ONIX</t>
        </is>
      </c>
      <c r="F873" s="51" t="n">
        <v>0.15</v>
      </c>
      <c r="G873" s="52" t="n">
        <v>62</v>
      </c>
      <c r="H873" s="52" t="n">
        <v>62</v>
      </c>
      <c r="I873" s="29">
        <f>IF(OR(COUNTIF('Suivi des rencontres'!$A:$A,$A873)&gt;0,COUNTIF('Suivi des rencontres'!$C:$C,$J873)&gt;0),"Non","Oui")</f>
        <v/>
      </c>
      <c r="J873" s="30" t="inlineStr">
        <is>
          <t>ONIX</t>
        </is>
      </c>
    </row>
    <row r="874">
      <c r="A874" s="47" t="inlineStr">
        <is>
          <t>Mont Argenté</t>
        </is>
      </c>
      <c r="B874" s="47" t="inlineStr">
        <is>
          <t>MtSilver_1F_WaterfallRoom_hns</t>
        </is>
      </c>
      <c r="C874" s="62" t="inlineStr">
        <is>
          <t>Nuit</t>
        </is>
      </c>
      <c r="D874" s="49" t="inlineStr">
        <is>
          <t>Herbe</t>
        </is>
      </c>
      <c r="E874" s="50" t="inlineStr">
        <is>
          <t>AKWAKWAK</t>
        </is>
      </c>
      <c r="F874" s="51" t="n">
        <v>0.1</v>
      </c>
      <c r="G874" s="52" t="n">
        <v>63</v>
      </c>
      <c r="H874" s="52" t="n">
        <v>63</v>
      </c>
      <c r="I874" s="29">
        <f>IF(OR(COUNTIF('Suivi des rencontres'!$A:$A,$A874)&gt;0,COUNTIF('Suivi des rencontres'!$C:$C,$J874)&gt;0),"Non","Oui")</f>
        <v/>
      </c>
      <c r="J874" s="30" t="inlineStr">
        <is>
          <t>PSYKOKWAK</t>
        </is>
      </c>
    </row>
    <row r="875">
      <c r="A875" s="47" t="inlineStr">
        <is>
          <t>Mont Argenté</t>
        </is>
      </c>
      <c r="B875" s="47" t="inlineStr">
        <is>
          <t>MtSilver_1F_WaterfallRoom_hns</t>
        </is>
      </c>
      <c r="C875" s="62" t="inlineStr">
        <is>
          <t>Nuit</t>
        </is>
      </c>
      <c r="D875" s="49" t="inlineStr">
        <is>
          <t>Herbe</t>
        </is>
      </c>
      <c r="E875" s="50" t="inlineStr">
        <is>
          <t>MAGIREVE</t>
        </is>
      </c>
      <c r="F875" s="51" t="n">
        <v>0.1</v>
      </c>
      <c r="G875" s="52" t="n">
        <v>65</v>
      </c>
      <c r="H875" s="52" t="n">
        <v>65</v>
      </c>
      <c r="I875" s="29">
        <f>IF(OR(COUNTIF('Suivi des rencontres'!$A:$A,$A875)&gt;0,COUNTIF('Suivi des rencontres'!$C:$C,$J875)&gt;0),"Non","Oui")</f>
        <v/>
      </c>
      <c r="J875" s="30" t="inlineStr">
        <is>
          <t>FEUFOREVE</t>
        </is>
      </c>
    </row>
    <row r="876">
      <c r="A876" s="47" t="inlineStr">
        <is>
          <t>Mont Argenté</t>
        </is>
      </c>
      <c r="B876" s="47" t="inlineStr">
        <is>
          <t>MtSilver_1F_WaterfallRoom_hns</t>
        </is>
      </c>
      <c r="C876" s="62" t="inlineStr">
        <is>
          <t>Nuit</t>
        </is>
      </c>
      <c r="D876" s="49" t="inlineStr">
        <is>
          <t>Herbe</t>
        </is>
      </c>
      <c r="E876" s="50" t="inlineStr">
        <is>
          <t>YMPHECT</t>
        </is>
      </c>
      <c r="F876" s="51" t="n">
        <v>0.05</v>
      </c>
      <c r="G876" s="52" t="n">
        <v>35</v>
      </c>
      <c r="H876" s="52" t="n">
        <v>40</v>
      </c>
      <c r="I876" s="29">
        <f>IF(OR(COUNTIF('Suivi des rencontres'!$A:$A,$A876)&gt;0,COUNTIF('Suivi des rencontres'!$C:$C,$J876)&gt;0),"Non","Oui")</f>
        <v/>
      </c>
      <c r="J876" s="30" t="inlineStr">
        <is>
          <t>EMBRYLEX</t>
        </is>
      </c>
    </row>
    <row r="877">
      <c r="A877" s="47" t="inlineStr">
        <is>
          <t>Mont Argenté</t>
        </is>
      </c>
      <c r="B877" s="47" t="inlineStr">
        <is>
          <t>MtSilver_1F_WaterfallRoom_hns</t>
        </is>
      </c>
      <c r="C877" s="62" t="inlineStr">
        <is>
          <t>Nuit</t>
        </is>
      </c>
      <c r="D877" s="49" t="inlineStr">
        <is>
          <t>Herbe</t>
        </is>
      </c>
      <c r="E877" s="50" t="inlineStr">
        <is>
          <t>MAGMAR</t>
        </is>
      </c>
      <c r="F877" s="51" t="n">
        <v>0.04</v>
      </c>
      <c r="G877" s="52" t="n">
        <v>65</v>
      </c>
      <c r="H877" s="52" t="n">
        <v>65</v>
      </c>
      <c r="I877" s="29">
        <f>IF(OR(COUNTIF('Suivi des rencontres'!$A:$A,$A877)&gt;0,COUNTIF('Suivi des rencontres'!$C:$C,$J877)&gt;0),"Non","Oui")</f>
        <v/>
      </c>
      <c r="J877" s="30" t="inlineStr">
        <is>
          <t>MAGBY</t>
        </is>
      </c>
    </row>
    <row r="878">
      <c r="A878" s="47" t="inlineStr">
        <is>
          <t>Mont Argenté</t>
        </is>
      </c>
      <c r="B878" s="47" t="inlineStr">
        <is>
          <t>MtSilver_1F_WaterfallRoom_hns</t>
        </is>
      </c>
      <c r="C878" s="62" t="inlineStr">
        <is>
          <t>Nuit</t>
        </is>
      </c>
      <c r="D878" s="49" t="inlineStr">
        <is>
          <t>Herbe</t>
        </is>
      </c>
      <c r="E878" s="50" t="inlineStr">
        <is>
          <t>NOSFERALTO</t>
        </is>
      </c>
      <c r="F878" s="51" t="n">
        <v>0.04</v>
      </c>
      <c r="G878" s="52" t="n">
        <v>65</v>
      </c>
      <c r="H878" s="52" t="n">
        <v>65</v>
      </c>
      <c r="I878" s="29">
        <f>IF(OR(COUNTIF('Suivi des rencontres'!$A:$A,$A878)&gt;0,COUNTIF('Suivi des rencontres'!$C:$C,$J878)&gt;0),"Non","Oui")</f>
        <v/>
      </c>
      <c r="J878" s="30" t="inlineStr">
        <is>
          <t>NOSFERAPTI</t>
        </is>
      </c>
    </row>
    <row r="879">
      <c r="A879" s="47" t="inlineStr">
        <is>
          <t>Mont Argenté</t>
        </is>
      </c>
      <c r="B879" s="47" t="inlineStr">
        <is>
          <t>MtSilver_1F_WaterfallRoom_hns</t>
        </is>
      </c>
      <c r="C879" s="62" t="inlineStr">
        <is>
          <t>Nuit</t>
        </is>
      </c>
      <c r="D879" s="49" t="inlineStr">
        <is>
          <t>Herbe</t>
        </is>
      </c>
      <c r="E879" s="50" t="inlineStr">
        <is>
          <t>EMBRYLEX</t>
        </is>
      </c>
      <c r="F879" s="51" t="n">
        <v>0.01</v>
      </c>
      <c r="G879" s="52" t="n">
        <v>15</v>
      </c>
      <c r="H879" s="52" t="n">
        <v>20</v>
      </c>
      <c r="I879" s="29">
        <f>IF(OR(COUNTIF('Suivi des rencontres'!$A:$A,$A879)&gt;0,COUNTIF('Suivi des rencontres'!$C:$C,$J879)&gt;0),"Non","Oui")</f>
        <v/>
      </c>
      <c r="J879" s="30" t="inlineStr">
        <is>
          <t>EMBRYLEX</t>
        </is>
      </c>
    </row>
    <row r="880">
      <c r="A880" s="47" t="inlineStr">
        <is>
          <t>Mont Argenté</t>
        </is>
      </c>
      <c r="B880" s="47" t="inlineStr">
        <is>
          <t>MtSilver_1F_WaterfallRoom_hns</t>
        </is>
      </c>
      <c r="C880" s="62" t="inlineStr">
        <is>
          <t>Nuit</t>
        </is>
      </c>
      <c r="D880" s="49" t="inlineStr">
        <is>
          <t>Herbe</t>
        </is>
      </c>
      <c r="E880" s="50" t="inlineStr">
        <is>
          <t>PARASECT</t>
        </is>
      </c>
      <c r="F880" s="51" t="n">
        <v>0.01</v>
      </c>
      <c r="G880" s="52" t="n">
        <v>65</v>
      </c>
      <c r="H880" s="52" t="n">
        <v>65</v>
      </c>
      <c r="I880" s="29">
        <f>IF(OR(COUNTIF('Suivi des rencontres'!$A:$A,$A880)&gt;0,COUNTIF('Suivi des rencontres'!$C:$C,$J880)&gt;0),"Non","Oui")</f>
        <v/>
      </c>
      <c r="J880" s="30" t="inlineStr">
        <is>
          <t>PARAS</t>
        </is>
      </c>
    </row>
    <row r="881">
      <c r="A881" s="47" t="inlineStr">
        <is>
          <t>Mont Argenté</t>
        </is>
      </c>
      <c r="B881" s="47" t="inlineStr">
        <is>
          <t>MtSilver_1F_WaterfallRoom_hns</t>
        </is>
      </c>
      <c r="C881" s="48" t="inlineStr">
        <is>
          <t>Matin, jour, soir</t>
        </is>
      </c>
      <c r="D881" s="53" t="inlineStr">
        <is>
          <t>Surf</t>
        </is>
      </c>
      <c r="E881" s="50" t="inlineStr">
        <is>
          <t>AKWAKWAK</t>
        </is>
      </c>
      <c r="F881" s="51" t="n">
        <v>0.6</v>
      </c>
      <c r="G881" s="52" t="n">
        <v>60</v>
      </c>
      <c r="H881" s="52" t="n">
        <v>65</v>
      </c>
      <c r="I881" s="29">
        <f>IF(OR(COUNTIF('Suivi des rencontres'!$A:$A,$A881)&gt;0,COUNTIF('Suivi des rencontres'!$C:$C,$J881)&gt;0),"Non","Oui")</f>
        <v/>
      </c>
      <c r="J881" s="30" t="inlineStr">
        <is>
          <t>PSYKOKWAK</t>
        </is>
      </c>
    </row>
    <row r="882">
      <c r="A882" s="47" t="inlineStr">
        <is>
          <t>Mont Argenté</t>
        </is>
      </c>
      <c r="B882" s="47" t="inlineStr">
        <is>
          <t>MtSilver_1F_WaterfallRoom_hns</t>
        </is>
      </c>
      <c r="C882" s="48" t="inlineStr">
        <is>
          <t>Matin, jour, soir</t>
        </is>
      </c>
      <c r="D882" s="53" t="inlineStr">
        <is>
          <t>Surf</t>
        </is>
      </c>
      <c r="E882" s="50" t="inlineStr">
        <is>
          <t>POISSOROY</t>
        </is>
      </c>
      <c r="F882" s="51" t="n">
        <v>0.3</v>
      </c>
      <c r="G882" s="52" t="n">
        <v>60</v>
      </c>
      <c r="H882" s="52" t="n">
        <v>65</v>
      </c>
      <c r="I882" s="29">
        <f>IF(OR(COUNTIF('Suivi des rencontres'!$A:$A,$A882)&gt;0,COUNTIF('Suivi des rencontres'!$C:$C,$J882)&gt;0),"Non","Oui")</f>
        <v/>
      </c>
      <c r="J882" s="30" t="inlineStr">
        <is>
          <t>POISSIRENE</t>
        </is>
      </c>
    </row>
    <row r="883">
      <c r="A883" s="47" t="inlineStr">
        <is>
          <t>Mont Argenté</t>
        </is>
      </c>
      <c r="B883" s="47" t="inlineStr">
        <is>
          <t>MtSilver_1F_WaterfallRoom_hns</t>
        </is>
      </c>
      <c r="C883" s="48" t="inlineStr">
        <is>
          <t>Matin, jour, soir</t>
        </is>
      </c>
      <c r="D883" s="53" t="inlineStr">
        <is>
          <t>Surf</t>
        </is>
      </c>
      <c r="E883" s="50" t="inlineStr">
        <is>
          <t>LOKHLASS</t>
        </is>
      </c>
      <c r="F883" s="51" t="n">
        <v>0.1</v>
      </c>
      <c r="G883" s="52" t="n">
        <v>40</v>
      </c>
      <c r="H883" s="52" t="n">
        <v>60</v>
      </c>
      <c r="I883" s="29">
        <f>IF(OR(COUNTIF('Suivi des rencontres'!$A:$A,$A883)&gt;0,COUNTIF('Suivi des rencontres'!$C:$C,$J883)&gt;0),"Non","Oui")</f>
        <v/>
      </c>
      <c r="J883" s="30" t="inlineStr">
        <is>
          <t>LOKHLASS</t>
        </is>
      </c>
    </row>
    <row r="884">
      <c r="A884" s="47" t="inlineStr">
        <is>
          <t>Mont Argenté</t>
        </is>
      </c>
      <c r="B884" s="47" t="inlineStr">
        <is>
          <t>MtSilver_1F_WaterfallRoom_hns</t>
        </is>
      </c>
      <c r="C884" s="62" t="inlineStr">
        <is>
          <t>Nuit</t>
        </is>
      </c>
      <c r="D884" s="53" t="inlineStr">
        <is>
          <t>Surf</t>
        </is>
      </c>
      <c r="E884" s="50" t="inlineStr">
        <is>
          <t>AKWAKWAK</t>
        </is>
      </c>
      <c r="F884" s="51" t="n">
        <v>0.6</v>
      </c>
      <c r="G884" s="52" t="n">
        <v>60</v>
      </c>
      <c r="H884" s="52" t="n">
        <v>65</v>
      </c>
      <c r="I884" s="29">
        <f>IF(OR(COUNTIF('Suivi des rencontres'!$A:$A,$A884)&gt;0,COUNTIF('Suivi des rencontres'!$C:$C,$J884)&gt;0),"Non","Oui")</f>
        <v/>
      </c>
      <c r="J884" s="30" t="inlineStr">
        <is>
          <t>PSYKOKWAK</t>
        </is>
      </c>
    </row>
    <row r="885">
      <c r="A885" s="47" t="inlineStr">
        <is>
          <t>Mont Argenté</t>
        </is>
      </c>
      <c r="B885" s="47" t="inlineStr">
        <is>
          <t>MtSilver_1F_WaterfallRoom_hns</t>
        </is>
      </c>
      <c r="C885" s="62" t="inlineStr">
        <is>
          <t>Nuit</t>
        </is>
      </c>
      <c r="D885" s="53" t="inlineStr">
        <is>
          <t>Surf</t>
        </is>
      </c>
      <c r="E885" s="50" t="inlineStr">
        <is>
          <t>POISSOROY</t>
        </is>
      </c>
      <c r="F885" s="51" t="n">
        <v>0.3</v>
      </c>
      <c r="G885" s="52" t="n">
        <v>60</v>
      </c>
      <c r="H885" s="52" t="n">
        <v>65</v>
      </c>
      <c r="I885" s="29">
        <f>IF(OR(COUNTIF('Suivi des rencontres'!$A:$A,$A885)&gt;0,COUNTIF('Suivi des rencontres'!$C:$C,$J885)&gt;0),"Non","Oui")</f>
        <v/>
      </c>
      <c r="J885" s="30" t="inlineStr">
        <is>
          <t>POISSIRENE</t>
        </is>
      </c>
    </row>
    <row r="886">
      <c r="A886" s="47" t="inlineStr">
        <is>
          <t>Mont Argenté</t>
        </is>
      </c>
      <c r="B886" s="47" t="inlineStr">
        <is>
          <t>MtSilver_1F_WaterfallRoom_hns</t>
        </is>
      </c>
      <c r="C886" s="62" t="inlineStr">
        <is>
          <t>Nuit</t>
        </is>
      </c>
      <c r="D886" s="53" t="inlineStr">
        <is>
          <t>Surf</t>
        </is>
      </c>
      <c r="E886" s="50" t="inlineStr">
        <is>
          <t>LOKHLASS</t>
        </is>
      </c>
      <c r="F886" s="51" t="n">
        <v>0.1</v>
      </c>
      <c r="G886" s="52" t="n">
        <v>40</v>
      </c>
      <c r="H886" s="52" t="n">
        <v>60</v>
      </c>
      <c r="I886" s="29">
        <f>IF(OR(COUNTIF('Suivi des rencontres'!$A:$A,$A886)&gt;0,COUNTIF('Suivi des rencontres'!$C:$C,$J886)&gt;0),"Non","Oui")</f>
        <v/>
      </c>
      <c r="J886" s="30" t="inlineStr">
        <is>
          <t>LOKHLASS</t>
        </is>
      </c>
    </row>
    <row r="887">
      <c r="A887" s="47" t="inlineStr">
        <is>
          <t>Mont Argenté</t>
        </is>
      </c>
      <c r="B887" s="47" t="inlineStr">
        <is>
          <t>MtSilver_1F_WaterfallRoom_hns</t>
        </is>
      </c>
      <c r="C887" s="48" t="inlineStr">
        <is>
          <t>Matin, jour, soir</t>
        </is>
      </c>
      <c r="D887" s="54" t="inlineStr">
        <is>
          <t>Vieille Canne</t>
        </is>
      </c>
      <c r="E887" s="50" t="inlineStr">
        <is>
          <t>MAGICARPE</t>
        </is>
      </c>
      <c r="F887" s="51" t="n">
        <v>0.7</v>
      </c>
      <c r="G887" s="52" t="n">
        <v>10</v>
      </c>
      <c r="H887" s="52" t="n">
        <v>10</v>
      </c>
      <c r="I887" s="29">
        <f>IF(OR(COUNTIF('Suivi des rencontres'!$A:$A,$A887)&gt;0,COUNTIF('Suivi des rencontres'!$C:$C,$J887)&gt;0),"Non","Oui")</f>
        <v/>
      </c>
      <c r="J887" s="30" t="inlineStr">
        <is>
          <t>MAGICARPE</t>
        </is>
      </c>
    </row>
    <row r="888">
      <c r="A888" s="47" t="inlineStr">
        <is>
          <t>Mont Argenté</t>
        </is>
      </c>
      <c r="B888" s="47" t="inlineStr">
        <is>
          <t>MtSilver_1F_WaterfallRoom_hns</t>
        </is>
      </c>
      <c r="C888" s="48" t="inlineStr">
        <is>
          <t>Matin, jour, soir</t>
        </is>
      </c>
      <c r="D888" s="54" t="inlineStr">
        <is>
          <t>Vieille Canne</t>
        </is>
      </c>
      <c r="E888" s="50" t="inlineStr">
        <is>
          <t>PTITARD</t>
        </is>
      </c>
      <c r="F888" s="51" t="n">
        <v>0.3</v>
      </c>
      <c r="G888" s="52" t="n">
        <v>10</v>
      </c>
      <c r="H888" s="52" t="n">
        <v>10</v>
      </c>
      <c r="I888" s="29">
        <f>IF(OR(COUNTIF('Suivi des rencontres'!$A:$A,$A888)&gt;0,COUNTIF('Suivi des rencontres'!$C:$C,$J888)&gt;0),"Non","Oui")</f>
        <v/>
      </c>
      <c r="J888" s="30" t="inlineStr">
        <is>
          <t>PTITARD</t>
        </is>
      </c>
    </row>
    <row r="889">
      <c r="A889" s="47" t="inlineStr">
        <is>
          <t>Mont Argenté</t>
        </is>
      </c>
      <c r="B889" s="47" t="inlineStr">
        <is>
          <t>MtSilver_1F_WaterfallRoom_hns</t>
        </is>
      </c>
      <c r="C889" s="62" t="inlineStr">
        <is>
          <t>Nuit</t>
        </is>
      </c>
      <c r="D889" s="54" t="inlineStr">
        <is>
          <t>Vieille Canne</t>
        </is>
      </c>
      <c r="E889" s="50" t="inlineStr">
        <is>
          <t>MAGICARPE</t>
        </is>
      </c>
      <c r="F889" s="51" t="n">
        <v>0.7</v>
      </c>
      <c r="G889" s="52" t="n">
        <v>10</v>
      </c>
      <c r="H889" s="52" t="n">
        <v>10</v>
      </c>
      <c r="I889" s="29">
        <f>IF(OR(COUNTIF('Suivi des rencontres'!$A:$A,$A889)&gt;0,COUNTIF('Suivi des rencontres'!$C:$C,$J889)&gt;0),"Non","Oui")</f>
        <v/>
      </c>
      <c r="J889" s="30" t="inlineStr">
        <is>
          <t>MAGICARPE</t>
        </is>
      </c>
    </row>
    <row r="890">
      <c r="A890" s="47" t="inlineStr">
        <is>
          <t>Mont Argenté</t>
        </is>
      </c>
      <c r="B890" s="47" t="inlineStr">
        <is>
          <t>MtSilver_1F_WaterfallRoom_hns</t>
        </is>
      </c>
      <c r="C890" s="62" t="inlineStr">
        <is>
          <t>Nuit</t>
        </is>
      </c>
      <c r="D890" s="54" t="inlineStr">
        <is>
          <t>Vieille Canne</t>
        </is>
      </c>
      <c r="E890" s="50" t="inlineStr">
        <is>
          <t>PTITARD</t>
        </is>
      </c>
      <c r="F890" s="51" t="n">
        <v>0.3</v>
      </c>
      <c r="G890" s="52" t="n">
        <v>10</v>
      </c>
      <c r="H890" s="52" t="n">
        <v>10</v>
      </c>
      <c r="I890" s="29">
        <f>IF(OR(COUNTIF('Suivi des rencontres'!$A:$A,$A890)&gt;0,COUNTIF('Suivi des rencontres'!$C:$C,$J890)&gt;0),"Non","Oui")</f>
        <v/>
      </c>
      <c r="J890" s="30" t="inlineStr">
        <is>
          <t>PTITARD</t>
        </is>
      </c>
    </row>
    <row r="891">
      <c r="A891" s="47" t="inlineStr">
        <is>
          <t>Mont Argenté</t>
        </is>
      </c>
      <c r="B891" s="47" t="inlineStr">
        <is>
          <t>MtSilver_1F_WaterfallRoom_hns</t>
        </is>
      </c>
      <c r="C891" s="48" t="inlineStr">
        <is>
          <t>Matin, jour, soir</t>
        </is>
      </c>
      <c r="D891" s="55" t="inlineStr">
        <is>
          <t>Bonne Canne</t>
        </is>
      </c>
      <c r="E891" s="50" t="inlineStr">
        <is>
          <t>PTITARD</t>
        </is>
      </c>
      <c r="F891" s="51" t="n">
        <v>0.8</v>
      </c>
      <c r="G891" s="52" t="n">
        <v>20</v>
      </c>
      <c r="H891" s="52" t="n">
        <v>40</v>
      </c>
      <c r="I891" s="29">
        <f>IF(OR(COUNTIF('Suivi des rencontres'!$A:$A,$A891)&gt;0,COUNTIF('Suivi des rencontres'!$C:$C,$J891)&gt;0),"Non","Oui")</f>
        <v/>
      </c>
      <c r="J891" s="30" t="inlineStr">
        <is>
          <t>PTITARD</t>
        </is>
      </c>
    </row>
    <row r="892">
      <c r="A892" s="47" t="inlineStr">
        <is>
          <t>Mont Argenté</t>
        </is>
      </c>
      <c r="B892" s="47" t="inlineStr">
        <is>
          <t>MtSilver_1F_WaterfallRoom_hns</t>
        </is>
      </c>
      <c r="C892" s="48" t="inlineStr">
        <is>
          <t>Matin, jour, soir</t>
        </is>
      </c>
      <c r="D892" s="55" t="inlineStr">
        <is>
          <t>Bonne Canne</t>
        </is>
      </c>
      <c r="E892" s="50" t="inlineStr">
        <is>
          <t>MAGICARPE</t>
        </is>
      </c>
      <c r="F892" s="51" t="n">
        <v>0.2</v>
      </c>
      <c r="G892" s="52" t="n">
        <v>20</v>
      </c>
      <c r="H892" s="52" t="n">
        <v>20</v>
      </c>
      <c r="I892" s="29">
        <f>IF(OR(COUNTIF('Suivi des rencontres'!$A:$A,$A892)&gt;0,COUNTIF('Suivi des rencontres'!$C:$C,$J892)&gt;0),"Non","Oui")</f>
        <v/>
      </c>
      <c r="J892" s="30" t="inlineStr">
        <is>
          <t>MAGICARPE</t>
        </is>
      </c>
    </row>
    <row r="893">
      <c r="A893" s="47" t="inlineStr">
        <is>
          <t>Mont Argenté</t>
        </is>
      </c>
      <c r="B893" s="47" t="inlineStr">
        <is>
          <t>MtSilver_1F_WaterfallRoom_hns</t>
        </is>
      </c>
      <c r="C893" s="62" t="inlineStr">
        <is>
          <t>Nuit</t>
        </is>
      </c>
      <c r="D893" s="55" t="inlineStr">
        <is>
          <t>Bonne Canne</t>
        </is>
      </c>
      <c r="E893" s="50" t="inlineStr">
        <is>
          <t>PTITARD</t>
        </is>
      </c>
      <c r="F893" s="51" t="n">
        <v>0.8</v>
      </c>
      <c r="G893" s="52" t="n">
        <v>20</v>
      </c>
      <c r="H893" s="52" t="n">
        <v>40</v>
      </c>
      <c r="I893" s="29">
        <f>IF(OR(COUNTIF('Suivi des rencontres'!$A:$A,$A893)&gt;0,COUNTIF('Suivi des rencontres'!$C:$C,$J893)&gt;0),"Non","Oui")</f>
        <v/>
      </c>
      <c r="J893" s="30" t="inlineStr">
        <is>
          <t>PTITARD</t>
        </is>
      </c>
    </row>
    <row r="894">
      <c r="A894" s="47" t="inlineStr">
        <is>
          <t>Mont Argenté</t>
        </is>
      </c>
      <c r="B894" s="47" t="inlineStr">
        <is>
          <t>MtSilver_1F_WaterfallRoom_hns</t>
        </is>
      </c>
      <c r="C894" s="62" t="inlineStr">
        <is>
          <t>Nuit</t>
        </is>
      </c>
      <c r="D894" s="55" t="inlineStr">
        <is>
          <t>Bonne Canne</t>
        </is>
      </c>
      <c r="E894" s="50" t="inlineStr">
        <is>
          <t>MAGICARPE</t>
        </is>
      </c>
      <c r="F894" s="51" t="n">
        <v>0.2</v>
      </c>
      <c r="G894" s="52" t="n">
        <v>20</v>
      </c>
      <c r="H894" s="52" t="n">
        <v>20</v>
      </c>
      <c r="I894" s="29">
        <f>IF(OR(COUNTIF('Suivi des rencontres'!$A:$A,$A894)&gt;0,COUNTIF('Suivi des rencontres'!$C:$C,$J894)&gt;0),"Non","Oui")</f>
        <v/>
      </c>
      <c r="J894" s="30" t="inlineStr">
        <is>
          <t>MAGICARPE</t>
        </is>
      </c>
    </row>
    <row r="895">
      <c r="A895" s="47" t="inlineStr">
        <is>
          <t>Mont Argenté</t>
        </is>
      </c>
      <c r="B895" s="47" t="inlineStr">
        <is>
          <t>MtSilver_1F_WaterfallRoom_hns</t>
        </is>
      </c>
      <c r="C895" s="48" t="inlineStr">
        <is>
          <t>Matin, jour, soir</t>
        </is>
      </c>
      <c r="D895" s="56" t="inlineStr">
        <is>
          <t>Super Canne</t>
        </is>
      </c>
      <c r="E895" s="50" t="inlineStr">
        <is>
          <t>MAGICARPE</t>
        </is>
      </c>
      <c r="F895" s="51" t="n">
        <v>0.44</v>
      </c>
      <c r="G895" s="52" t="n">
        <v>40</v>
      </c>
      <c r="H895" s="52" t="n">
        <v>40</v>
      </c>
      <c r="I895" s="29">
        <f>IF(OR(COUNTIF('Suivi des rencontres'!$A:$A,$A895)&gt;0,COUNTIF('Suivi des rencontres'!$C:$C,$J895)&gt;0),"Non","Oui")</f>
        <v/>
      </c>
      <c r="J895" s="30" t="inlineStr">
        <is>
          <t>MAGICARPE</t>
        </is>
      </c>
    </row>
    <row r="896">
      <c r="A896" s="47" t="inlineStr">
        <is>
          <t>Mont Argenté</t>
        </is>
      </c>
      <c r="B896" s="47" t="inlineStr">
        <is>
          <t>MtSilver_1F_WaterfallRoom_hns</t>
        </is>
      </c>
      <c r="C896" s="48" t="inlineStr">
        <is>
          <t>Matin, jour, soir</t>
        </is>
      </c>
      <c r="D896" s="56" t="inlineStr">
        <is>
          <t>Super Canne</t>
        </is>
      </c>
      <c r="E896" s="50" t="inlineStr">
        <is>
          <t>TETARTE</t>
        </is>
      </c>
      <c r="F896" s="51" t="n">
        <v>0.4</v>
      </c>
      <c r="G896" s="52" t="n">
        <v>40</v>
      </c>
      <c r="H896" s="52" t="n">
        <v>40</v>
      </c>
      <c r="I896" s="29">
        <f>IF(OR(COUNTIF('Suivi des rencontres'!$A:$A,$A896)&gt;0,COUNTIF('Suivi des rencontres'!$C:$C,$J896)&gt;0),"Non","Oui")</f>
        <v/>
      </c>
      <c r="J896" s="30" t="inlineStr">
        <is>
          <t>PTITARD</t>
        </is>
      </c>
    </row>
    <row r="897">
      <c r="A897" s="47" t="inlineStr">
        <is>
          <t>Mont Argenté</t>
        </is>
      </c>
      <c r="B897" s="47" t="inlineStr">
        <is>
          <t>MtSilver_1F_WaterfallRoom_hns</t>
        </is>
      </c>
      <c r="C897" s="48" t="inlineStr">
        <is>
          <t>Matin, jour, soir</t>
        </is>
      </c>
      <c r="D897" s="56" t="inlineStr">
        <is>
          <t>Super Canne</t>
        </is>
      </c>
      <c r="E897" s="50" t="inlineStr">
        <is>
          <t>PTITARD</t>
        </is>
      </c>
      <c r="F897" s="51" t="n">
        <v>0.16</v>
      </c>
      <c r="G897" s="52" t="n">
        <v>40</v>
      </c>
      <c r="H897" s="52" t="n">
        <v>40</v>
      </c>
      <c r="I897" s="29">
        <f>IF(OR(COUNTIF('Suivi des rencontres'!$A:$A,$A897)&gt;0,COUNTIF('Suivi des rencontres'!$C:$C,$J897)&gt;0),"Non","Oui")</f>
        <v/>
      </c>
      <c r="J897" s="30" t="inlineStr">
        <is>
          <t>PTITARD</t>
        </is>
      </c>
    </row>
    <row r="898">
      <c r="A898" s="47" t="inlineStr">
        <is>
          <t>Mont Argenté</t>
        </is>
      </c>
      <c r="B898" s="47" t="inlineStr">
        <is>
          <t>MtSilver_1F_WaterfallRoom_hns</t>
        </is>
      </c>
      <c r="C898" s="62" t="inlineStr">
        <is>
          <t>Nuit</t>
        </is>
      </c>
      <c r="D898" s="56" t="inlineStr">
        <is>
          <t>Super Canne</t>
        </is>
      </c>
      <c r="E898" s="50" t="inlineStr">
        <is>
          <t>MAGICARPE</t>
        </is>
      </c>
      <c r="F898" s="51" t="n">
        <v>0.44</v>
      </c>
      <c r="G898" s="52" t="n">
        <v>40</v>
      </c>
      <c r="H898" s="52" t="n">
        <v>40</v>
      </c>
      <c r="I898" s="29">
        <f>IF(OR(COUNTIF('Suivi des rencontres'!$A:$A,$A898)&gt;0,COUNTIF('Suivi des rencontres'!$C:$C,$J898)&gt;0),"Non","Oui")</f>
        <v/>
      </c>
      <c r="J898" s="30" t="inlineStr">
        <is>
          <t>MAGICARPE</t>
        </is>
      </c>
    </row>
    <row r="899">
      <c r="A899" s="47" t="inlineStr">
        <is>
          <t>Mont Argenté</t>
        </is>
      </c>
      <c r="B899" s="47" t="inlineStr">
        <is>
          <t>MtSilver_1F_WaterfallRoom_hns</t>
        </is>
      </c>
      <c r="C899" s="62" t="inlineStr">
        <is>
          <t>Nuit</t>
        </is>
      </c>
      <c r="D899" s="56" t="inlineStr">
        <is>
          <t>Super Canne</t>
        </is>
      </c>
      <c r="E899" s="50" t="inlineStr">
        <is>
          <t>TETARTE</t>
        </is>
      </c>
      <c r="F899" s="51" t="n">
        <v>0.4</v>
      </c>
      <c r="G899" s="52" t="n">
        <v>40</v>
      </c>
      <c r="H899" s="52" t="n">
        <v>40</v>
      </c>
      <c r="I899" s="29">
        <f>IF(OR(COUNTIF('Suivi des rencontres'!$A:$A,$A899)&gt;0,COUNTIF('Suivi des rencontres'!$C:$C,$J899)&gt;0),"Non","Oui")</f>
        <v/>
      </c>
      <c r="J899" s="30" t="inlineStr">
        <is>
          <t>PTITARD</t>
        </is>
      </c>
    </row>
    <row r="900">
      <c r="A900" s="47" t="inlineStr">
        <is>
          <t>Mont Argenté</t>
        </is>
      </c>
      <c r="B900" s="47" t="inlineStr">
        <is>
          <t>MtSilver_1F_WaterfallRoom_hns</t>
        </is>
      </c>
      <c r="C900" s="62" t="inlineStr">
        <is>
          <t>Nuit</t>
        </is>
      </c>
      <c r="D900" s="56" t="inlineStr">
        <is>
          <t>Super Canne</t>
        </is>
      </c>
      <c r="E900" s="50" t="inlineStr">
        <is>
          <t>PTITARD</t>
        </is>
      </c>
      <c r="F900" s="51" t="n">
        <v>0.16</v>
      </c>
      <c r="G900" s="52" t="n">
        <v>40</v>
      </c>
      <c r="H900" s="52" t="n">
        <v>40</v>
      </c>
      <c r="I900" s="29">
        <f>IF(OR(COUNTIF('Suivi des rencontres'!$A:$A,$A900)&gt;0,COUNTIF('Suivi des rencontres'!$C:$C,$J900)&gt;0),"Non","Oui")</f>
        <v/>
      </c>
      <c r="J900" s="30" t="inlineStr">
        <is>
          <t>PTITARD</t>
        </is>
      </c>
    </row>
    <row r="901">
      <c r="A901" s="47" t="inlineStr">
        <is>
          <t>Mont Argenté</t>
        </is>
      </c>
      <c r="B901" s="47" t="inlineStr">
        <is>
          <t>MtSilver_2F_hns</t>
        </is>
      </c>
      <c r="C901" s="48" t="inlineStr">
        <is>
          <t>Toute la journée</t>
        </is>
      </c>
      <c r="D901" s="49" t="inlineStr">
        <is>
          <t>Herbe</t>
        </is>
      </c>
      <c r="E901" s="50" t="inlineStr">
        <is>
          <t>GROLEM</t>
        </is>
      </c>
      <c r="F901" s="51" t="n">
        <v>0.2</v>
      </c>
      <c r="G901" s="52" t="n">
        <v>63</v>
      </c>
      <c r="H901" s="52" t="n">
        <v>63</v>
      </c>
      <c r="I901" s="29">
        <f>IF(OR(COUNTIF('Suivi des rencontres'!$A:$A,$A901)&gt;0,COUNTIF('Suivi des rencontres'!$C:$C,$J901)&gt;0),"Non","Oui")</f>
        <v/>
      </c>
      <c r="J901" s="30" t="inlineStr">
        <is>
          <t>RACAILLOU</t>
        </is>
      </c>
    </row>
    <row r="902">
      <c r="A902" s="47" t="inlineStr">
        <is>
          <t>Mont Argenté</t>
        </is>
      </c>
      <c r="B902" s="47" t="inlineStr">
        <is>
          <t>MtSilver_2F_hns</t>
        </is>
      </c>
      <c r="C902" s="48" t="inlineStr">
        <is>
          <t>Toute la journée</t>
        </is>
      </c>
      <c r="D902" s="49" t="inlineStr">
        <is>
          <t>Herbe</t>
        </is>
      </c>
      <c r="E902" s="50" t="inlineStr">
        <is>
          <t>MACHOPEUR</t>
        </is>
      </c>
      <c r="F902" s="51" t="n">
        <v>0.2</v>
      </c>
      <c r="G902" s="52" t="n">
        <v>64</v>
      </c>
      <c r="H902" s="52" t="n">
        <v>64</v>
      </c>
      <c r="I902" s="29">
        <f>IF(OR(COUNTIF('Suivi des rencontres'!$A:$A,$A902)&gt;0,COUNTIF('Suivi des rencontres'!$C:$C,$J902)&gt;0),"Non","Oui")</f>
        <v/>
      </c>
      <c r="J902" s="30" t="inlineStr">
        <is>
          <t>MACHOC</t>
        </is>
      </c>
    </row>
    <row r="903">
      <c r="A903" s="47" t="inlineStr">
        <is>
          <t>Mont Argenté</t>
        </is>
      </c>
      <c r="B903" s="47" t="inlineStr">
        <is>
          <t>MtSilver_2F_hns</t>
        </is>
      </c>
      <c r="C903" s="48" t="inlineStr">
        <is>
          <t>Toute la journée</t>
        </is>
      </c>
      <c r="D903" s="49" t="inlineStr">
        <is>
          <t>Herbe</t>
        </is>
      </c>
      <c r="E903" s="50" t="inlineStr">
        <is>
          <t>MARAISTE</t>
        </is>
      </c>
      <c r="F903" s="51" t="n">
        <v>0.15</v>
      </c>
      <c r="G903" s="52" t="n">
        <v>62</v>
      </c>
      <c r="H903" s="52" t="n">
        <v>62</v>
      </c>
      <c r="I903" s="29">
        <f>IF(OR(COUNTIF('Suivi des rencontres'!$A:$A,$A903)&gt;0,COUNTIF('Suivi des rencontres'!$C:$C,$J903)&gt;0),"Non","Oui")</f>
        <v/>
      </c>
      <c r="J903" s="30" t="inlineStr">
        <is>
          <t>AXOLOTO</t>
        </is>
      </c>
    </row>
    <row r="904">
      <c r="A904" s="47" t="inlineStr">
        <is>
          <t>Mont Argenté</t>
        </is>
      </c>
      <c r="B904" s="47" t="inlineStr">
        <is>
          <t>MtSilver_2F_hns</t>
        </is>
      </c>
      <c r="C904" s="48" t="inlineStr">
        <is>
          <t>Toute la journée</t>
        </is>
      </c>
      <c r="D904" s="49" t="inlineStr">
        <is>
          <t>Herbe</t>
        </is>
      </c>
      <c r="E904" s="50" t="inlineStr">
        <is>
          <t>AKWAKWAK</t>
        </is>
      </c>
      <c r="F904" s="51" t="n">
        <v>0.1</v>
      </c>
      <c r="G904" s="52" t="n">
        <v>64</v>
      </c>
      <c r="H904" s="52" t="n">
        <v>64</v>
      </c>
      <c r="I904" s="29">
        <f>IF(OR(COUNTIF('Suivi des rencontres'!$A:$A,$A904)&gt;0,COUNTIF('Suivi des rencontres'!$C:$C,$J904)&gt;0),"Non","Oui")</f>
        <v/>
      </c>
      <c r="J904" s="30" t="inlineStr">
        <is>
          <t>PSYKOKWAK</t>
        </is>
      </c>
    </row>
    <row r="905">
      <c r="A905" s="47" t="inlineStr">
        <is>
          <t>Mont Argenté</t>
        </is>
      </c>
      <c r="B905" s="47" t="inlineStr">
        <is>
          <t>MtSilver_2F_hns</t>
        </is>
      </c>
      <c r="C905" s="48" t="inlineStr">
        <is>
          <t>Toute la journée</t>
        </is>
      </c>
      <c r="D905" s="49" t="inlineStr">
        <is>
          <t>Herbe</t>
        </is>
      </c>
      <c r="E905" s="50" t="inlineStr">
        <is>
          <t>ELEKTEK</t>
        </is>
      </c>
      <c r="F905" s="51" t="n">
        <v>0.1</v>
      </c>
      <c r="G905" s="52" t="n">
        <v>63</v>
      </c>
      <c r="H905" s="52" t="n">
        <v>63</v>
      </c>
      <c r="I905" s="29">
        <f>IF(OR(COUNTIF('Suivi des rencontres'!$A:$A,$A905)&gt;0,COUNTIF('Suivi des rencontres'!$C:$C,$J905)&gt;0),"Non","Oui")</f>
        <v/>
      </c>
      <c r="J905" s="30" t="inlineStr">
        <is>
          <t>ELEKID</t>
        </is>
      </c>
    </row>
    <row r="906">
      <c r="A906" s="47" t="inlineStr">
        <is>
          <t>Mont Argenté</t>
        </is>
      </c>
      <c r="B906" s="47" t="inlineStr">
        <is>
          <t>MtSilver_2F_hns</t>
        </is>
      </c>
      <c r="C906" s="48" t="inlineStr">
        <is>
          <t>Toute la journée</t>
        </is>
      </c>
      <c r="D906" s="49" t="inlineStr">
        <is>
          <t>Herbe</t>
        </is>
      </c>
      <c r="E906" s="50" t="inlineStr">
        <is>
          <t>MAGMAR</t>
        </is>
      </c>
      <c r="F906" s="51" t="n">
        <v>0.1</v>
      </c>
      <c r="G906" s="52" t="n">
        <v>65</v>
      </c>
      <c r="H906" s="52" t="n">
        <v>65</v>
      </c>
      <c r="I906" s="29">
        <f>IF(OR(COUNTIF('Suivi des rencontres'!$A:$A,$A906)&gt;0,COUNTIF('Suivi des rencontres'!$C:$C,$J906)&gt;0),"Non","Oui")</f>
        <v/>
      </c>
      <c r="J906" s="30" t="inlineStr">
        <is>
          <t>MAGBY</t>
        </is>
      </c>
    </row>
    <row r="907">
      <c r="A907" s="47" t="inlineStr">
        <is>
          <t>Mont Argenté</t>
        </is>
      </c>
      <c r="B907" s="47" t="inlineStr">
        <is>
          <t>MtSilver_2F_hns</t>
        </is>
      </c>
      <c r="C907" s="48" t="inlineStr">
        <is>
          <t>Toute la journée</t>
        </is>
      </c>
      <c r="D907" s="49" t="inlineStr">
        <is>
          <t>Herbe</t>
        </is>
      </c>
      <c r="E907" s="50" t="inlineStr">
        <is>
          <t>NOSFERALTO</t>
        </is>
      </c>
      <c r="F907" s="51" t="n">
        <v>0.09</v>
      </c>
      <c r="G907" s="52" t="n">
        <v>65</v>
      </c>
      <c r="H907" s="52" t="n">
        <v>65</v>
      </c>
      <c r="I907" s="29">
        <f>IF(OR(COUNTIF('Suivi des rencontres'!$A:$A,$A907)&gt;0,COUNTIF('Suivi des rencontres'!$C:$C,$J907)&gt;0),"Non","Oui")</f>
        <v/>
      </c>
      <c r="J907" s="30" t="inlineStr">
        <is>
          <t>NOSFERAPTI</t>
        </is>
      </c>
    </row>
    <row r="908">
      <c r="A908" s="47" t="inlineStr">
        <is>
          <t>Mont Argenté</t>
        </is>
      </c>
      <c r="B908" s="47" t="inlineStr">
        <is>
          <t>MtSilver_2F_hns</t>
        </is>
      </c>
      <c r="C908" s="48" t="inlineStr">
        <is>
          <t>Toute la journée</t>
        </is>
      </c>
      <c r="D908" s="49" t="inlineStr">
        <is>
          <t>Herbe</t>
        </is>
      </c>
      <c r="E908" s="50" t="inlineStr">
        <is>
          <t>YMPHECT</t>
        </is>
      </c>
      <c r="F908" s="51" t="n">
        <v>0.05</v>
      </c>
      <c r="G908" s="52" t="n">
        <v>35</v>
      </c>
      <c r="H908" s="52" t="n">
        <v>40</v>
      </c>
      <c r="I908" s="29">
        <f>IF(OR(COUNTIF('Suivi des rencontres'!$A:$A,$A908)&gt;0,COUNTIF('Suivi des rencontres'!$C:$C,$J908)&gt;0),"Non","Oui")</f>
        <v/>
      </c>
      <c r="J908" s="30" t="inlineStr">
        <is>
          <t>EMBRYLEX</t>
        </is>
      </c>
    </row>
    <row r="909">
      <c r="A909" s="47" t="inlineStr">
        <is>
          <t>Mont Argenté</t>
        </is>
      </c>
      <c r="B909" s="47" t="inlineStr">
        <is>
          <t>MtSilver_2F_hns</t>
        </is>
      </c>
      <c r="C909" s="48" t="inlineStr">
        <is>
          <t>Toute la journée</t>
        </is>
      </c>
      <c r="D909" s="49" t="inlineStr">
        <is>
          <t>Herbe</t>
        </is>
      </c>
      <c r="E909" s="50" t="inlineStr">
        <is>
          <t>PARASECT</t>
        </is>
      </c>
      <c r="F909" s="51" t="n">
        <v>0.01</v>
      </c>
      <c r="G909" s="52" t="n">
        <v>62</v>
      </c>
      <c r="H909" s="52" t="n">
        <v>64</v>
      </c>
      <c r="I909" s="29">
        <f>IF(OR(COUNTIF('Suivi des rencontres'!$A:$A,$A909)&gt;0,COUNTIF('Suivi des rencontres'!$C:$C,$J909)&gt;0),"Non","Oui")</f>
        <v/>
      </c>
      <c r="J909" s="30" t="inlineStr">
        <is>
          <t>PARAS</t>
        </is>
      </c>
    </row>
    <row r="910">
      <c r="A910" s="47" t="inlineStr">
        <is>
          <t>Mont Argenté</t>
        </is>
      </c>
      <c r="B910" s="47" t="inlineStr">
        <is>
          <t>MtSilver_2F_hns</t>
        </is>
      </c>
      <c r="C910" s="48" t="inlineStr">
        <is>
          <t>Toute la journée</t>
        </is>
      </c>
      <c r="D910" s="53" t="inlineStr">
        <is>
          <t>Surf</t>
        </is>
      </c>
      <c r="E910" s="50" t="inlineStr">
        <is>
          <t>AKWAKWAK</t>
        </is>
      </c>
      <c r="F910" s="51" t="n">
        <v>0.6</v>
      </c>
      <c r="G910" s="52" t="n">
        <v>60</v>
      </c>
      <c r="H910" s="52" t="n">
        <v>65</v>
      </c>
      <c r="I910" s="29">
        <f>IF(OR(COUNTIF('Suivi des rencontres'!$A:$A,$A910)&gt;0,COUNTIF('Suivi des rencontres'!$C:$C,$J910)&gt;0),"Non","Oui")</f>
        <v/>
      </c>
      <c r="J910" s="30" t="inlineStr">
        <is>
          <t>PSYKOKWAK</t>
        </is>
      </c>
    </row>
    <row r="911">
      <c r="A911" s="47" t="inlineStr">
        <is>
          <t>Mont Argenté</t>
        </is>
      </c>
      <c r="B911" s="47" t="inlineStr">
        <is>
          <t>MtSilver_2F_hns</t>
        </is>
      </c>
      <c r="C911" s="48" t="inlineStr">
        <is>
          <t>Toute la journée</t>
        </is>
      </c>
      <c r="D911" s="53" t="inlineStr">
        <is>
          <t>Surf</t>
        </is>
      </c>
      <c r="E911" s="50" t="inlineStr">
        <is>
          <t>MARAISTE</t>
        </is>
      </c>
      <c r="F911" s="51" t="n">
        <v>0.3</v>
      </c>
      <c r="G911" s="52" t="n">
        <v>60</v>
      </c>
      <c r="H911" s="52" t="n">
        <v>65</v>
      </c>
      <c r="I911" s="29">
        <f>IF(OR(COUNTIF('Suivi des rencontres'!$A:$A,$A911)&gt;0,COUNTIF('Suivi des rencontres'!$C:$C,$J911)&gt;0),"Non","Oui")</f>
        <v/>
      </c>
      <c r="J911" s="30" t="inlineStr">
        <is>
          <t>AXOLOTO</t>
        </is>
      </c>
    </row>
    <row r="912">
      <c r="A912" s="47" t="inlineStr">
        <is>
          <t>Mont Argenté</t>
        </is>
      </c>
      <c r="B912" s="47" t="inlineStr">
        <is>
          <t>MtSilver_2F_hns</t>
        </is>
      </c>
      <c r="C912" s="48" t="inlineStr">
        <is>
          <t>Toute la journée</t>
        </is>
      </c>
      <c r="D912" s="53" t="inlineStr">
        <is>
          <t>Surf</t>
        </is>
      </c>
      <c r="E912" s="50" t="inlineStr">
        <is>
          <t>LOKHLASS</t>
        </is>
      </c>
      <c r="F912" s="51" t="n">
        <v>0.1</v>
      </c>
      <c r="G912" s="52" t="n">
        <v>40</v>
      </c>
      <c r="H912" s="52" t="n">
        <v>60</v>
      </c>
      <c r="I912" s="29">
        <f>IF(OR(COUNTIF('Suivi des rencontres'!$A:$A,$A912)&gt;0,COUNTIF('Suivi des rencontres'!$C:$C,$J912)&gt;0),"Non","Oui")</f>
        <v/>
      </c>
      <c r="J912" s="30" t="inlineStr">
        <is>
          <t>LOKHLASS</t>
        </is>
      </c>
    </row>
    <row r="913">
      <c r="A913" s="47" t="inlineStr">
        <is>
          <t>Mont Argenté</t>
        </is>
      </c>
      <c r="B913" s="47" t="inlineStr">
        <is>
          <t>MtSilver_2F_hns</t>
        </is>
      </c>
      <c r="C913" s="48" t="inlineStr">
        <is>
          <t>Toute la journée</t>
        </is>
      </c>
      <c r="D913" s="54" t="inlineStr">
        <is>
          <t>Vieille Canne</t>
        </is>
      </c>
      <c r="E913" s="50" t="inlineStr">
        <is>
          <t>MAGICARPE</t>
        </is>
      </c>
      <c r="F913" s="51" t="n">
        <v>0.7</v>
      </c>
      <c r="G913" s="52" t="n">
        <v>10</v>
      </c>
      <c r="H913" s="52" t="n">
        <v>10</v>
      </c>
      <c r="I913" s="29">
        <f>IF(OR(COUNTIF('Suivi des rencontres'!$A:$A,$A913)&gt;0,COUNTIF('Suivi des rencontres'!$C:$C,$J913)&gt;0),"Non","Oui")</f>
        <v/>
      </c>
      <c r="J913" s="30" t="inlineStr">
        <is>
          <t>MAGICARPE</t>
        </is>
      </c>
    </row>
    <row r="914">
      <c r="A914" s="47" t="inlineStr">
        <is>
          <t>Mont Argenté</t>
        </is>
      </c>
      <c r="B914" s="47" t="inlineStr">
        <is>
          <t>MtSilver_2F_hns</t>
        </is>
      </c>
      <c r="C914" s="48" t="inlineStr">
        <is>
          <t>Toute la journée</t>
        </is>
      </c>
      <c r="D914" s="54" t="inlineStr">
        <is>
          <t>Vieille Canne</t>
        </is>
      </c>
      <c r="E914" s="50" t="inlineStr">
        <is>
          <t>PTITARD</t>
        </is>
      </c>
      <c r="F914" s="51" t="n">
        <v>0.3</v>
      </c>
      <c r="G914" s="52" t="n">
        <v>10</v>
      </c>
      <c r="H914" s="52" t="n">
        <v>10</v>
      </c>
      <c r="I914" s="29">
        <f>IF(OR(COUNTIF('Suivi des rencontres'!$A:$A,$A914)&gt;0,COUNTIF('Suivi des rencontres'!$C:$C,$J914)&gt;0),"Non","Oui")</f>
        <v/>
      </c>
      <c r="J914" s="30" t="inlineStr">
        <is>
          <t>PTITARD</t>
        </is>
      </c>
    </row>
    <row r="915">
      <c r="A915" s="47" t="inlineStr">
        <is>
          <t>Mont Argenté</t>
        </is>
      </c>
      <c r="B915" s="47" t="inlineStr">
        <is>
          <t>MtSilver_2F_hns</t>
        </is>
      </c>
      <c r="C915" s="48" t="inlineStr">
        <is>
          <t>Toute la journée</t>
        </is>
      </c>
      <c r="D915" s="55" t="inlineStr">
        <is>
          <t>Bonne Canne</t>
        </is>
      </c>
      <c r="E915" s="50" t="inlineStr">
        <is>
          <t>PTITARD</t>
        </is>
      </c>
      <c r="F915" s="51" t="n">
        <v>0.8</v>
      </c>
      <c r="G915" s="52" t="n">
        <v>20</v>
      </c>
      <c r="H915" s="52" t="n">
        <v>40</v>
      </c>
      <c r="I915" s="29">
        <f>IF(OR(COUNTIF('Suivi des rencontres'!$A:$A,$A915)&gt;0,COUNTIF('Suivi des rencontres'!$C:$C,$J915)&gt;0),"Non","Oui")</f>
        <v/>
      </c>
      <c r="J915" s="30" t="inlineStr">
        <is>
          <t>PTITARD</t>
        </is>
      </c>
    </row>
    <row r="916">
      <c r="A916" s="47" t="inlineStr">
        <is>
          <t>Mont Argenté</t>
        </is>
      </c>
      <c r="B916" s="47" t="inlineStr">
        <is>
          <t>MtSilver_2F_hns</t>
        </is>
      </c>
      <c r="C916" s="48" t="inlineStr">
        <is>
          <t>Toute la journée</t>
        </is>
      </c>
      <c r="D916" s="55" t="inlineStr">
        <is>
          <t>Bonne Canne</t>
        </is>
      </c>
      <c r="E916" s="50" t="inlineStr">
        <is>
          <t>MAGICARPE</t>
        </is>
      </c>
      <c r="F916" s="51" t="n">
        <v>0.2</v>
      </c>
      <c r="G916" s="52" t="n">
        <v>20</v>
      </c>
      <c r="H916" s="52" t="n">
        <v>20</v>
      </c>
      <c r="I916" s="29">
        <f>IF(OR(COUNTIF('Suivi des rencontres'!$A:$A,$A916)&gt;0,COUNTIF('Suivi des rencontres'!$C:$C,$J916)&gt;0),"Non","Oui")</f>
        <v/>
      </c>
      <c r="J916" s="30" t="inlineStr">
        <is>
          <t>MAGICARPE</t>
        </is>
      </c>
    </row>
    <row r="917">
      <c r="A917" s="47" t="inlineStr">
        <is>
          <t>Mont Argenté</t>
        </is>
      </c>
      <c r="B917" s="47" t="inlineStr">
        <is>
          <t>MtSilver_2F_hns</t>
        </is>
      </c>
      <c r="C917" s="48" t="inlineStr">
        <is>
          <t>Toute la journée</t>
        </is>
      </c>
      <c r="D917" s="56" t="inlineStr">
        <is>
          <t>Super Canne</t>
        </is>
      </c>
      <c r="E917" s="50" t="inlineStr">
        <is>
          <t>MAGICARPE</t>
        </is>
      </c>
      <c r="F917" s="51" t="n">
        <v>0.44</v>
      </c>
      <c r="G917" s="52" t="n">
        <v>40</v>
      </c>
      <c r="H917" s="52" t="n">
        <v>40</v>
      </c>
      <c r="I917" s="29">
        <f>IF(OR(COUNTIF('Suivi des rencontres'!$A:$A,$A917)&gt;0,COUNTIF('Suivi des rencontres'!$C:$C,$J917)&gt;0),"Non","Oui")</f>
        <v/>
      </c>
      <c r="J917" s="30" t="inlineStr">
        <is>
          <t>MAGICARPE</t>
        </is>
      </c>
    </row>
    <row r="918">
      <c r="A918" s="47" t="inlineStr">
        <is>
          <t>Mont Argenté</t>
        </is>
      </c>
      <c r="B918" s="47" t="inlineStr">
        <is>
          <t>MtSilver_2F_hns</t>
        </is>
      </c>
      <c r="C918" s="48" t="inlineStr">
        <is>
          <t>Toute la journée</t>
        </is>
      </c>
      <c r="D918" s="56" t="inlineStr">
        <is>
          <t>Super Canne</t>
        </is>
      </c>
      <c r="E918" s="50" t="inlineStr">
        <is>
          <t>TETARTE</t>
        </is>
      </c>
      <c r="F918" s="51" t="n">
        <v>0.4</v>
      </c>
      <c r="G918" s="52" t="n">
        <v>40</v>
      </c>
      <c r="H918" s="52" t="n">
        <v>40</v>
      </c>
      <c r="I918" s="29">
        <f>IF(OR(COUNTIF('Suivi des rencontres'!$A:$A,$A918)&gt;0,COUNTIF('Suivi des rencontres'!$C:$C,$J918)&gt;0),"Non","Oui")</f>
        <v/>
      </c>
      <c r="J918" s="30" t="inlineStr">
        <is>
          <t>PTITARD</t>
        </is>
      </c>
    </row>
    <row r="919">
      <c r="A919" s="47" t="inlineStr">
        <is>
          <t>Mont Argenté</t>
        </is>
      </c>
      <c r="B919" s="47" t="inlineStr">
        <is>
          <t>MtSilver_2F_hns</t>
        </is>
      </c>
      <c r="C919" s="48" t="inlineStr">
        <is>
          <t>Toute la journée</t>
        </is>
      </c>
      <c r="D919" s="56" t="inlineStr">
        <is>
          <t>Super Canne</t>
        </is>
      </c>
      <c r="E919" s="50" t="inlineStr">
        <is>
          <t>PTITARD</t>
        </is>
      </c>
      <c r="F919" s="51" t="n">
        <v>0.16</v>
      </c>
      <c r="G919" s="52" t="n">
        <v>40</v>
      </c>
      <c r="H919" s="52" t="n">
        <v>40</v>
      </c>
      <c r="I919" s="29">
        <f>IF(OR(COUNTIF('Suivi des rencontres'!$A:$A,$A919)&gt;0,COUNTIF('Suivi des rencontres'!$C:$C,$J919)&gt;0),"Non","Oui")</f>
        <v/>
      </c>
      <c r="J919" s="30" t="inlineStr">
        <is>
          <t>PTITARD</t>
        </is>
      </c>
    </row>
    <row r="920">
      <c r="A920" s="47" t="inlineStr">
        <is>
          <t>Mont Argenté</t>
        </is>
      </c>
      <c r="B920" s="47" t="inlineStr">
        <is>
          <t>MtSilver_3F_hns</t>
        </is>
      </c>
      <c r="C920" s="48" t="inlineStr">
        <is>
          <t>Toute la journée</t>
        </is>
      </c>
      <c r="D920" s="49" t="inlineStr">
        <is>
          <t>Herbe</t>
        </is>
      </c>
      <c r="E920" s="50" t="inlineStr">
        <is>
          <t>URSARING</t>
        </is>
      </c>
      <c r="F920" s="51" t="n">
        <v>0.21</v>
      </c>
      <c r="G920" s="52" t="n">
        <v>62</v>
      </c>
      <c r="H920" s="52" t="n">
        <v>65</v>
      </c>
      <c r="I920" s="29">
        <f>IF(OR(COUNTIF('Suivi des rencontres'!$A:$A,$A920)&gt;0,COUNTIF('Suivi des rencontres'!$C:$C,$J920)&gt;0),"Non","Oui")</f>
        <v/>
      </c>
      <c r="J920" s="30" t="inlineStr">
        <is>
          <t>TEDDIURSA</t>
        </is>
      </c>
    </row>
    <row r="921">
      <c r="A921" s="47" t="inlineStr">
        <is>
          <t>Mont Argenté</t>
        </is>
      </c>
      <c r="B921" s="47" t="inlineStr">
        <is>
          <t>MtSilver_3F_hns</t>
        </is>
      </c>
      <c r="C921" s="48" t="inlineStr">
        <is>
          <t>Toute la journée</t>
        </is>
      </c>
      <c r="D921" s="49" t="inlineStr">
        <is>
          <t>Herbe</t>
        </is>
      </c>
      <c r="E921" s="50" t="inlineStr">
        <is>
          <t>GROLEM</t>
        </is>
      </c>
      <c r="F921" s="51" t="n">
        <v>0.2</v>
      </c>
      <c r="G921" s="52" t="n">
        <v>63</v>
      </c>
      <c r="H921" s="52" t="n">
        <v>63</v>
      </c>
      <c r="I921" s="29">
        <f>IF(OR(COUNTIF('Suivi des rencontres'!$A:$A,$A921)&gt;0,COUNTIF('Suivi des rencontres'!$C:$C,$J921)&gt;0),"Non","Oui")</f>
        <v/>
      </c>
      <c r="J921" s="30" t="inlineStr">
        <is>
          <t>RACAILLOU</t>
        </is>
      </c>
    </row>
    <row r="922">
      <c r="A922" s="47" t="inlineStr">
        <is>
          <t>Mont Argenté</t>
        </is>
      </c>
      <c r="B922" s="47" t="inlineStr">
        <is>
          <t>MtSilver_3F_hns</t>
        </is>
      </c>
      <c r="C922" s="48" t="inlineStr">
        <is>
          <t>Toute la journée</t>
        </is>
      </c>
      <c r="D922" s="49" t="inlineStr">
        <is>
          <t>Herbe</t>
        </is>
      </c>
      <c r="E922" s="50" t="inlineStr">
        <is>
          <t>MACHOPEUR</t>
        </is>
      </c>
      <c r="F922" s="51" t="n">
        <v>0.2</v>
      </c>
      <c r="G922" s="52" t="n">
        <v>64</v>
      </c>
      <c r="H922" s="52" t="n">
        <v>64</v>
      </c>
      <c r="I922" s="29">
        <f>IF(OR(COUNTIF('Suivi des rencontres'!$A:$A,$A922)&gt;0,COUNTIF('Suivi des rencontres'!$C:$C,$J922)&gt;0),"Non","Oui")</f>
        <v/>
      </c>
      <c r="J922" s="30" t="inlineStr">
        <is>
          <t>MACHOC</t>
        </is>
      </c>
    </row>
    <row r="923">
      <c r="A923" s="47" t="inlineStr">
        <is>
          <t>Mont Argenté</t>
        </is>
      </c>
      <c r="B923" s="47" t="inlineStr">
        <is>
          <t>MtSilver_3F_hns</t>
        </is>
      </c>
      <c r="C923" s="48" t="inlineStr">
        <is>
          <t>Toute la journée</t>
        </is>
      </c>
      <c r="D923" s="49" t="inlineStr">
        <is>
          <t>Herbe</t>
        </is>
      </c>
      <c r="E923" s="50" t="inlineStr">
        <is>
          <t>NOSTENFER</t>
        </is>
      </c>
      <c r="F923" s="51" t="n">
        <v>0.18</v>
      </c>
      <c r="G923" s="52" t="n">
        <v>64</v>
      </c>
      <c r="H923" s="52" t="n">
        <v>65</v>
      </c>
      <c r="I923" s="29">
        <f>IF(OR(COUNTIF('Suivi des rencontres'!$A:$A,$A923)&gt;0,COUNTIF('Suivi des rencontres'!$C:$C,$J923)&gt;0),"Non","Oui")</f>
        <v/>
      </c>
      <c r="J923" s="30" t="inlineStr">
        <is>
          <t>NOSFERAPTI</t>
        </is>
      </c>
    </row>
    <row r="924">
      <c r="A924" s="47" t="inlineStr">
        <is>
          <t>Mont Argenté</t>
        </is>
      </c>
      <c r="B924" s="47" t="inlineStr">
        <is>
          <t>MtSilver_3F_hns</t>
        </is>
      </c>
      <c r="C924" s="48" t="inlineStr">
        <is>
          <t>Toute la journée</t>
        </is>
      </c>
      <c r="D924" s="49" t="inlineStr">
        <is>
          <t>Herbe</t>
        </is>
      </c>
      <c r="E924" s="50" t="inlineStr">
        <is>
          <t>ONIX</t>
        </is>
      </c>
      <c r="F924" s="51" t="n">
        <v>0.15</v>
      </c>
      <c r="G924" s="52" t="n">
        <v>62</v>
      </c>
      <c r="H924" s="52" t="n">
        <v>62</v>
      </c>
      <c r="I924" s="29">
        <f>IF(OR(COUNTIF('Suivi des rencontres'!$A:$A,$A924)&gt;0,COUNTIF('Suivi des rencontres'!$C:$C,$J924)&gt;0),"Non","Oui")</f>
        <v/>
      </c>
      <c r="J924" s="30" t="inlineStr">
        <is>
          <t>ONIX</t>
        </is>
      </c>
    </row>
    <row r="925">
      <c r="A925" s="47" t="inlineStr">
        <is>
          <t>Mont Argenté</t>
        </is>
      </c>
      <c r="B925" s="47" t="inlineStr">
        <is>
          <t>MtSilver_3F_hns</t>
        </is>
      </c>
      <c r="C925" s="48" t="inlineStr">
        <is>
          <t>Toute la journée</t>
        </is>
      </c>
      <c r="D925" s="49" t="inlineStr">
        <is>
          <t>Herbe</t>
        </is>
      </c>
      <c r="E925" s="50" t="inlineStr">
        <is>
          <t>YMPHECT</t>
        </is>
      </c>
      <c r="F925" s="51" t="n">
        <v>0.05</v>
      </c>
      <c r="G925" s="52" t="n">
        <v>35</v>
      </c>
      <c r="H925" s="52" t="n">
        <v>40</v>
      </c>
      <c r="I925" s="29">
        <f>IF(OR(COUNTIF('Suivi des rencontres'!$A:$A,$A925)&gt;0,COUNTIF('Suivi des rencontres'!$C:$C,$J925)&gt;0),"Non","Oui")</f>
        <v/>
      </c>
      <c r="J925" s="30" t="inlineStr">
        <is>
          <t>EMBRYLEX</t>
        </is>
      </c>
    </row>
    <row r="926">
      <c r="A926" s="47" t="inlineStr">
        <is>
          <t>Mont Argenté</t>
        </is>
      </c>
      <c r="B926" s="47" t="inlineStr">
        <is>
          <t>MtSilver_3F_hns</t>
        </is>
      </c>
      <c r="C926" s="48" t="inlineStr">
        <is>
          <t>Toute la journée</t>
        </is>
      </c>
      <c r="D926" s="49" t="inlineStr">
        <is>
          <t>Herbe</t>
        </is>
      </c>
      <c r="E926" s="50" t="inlineStr">
        <is>
          <t>NOSFERALTO</t>
        </is>
      </c>
      <c r="F926" s="51" t="n">
        <v>0.01</v>
      </c>
      <c r="G926" s="52" t="n">
        <v>65</v>
      </c>
      <c r="H926" s="52" t="n">
        <v>65</v>
      </c>
      <c r="I926" s="29">
        <f>IF(OR(COUNTIF('Suivi des rencontres'!$A:$A,$A926)&gt;0,COUNTIF('Suivi des rencontres'!$C:$C,$J926)&gt;0),"Non","Oui")</f>
        <v/>
      </c>
      <c r="J926" s="30" t="inlineStr">
        <is>
          <t>NOSFERAPTI</t>
        </is>
      </c>
    </row>
    <row r="927">
      <c r="A927" s="47" t="inlineStr">
        <is>
          <t>Mont Argenté</t>
        </is>
      </c>
      <c r="B927" s="47" t="inlineStr">
        <is>
          <t>MtSilver_MountainSide_hns</t>
        </is>
      </c>
      <c r="C927" s="48" t="inlineStr">
        <is>
          <t>Matin, jour, soir</t>
        </is>
      </c>
      <c r="D927" s="49" t="inlineStr">
        <is>
          <t>Herbe</t>
        </is>
      </c>
      <c r="E927" s="50" t="inlineStr">
        <is>
          <t>ONIX</t>
        </is>
      </c>
      <c r="F927" s="51" t="n">
        <v>0.3</v>
      </c>
      <c r="G927" s="52" t="n">
        <v>68</v>
      </c>
      <c r="H927" s="52" t="n">
        <v>68</v>
      </c>
      <c r="I927" s="29">
        <f>IF(OR(COUNTIF('Suivi des rencontres'!$A:$A,$A927)&gt;0,COUNTIF('Suivi des rencontres'!$C:$C,$J927)&gt;0),"Non","Oui")</f>
        <v/>
      </c>
      <c r="J927" s="30" t="inlineStr">
        <is>
          <t>ONIX</t>
        </is>
      </c>
    </row>
    <row r="928">
      <c r="A928" s="47" t="inlineStr">
        <is>
          <t>Mont Argenté</t>
        </is>
      </c>
      <c r="B928" s="47" t="inlineStr">
        <is>
          <t>MtSilver_MountainSide_hns</t>
        </is>
      </c>
      <c r="C928" s="48" t="inlineStr">
        <is>
          <t>Matin, jour, soir</t>
        </is>
      </c>
      <c r="D928" s="49" t="inlineStr">
        <is>
          <t>Herbe</t>
        </is>
      </c>
      <c r="E928" s="50" t="inlineStr">
        <is>
          <t>URSARING</t>
        </is>
      </c>
      <c r="F928" s="51" t="n">
        <v>0.2</v>
      </c>
      <c r="G928" s="52" t="n">
        <v>61</v>
      </c>
      <c r="H928" s="52" t="n">
        <v>69</v>
      </c>
      <c r="I928" s="29">
        <f>IF(OR(COUNTIF('Suivi des rencontres'!$A:$A,$A928)&gt;0,COUNTIF('Suivi des rencontres'!$C:$C,$J928)&gt;0),"Non","Oui")</f>
        <v/>
      </c>
      <c r="J928" s="30" t="inlineStr">
        <is>
          <t>TEDDIURSA</t>
        </is>
      </c>
    </row>
    <row r="929">
      <c r="A929" s="47" t="inlineStr">
        <is>
          <t>Mont Argenté</t>
        </is>
      </c>
      <c r="B929" s="47" t="inlineStr">
        <is>
          <t>MtSilver_MountainSide_hns</t>
        </is>
      </c>
      <c r="C929" s="48" t="inlineStr">
        <is>
          <t>Matin, jour, soir</t>
        </is>
      </c>
      <c r="D929" s="49" t="inlineStr">
        <is>
          <t>Herbe</t>
        </is>
      </c>
      <c r="E929" s="50" t="inlineStr">
        <is>
          <t>GROLEM</t>
        </is>
      </c>
      <c r="F929" s="51" t="n">
        <v>0.15</v>
      </c>
      <c r="G929" s="52" t="n">
        <v>68</v>
      </c>
      <c r="H929" s="52" t="n">
        <v>68</v>
      </c>
      <c r="I929" s="29">
        <f>IF(OR(COUNTIF('Suivi des rencontres'!$A:$A,$A929)&gt;0,COUNTIF('Suivi des rencontres'!$C:$C,$J929)&gt;0),"Non","Oui")</f>
        <v/>
      </c>
      <c r="J929" s="30" t="inlineStr">
        <is>
          <t>RACAILLOU</t>
        </is>
      </c>
    </row>
    <row r="930">
      <c r="A930" s="47" t="inlineStr">
        <is>
          <t>Mont Argenté</t>
        </is>
      </c>
      <c r="B930" s="47" t="inlineStr">
        <is>
          <t>MtSilver_MountainSide_hns</t>
        </is>
      </c>
      <c r="C930" s="48" t="inlineStr">
        <is>
          <t>Matin, jour, soir</t>
        </is>
      </c>
      <c r="D930" s="49" t="inlineStr">
        <is>
          <t>Herbe</t>
        </is>
      </c>
      <c r="E930" s="50" t="inlineStr">
        <is>
          <t>AIRMURE</t>
        </is>
      </c>
      <c r="F930" s="51" t="n">
        <v>0.1</v>
      </c>
      <c r="G930" s="52" t="n">
        <v>65</v>
      </c>
      <c r="H930" s="52" t="n">
        <v>65</v>
      </c>
      <c r="I930" s="29">
        <f>IF(OR(COUNTIF('Suivi des rencontres'!$A:$A,$A930)&gt;0,COUNTIF('Suivi des rencontres'!$C:$C,$J930)&gt;0),"Non","Oui")</f>
        <v/>
      </c>
      <c r="J930" s="30" t="inlineStr">
        <is>
          <t>AIRMURE</t>
        </is>
      </c>
    </row>
    <row r="931">
      <c r="A931" s="47" t="inlineStr">
        <is>
          <t>Mont Argenté</t>
        </is>
      </c>
      <c r="B931" s="47" t="inlineStr">
        <is>
          <t>MtSilver_MountainSide_hns</t>
        </is>
      </c>
      <c r="C931" s="48" t="inlineStr">
        <is>
          <t>Matin, jour, soir</t>
        </is>
      </c>
      <c r="D931" s="49" t="inlineStr">
        <is>
          <t>Herbe</t>
        </is>
      </c>
      <c r="E931" s="50" t="inlineStr">
        <is>
          <t>DEMOLOSSE</t>
        </is>
      </c>
      <c r="F931" s="51" t="n">
        <v>0.1</v>
      </c>
      <c r="G931" s="52" t="n">
        <v>61</v>
      </c>
      <c r="H931" s="52" t="n">
        <v>69</v>
      </c>
      <c r="I931" s="29">
        <f>IF(OR(COUNTIF('Suivi des rencontres'!$A:$A,$A931)&gt;0,COUNTIF('Suivi des rencontres'!$C:$C,$J931)&gt;0),"Non","Oui")</f>
        <v/>
      </c>
      <c r="J931" s="30" t="inlineStr">
        <is>
          <t>MALOSSE</t>
        </is>
      </c>
    </row>
    <row r="932">
      <c r="A932" s="47" t="inlineStr">
        <is>
          <t>Mont Argenté</t>
        </is>
      </c>
      <c r="B932" s="47" t="inlineStr">
        <is>
          <t>MtSilver_MountainSide_hns</t>
        </is>
      </c>
      <c r="C932" s="48" t="inlineStr">
        <is>
          <t>Matin, jour, soir</t>
        </is>
      </c>
      <c r="D932" s="49" t="inlineStr">
        <is>
          <t>Herbe</t>
        </is>
      </c>
      <c r="E932" s="50" t="inlineStr">
        <is>
          <t>MACHOPEUR</t>
        </is>
      </c>
      <c r="F932" s="51" t="n">
        <v>0.1</v>
      </c>
      <c r="G932" s="52" t="n">
        <v>61</v>
      </c>
      <c r="H932" s="52" t="n">
        <v>69</v>
      </c>
      <c r="I932" s="29">
        <f>IF(OR(COUNTIF('Suivi des rencontres'!$A:$A,$A932)&gt;0,COUNTIF('Suivi des rencontres'!$C:$C,$J932)&gt;0),"Non","Oui")</f>
        <v/>
      </c>
      <c r="J932" s="30" t="inlineStr">
        <is>
          <t>MACHOC</t>
        </is>
      </c>
    </row>
    <row r="933">
      <c r="A933" s="47" t="inlineStr">
        <is>
          <t>Mont Argenté</t>
        </is>
      </c>
      <c r="B933" s="47" t="inlineStr">
        <is>
          <t>MtSilver_MountainSide_hns</t>
        </is>
      </c>
      <c r="C933" s="48" t="inlineStr">
        <is>
          <t>Matin, jour, soir</t>
        </is>
      </c>
      <c r="D933" s="49" t="inlineStr">
        <is>
          <t>Herbe</t>
        </is>
      </c>
      <c r="E933" s="50" t="inlineStr">
        <is>
          <t>GALOPA</t>
        </is>
      </c>
      <c r="F933" s="51" t="n">
        <v>0.05</v>
      </c>
      <c r="G933" s="52" t="n">
        <v>61</v>
      </c>
      <c r="H933" s="52" t="n">
        <v>69</v>
      </c>
      <c r="I933" s="29">
        <f>IF(OR(COUNTIF('Suivi des rencontres'!$A:$A,$A933)&gt;0,COUNTIF('Suivi des rencontres'!$C:$C,$J933)&gt;0),"Non","Oui")</f>
        <v/>
      </c>
      <c r="J933" s="30" t="inlineStr">
        <is>
          <t>PONYTA</t>
        </is>
      </c>
    </row>
    <row r="934">
      <c r="A934" s="47" t="inlineStr">
        <is>
          <t>Mont Argenté</t>
        </is>
      </c>
      <c r="B934" s="47" t="inlineStr">
        <is>
          <t>MtSilver_MountainSide_hns</t>
        </is>
      </c>
      <c r="C934" s="62" t="inlineStr">
        <is>
          <t>Nuit</t>
        </is>
      </c>
      <c r="D934" s="49" t="inlineStr">
        <is>
          <t>Herbe</t>
        </is>
      </c>
      <c r="E934" s="50" t="inlineStr">
        <is>
          <t>ONIX</t>
        </is>
      </c>
      <c r="F934" s="51" t="n">
        <v>0.3</v>
      </c>
      <c r="G934" s="52" t="n">
        <v>68</v>
      </c>
      <c r="H934" s="52" t="n">
        <v>68</v>
      </c>
      <c r="I934" s="29">
        <f>IF(OR(COUNTIF('Suivi des rencontres'!$A:$A,$A934)&gt;0,COUNTIF('Suivi des rencontres'!$C:$C,$J934)&gt;0),"Non","Oui")</f>
        <v/>
      </c>
      <c r="J934" s="30" t="inlineStr">
        <is>
          <t>ONIX</t>
        </is>
      </c>
    </row>
    <row r="935">
      <c r="A935" s="47" t="inlineStr">
        <is>
          <t>Mont Argenté</t>
        </is>
      </c>
      <c r="B935" s="47" t="inlineStr">
        <is>
          <t>MtSilver_MountainSide_hns</t>
        </is>
      </c>
      <c r="C935" s="62" t="inlineStr">
        <is>
          <t>Nuit</t>
        </is>
      </c>
      <c r="D935" s="49" t="inlineStr">
        <is>
          <t>Herbe</t>
        </is>
      </c>
      <c r="E935" s="50" t="inlineStr">
        <is>
          <t>URSARING</t>
        </is>
      </c>
      <c r="F935" s="51" t="n">
        <v>0.2</v>
      </c>
      <c r="G935" s="52" t="n">
        <v>61</v>
      </c>
      <c r="H935" s="52" t="n">
        <v>69</v>
      </c>
      <c r="I935" s="29">
        <f>IF(OR(COUNTIF('Suivi des rencontres'!$A:$A,$A935)&gt;0,COUNTIF('Suivi des rencontres'!$C:$C,$J935)&gt;0),"Non","Oui")</f>
        <v/>
      </c>
      <c r="J935" s="30" t="inlineStr">
        <is>
          <t>TEDDIURSA</t>
        </is>
      </c>
    </row>
    <row r="936">
      <c r="A936" s="47" t="inlineStr">
        <is>
          <t>Mont Argenté</t>
        </is>
      </c>
      <c r="B936" s="47" t="inlineStr">
        <is>
          <t>MtSilver_MountainSide_hns</t>
        </is>
      </c>
      <c r="C936" s="62" t="inlineStr">
        <is>
          <t>Nuit</t>
        </is>
      </c>
      <c r="D936" s="49" t="inlineStr">
        <is>
          <t>Herbe</t>
        </is>
      </c>
      <c r="E936" s="50" t="inlineStr">
        <is>
          <t>GROLEM</t>
        </is>
      </c>
      <c r="F936" s="51" t="n">
        <v>0.15</v>
      </c>
      <c r="G936" s="52" t="n">
        <v>68</v>
      </c>
      <c r="H936" s="52" t="n">
        <v>68</v>
      </c>
      <c r="I936" s="29">
        <f>IF(OR(COUNTIF('Suivi des rencontres'!$A:$A,$A936)&gt;0,COUNTIF('Suivi des rencontres'!$C:$C,$J936)&gt;0),"Non","Oui")</f>
        <v/>
      </c>
      <c r="J936" s="30" t="inlineStr">
        <is>
          <t>RACAILLOU</t>
        </is>
      </c>
    </row>
    <row r="937">
      <c r="A937" s="47" t="inlineStr">
        <is>
          <t>Mont Argenté</t>
        </is>
      </c>
      <c r="B937" s="47" t="inlineStr">
        <is>
          <t>MtSilver_MountainSide_hns</t>
        </is>
      </c>
      <c r="C937" s="62" t="inlineStr">
        <is>
          <t>Nuit</t>
        </is>
      </c>
      <c r="D937" s="49" t="inlineStr">
        <is>
          <t>Herbe</t>
        </is>
      </c>
      <c r="E937" s="50" t="inlineStr">
        <is>
          <t>AIRMURE</t>
        </is>
      </c>
      <c r="F937" s="51" t="n">
        <v>0.1</v>
      </c>
      <c r="G937" s="52" t="n">
        <v>65</v>
      </c>
      <c r="H937" s="52" t="n">
        <v>65</v>
      </c>
      <c r="I937" s="29">
        <f>IF(OR(COUNTIF('Suivi des rencontres'!$A:$A,$A937)&gt;0,COUNTIF('Suivi des rencontres'!$C:$C,$J937)&gt;0),"Non","Oui")</f>
        <v/>
      </c>
      <c r="J937" s="30" t="inlineStr">
        <is>
          <t>AIRMURE</t>
        </is>
      </c>
    </row>
    <row r="938">
      <c r="A938" s="47" t="inlineStr">
        <is>
          <t>Mont Argenté</t>
        </is>
      </c>
      <c r="B938" s="47" t="inlineStr">
        <is>
          <t>MtSilver_MountainSide_hns</t>
        </is>
      </c>
      <c r="C938" s="62" t="inlineStr">
        <is>
          <t>Nuit</t>
        </is>
      </c>
      <c r="D938" s="49" t="inlineStr">
        <is>
          <t>Herbe</t>
        </is>
      </c>
      <c r="E938" s="50" t="inlineStr">
        <is>
          <t>DEMOLOSSE</t>
        </is>
      </c>
      <c r="F938" s="51" t="n">
        <v>0.1</v>
      </c>
      <c r="G938" s="52" t="n">
        <v>61</v>
      </c>
      <c r="H938" s="52" t="n">
        <v>69</v>
      </c>
      <c r="I938" s="29">
        <f>IF(OR(COUNTIF('Suivi des rencontres'!$A:$A,$A938)&gt;0,COUNTIF('Suivi des rencontres'!$C:$C,$J938)&gt;0),"Non","Oui")</f>
        <v/>
      </c>
      <c r="J938" s="30" t="inlineStr">
        <is>
          <t>MALOSSE</t>
        </is>
      </c>
    </row>
    <row r="939">
      <c r="A939" s="47" t="inlineStr">
        <is>
          <t>Mont Argenté</t>
        </is>
      </c>
      <c r="B939" s="47" t="inlineStr">
        <is>
          <t>MtSilver_MountainSide_hns</t>
        </is>
      </c>
      <c r="C939" s="62" t="inlineStr">
        <is>
          <t>Nuit</t>
        </is>
      </c>
      <c r="D939" s="49" t="inlineStr">
        <is>
          <t>Herbe</t>
        </is>
      </c>
      <c r="E939" s="50" t="inlineStr">
        <is>
          <t>MAGIREVE</t>
        </is>
      </c>
      <c r="F939" s="51" t="n">
        <v>0.1</v>
      </c>
      <c r="G939" s="52" t="n">
        <v>61</v>
      </c>
      <c r="H939" s="52" t="n">
        <v>69</v>
      </c>
      <c r="I939" s="29">
        <f>IF(OR(COUNTIF('Suivi des rencontres'!$A:$A,$A939)&gt;0,COUNTIF('Suivi des rencontres'!$C:$C,$J939)&gt;0),"Non","Oui")</f>
        <v/>
      </c>
      <c r="J939" s="30" t="inlineStr">
        <is>
          <t>FEUFOREVE</t>
        </is>
      </c>
    </row>
    <row r="940">
      <c r="A940" s="47" t="inlineStr">
        <is>
          <t>Mont Argenté</t>
        </is>
      </c>
      <c r="B940" s="47" t="inlineStr">
        <is>
          <t>MtSilver_MountainSide_hns</t>
        </is>
      </c>
      <c r="C940" s="62" t="inlineStr">
        <is>
          <t>Nuit</t>
        </is>
      </c>
      <c r="D940" s="49" t="inlineStr">
        <is>
          <t>Herbe</t>
        </is>
      </c>
      <c r="E940" s="50" t="inlineStr">
        <is>
          <t>GALOPA</t>
        </is>
      </c>
      <c r="F940" s="51" t="n">
        <v>0.05</v>
      </c>
      <c r="G940" s="52" t="n">
        <v>61</v>
      </c>
      <c r="H940" s="52" t="n">
        <v>69</v>
      </c>
      <c r="I940" s="29">
        <f>IF(OR(COUNTIF('Suivi des rencontres'!$A:$A,$A940)&gt;0,COUNTIF('Suivi des rencontres'!$C:$C,$J940)&gt;0),"Non","Oui")</f>
        <v/>
      </c>
      <c r="J940" s="30" t="inlineStr">
        <is>
          <t>PONYTA</t>
        </is>
      </c>
    </row>
    <row r="941">
      <c r="A941" s="47" t="inlineStr">
        <is>
          <t>Mont Argenté</t>
        </is>
      </c>
      <c r="B941" s="47" t="inlineStr">
        <is>
          <t>MtSilver_MountainSide_hns</t>
        </is>
      </c>
      <c r="C941" s="48" t="inlineStr">
        <is>
          <t>Matin, jour, soir</t>
        </is>
      </c>
      <c r="D941" s="36" t="inlineStr">
        <is>
          <t>Éclate-Roc</t>
        </is>
      </c>
      <c r="E941" s="50" t="inlineStr">
        <is>
          <t>FORETRESS</t>
        </is>
      </c>
      <c r="F941" s="51" t="n">
        <v>0.6</v>
      </c>
      <c r="G941" s="52" t="n">
        <v>40</v>
      </c>
      <c r="H941" s="52" t="n">
        <v>40</v>
      </c>
      <c r="I941" s="29">
        <f>IF(OR(COUNTIF('Suivi des rencontres'!$A:$A,$A941)&gt;0,COUNTIF('Suivi des rencontres'!$C:$C,$J941)&gt;0),"Non","Oui")</f>
        <v/>
      </c>
      <c r="J941" s="30" t="inlineStr">
        <is>
          <t>POMDEPIK</t>
        </is>
      </c>
    </row>
    <row r="942">
      <c r="A942" s="47" t="inlineStr">
        <is>
          <t>Mont Argenté</t>
        </is>
      </c>
      <c r="B942" s="47" t="inlineStr">
        <is>
          <t>MtSilver_MountainSide_hns</t>
        </is>
      </c>
      <c r="C942" s="48" t="inlineStr">
        <is>
          <t>Matin, jour, soir</t>
        </is>
      </c>
      <c r="D942" s="36" t="inlineStr">
        <is>
          <t>Éclate-Roc</t>
        </is>
      </c>
      <c r="E942" s="50" t="inlineStr">
        <is>
          <t>CAPIDEXTRE</t>
        </is>
      </c>
      <c r="F942" s="51" t="n">
        <v>0.3</v>
      </c>
      <c r="G942" s="52" t="n">
        <v>40</v>
      </c>
      <c r="H942" s="52" t="n">
        <v>40</v>
      </c>
      <c r="I942" s="29">
        <f>IF(OR(COUNTIF('Suivi des rencontres'!$A:$A,$A942)&gt;0,COUNTIF('Suivi des rencontres'!$C:$C,$J942)&gt;0),"Non","Oui")</f>
        <v/>
      </c>
      <c r="J942" s="30" t="inlineStr">
        <is>
          <t>CAPUMAIN</t>
        </is>
      </c>
    </row>
    <row r="943">
      <c r="A943" s="47" t="inlineStr">
        <is>
          <t>Mont Argenté</t>
        </is>
      </c>
      <c r="B943" s="47" t="inlineStr">
        <is>
          <t>MtSilver_MountainSide_hns</t>
        </is>
      </c>
      <c r="C943" s="48" t="inlineStr">
        <is>
          <t>Matin, jour, soir</t>
        </is>
      </c>
      <c r="D943" s="36" t="inlineStr">
        <is>
          <t>Éclate-Roc</t>
        </is>
      </c>
      <c r="E943" s="50" t="inlineStr">
        <is>
          <t>INSECATEUR</t>
        </is>
      </c>
      <c r="F943" s="51" t="n">
        <v>0.05</v>
      </c>
      <c r="G943" s="52" t="n">
        <v>40</v>
      </c>
      <c r="H943" s="52" t="n">
        <v>40</v>
      </c>
      <c r="I943" s="29">
        <f>IF(OR(COUNTIF('Suivi des rencontres'!$A:$A,$A943)&gt;0,COUNTIF('Suivi des rencontres'!$C:$C,$J943)&gt;0),"Non","Oui")</f>
        <v/>
      </c>
      <c r="J943" s="30" t="inlineStr">
        <is>
          <t>INSECATEUR</t>
        </is>
      </c>
    </row>
    <row r="944">
      <c r="A944" s="47" t="inlineStr">
        <is>
          <t>Mont Argenté</t>
        </is>
      </c>
      <c r="B944" s="47" t="inlineStr">
        <is>
          <t>MtSilver_MountainSide_hns</t>
        </is>
      </c>
      <c r="C944" s="48" t="inlineStr">
        <is>
          <t>Matin, jour, soir</t>
        </is>
      </c>
      <c r="D944" s="36" t="inlineStr">
        <is>
          <t>Éclate-Roc</t>
        </is>
      </c>
      <c r="E944" s="50" t="inlineStr">
        <is>
          <t>SCARHINO</t>
        </is>
      </c>
      <c r="F944" s="51" t="n">
        <v>0.05</v>
      </c>
      <c r="G944" s="52" t="n">
        <v>40</v>
      </c>
      <c r="H944" s="52" t="n">
        <v>40</v>
      </c>
      <c r="I944" s="29">
        <f>IF(OR(COUNTIF('Suivi des rencontres'!$A:$A,$A944)&gt;0,COUNTIF('Suivi des rencontres'!$C:$C,$J944)&gt;0),"Non","Oui")</f>
        <v/>
      </c>
      <c r="J944" s="30" t="inlineStr">
        <is>
          <t>SCARHINO</t>
        </is>
      </c>
    </row>
    <row r="945">
      <c r="A945" s="47" t="inlineStr">
        <is>
          <t>Mont Argenté</t>
        </is>
      </c>
      <c r="B945" s="47" t="inlineStr">
        <is>
          <t>MtSilver_MountainSide_hns</t>
        </is>
      </c>
      <c r="C945" s="62" t="inlineStr">
        <is>
          <t>Nuit</t>
        </is>
      </c>
      <c r="D945" s="36" t="inlineStr">
        <is>
          <t>Éclate-Roc</t>
        </is>
      </c>
      <c r="E945" s="50" t="inlineStr">
        <is>
          <t>FORETRESS</t>
        </is>
      </c>
      <c r="F945" s="51" t="n">
        <v>0.6</v>
      </c>
      <c r="G945" s="52" t="n">
        <v>40</v>
      </c>
      <c r="H945" s="52" t="n">
        <v>40</v>
      </c>
      <c r="I945" s="29">
        <f>IF(OR(COUNTIF('Suivi des rencontres'!$A:$A,$A945)&gt;0,COUNTIF('Suivi des rencontres'!$C:$C,$J945)&gt;0),"Non","Oui")</f>
        <v/>
      </c>
      <c r="J945" s="30" t="inlineStr">
        <is>
          <t>POMDEPIK</t>
        </is>
      </c>
    </row>
    <row r="946">
      <c r="A946" s="47" t="inlineStr">
        <is>
          <t>Mont Argenté</t>
        </is>
      </c>
      <c r="B946" s="47" t="inlineStr">
        <is>
          <t>MtSilver_MountainSide_hns</t>
        </is>
      </c>
      <c r="C946" s="62" t="inlineStr">
        <is>
          <t>Nuit</t>
        </is>
      </c>
      <c r="D946" s="36" t="inlineStr">
        <is>
          <t>Éclate-Roc</t>
        </is>
      </c>
      <c r="E946" s="50" t="inlineStr">
        <is>
          <t>CAPIDEXTRE</t>
        </is>
      </c>
      <c r="F946" s="51" t="n">
        <v>0.3</v>
      </c>
      <c r="G946" s="52" t="n">
        <v>40</v>
      </c>
      <c r="H946" s="52" t="n">
        <v>40</v>
      </c>
      <c r="I946" s="29">
        <f>IF(OR(COUNTIF('Suivi des rencontres'!$A:$A,$A946)&gt;0,COUNTIF('Suivi des rencontres'!$C:$C,$J946)&gt;0),"Non","Oui")</f>
        <v/>
      </c>
      <c r="J946" s="30" t="inlineStr">
        <is>
          <t>CAPUMAIN</t>
        </is>
      </c>
    </row>
    <row r="947">
      <c r="A947" s="47" t="inlineStr">
        <is>
          <t>Mont Argenté</t>
        </is>
      </c>
      <c r="B947" s="47" t="inlineStr">
        <is>
          <t>MtSilver_MountainSide_hns</t>
        </is>
      </c>
      <c r="C947" s="62" t="inlineStr">
        <is>
          <t>Nuit</t>
        </is>
      </c>
      <c r="D947" s="36" t="inlineStr">
        <is>
          <t>Éclate-Roc</t>
        </is>
      </c>
      <c r="E947" s="50" t="inlineStr">
        <is>
          <t>INSECATEUR</t>
        </is>
      </c>
      <c r="F947" s="51" t="n">
        <v>0.05</v>
      </c>
      <c r="G947" s="52" t="n">
        <v>40</v>
      </c>
      <c r="H947" s="52" t="n">
        <v>40</v>
      </c>
      <c r="I947" s="29">
        <f>IF(OR(COUNTIF('Suivi des rencontres'!$A:$A,$A947)&gt;0,COUNTIF('Suivi des rencontres'!$C:$C,$J947)&gt;0),"Non","Oui")</f>
        <v/>
      </c>
      <c r="J947" s="30" t="inlineStr">
        <is>
          <t>INSECATEUR</t>
        </is>
      </c>
    </row>
    <row r="948">
      <c r="A948" s="47" t="inlineStr">
        <is>
          <t>Mont Argenté</t>
        </is>
      </c>
      <c r="B948" s="47" t="inlineStr">
        <is>
          <t>MtSilver_MountainSide_hns</t>
        </is>
      </c>
      <c r="C948" s="62" t="inlineStr">
        <is>
          <t>Nuit</t>
        </is>
      </c>
      <c r="D948" s="36" t="inlineStr">
        <is>
          <t>Éclate-Roc</t>
        </is>
      </c>
      <c r="E948" s="50" t="inlineStr">
        <is>
          <t>SCARHINO</t>
        </is>
      </c>
      <c r="F948" s="51" t="n">
        <v>0.05</v>
      </c>
      <c r="G948" s="52" t="n">
        <v>40</v>
      </c>
      <c r="H948" s="52" t="n">
        <v>40</v>
      </c>
      <c r="I948" s="29">
        <f>IF(OR(COUNTIF('Suivi des rencontres'!$A:$A,$A948)&gt;0,COUNTIF('Suivi des rencontres'!$C:$C,$J948)&gt;0),"Non","Oui")</f>
        <v/>
      </c>
      <c r="J948" s="30" t="inlineStr">
        <is>
          <t>SCARHINO</t>
        </is>
      </c>
    </row>
    <row r="949">
      <c r="A949" s="47" t="inlineStr">
        <is>
          <t>Mont Argenté</t>
        </is>
      </c>
      <c r="B949" s="47" t="inlineStr">
        <is>
          <t>MtSilver_MountainSide_hns</t>
        </is>
      </c>
      <c r="C949" s="48" t="inlineStr">
        <is>
          <t>Toute la journée</t>
        </is>
      </c>
      <c r="D949" s="54" t="inlineStr">
        <is>
          <t>Vieille Canne</t>
        </is>
      </c>
      <c r="E949" s="50" t="inlineStr">
        <is>
          <t>MAGICARPE</t>
        </is>
      </c>
      <c r="F949" s="51" t="n">
        <v>0.7</v>
      </c>
      <c r="G949" s="52" t="n">
        <v>10</v>
      </c>
      <c r="H949" s="52" t="n">
        <v>10</v>
      </c>
      <c r="I949" s="29">
        <f>IF(OR(COUNTIF('Suivi des rencontres'!$A:$A,$A949)&gt;0,COUNTIF('Suivi des rencontres'!$C:$C,$J949)&gt;0),"Non","Oui")</f>
        <v/>
      </c>
      <c r="J949" s="30" t="inlineStr">
        <is>
          <t>MAGICARPE</t>
        </is>
      </c>
    </row>
    <row r="950">
      <c r="A950" s="47" t="inlineStr">
        <is>
          <t>Mont Argenté</t>
        </is>
      </c>
      <c r="B950" s="47" t="inlineStr">
        <is>
          <t>MtSilver_MountainSide_hns</t>
        </is>
      </c>
      <c r="C950" s="48" t="inlineStr">
        <is>
          <t>Toute la journée</t>
        </is>
      </c>
      <c r="D950" s="54" t="inlineStr">
        <is>
          <t>Vieille Canne</t>
        </is>
      </c>
      <c r="E950" s="50" t="inlineStr">
        <is>
          <t>PTITARD</t>
        </is>
      </c>
      <c r="F950" s="51" t="n">
        <v>0.3</v>
      </c>
      <c r="G950" s="52" t="n">
        <v>10</v>
      </c>
      <c r="H950" s="52" t="n">
        <v>10</v>
      </c>
      <c r="I950" s="29">
        <f>IF(OR(COUNTIF('Suivi des rencontres'!$A:$A,$A950)&gt;0,COUNTIF('Suivi des rencontres'!$C:$C,$J950)&gt;0),"Non","Oui")</f>
        <v/>
      </c>
      <c r="J950" s="30" t="inlineStr">
        <is>
          <t>PTITARD</t>
        </is>
      </c>
    </row>
    <row r="951">
      <c r="A951" s="47" t="inlineStr">
        <is>
          <t>Mont Argenté</t>
        </is>
      </c>
      <c r="B951" s="47" t="inlineStr">
        <is>
          <t>MtSilver_MountainSide_hns</t>
        </is>
      </c>
      <c r="C951" s="48" t="inlineStr">
        <is>
          <t>Toute la journée</t>
        </is>
      </c>
      <c r="D951" s="55" t="inlineStr">
        <is>
          <t>Bonne Canne</t>
        </is>
      </c>
      <c r="E951" s="50" t="inlineStr">
        <is>
          <t>PTITARD</t>
        </is>
      </c>
      <c r="F951" s="51" t="n">
        <v>0.8</v>
      </c>
      <c r="G951" s="52" t="n">
        <v>20</v>
      </c>
      <c r="H951" s="52" t="n">
        <v>40</v>
      </c>
      <c r="I951" s="29">
        <f>IF(OR(COUNTIF('Suivi des rencontres'!$A:$A,$A951)&gt;0,COUNTIF('Suivi des rencontres'!$C:$C,$J951)&gt;0),"Non","Oui")</f>
        <v/>
      </c>
      <c r="J951" s="30" t="inlineStr">
        <is>
          <t>PTITARD</t>
        </is>
      </c>
    </row>
    <row r="952">
      <c r="A952" s="47" t="inlineStr">
        <is>
          <t>Mont Argenté</t>
        </is>
      </c>
      <c r="B952" s="47" t="inlineStr">
        <is>
          <t>MtSilver_MountainSide_hns</t>
        </is>
      </c>
      <c r="C952" s="48" t="inlineStr">
        <is>
          <t>Toute la journée</t>
        </is>
      </c>
      <c r="D952" s="55" t="inlineStr">
        <is>
          <t>Bonne Canne</t>
        </is>
      </c>
      <c r="E952" s="50" t="inlineStr">
        <is>
          <t>MAGICARPE</t>
        </is>
      </c>
      <c r="F952" s="51" t="n">
        <v>0.2</v>
      </c>
      <c r="G952" s="52" t="n">
        <v>20</v>
      </c>
      <c r="H952" s="52" t="n">
        <v>20</v>
      </c>
      <c r="I952" s="29">
        <f>IF(OR(COUNTIF('Suivi des rencontres'!$A:$A,$A952)&gt;0,COUNTIF('Suivi des rencontres'!$C:$C,$J952)&gt;0),"Non","Oui")</f>
        <v/>
      </c>
      <c r="J952" s="30" t="inlineStr">
        <is>
          <t>MAGICARPE</t>
        </is>
      </c>
    </row>
    <row r="953">
      <c r="A953" s="47" t="inlineStr">
        <is>
          <t>Mont Argenté</t>
        </is>
      </c>
      <c r="B953" s="47" t="inlineStr">
        <is>
          <t>MtSilver_MountainSide_hns</t>
        </is>
      </c>
      <c r="C953" s="48" t="inlineStr">
        <is>
          <t>Toute la journée</t>
        </is>
      </c>
      <c r="D953" s="56" t="inlineStr">
        <is>
          <t>Super Canne</t>
        </is>
      </c>
      <c r="E953" s="50" t="inlineStr">
        <is>
          <t>MAGICARPE</t>
        </is>
      </c>
      <c r="F953" s="51" t="n">
        <v>0.44</v>
      </c>
      <c r="G953" s="52" t="n">
        <v>40</v>
      </c>
      <c r="H953" s="52" t="n">
        <v>40</v>
      </c>
      <c r="I953" s="29">
        <f>IF(OR(COUNTIF('Suivi des rencontres'!$A:$A,$A953)&gt;0,COUNTIF('Suivi des rencontres'!$C:$C,$J953)&gt;0),"Non","Oui")</f>
        <v/>
      </c>
      <c r="J953" s="30" t="inlineStr">
        <is>
          <t>MAGICARPE</t>
        </is>
      </c>
    </row>
    <row r="954">
      <c r="A954" s="47" t="inlineStr">
        <is>
          <t>Mont Argenté</t>
        </is>
      </c>
      <c r="B954" s="47" t="inlineStr">
        <is>
          <t>MtSilver_MountainSide_hns</t>
        </is>
      </c>
      <c r="C954" s="48" t="inlineStr">
        <is>
          <t>Toute la journée</t>
        </is>
      </c>
      <c r="D954" s="56" t="inlineStr">
        <is>
          <t>Super Canne</t>
        </is>
      </c>
      <c r="E954" s="50" t="inlineStr">
        <is>
          <t>TETARTE</t>
        </is>
      </c>
      <c r="F954" s="51" t="n">
        <v>0.4</v>
      </c>
      <c r="G954" s="52" t="n">
        <v>40</v>
      </c>
      <c r="H954" s="52" t="n">
        <v>40</v>
      </c>
      <c r="I954" s="29">
        <f>IF(OR(COUNTIF('Suivi des rencontres'!$A:$A,$A954)&gt;0,COUNTIF('Suivi des rencontres'!$C:$C,$J954)&gt;0),"Non","Oui")</f>
        <v/>
      </c>
      <c r="J954" s="30" t="inlineStr">
        <is>
          <t>PTITARD</t>
        </is>
      </c>
    </row>
    <row r="955">
      <c r="A955" s="47" t="inlineStr">
        <is>
          <t>Mont Argenté</t>
        </is>
      </c>
      <c r="B955" s="47" t="inlineStr">
        <is>
          <t>MtSilver_MountainSide_hns</t>
        </is>
      </c>
      <c r="C955" s="48" t="inlineStr">
        <is>
          <t>Toute la journée</t>
        </is>
      </c>
      <c r="D955" s="56" t="inlineStr">
        <is>
          <t>Super Canne</t>
        </is>
      </c>
      <c r="E955" s="50" t="inlineStr">
        <is>
          <t>PTITARD</t>
        </is>
      </c>
      <c r="F955" s="51" t="n">
        <v>0.16</v>
      </c>
      <c r="G955" s="52" t="n">
        <v>40</v>
      </c>
      <c r="H955" s="52" t="n">
        <v>40</v>
      </c>
      <c r="I955" s="29">
        <f>IF(OR(COUNTIF('Suivi des rencontres'!$A:$A,$A955)&gt;0,COUNTIF('Suivi des rencontres'!$C:$C,$J955)&gt;0),"Non","Oui")</f>
        <v/>
      </c>
      <c r="J955" s="30" t="inlineStr">
        <is>
          <t>PTITARD</t>
        </is>
      </c>
    </row>
    <row r="956">
      <c r="A956" s="47" t="inlineStr">
        <is>
          <t>Mont Argenté</t>
        </is>
      </c>
      <c r="B956" s="47" t="inlineStr">
        <is>
          <t>MtSilver_Outside_hns</t>
        </is>
      </c>
      <c r="C956" s="48" t="inlineStr">
        <is>
          <t>Matin, jour, soir</t>
        </is>
      </c>
      <c r="D956" s="49" t="inlineStr">
        <is>
          <t>Herbe</t>
        </is>
      </c>
      <c r="E956" s="50" t="inlineStr">
        <is>
          <t>GROLEM</t>
        </is>
      </c>
      <c r="F956" s="51" t="n">
        <v>0.3</v>
      </c>
      <c r="G956" s="52" t="n">
        <v>51</v>
      </c>
      <c r="H956" s="52" t="n">
        <v>52</v>
      </c>
      <c r="I956" s="29">
        <f>IF(OR(COUNTIF('Suivi des rencontres'!$A:$A,$A956)&gt;0,COUNTIF('Suivi des rencontres'!$C:$C,$J956)&gt;0),"Non","Oui")</f>
        <v/>
      </c>
      <c r="J956" s="30" t="inlineStr">
        <is>
          <t>RACAILLOU</t>
        </is>
      </c>
    </row>
    <row r="957">
      <c r="A957" s="47" t="inlineStr">
        <is>
          <t>Mont Argenté</t>
        </is>
      </c>
      <c r="B957" s="47" t="inlineStr">
        <is>
          <t>MtSilver_Outside_hns</t>
        </is>
      </c>
      <c r="C957" s="48" t="inlineStr">
        <is>
          <t>Matin, jour, soir</t>
        </is>
      </c>
      <c r="D957" s="49" t="inlineStr">
        <is>
          <t>Herbe</t>
        </is>
      </c>
      <c r="E957" s="50" t="inlineStr">
        <is>
          <t>URSARING</t>
        </is>
      </c>
      <c r="F957" s="51" t="n">
        <v>0.3</v>
      </c>
      <c r="G957" s="52" t="n">
        <v>50</v>
      </c>
      <c r="H957" s="52" t="n">
        <v>50</v>
      </c>
      <c r="I957" s="29">
        <f>IF(OR(COUNTIF('Suivi des rencontres'!$A:$A,$A957)&gt;0,COUNTIF('Suivi des rencontres'!$C:$C,$J957)&gt;0),"Non","Oui")</f>
        <v/>
      </c>
      <c r="J957" s="30" t="inlineStr">
        <is>
          <t>TEDDIURSA</t>
        </is>
      </c>
    </row>
    <row r="958">
      <c r="A958" s="47" t="inlineStr">
        <is>
          <t>Mont Argenté</t>
        </is>
      </c>
      <c r="B958" s="47" t="inlineStr">
        <is>
          <t>MtSilver_Outside_hns</t>
        </is>
      </c>
      <c r="C958" s="48" t="inlineStr">
        <is>
          <t>Matin, jour, soir</t>
        </is>
      </c>
      <c r="D958" s="49" t="inlineStr">
        <is>
          <t>Herbe</t>
        </is>
      </c>
      <c r="E958" s="50" t="inlineStr">
        <is>
          <t>AIRMURE</t>
        </is>
      </c>
      <c r="F958" s="51" t="n">
        <v>0.1</v>
      </c>
      <c r="G958" s="52" t="n">
        <v>54</v>
      </c>
      <c r="H958" s="52" t="n">
        <v>54</v>
      </c>
      <c r="I958" s="29">
        <f>IF(OR(COUNTIF('Suivi des rencontres'!$A:$A,$A958)&gt;0,COUNTIF('Suivi des rencontres'!$C:$C,$J958)&gt;0),"Non","Oui")</f>
        <v/>
      </c>
      <c r="J958" s="30" t="inlineStr">
        <is>
          <t>AIRMURE</t>
        </is>
      </c>
    </row>
    <row r="959">
      <c r="A959" s="47" t="inlineStr">
        <is>
          <t>Mont Argenté</t>
        </is>
      </c>
      <c r="B959" s="47" t="inlineStr">
        <is>
          <t>MtSilver_Outside_hns</t>
        </is>
      </c>
      <c r="C959" s="48" t="inlineStr">
        <is>
          <t>Matin, jour, soir</t>
        </is>
      </c>
      <c r="D959" s="49" t="inlineStr">
        <is>
          <t>Herbe</t>
        </is>
      </c>
      <c r="E959" s="50" t="inlineStr">
        <is>
          <t>GALOPA</t>
        </is>
      </c>
      <c r="F959" s="51" t="n">
        <v>0.1</v>
      </c>
      <c r="G959" s="52" t="n">
        <v>54</v>
      </c>
      <c r="H959" s="52" t="n">
        <v>54</v>
      </c>
      <c r="I959" s="29">
        <f>IF(OR(COUNTIF('Suivi des rencontres'!$A:$A,$A959)&gt;0,COUNTIF('Suivi des rencontres'!$C:$C,$J959)&gt;0),"Non","Oui")</f>
        <v/>
      </c>
      <c r="J959" s="30" t="inlineStr">
        <is>
          <t>PONYTA</t>
        </is>
      </c>
    </row>
    <row r="960">
      <c r="A960" s="47" t="inlineStr">
        <is>
          <t>Mont Argenté</t>
        </is>
      </c>
      <c r="B960" s="47" t="inlineStr">
        <is>
          <t>MtSilver_Outside_hns</t>
        </is>
      </c>
      <c r="C960" s="48" t="inlineStr">
        <is>
          <t>Matin, jour, soir</t>
        </is>
      </c>
      <c r="D960" s="49" t="inlineStr">
        <is>
          <t>Herbe</t>
        </is>
      </c>
      <c r="E960" s="50" t="inlineStr">
        <is>
          <t>DRACAUFEU</t>
        </is>
      </c>
      <c r="F960" s="51" t="n">
        <v>0.09</v>
      </c>
      <c r="G960" s="52" t="n">
        <v>50</v>
      </c>
      <c r="H960" s="52" t="n">
        <v>50</v>
      </c>
      <c r="I960" s="29">
        <f>IF(OR(COUNTIF('Suivi des rencontres'!$A:$A,$A960)&gt;0,COUNTIF('Suivi des rencontres'!$C:$C,$J960)&gt;0),"Non","Oui")</f>
        <v/>
      </c>
      <c r="J960" s="30" t="inlineStr">
        <is>
          <t>SALAMECHE</t>
        </is>
      </c>
    </row>
    <row r="961">
      <c r="A961" s="47" t="inlineStr">
        <is>
          <t>Mont Argenté</t>
        </is>
      </c>
      <c r="B961" s="47" t="inlineStr">
        <is>
          <t>MtSilver_Outside_hns</t>
        </is>
      </c>
      <c r="C961" s="48" t="inlineStr">
        <is>
          <t>Matin, jour, soir</t>
        </is>
      </c>
      <c r="D961" s="49" t="inlineStr">
        <is>
          <t>Herbe</t>
        </is>
      </c>
      <c r="E961" s="50" t="inlineStr">
        <is>
          <t>FLORIZARRE</t>
        </is>
      </c>
      <c r="F961" s="51" t="n">
        <v>0.06</v>
      </c>
      <c r="G961" s="52" t="n">
        <v>54</v>
      </c>
      <c r="H961" s="52" t="n">
        <v>54</v>
      </c>
      <c r="I961" s="29">
        <f>IF(OR(COUNTIF('Suivi des rencontres'!$A:$A,$A961)&gt;0,COUNTIF('Suivi des rencontres'!$C:$C,$J961)&gt;0),"Non","Oui")</f>
        <v/>
      </c>
      <c r="J961" s="30" t="inlineStr">
        <is>
          <t>BULBIZARRE</t>
        </is>
      </c>
    </row>
    <row r="962">
      <c r="A962" s="47" t="inlineStr">
        <is>
          <t>Mont Argenté</t>
        </is>
      </c>
      <c r="B962" s="47" t="inlineStr">
        <is>
          <t>MtSilver_Outside_hns</t>
        </is>
      </c>
      <c r="C962" s="48" t="inlineStr">
        <is>
          <t>Matin, jour, soir</t>
        </is>
      </c>
      <c r="D962" s="49" t="inlineStr">
        <is>
          <t>Herbe</t>
        </is>
      </c>
      <c r="E962" s="50" t="inlineStr">
        <is>
          <t>DONPHAN</t>
        </is>
      </c>
      <c r="F962" s="51" t="n">
        <v>0.05</v>
      </c>
      <c r="G962" s="52" t="n">
        <v>52</v>
      </c>
      <c r="H962" s="52" t="n">
        <v>53</v>
      </c>
      <c r="I962" s="29">
        <f>IF(OR(COUNTIF('Suivi des rencontres'!$A:$A,$A962)&gt;0,COUNTIF('Suivi des rencontres'!$C:$C,$J962)&gt;0),"Non","Oui")</f>
        <v/>
      </c>
      <c r="J962" s="30" t="inlineStr">
        <is>
          <t>PHANPY</t>
        </is>
      </c>
    </row>
    <row r="963">
      <c r="A963" s="47" t="inlineStr">
        <is>
          <t>Mont Argenté</t>
        </is>
      </c>
      <c r="B963" s="47" t="inlineStr">
        <is>
          <t>MtSilver_Outside_hns</t>
        </is>
      </c>
      <c r="C963" s="62" t="inlineStr">
        <is>
          <t>Nuit</t>
        </is>
      </c>
      <c r="D963" s="49" t="inlineStr">
        <is>
          <t>Herbe</t>
        </is>
      </c>
      <c r="E963" s="50" t="inlineStr">
        <is>
          <t>MARAISTE</t>
        </is>
      </c>
      <c r="F963" s="51" t="n">
        <v>0.3</v>
      </c>
      <c r="G963" s="52" t="n">
        <v>53</v>
      </c>
      <c r="H963" s="52" t="n">
        <v>53</v>
      </c>
      <c r="I963" s="29">
        <f>IF(OR(COUNTIF('Suivi des rencontres'!$A:$A,$A963)&gt;0,COUNTIF('Suivi des rencontres'!$C:$C,$J963)&gt;0),"Non","Oui")</f>
        <v/>
      </c>
      <c r="J963" s="30" t="inlineStr">
        <is>
          <t>AXOLOTO</t>
        </is>
      </c>
    </row>
    <row r="964">
      <c r="A964" s="47" t="inlineStr">
        <is>
          <t>Mont Argenté</t>
        </is>
      </c>
      <c r="B964" s="47" t="inlineStr">
        <is>
          <t>MtSilver_Outside_hns</t>
        </is>
      </c>
      <c r="C964" s="62" t="inlineStr">
        <is>
          <t>Nuit</t>
        </is>
      </c>
      <c r="D964" s="49" t="inlineStr">
        <is>
          <t>Herbe</t>
        </is>
      </c>
      <c r="E964" s="50" t="inlineStr">
        <is>
          <t>URSARING</t>
        </is>
      </c>
      <c r="F964" s="51" t="n">
        <v>0.3</v>
      </c>
      <c r="G964" s="52" t="n">
        <v>50</v>
      </c>
      <c r="H964" s="52" t="n">
        <v>50</v>
      </c>
      <c r="I964" s="29">
        <f>IF(OR(COUNTIF('Suivi des rencontres'!$A:$A,$A964)&gt;0,COUNTIF('Suivi des rencontres'!$C:$C,$J964)&gt;0),"Non","Oui")</f>
        <v/>
      </c>
      <c r="J964" s="30" t="inlineStr">
        <is>
          <t>TEDDIURSA</t>
        </is>
      </c>
    </row>
    <row r="965">
      <c r="A965" s="47" t="inlineStr">
        <is>
          <t>Mont Argenté</t>
        </is>
      </c>
      <c r="B965" s="47" t="inlineStr">
        <is>
          <t>MtSilver_Outside_hns</t>
        </is>
      </c>
      <c r="C965" s="62" t="inlineStr">
        <is>
          <t>Nuit</t>
        </is>
      </c>
      <c r="D965" s="49" t="inlineStr">
        <is>
          <t>Herbe</t>
        </is>
      </c>
      <c r="E965" s="50" t="inlineStr">
        <is>
          <t>DEMOLOSSE</t>
        </is>
      </c>
      <c r="F965" s="51" t="n">
        <v>0.15</v>
      </c>
      <c r="G965" s="52" t="n">
        <v>52</v>
      </c>
      <c r="H965" s="52" t="n">
        <v>52</v>
      </c>
      <c r="I965" s="29">
        <f>IF(OR(COUNTIF('Suivi des rencontres'!$A:$A,$A965)&gt;0,COUNTIF('Suivi des rencontres'!$C:$C,$J965)&gt;0),"Non","Oui")</f>
        <v/>
      </c>
      <c r="J965" s="30" t="inlineStr">
        <is>
          <t>MALOSSE</t>
        </is>
      </c>
    </row>
    <row r="966">
      <c r="A966" s="47" t="inlineStr">
        <is>
          <t>Mont Argenté</t>
        </is>
      </c>
      <c r="B966" s="47" t="inlineStr">
        <is>
          <t>MtSilver_Outside_hns</t>
        </is>
      </c>
      <c r="C966" s="62" t="inlineStr">
        <is>
          <t>Nuit</t>
        </is>
      </c>
      <c r="D966" s="49" t="inlineStr">
        <is>
          <t>Herbe</t>
        </is>
      </c>
      <c r="E966" s="50" t="inlineStr">
        <is>
          <t>NOSTENFER</t>
        </is>
      </c>
      <c r="F966" s="51" t="n">
        <v>0.14</v>
      </c>
      <c r="G966" s="52" t="n">
        <v>52</v>
      </c>
      <c r="H966" s="52" t="n">
        <v>54</v>
      </c>
      <c r="I966" s="29">
        <f>IF(OR(COUNTIF('Suivi des rencontres'!$A:$A,$A966)&gt;0,COUNTIF('Suivi des rencontres'!$C:$C,$J966)&gt;0),"Non","Oui")</f>
        <v/>
      </c>
      <c r="J966" s="30" t="inlineStr">
        <is>
          <t>NOSFERAPTI</t>
        </is>
      </c>
    </row>
    <row r="967">
      <c r="A967" s="47" t="inlineStr">
        <is>
          <t>Mont Argenté</t>
        </is>
      </c>
      <c r="B967" s="47" t="inlineStr">
        <is>
          <t>MtSilver_Outside_hns</t>
        </is>
      </c>
      <c r="C967" s="62" t="inlineStr">
        <is>
          <t>Nuit</t>
        </is>
      </c>
      <c r="D967" s="49" t="inlineStr">
        <is>
          <t>Herbe</t>
        </is>
      </c>
      <c r="E967" s="50" t="inlineStr">
        <is>
          <t>FLORIZARRE</t>
        </is>
      </c>
      <c r="F967" s="51" t="n">
        <v>0.06</v>
      </c>
      <c r="G967" s="52" t="n">
        <v>52</v>
      </c>
      <c r="H967" s="52" t="n">
        <v>54</v>
      </c>
      <c r="I967" s="29">
        <f>IF(OR(COUNTIF('Suivi des rencontres'!$A:$A,$A967)&gt;0,COUNTIF('Suivi des rencontres'!$C:$C,$J967)&gt;0),"Non","Oui")</f>
        <v/>
      </c>
      <c r="J967" s="30" t="inlineStr">
        <is>
          <t>BULBIZARRE</t>
        </is>
      </c>
    </row>
    <row r="968">
      <c r="A968" s="47" t="inlineStr">
        <is>
          <t>Mont Argenté</t>
        </is>
      </c>
      <c r="B968" s="47" t="inlineStr">
        <is>
          <t>MtSilver_Outside_hns</t>
        </is>
      </c>
      <c r="C968" s="62" t="inlineStr">
        <is>
          <t>Nuit</t>
        </is>
      </c>
      <c r="D968" s="49" t="inlineStr">
        <is>
          <t>Herbe</t>
        </is>
      </c>
      <c r="E968" s="50" t="inlineStr">
        <is>
          <t>TORTANK</t>
        </is>
      </c>
      <c r="F968" s="51" t="n">
        <v>0.05</v>
      </c>
      <c r="G968" s="52" t="n">
        <v>50</v>
      </c>
      <c r="H968" s="52" t="n">
        <v>50</v>
      </c>
      <c r="I968" s="29">
        <f>IF(OR(COUNTIF('Suivi des rencontres'!$A:$A,$A968)&gt;0,COUNTIF('Suivi des rencontres'!$C:$C,$J968)&gt;0),"Non","Oui")</f>
        <v/>
      </c>
      <c r="J968" s="30" t="inlineStr">
        <is>
          <t>CARAPUCE</t>
        </is>
      </c>
    </row>
    <row r="969">
      <c r="A969" s="47" t="inlineStr">
        <is>
          <t>Mont Argenté</t>
        </is>
      </c>
      <c r="B969" s="47" t="inlineStr">
        <is>
          <t>MtSilver_Outside_hns</t>
        </is>
      </c>
      <c r="C969" s="48" t="inlineStr">
        <is>
          <t>Matin, jour, soir</t>
        </is>
      </c>
      <c r="D969" s="53" t="inlineStr">
        <is>
          <t>Surf</t>
        </is>
      </c>
      <c r="E969" s="50" t="inlineStr">
        <is>
          <t>PTITARD</t>
        </is>
      </c>
      <c r="F969" s="51" t="n">
        <v>0.7</v>
      </c>
      <c r="G969" s="52" t="n">
        <v>34</v>
      </c>
      <c r="H969" s="52" t="n">
        <v>44</v>
      </c>
      <c r="I969" s="29">
        <f>IF(OR(COUNTIF('Suivi des rencontres'!$A:$A,$A969)&gt;0,COUNTIF('Suivi des rencontres'!$C:$C,$J969)&gt;0),"Non","Oui")</f>
        <v/>
      </c>
      <c r="J969" s="30" t="inlineStr">
        <is>
          <t>PTITARD</t>
        </is>
      </c>
    </row>
    <row r="970">
      <c r="A970" s="47" t="inlineStr">
        <is>
          <t>Mont Argenté</t>
        </is>
      </c>
      <c r="B970" s="47" t="inlineStr">
        <is>
          <t>MtSilver_Outside_hns</t>
        </is>
      </c>
      <c r="C970" s="48" t="inlineStr">
        <is>
          <t>Matin, jour, soir</t>
        </is>
      </c>
      <c r="D970" s="53" t="inlineStr">
        <is>
          <t>Surf</t>
        </is>
      </c>
      <c r="E970" s="50" t="inlineStr">
        <is>
          <t>TETARTE</t>
        </is>
      </c>
      <c r="F970" s="51" t="n">
        <v>0.3</v>
      </c>
      <c r="G970" s="52" t="n">
        <v>40</v>
      </c>
      <c r="H970" s="52" t="n">
        <v>44</v>
      </c>
      <c r="I970" s="29">
        <f>IF(OR(COUNTIF('Suivi des rencontres'!$A:$A,$A970)&gt;0,COUNTIF('Suivi des rencontres'!$C:$C,$J970)&gt;0),"Non","Oui")</f>
        <v/>
      </c>
      <c r="J970" s="30" t="inlineStr">
        <is>
          <t>PTITARD</t>
        </is>
      </c>
    </row>
    <row r="971">
      <c r="A971" s="47" t="inlineStr">
        <is>
          <t>Mont Argenté</t>
        </is>
      </c>
      <c r="B971" s="47" t="inlineStr">
        <is>
          <t>MtSilver_Outside_hns</t>
        </is>
      </c>
      <c r="C971" s="62" t="inlineStr">
        <is>
          <t>Nuit</t>
        </is>
      </c>
      <c r="D971" s="53" t="inlineStr">
        <is>
          <t>Surf</t>
        </is>
      </c>
      <c r="E971" s="50" t="inlineStr">
        <is>
          <t>PTITARD</t>
        </is>
      </c>
      <c r="F971" s="51" t="n">
        <v>0.7</v>
      </c>
      <c r="G971" s="52" t="n">
        <v>34</v>
      </c>
      <c r="H971" s="52" t="n">
        <v>44</v>
      </c>
      <c r="I971" s="29">
        <f>IF(OR(COUNTIF('Suivi des rencontres'!$A:$A,$A971)&gt;0,COUNTIF('Suivi des rencontres'!$C:$C,$J971)&gt;0),"Non","Oui")</f>
        <v/>
      </c>
      <c r="J971" s="30" t="inlineStr">
        <is>
          <t>PTITARD</t>
        </is>
      </c>
    </row>
    <row r="972">
      <c r="A972" s="47" t="inlineStr">
        <is>
          <t>Mont Argenté</t>
        </is>
      </c>
      <c r="B972" s="47" t="inlineStr">
        <is>
          <t>MtSilver_Outside_hns</t>
        </is>
      </c>
      <c r="C972" s="62" t="inlineStr">
        <is>
          <t>Nuit</t>
        </is>
      </c>
      <c r="D972" s="53" t="inlineStr">
        <is>
          <t>Surf</t>
        </is>
      </c>
      <c r="E972" s="50" t="inlineStr">
        <is>
          <t>TETARTE</t>
        </is>
      </c>
      <c r="F972" s="51" t="n">
        <v>0.3</v>
      </c>
      <c r="G972" s="52" t="n">
        <v>40</v>
      </c>
      <c r="H972" s="52" t="n">
        <v>44</v>
      </c>
      <c r="I972" s="29">
        <f>IF(OR(COUNTIF('Suivi des rencontres'!$A:$A,$A972)&gt;0,COUNTIF('Suivi des rencontres'!$C:$C,$J972)&gt;0),"Non","Oui")</f>
        <v/>
      </c>
      <c r="J972" s="30" t="inlineStr">
        <is>
          <t>PTITARD</t>
        </is>
      </c>
    </row>
    <row r="973">
      <c r="A973" s="47" t="inlineStr">
        <is>
          <t>Mont Argenté</t>
        </is>
      </c>
      <c r="B973" s="47" t="inlineStr">
        <is>
          <t>MtSilver_Outside_hns</t>
        </is>
      </c>
      <c r="C973" s="48" t="inlineStr">
        <is>
          <t>Matin, jour, soir</t>
        </is>
      </c>
      <c r="D973" s="36" t="inlineStr">
        <is>
          <t>Éclate-Roc</t>
        </is>
      </c>
      <c r="E973" s="50" t="inlineStr">
        <is>
          <t>FORETRESS</t>
        </is>
      </c>
      <c r="F973" s="51" t="n">
        <v>0.6</v>
      </c>
      <c r="G973" s="52" t="n">
        <v>40</v>
      </c>
      <c r="H973" s="52" t="n">
        <v>40</v>
      </c>
      <c r="I973" s="29">
        <f>IF(OR(COUNTIF('Suivi des rencontres'!$A:$A,$A973)&gt;0,COUNTIF('Suivi des rencontres'!$C:$C,$J973)&gt;0),"Non","Oui")</f>
        <v/>
      </c>
      <c r="J973" s="30" t="inlineStr">
        <is>
          <t>POMDEPIK</t>
        </is>
      </c>
    </row>
    <row r="974">
      <c r="A974" s="47" t="inlineStr">
        <is>
          <t>Mont Argenté</t>
        </is>
      </c>
      <c r="B974" s="47" t="inlineStr">
        <is>
          <t>MtSilver_Outside_hns</t>
        </is>
      </c>
      <c r="C974" s="48" t="inlineStr">
        <is>
          <t>Matin, jour, soir</t>
        </is>
      </c>
      <c r="D974" s="36" t="inlineStr">
        <is>
          <t>Éclate-Roc</t>
        </is>
      </c>
      <c r="E974" s="50" t="inlineStr">
        <is>
          <t>CAPIDEXTRE</t>
        </is>
      </c>
      <c r="F974" s="51" t="n">
        <v>0.3</v>
      </c>
      <c r="G974" s="52" t="n">
        <v>40</v>
      </c>
      <c r="H974" s="52" t="n">
        <v>40</v>
      </c>
      <c r="I974" s="29">
        <f>IF(OR(COUNTIF('Suivi des rencontres'!$A:$A,$A974)&gt;0,COUNTIF('Suivi des rencontres'!$C:$C,$J974)&gt;0),"Non","Oui")</f>
        <v/>
      </c>
      <c r="J974" s="30" t="inlineStr">
        <is>
          <t>CAPUMAIN</t>
        </is>
      </c>
    </row>
    <row r="975">
      <c r="A975" s="47" t="inlineStr">
        <is>
          <t>Mont Argenté</t>
        </is>
      </c>
      <c r="B975" s="47" t="inlineStr">
        <is>
          <t>MtSilver_Outside_hns</t>
        </is>
      </c>
      <c r="C975" s="48" t="inlineStr">
        <is>
          <t>Matin, jour, soir</t>
        </is>
      </c>
      <c r="D975" s="36" t="inlineStr">
        <is>
          <t>Éclate-Roc</t>
        </is>
      </c>
      <c r="E975" s="50" t="inlineStr">
        <is>
          <t>INSECATEUR</t>
        </is>
      </c>
      <c r="F975" s="51" t="n">
        <v>0.05</v>
      </c>
      <c r="G975" s="52" t="n">
        <v>40</v>
      </c>
      <c r="H975" s="52" t="n">
        <v>40</v>
      </c>
      <c r="I975" s="29">
        <f>IF(OR(COUNTIF('Suivi des rencontres'!$A:$A,$A975)&gt;0,COUNTIF('Suivi des rencontres'!$C:$C,$J975)&gt;0),"Non","Oui")</f>
        <v/>
      </c>
      <c r="J975" s="30" t="inlineStr">
        <is>
          <t>INSECATEUR</t>
        </is>
      </c>
    </row>
    <row r="976">
      <c r="A976" s="47" t="inlineStr">
        <is>
          <t>Mont Argenté</t>
        </is>
      </c>
      <c r="B976" s="47" t="inlineStr">
        <is>
          <t>MtSilver_Outside_hns</t>
        </is>
      </c>
      <c r="C976" s="48" t="inlineStr">
        <is>
          <t>Matin, jour, soir</t>
        </is>
      </c>
      <c r="D976" s="36" t="inlineStr">
        <is>
          <t>Éclate-Roc</t>
        </is>
      </c>
      <c r="E976" s="50" t="inlineStr">
        <is>
          <t>SCARHINO</t>
        </is>
      </c>
      <c r="F976" s="51" t="n">
        <v>0.05</v>
      </c>
      <c r="G976" s="52" t="n">
        <v>40</v>
      </c>
      <c r="H976" s="52" t="n">
        <v>40</v>
      </c>
      <c r="I976" s="29">
        <f>IF(OR(COUNTIF('Suivi des rencontres'!$A:$A,$A976)&gt;0,COUNTIF('Suivi des rencontres'!$C:$C,$J976)&gt;0),"Non","Oui")</f>
        <v/>
      </c>
      <c r="J976" s="30" t="inlineStr">
        <is>
          <t>SCARHINO</t>
        </is>
      </c>
    </row>
    <row r="977">
      <c r="A977" s="47" t="inlineStr">
        <is>
          <t>Mont Argenté</t>
        </is>
      </c>
      <c r="B977" s="47" t="inlineStr">
        <is>
          <t>MtSilver_Outside_hns</t>
        </is>
      </c>
      <c r="C977" s="62" t="inlineStr">
        <is>
          <t>Nuit</t>
        </is>
      </c>
      <c r="D977" s="36" t="inlineStr">
        <is>
          <t>Éclate-Roc</t>
        </is>
      </c>
      <c r="E977" s="50" t="inlineStr">
        <is>
          <t>FORETRESS</t>
        </is>
      </c>
      <c r="F977" s="51" t="n">
        <v>0.6</v>
      </c>
      <c r="G977" s="52" t="n">
        <v>40</v>
      </c>
      <c r="H977" s="52" t="n">
        <v>40</v>
      </c>
      <c r="I977" s="29">
        <f>IF(OR(COUNTIF('Suivi des rencontres'!$A:$A,$A977)&gt;0,COUNTIF('Suivi des rencontres'!$C:$C,$J977)&gt;0),"Non","Oui")</f>
        <v/>
      </c>
      <c r="J977" s="30" t="inlineStr">
        <is>
          <t>POMDEPIK</t>
        </is>
      </c>
    </row>
    <row r="978">
      <c r="A978" s="47" t="inlineStr">
        <is>
          <t>Mont Argenté</t>
        </is>
      </c>
      <c r="B978" s="47" t="inlineStr">
        <is>
          <t>MtSilver_Outside_hns</t>
        </is>
      </c>
      <c r="C978" s="62" t="inlineStr">
        <is>
          <t>Nuit</t>
        </is>
      </c>
      <c r="D978" s="36" t="inlineStr">
        <is>
          <t>Éclate-Roc</t>
        </is>
      </c>
      <c r="E978" s="50" t="inlineStr">
        <is>
          <t>CAPIDEXTRE</t>
        </is>
      </c>
      <c r="F978" s="51" t="n">
        <v>0.3</v>
      </c>
      <c r="G978" s="52" t="n">
        <v>40</v>
      </c>
      <c r="H978" s="52" t="n">
        <v>40</v>
      </c>
      <c r="I978" s="29">
        <f>IF(OR(COUNTIF('Suivi des rencontres'!$A:$A,$A978)&gt;0,COUNTIF('Suivi des rencontres'!$C:$C,$J978)&gt;0),"Non","Oui")</f>
        <v/>
      </c>
      <c r="J978" s="30" t="inlineStr">
        <is>
          <t>CAPUMAIN</t>
        </is>
      </c>
    </row>
    <row r="979">
      <c r="A979" s="47" t="inlineStr">
        <is>
          <t>Mont Argenté</t>
        </is>
      </c>
      <c r="B979" s="47" t="inlineStr">
        <is>
          <t>MtSilver_Outside_hns</t>
        </is>
      </c>
      <c r="C979" s="62" t="inlineStr">
        <is>
          <t>Nuit</t>
        </is>
      </c>
      <c r="D979" s="36" t="inlineStr">
        <is>
          <t>Éclate-Roc</t>
        </is>
      </c>
      <c r="E979" s="50" t="inlineStr">
        <is>
          <t>INSECATEUR</t>
        </is>
      </c>
      <c r="F979" s="51" t="n">
        <v>0.05</v>
      </c>
      <c r="G979" s="52" t="n">
        <v>40</v>
      </c>
      <c r="H979" s="52" t="n">
        <v>40</v>
      </c>
      <c r="I979" s="29">
        <f>IF(OR(COUNTIF('Suivi des rencontres'!$A:$A,$A979)&gt;0,COUNTIF('Suivi des rencontres'!$C:$C,$J979)&gt;0),"Non","Oui")</f>
        <v/>
      </c>
      <c r="J979" s="30" t="inlineStr">
        <is>
          <t>INSECATEUR</t>
        </is>
      </c>
    </row>
    <row r="980">
      <c r="A980" s="47" t="inlineStr">
        <is>
          <t>Mont Argenté</t>
        </is>
      </c>
      <c r="B980" s="47" t="inlineStr">
        <is>
          <t>MtSilver_Outside_hns</t>
        </is>
      </c>
      <c r="C980" s="62" t="inlineStr">
        <is>
          <t>Nuit</t>
        </is>
      </c>
      <c r="D980" s="36" t="inlineStr">
        <is>
          <t>Éclate-Roc</t>
        </is>
      </c>
      <c r="E980" s="50" t="inlineStr">
        <is>
          <t>SCARHINO</t>
        </is>
      </c>
      <c r="F980" s="51" t="n">
        <v>0.05</v>
      </c>
      <c r="G980" s="52" t="n">
        <v>40</v>
      </c>
      <c r="H980" s="52" t="n">
        <v>40</v>
      </c>
      <c r="I980" s="29">
        <f>IF(OR(COUNTIF('Suivi des rencontres'!$A:$A,$A980)&gt;0,COUNTIF('Suivi des rencontres'!$C:$C,$J980)&gt;0),"Non","Oui")</f>
        <v/>
      </c>
      <c r="J980" s="30" t="inlineStr">
        <is>
          <t>SCARHINO</t>
        </is>
      </c>
    </row>
    <row r="981">
      <c r="A981" s="47" t="inlineStr">
        <is>
          <t>Mont Argenté</t>
        </is>
      </c>
      <c r="B981" s="47" t="inlineStr">
        <is>
          <t>MtSilver_Outside_hns</t>
        </is>
      </c>
      <c r="C981" s="48" t="inlineStr">
        <is>
          <t>Matin, jour, soir</t>
        </is>
      </c>
      <c r="D981" s="54" t="inlineStr">
        <is>
          <t>Vieille Canne</t>
        </is>
      </c>
      <c r="E981" s="50" t="inlineStr">
        <is>
          <t>MAGICARPE</t>
        </is>
      </c>
      <c r="F981" s="51" t="n">
        <v>0.7</v>
      </c>
      <c r="G981" s="52" t="n">
        <v>10</v>
      </c>
      <c r="H981" s="52" t="n">
        <v>10</v>
      </c>
      <c r="I981" s="29">
        <f>IF(OR(COUNTIF('Suivi des rencontres'!$A:$A,$A981)&gt;0,COUNTIF('Suivi des rencontres'!$C:$C,$J981)&gt;0),"Non","Oui")</f>
        <v/>
      </c>
      <c r="J981" s="30" t="inlineStr">
        <is>
          <t>MAGICARPE</t>
        </is>
      </c>
    </row>
    <row r="982">
      <c r="A982" s="47" t="inlineStr">
        <is>
          <t>Mont Argenté</t>
        </is>
      </c>
      <c r="B982" s="47" t="inlineStr">
        <is>
          <t>MtSilver_Outside_hns</t>
        </is>
      </c>
      <c r="C982" s="48" t="inlineStr">
        <is>
          <t>Matin, jour, soir</t>
        </is>
      </c>
      <c r="D982" s="54" t="inlineStr">
        <is>
          <t>Vieille Canne</t>
        </is>
      </c>
      <c r="E982" s="50" t="inlineStr">
        <is>
          <t>PTITARD</t>
        </is>
      </c>
      <c r="F982" s="51" t="n">
        <v>0.3</v>
      </c>
      <c r="G982" s="52" t="n">
        <v>10</v>
      </c>
      <c r="H982" s="52" t="n">
        <v>10</v>
      </c>
      <c r="I982" s="29">
        <f>IF(OR(COUNTIF('Suivi des rencontres'!$A:$A,$A982)&gt;0,COUNTIF('Suivi des rencontres'!$C:$C,$J982)&gt;0),"Non","Oui")</f>
        <v/>
      </c>
      <c r="J982" s="30" t="inlineStr">
        <is>
          <t>PTITARD</t>
        </is>
      </c>
    </row>
    <row r="983">
      <c r="A983" s="47" t="inlineStr">
        <is>
          <t>Mont Argenté</t>
        </is>
      </c>
      <c r="B983" s="47" t="inlineStr">
        <is>
          <t>MtSilver_Outside_hns</t>
        </is>
      </c>
      <c r="C983" s="62" t="inlineStr">
        <is>
          <t>Nuit</t>
        </is>
      </c>
      <c r="D983" s="54" t="inlineStr">
        <is>
          <t>Vieille Canne</t>
        </is>
      </c>
      <c r="E983" s="50" t="inlineStr">
        <is>
          <t>MAGICARPE</t>
        </is>
      </c>
      <c r="F983" s="51" t="n">
        <v>0.7</v>
      </c>
      <c r="G983" s="52" t="n">
        <v>10</v>
      </c>
      <c r="H983" s="52" t="n">
        <v>10</v>
      </c>
      <c r="I983" s="29">
        <f>IF(OR(COUNTIF('Suivi des rencontres'!$A:$A,$A983)&gt;0,COUNTIF('Suivi des rencontres'!$C:$C,$J983)&gt;0),"Non","Oui")</f>
        <v/>
      </c>
      <c r="J983" s="30" t="inlineStr">
        <is>
          <t>MAGICARPE</t>
        </is>
      </c>
    </row>
    <row r="984">
      <c r="A984" s="47" t="inlineStr">
        <is>
          <t>Mont Argenté</t>
        </is>
      </c>
      <c r="B984" s="47" t="inlineStr">
        <is>
          <t>MtSilver_Outside_hns</t>
        </is>
      </c>
      <c r="C984" s="62" t="inlineStr">
        <is>
          <t>Nuit</t>
        </is>
      </c>
      <c r="D984" s="54" t="inlineStr">
        <is>
          <t>Vieille Canne</t>
        </is>
      </c>
      <c r="E984" s="50" t="inlineStr">
        <is>
          <t>PTITARD</t>
        </is>
      </c>
      <c r="F984" s="51" t="n">
        <v>0.3</v>
      </c>
      <c r="G984" s="52" t="n">
        <v>10</v>
      </c>
      <c r="H984" s="52" t="n">
        <v>10</v>
      </c>
      <c r="I984" s="29">
        <f>IF(OR(COUNTIF('Suivi des rencontres'!$A:$A,$A984)&gt;0,COUNTIF('Suivi des rencontres'!$C:$C,$J984)&gt;0),"Non","Oui")</f>
        <v/>
      </c>
      <c r="J984" s="30" t="inlineStr">
        <is>
          <t>PTITARD</t>
        </is>
      </c>
    </row>
    <row r="985">
      <c r="A985" s="47" t="inlineStr">
        <is>
          <t>Mont Argenté</t>
        </is>
      </c>
      <c r="B985" s="47" t="inlineStr">
        <is>
          <t>MtSilver_Outside_hns</t>
        </is>
      </c>
      <c r="C985" s="48" t="inlineStr">
        <is>
          <t>Matin, jour, soir</t>
        </is>
      </c>
      <c r="D985" s="55" t="inlineStr">
        <is>
          <t>Bonne Canne</t>
        </is>
      </c>
      <c r="E985" s="50" t="inlineStr">
        <is>
          <t>PTITARD</t>
        </is>
      </c>
      <c r="F985" s="51" t="n">
        <v>0.8</v>
      </c>
      <c r="G985" s="52" t="n">
        <v>20</v>
      </c>
      <c r="H985" s="52" t="n">
        <v>40</v>
      </c>
      <c r="I985" s="29">
        <f>IF(OR(COUNTIF('Suivi des rencontres'!$A:$A,$A985)&gt;0,COUNTIF('Suivi des rencontres'!$C:$C,$J985)&gt;0),"Non","Oui")</f>
        <v/>
      </c>
      <c r="J985" s="30" t="inlineStr">
        <is>
          <t>PTITARD</t>
        </is>
      </c>
    </row>
    <row r="986">
      <c r="A986" s="47" t="inlineStr">
        <is>
          <t>Mont Argenté</t>
        </is>
      </c>
      <c r="B986" s="47" t="inlineStr">
        <is>
          <t>MtSilver_Outside_hns</t>
        </is>
      </c>
      <c r="C986" s="48" t="inlineStr">
        <is>
          <t>Matin, jour, soir</t>
        </is>
      </c>
      <c r="D986" s="55" t="inlineStr">
        <is>
          <t>Bonne Canne</t>
        </is>
      </c>
      <c r="E986" s="50" t="inlineStr">
        <is>
          <t>MAGICARPE</t>
        </is>
      </c>
      <c r="F986" s="51" t="n">
        <v>0.2</v>
      </c>
      <c r="G986" s="52" t="n">
        <v>20</v>
      </c>
      <c r="H986" s="52" t="n">
        <v>20</v>
      </c>
      <c r="I986" s="29">
        <f>IF(OR(COUNTIF('Suivi des rencontres'!$A:$A,$A986)&gt;0,COUNTIF('Suivi des rencontres'!$C:$C,$J986)&gt;0),"Non","Oui")</f>
        <v/>
      </c>
      <c r="J986" s="30" t="inlineStr">
        <is>
          <t>MAGICARPE</t>
        </is>
      </c>
    </row>
    <row r="987">
      <c r="A987" s="47" t="inlineStr">
        <is>
          <t>Mont Argenté</t>
        </is>
      </c>
      <c r="B987" s="47" t="inlineStr">
        <is>
          <t>MtSilver_Outside_hns</t>
        </is>
      </c>
      <c r="C987" s="62" t="inlineStr">
        <is>
          <t>Nuit</t>
        </is>
      </c>
      <c r="D987" s="55" t="inlineStr">
        <is>
          <t>Bonne Canne</t>
        </is>
      </c>
      <c r="E987" s="50" t="inlineStr">
        <is>
          <t>PTITARD</t>
        </is>
      </c>
      <c r="F987" s="51" t="n">
        <v>0.8</v>
      </c>
      <c r="G987" s="52" t="n">
        <v>20</v>
      </c>
      <c r="H987" s="52" t="n">
        <v>40</v>
      </c>
      <c r="I987" s="29">
        <f>IF(OR(COUNTIF('Suivi des rencontres'!$A:$A,$A987)&gt;0,COUNTIF('Suivi des rencontres'!$C:$C,$J987)&gt;0),"Non","Oui")</f>
        <v/>
      </c>
      <c r="J987" s="30" t="inlineStr">
        <is>
          <t>PTITARD</t>
        </is>
      </c>
    </row>
    <row r="988">
      <c r="A988" s="47" t="inlineStr">
        <is>
          <t>Mont Argenté</t>
        </is>
      </c>
      <c r="B988" s="47" t="inlineStr">
        <is>
          <t>MtSilver_Outside_hns</t>
        </is>
      </c>
      <c r="C988" s="62" t="inlineStr">
        <is>
          <t>Nuit</t>
        </is>
      </c>
      <c r="D988" s="55" t="inlineStr">
        <is>
          <t>Bonne Canne</t>
        </is>
      </c>
      <c r="E988" s="50" t="inlineStr">
        <is>
          <t>MAGICARPE</t>
        </is>
      </c>
      <c r="F988" s="51" t="n">
        <v>0.2</v>
      </c>
      <c r="G988" s="52" t="n">
        <v>20</v>
      </c>
      <c r="H988" s="52" t="n">
        <v>20</v>
      </c>
      <c r="I988" s="29">
        <f>IF(OR(COUNTIF('Suivi des rencontres'!$A:$A,$A988)&gt;0,COUNTIF('Suivi des rencontres'!$C:$C,$J988)&gt;0),"Non","Oui")</f>
        <v/>
      </c>
      <c r="J988" s="30" t="inlineStr">
        <is>
          <t>MAGICARPE</t>
        </is>
      </c>
    </row>
    <row r="989">
      <c r="A989" s="47" t="inlineStr">
        <is>
          <t>Mont Argenté</t>
        </is>
      </c>
      <c r="B989" s="47" t="inlineStr">
        <is>
          <t>MtSilver_Outside_hns</t>
        </is>
      </c>
      <c r="C989" s="48" t="inlineStr">
        <is>
          <t>Matin, jour, soir</t>
        </is>
      </c>
      <c r="D989" s="56" t="inlineStr">
        <is>
          <t>Super Canne</t>
        </is>
      </c>
      <c r="E989" s="50" t="inlineStr">
        <is>
          <t>MAGICARPE</t>
        </is>
      </c>
      <c r="F989" s="51" t="n">
        <v>0.44</v>
      </c>
      <c r="G989" s="52" t="n">
        <v>40</v>
      </c>
      <c r="H989" s="52" t="n">
        <v>40</v>
      </c>
      <c r="I989" s="29">
        <f>IF(OR(COUNTIF('Suivi des rencontres'!$A:$A,$A989)&gt;0,COUNTIF('Suivi des rencontres'!$C:$C,$J989)&gt;0),"Non","Oui")</f>
        <v/>
      </c>
      <c r="J989" s="30" t="inlineStr">
        <is>
          <t>MAGICARPE</t>
        </is>
      </c>
    </row>
    <row r="990">
      <c r="A990" s="47" t="inlineStr">
        <is>
          <t>Mont Argenté</t>
        </is>
      </c>
      <c r="B990" s="47" t="inlineStr">
        <is>
          <t>MtSilver_Outside_hns</t>
        </is>
      </c>
      <c r="C990" s="48" t="inlineStr">
        <is>
          <t>Matin, jour, soir</t>
        </is>
      </c>
      <c r="D990" s="56" t="inlineStr">
        <is>
          <t>Super Canne</t>
        </is>
      </c>
      <c r="E990" s="50" t="inlineStr">
        <is>
          <t>TETARTE</t>
        </is>
      </c>
      <c r="F990" s="51" t="n">
        <v>0.4</v>
      </c>
      <c r="G990" s="52" t="n">
        <v>40</v>
      </c>
      <c r="H990" s="52" t="n">
        <v>40</v>
      </c>
      <c r="I990" s="29">
        <f>IF(OR(COUNTIF('Suivi des rencontres'!$A:$A,$A990)&gt;0,COUNTIF('Suivi des rencontres'!$C:$C,$J990)&gt;0),"Non","Oui")</f>
        <v/>
      </c>
      <c r="J990" s="30" t="inlineStr">
        <is>
          <t>PTITARD</t>
        </is>
      </c>
    </row>
    <row r="991">
      <c r="A991" s="47" t="inlineStr">
        <is>
          <t>Mont Argenté</t>
        </is>
      </c>
      <c r="B991" s="47" t="inlineStr">
        <is>
          <t>MtSilver_Outside_hns</t>
        </is>
      </c>
      <c r="C991" s="48" t="inlineStr">
        <is>
          <t>Matin, jour, soir</t>
        </is>
      </c>
      <c r="D991" s="56" t="inlineStr">
        <is>
          <t>Super Canne</t>
        </is>
      </c>
      <c r="E991" s="50" t="inlineStr">
        <is>
          <t>PTITARD</t>
        </is>
      </c>
      <c r="F991" s="51" t="n">
        <v>0.16</v>
      </c>
      <c r="G991" s="52" t="n">
        <v>40</v>
      </c>
      <c r="H991" s="52" t="n">
        <v>40</v>
      </c>
      <c r="I991" s="29">
        <f>IF(OR(COUNTIF('Suivi des rencontres'!$A:$A,$A991)&gt;0,COUNTIF('Suivi des rencontres'!$C:$C,$J991)&gt;0),"Non","Oui")</f>
        <v/>
      </c>
      <c r="J991" s="30" t="inlineStr">
        <is>
          <t>PTITARD</t>
        </is>
      </c>
    </row>
    <row r="992">
      <c r="A992" s="47" t="inlineStr">
        <is>
          <t>Mont Argenté</t>
        </is>
      </c>
      <c r="B992" s="47" t="inlineStr">
        <is>
          <t>MtSilver_Outside_hns</t>
        </is>
      </c>
      <c r="C992" s="62" t="inlineStr">
        <is>
          <t>Nuit</t>
        </is>
      </c>
      <c r="D992" s="56" t="inlineStr">
        <is>
          <t>Super Canne</t>
        </is>
      </c>
      <c r="E992" s="50" t="inlineStr">
        <is>
          <t>MAGICARPE</t>
        </is>
      </c>
      <c r="F992" s="51" t="n">
        <v>0.44</v>
      </c>
      <c r="G992" s="52" t="n">
        <v>40</v>
      </c>
      <c r="H992" s="52" t="n">
        <v>40</v>
      </c>
      <c r="I992" s="29">
        <f>IF(OR(COUNTIF('Suivi des rencontres'!$A:$A,$A992)&gt;0,COUNTIF('Suivi des rencontres'!$C:$C,$J992)&gt;0),"Non","Oui")</f>
        <v/>
      </c>
      <c r="J992" s="30" t="inlineStr">
        <is>
          <t>MAGICARPE</t>
        </is>
      </c>
    </row>
    <row r="993">
      <c r="A993" s="47" t="inlineStr">
        <is>
          <t>Mont Argenté</t>
        </is>
      </c>
      <c r="B993" s="47" t="inlineStr">
        <is>
          <t>MtSilver_Outside_hns</t>
        </is>
      </c>
      <c r="C993" s="62" t="inlineStr">
        <is>
          <t>Nuit</t>
        </is>
      </c>
      <c r="D993" s="56" t="inlineStr">
        <is>
          <t>Super Canne</t>
        </is>
      </c>
      <c r="E993" s="50" t="inlineStr">
        <is>
          <t>TETARTE</t>
        </is>
      </c>
      <c r="F993" s="51" t="n">
        <v>0.4</v>
      </c>
      <c r="G993" s="52" t="n">
        <v>40</v>
      </c>
      <c r="H993" s="52" t="n">
        <v>40</v>
      </c>
      <c r="I993" s="29">
        <f>IF(OR(COUNTIF('Suivi des rencontres'!$A:$A,$A993)&gt;0,COUNTIF('Suivi des rencontres'!$C:$C,$J993)&gt;0),"Non","Oui")</f>
        <v/>
      </c>
      <c r="J993" s="30" t="inlineStr">
        <is>
          <t>PTITARD</t>
        </is>
      </c>
    </row>
    <row r="994">
      <c r="A994" s="47" t="inlineStr">
        <is>
          <t>Mont Argenté</t>
        </is>
      </c>
      <c r="B994" s="47" t="inlineStr">
        <is>
          <t>MtSilver_Outside_hns</t>
        </is>
      </c>
      <c r="C994" s="62" t="inlineStr">
        <is>
          <t>Nuit</t>
        </is>
      </c>
      <c r="D994" s="56" t="inlineStr">
        <is>
          <t>Super Canne</t>
        </is>
      </c>
      <c r="E994" s="50" t="inlineStr">
        <is>
          <t>PTITARD</t>
        </is>
      </c>
      <c r="F994" s="51" t="n">
        <v>0.16</v>
      </c>
      <c r="G994" s="52" t="n">
        <v>40</v>
      </c>
      <c r="H994" s="52" t="n">
        <v>40</v>
      </c>
      <c r="I994" s="29">
        <f>IF(OR(COUNTIF('Suivi des rencontres'!$A:$A,$A994)&gt;0,COUNTIF('Suivi des rencontres'!$C:$C,$J994)&gt;0),"Non","Oui")</f>
        <v/>
      </c>
      <c r="J994" s="30" t="inlineStr">
        <is>
          <t>PTITARD</t>
        </is>
      </c>
    </row>
    <row r="995">
      <c r="A995" s="47" t="inlineStr">
        <is>
          <t>Mont Argenté</t>
        </is>
      </c>
      <c r="B995" s="47" t="inlineStr">
        <is>
          <t>MtSilver_Snow_hns</t>
        </is>
      </c>
      <c r="C995" s="48" t="inlineStr">
        <is>
          <t>Matin, jour, soir</t>
        </is>
      </c>
      <c r="D995" s="49" t="inlineStr">
        <is>
          <t>Herbe</t>
        </is>
      </c>
      <c r="E995" s="50" t="inlineStr">
        <is>
          <t>DIMORET</t>
        </is>
      </c>
      <c r="F995" s="51" t="n">
        <v>0.2</v>
      </c>
      <c r="G995" s="52" t="n">
        <v>68</v>
      </c>
      <c r="H995" s="52" t="n">
        <v>68</v>
      </c>
      <c r="I995" s="29">
        <f>IF(OR(COUNTIF('Suivi des rencontres'!$A:$A,$A995)&gt;0,COUNTIF('Suivi des rencontres'!$C:$C,$J995)&gt;0),"Non","Oui")</f>
        <v/>
      </c>
      <c r="J995" s="30" t="inlineStr">
        <is>
          <t>FARFURET</t>
        </is>
      </c>
    </row>
    <row r="996">
      <c r="A996" s="47" t="inlineStr">
        <is>
          <t>Mont Argenté</t>
        </is>
      </c>
      <c r="B996" s="47" t="inlineStr">
        <is>
          <t>MtSilver_Snow_hns</t>
        </is>
      </c>
      <c r="C996" s="48" t="inlineStr">
        <is>
          <t>Matin, jour, soir</t>
        </is>
      </c>
      <c r="D996" s="49" t="inlineStr">
        <is>
          <t>Herbe</t>
        </is>
      </c>
      <c r="E996" s="50" t="inlineStr">
        <is>
          <t>URSARING</t>
        </is>
      </c>
      <c r="F996" s="51" t="n">
        <v>0.2</v>
      </c>
      <c r="G996" s="52" t="n">
        <v>61</v>
      </c>
      <c r="H996" s="52" t="n">
        <v>69</v>
      </c>
      <c r="I996" s="29">
        <f>IF(OR(COUNTIF('Suivi des rencontres'!$A:$A,$A996)&gt;0,COUNTIF('Suivi des rencontres'!$C:$C,$J996)&gt;0),"Non","Oui")</f>
        <v/>
      </c>
      <c r="J996" s="30" t="inlineStr">
        <is>
          <t>TEDDIURSA</t>
        </is>
      </c>
    </row>
    <row r="997">
      <c r="A997" s="47" t="inlineStr">
        <is>
          <t>Mont Argenté</t>
        </is>
      </c>
      <c r="B997" s="47" t="inlineStr">
        <is>
          <t>MtSilver_Snow_hns</t>
        </is>
      </c>
      <c r="C997" s="48" t="inlineStr">
        <is>
          <t>Matin, jour, soir</t>
        </is>
      </c>
      <c r="D997" s="49" t="inlineStr">
        <is>
          <t>Herbe</t>
        </is>
      </c>
      <c r="E997" s="50" t="inlineStr">
        <is>
          <t>AIRMURE</t>
        </is>
      </c>
      <c r="F997" s="51" t="n">
        <v>0.1</v>
      </c>
      <c r="G997" s="52" t="n">
        <v>65</v>
      </c>
      <c r="H997" s="52" t="n">
        <v>65</v>
      </c>
      <c r="I997" s="29">
        <f>IF(OR(COUNTIF('Suivi des rencontres'!$A:$A,$A997)&gt;0,COUNTIF('Suivi des rencontres'!$C:$C,$J997)&gt;0),"Non","Oui")</f>
        <v/>
      </c>
      <c r="J997" s="30" t="inlineStr">
        <is>
          <t>AIRMURE</t>
        </is>
      </c>
    </row>
    <row r="998">
      <c r="A998" s="47" t="inlineStr">
        <is>
          <t>Mont Argenté</t>
        </is>
      </c>
      <c r="B998" s="47" t="inlineStr">
        <is>
          <t>MtSilver_Snow_hns</t>
        </is>
      </c>
      <c r="C998" s="48" t="inlineStr">
        <is>
          <t>Matin, jour, soir</t>
        </is>
      </c>
      <c r="D998" s="49" t="inlineStr">
        <is>
          <t>Herbe</t>
        </is>
      </c>
      <c r="E998" s="50" t="inlineStr">
        <is>
          <t>DEMOLOSSE</t>
        </is>
      </c>
      <c r="F998" s="51" t="n">
        <v>0.1</v>
      </c>
      <c r="G998" s="52" t="n">
        <v>61</v>
      </c>
      <c r="H998" s="52" t="n">
        <v>69</v>
      </c>
      <c r="I998" s="29">
        <f>IF(OR(COUNTIF('Suivi des rencontres'!$A:$A,$A998)&gt;0,COUNTIF('Suivi des rencontres'!$C:$C,$J998)&gt;0),"Non","Oui")</f>
        <v/>
      </c>
      <c r="J998" s="30" t="inlineStr">
        <is>
          <t>MALOSSE</t>
        </is>
      </c>
    </row>
    <row r="999">
      <c r="A999" s="47" t="inlineStr">
        <is>
          <t>Mont Argenté</t>
        </is>
      </c>
      <c r="B999" s="47" t="inlineStr">
        <is>
          <t>MtSilver_Snow_hns</t>
        </is>
      </c>
      <c r="C999" s="48" t="inlineStr">
        <is>
          <t>Matin, jour, soir</t>
        </is>
      </c>
      <c r="D999" s="49" t="inlineStr">
        <is>
          <t>Herbe</t>
        </is>
      </c>
      <c r="E999" s="50" t="inlineStr">
        <is>
          <t>MACHOPEUR</t>
        </is>
      </c>
      <c r="F999" s="51" t="n">
        <v>0.1</v>
      </c>
      <c r="G999" s="52" t="n">
        <v>68</v>
      </c>
      <c r="H999" s="52" t="n">
        <v>68</v>
      </c>
      <c r="I999" s="29">
        <f>IF(OR(COUNTIF('Suivi des rencontres'!$A:$A,$A999)&gt;0,COUNTIF('Suivi des rencontres'!$C:$C,$J999)&gt;0),"Non","Oui")</f>
        <v/>
      </c>
      <c r="J999" s="30" t="inlineStr">
        <is>
          <t>MACHOC</t>
        </is>
      </c>
    </row>
    <row r="1000">
      <c r="A1000" s="47" t="inlineStr">
        <is>
          <t>Mont Argenté</t>
        </is>
      </c>
      <c r="B1000" s="47" t="inlineStr">
        <is>
          <t>MtSilver_Snow_hns</t>
        </is>
      </c>
      <c r="C1000" s="48" t="inlineStr">
        <is>
          <t>Matin, jour, soir</t>
        </is>
      </c>
      <c r="D1000" s="49" t="inlineStr">
        <is>
          <t>Herbe</t>
        </is>
      </c>
      <c r="E1000" s="50" t="inlineStr">
        <is>
          <t>MAGIREVE</t>
        </is>
      </c>
      <c r="F1000" s="51" t="n">
        <v>0.1</v>
      </c>
      <c r="G1000" s="52" t="n">
        <v>61</v>
      </c>
      <c r="H1000" s="52" t="n">
        <v>69</v>
      </c>
      <c r="I1000" s="29">
        <f>IF(OR(COUNTIF('Suivi des rencontres'!$A:$A,$A1000)&gt;0,COUNTIF('Suivi des rencontres'!$C:$C,$J1000)&gt;0),"Non","Oui")</f>
        <v/>
      </c>
      <c r="J1000" s="30" t="inlineStr">
        <is>
          <t>FEUFOREVE</t>
        </is>
      </c>
    </row>
    <row r="1001">
      <c r="A1001" s="47" t="inlineStr">
        <is>
          <t>Mont Argenté</t>
        </is>
      </c>
      <c r="B1001" s="47" t="inlineStr">
        <is>
          <t>MtSilver_Snow_hns</t>
        </is>
      </c>
      <c r="C1001" s="48" t="inlineStr">
        <is>
          <t>Matin, jour, soir</t>
        </is>
      </c>
      <c r="D1001" s="49" t="inlineStr">
        <is>
          <t>Herbe</t>
        </is>
      </c>
      <c r="E1001" s="50" t="inlineStr">
        <is>
          <t>MAMMOCHON</t>
        </is>
      </c>
      <c r="F1001" s="51" t="n">
        <v>0.1</v>
      </c>
      <c r="G1001" s="52" t="n">
        <v>68</v>
      </c>
      <c r="H1001" s="52" t="n">
        <v>68</v>
      </c>
      <c r="I1001" s="29">
        <f>IF(OR(COUNTIF('Suivi des rencontres'!$A:$A,$A1001)&gt;0,COUNTIF('Suivi des rencontres'!$C:$C,$J1001)&gt;0),"Non","Oui")</f>
        <v/>
      </c>
      <c r="J1001" s="30" t="inlineStr">
        <is>
          <t>MARCACRIN</t>
        </is>
      </c>
    </row>
    <row r="1002">
      <c r="A1002" s="47" t="inlineStr">
        <is>
          <t>Mont Argenté</t>
        </is>
      </c>
      <c r="B1002" s="47" t="inlineStr">
        <is>
          <t>MtSilver_Snow_hns</t>
        </is>
      </c>
      <c r="C1002" s="48" t="inlineStr">
        <is>
          <t>Matin, jour, soir</t>
        </is>
      </c>
      <c r="D1002" s="49" t="inlineStr">
        <is>
          <t>Herbe</t>
        </is>
      </c>
      <c r="E1002" s="50" t="inlineStr">
        <is>
          <t>COCHIGNON</t>
        </is>
      </c>
      <c r="F1002" s="51" t="n">
        <v>0.05</v>
      </c>
      <c r="G1002" s="52" t="n">
        <v>68</v>
      </c>
      <c r="H1002" s="52" t="n">
        <v>68</v>
      </c>
      <c r="I1002" s="29">
        <f>IF(OR(COUNTIF('Suivi des rencontres'!$A:$A,$A1002)&gt;0,COUNTIF('Suivi des rencontres'!$C:$C,$J1002)&gt;0),"Non","Oui")</f>
        <v/>
      </c>
      <c r="J1002" s="30" t="inlineStr">
        <is>
          <t>MARCACRIN</t>
        </is>
      </c>
    </row>
    <row r="1003">
      <c r="A1003" s="47" t="inlineStr">
        <is>
          <t>Mont Argenté</t>
        </is>
      </c>
      <c r="B1003" s="47" t="inlineStr">
        <is>
          <t>MtSilver_Snow_hns</t>
        </is>
      </c>
      <c r="C1003" s="48" t="inlineStr">
        <is>
          <t>Matin, jour, soir</t>
        </is>
      </c>
      <c r="D1003" s="49" t="inlineStr">
        <is>
          <t>Herbe</t>
        </is>
      </c>
      <c r="E1003" s="50" t="inlineStr">
        <is>
          <t>GALOPA</t>
        </is>
      </c>
      <c r="F1003" s="51" t="n">
        <v>0.05</v>
      </c>
      <c r="G1003" s="52" t="n">
        <v>61</v>
      </c>
      <c r="H1003" s="52" t="n">
        <v>69</v>
      </c>
      <c r="I1003" s="29">
        <f>IF(OR(COUNTIF('Suivi des rencontres'!$A:$A,$A1003)&gt;0,COUNTIF('Suivi des rencontres'!$C:$C,$J1003)&gt;0),"Non","Oui")</f>
        <v/>
      </c>
      <c r="J1003" s="30" t="inlineStr">
        <is>
          <t>PONYTA</t>
        </is>
      </c>
    </row>
    <row r="1004">
      <c r="A1004" s="47" t="inlineStr">
        <is>
          <t>Mont Argenté</t>
        </is>
      </c>
      <c r="B1004" s="47" t="inlineStr">
        <is>
          <t>MtSilver_Snow_hns</t>
        </is>
      </c>
      <c r="C1004" s="62" t="inlineStr">
        <is>
          <t>Nuit</t>
        </is>
      </c>
      <c r="D1004" s="49" t="inlineStr">
        <is>
          <t>Herbe</t>
        </is>
      </c>
      <c r="E1004" s="50" t="inlineStr">
        <is>
          <t>DIMORET</t>
        </is>
      </c>
      <c r="F1004" s="51" t="n">
        <v>0.2</v>
      </c>
      <c r="G1004" s="52" t="n">
        <v>68</v>
      </c>
      <c r="H1004" s="52" t="n">
        <v>68</v>
      </c>
      <c r="I1004" s="29">
        <f>IF(OR(COUNTIF('Suivi des rencontres'!$A:$A,$A1004)&gt;0,COUNTIF('Suivi des rencontres'!$C:$C,$J1004)&gt;0),"Non","Oui")</f>
        <v/>
      </c>
      <c r="J1004" s="30" t="inlineStr">
        <is>
          <t>FARFURET</t>
        </is>
      </c>
    </row>
    <row r="1005">
      <c r="A1005" s="47" t="inlineStr">
        <is>
          <t>Mont Argenté</t>
        </is>
      </c>
      <c r="B1005" s="47" t="inlineStr">
        <is>
          <t>MtSilver_Snow_hns</t>
        </is>
      </c>
      <c r="C1005" s="62" t="inlineStr">
        <is>
          <t>Nuit</t>
        </is>
      </c>
      <c r="D1005" s="49" t="inlineStr">
        <is>
          <t>Herbe</t>
        </is>
      </c>
      <c r="E1005" s="50" t="inlineStr">
        <is>
          <t>URSARING</t>
        </is>
      </c>
      <c r="F1005" s="51" t="n">
        <v>0.2</v>
      </c>
      <c r="G1005" s="52" t="n">
        <v>61</v>
      </c>
      <c r="H1005" s="52" t="n">
        <v>69</v>
      </c>
      <c r="I1005" s="29">
        <f>IF(OR(COUNTIF('Suivi des rencontres'!$A:$A,$A1005)&gt;0,COUNTIF('Suivi des rencontres'!$C:$C,$J1005)&gt;0),"Non","Oui")</f>
        <v/>
      </c>
      <c r="J1005" s="30" t="inlineStr">
        <is>
          <t>TEDDIURSA</t>
        </is>
      </c>
    </row>
    <row r="1006">
      <c r="A1006" s="47" t="inlineStr">
        <is>
          <t>Mont Argenté</t>
        </is>
      </c>
      <c r="B1006" s="47" t="inlineStr">
        <is>
          <t>MtSilver_Snow_hns</t>
        </is>
      </c>
      <c r="C1006" s="62" t="inlineStr">
        <is>
          <t>Nuit</t>
        </is>
      </c>
      <c r="D1006" s="49" t="inlineStr">
        <is>
          <t>Herbe</t>
        </is>
      </c>
      <c r="E1006" s="50" t="inlineStr">
        <is>
          <t>AIRMURE</t>
        </is>
      </c>
      <c r="F1006" s="51" t="n">
        <v>0.1</v>
      </c>
      <c r="G1006" s="52" t="n">
        <v>65</v>
      </c>
      <c r="H1006" s="52" t="n">
        <v>65</v>
      </c>
      <c r="I1006" s="29">
        <f>IF(OR(COUNTIF('Suivi des rencontres'!$A:$A,$A1006)&gt;0,COUNTIF('Suivi des rencontres'!$C:$C,$J1006)&gt;0),"Non","Oui")</f>
        <v/>
      </c>
      <c r="J1006" s="30" t="inlineStr">
        <is>
          <t>AIRMURE</t>
        </is>
      </c>
    </row>
    <row r="1007">
      <c r="A1007" s="47" t="inlineStr">
        <is>
          <t>Mont Argenté</t>
        </is>
      </c>
      <c r="B1007" s="47" t="inlineStr">
        <is>
          <t>MtSilver_Snow_hns</t>
        </is>
      </c>
      <c r="C1007" s="62" t="inlineStr">
        <is>
          <t>Nuit</t>
        </is>
      </c>
      <c r="D1007" s="49" t="inlineStr">
        <is>
          <t>Herbe</t>
        </is>
      </c>
      <c r="E1007" s="50" t="inlineStr">
        <is>
          <t>COURROUSINGE</t>
        </is>
      </c>
      <c r="F1007" s="51" t="n">
        <v>0.1</v>
      </c>
      <c r="G1007" s="52" t="n">
        <v>68</v>
      </c>
      <c r="H1007" s="52" t="n">
        <v>68</v>
      </c>
      <c r="I1007" s="29">
        <f>IF(OR(COUNTIF('Suivi des rencontres'!$A:$A,$A1007)&gt;0,COUNTIF('Suivi des rencontres'!$C:$C,$J1007)&gt;0),"Non","Oui")</f>
        <v/>
      </c>
      <c r="J1007" s="30" t="inlineStr">
        <is>
          <t>FEROSINGE</t>
        </is>
      </c>
    </row>
    <row r="1008">
      <c r="A1008" s="47" t="inlineStr">
        <is>
          <t>Mont Argenté</t>
        </is>
      </c>
      <c r="B1008" s="47" t="inlineStr">
        <is>
          <t>MtSilver_Snow_hns</t>
        </is>
      </c>
      <c r="C1008" s="62" t="inlineStr">
        <is>
          <t>Nuit</t>
        </is>
      </c>
      <c r="D1008" s="49" t="inlineStr">
        <is>
          <t>Herbe</t>
        </is>
      </c>
      <c r="E1008" s="50" t="inlineStr">
        <is>
          <t>DEMOLOSSE</t>
        </is>
      </c>
      <c r="F1008" s="51" t="n">
        <v>0.1</v>
      </c>
      <c r="G1008" s="52" t="n">
        <v>61</v>
      </c>
      <c r="H1008" s="52" t="n">
        <v>69</v>
      </c>
      <c r="I1008" s="29">
        <f>IF(OR(COUNTIF('Suivi des rencontres'!$A:$A,$A1008)&gt;0,COUNTIF('Suivi des rencontres'!$C:$C,$J1008)&gt;0),"Non","Oui")</f>
        <v/>
      </c>
      <c r="J1008" s="30" t="inlineStr">
        <is>
          <t>MALOSSE</t>
        </is>
      </c>
    </row>
    <row r="1009">
      <c r="A1009" s="47" t="inlineStr">
        <is>
          <t>Mont Argenté</t>
        </is>
      </c>
      <c r="B1009" s="47" t="inlineStr">
        <is>
          <t>MtSilver_Snow_hns</t>
        </is>
      </c>
      <c r="C1009" s="62" t="inlineStr">
        <is>
          <t>Nuit</t>
        </is>
      </c>
      <c r="D1009" s="49" t="inlineStr">
        <is>
          <t>Herbe</t>
        </is>
      </c>
      <c r="E1009" s="50" t="inlineStr">
        <is>
          <t>MACHOPEUR</t>
        </is>
      </c>
      <c r="F1009" s="51" t="n">
        <v>0.1</v>
      </c>
      <c r="G1009" s="52" t="n">
        <v>61</v>
      </c>
      <c r="H1009" s="52" t="n">
        <v>69</v>
      </c>
      <c r="I1009" s="29">
        <f>IF(OR(COUNTIF('Suivi des rencontres'!$A:$A,$A1009)&gt;0,COUNTIF('Suivi des rencontres'!$C:$C,$J1009)&gt;0),"Non","Oui")</f>
        <v/>
      </c>
      <c r="J1009" s="30" t="inlineStr">
        <is>
          <t>MACHOC</t>
        </is>
      </c>
    </row>
    <row r="1010">
      <c r="A1010" s="47" t="inlineStr">
        <is>
          <t>Mont Argenté</t>
        </is>
      </c>
      <c r="B1010" s="47" t="inlineStr">
        <is>
          <t>MtSilver_Snow_hns</t>
        </is>
      </c>
      <c r="C1010" s="62" t="inlineStr">
        <is>
          <t>Nuit</t>
        </is>
      </c>
      <c r="D1010" s="49" t="inlineStr">
        <is>
          <t>Herbe</t>
        </is>
      </c>
      <c r="E1010" s="50" t="inlineStr">
        <is>
          <t>MAMMOCHON</t>
        </is>
      </c>
      <c r="F1010" s="51" t="n">
        <v>0.1</v>
      </c>
      <c r="G1010" s="52" t="n">
        <v>68</v>
      </c>
      <c r="H1010" s="52" t="n">
        <v>68</v>
      </c>
      <c r="I1010" s="29">
        <f>IF(OR(COUNTIF('Suivi des rencontres'!$A:$A,$A1010)&gt;0,COUNTIF('Suivi des rencontres'!$C:$C,$J1010)&gt;0),"Non","Oui")</f>
        <v/>
      </c>
      <c r="J1010" s="30" t="inlineStr">
        <is>
          <t>MARCACRIN</t>
        </is>
      </c>
    </row>
    <row r="1011">
      <c r="A1011" s="47" t="inlineStr">
        <is>
          <t>Mont Argenté</t>
        </is>
      </c>
      <c r="B1011" s="47" t="inlineStr">
        <is>
          <t>MtSilver_Snow_hns</t>
        </is>
      </c>
      <c r="C1011" s="62" t="inlineStr">
        <is>
          <t>Nuit</t>
        </is>
      </c>
      <c r="D1011" s="49" t="inlineStr">
        <is>
          <t>Herbe</t>
        </is>
      </c>
      <c r="E1011" s="50" t="inlineStr">
        <is>
          <t>COCHIGNON</t>
        </is>
      </c>
      <c r="F1011" s="51" t="n">
        <v>0.05</v>
      </c>
      <c r="G1011" s="52" t="n">
        <v>68</v>
      </c>
      <c r="H1011" s="52" t="n">
        <v>68</v>
      </c>
      <c r="I1011" s="29">
        <f>IF(OR(COUNTIF('Suivi des rencontres'!$A:$A,$A1011)&gt;0,COUNTIF('Suivi des rencontres'!$C:$C,$J1011)&gt;0),"Non","Oui")</f>
        <v/>
      </c>
      <c r="J1011" s="30" t="inlineStr">
        <is>
          <t>MARCACRIN</t>
        </is>
      </c>
    </row>
    <row r="1012">
      <c r="A1012" s="47" t="inlineStr">
        <is>
          <t>Mont Argenté</t>
        </is>
      </c>
      <c r="B1012" s="47" t="inlineStr">
        <is>
          <t>MtSilver_Snow_hns</t>
        </is>
      </c>
      <c r="C1012" s="62" t="inlineStr">
        <is>
          <t>Nuit</t>
        </is>
      </c>
      <c r="D1012" s="49" t="inlineStr">
        <is>
          <t>Herbe</t>
        </is>
      </c>
      <c r="E1012" s="50" t="inlineStr">
        <is>
          <t>GALOPA</t>
        </is>
      </c>
      <c r="F1012" s="51" t="n">
        <v>0.05</v>
      </c>
      <c r="G1012" s="52" t="n">
        <v>61</v>
      </c>
      <c r="H1012" s="52" t="n">
        <v>69</v>
      </c>
      <c r="I1012" s="29">
        <f>IF(OR(COUNTIF('Suivi des rencontres'!$A:$A,$A1012)&gt;0,COUNTIF('Suivi des rencontres'!$C:$C,$J1012)&gt;0),"Non","Oui")</f>
        <v/>
      </c>
      <c r="J1012" s="30" t="inlineStr">
        <is>
          <t>PONYTA</t>
        </is>
      </c>
    </row>
    <row r="1013">
      <c r="A1013" s="57" t="inlineStr">
        <is>
          <t>Mont Creuset</t>
        </is>
      </c>
      <c r="B1013" s="57" t="inlineStr">
        <is>
          <t>MtMortar_1F_North_hns</t>
        </is>
      </c>
      <c r="C1013" s="58" t="inlineStr">
        <is>
          <t>Matin, jour, soir</t>
        </is>
      </c>
      <c r="D1013" s="42" t="inlineStr">
        <is>
          <t>Herbe</t>
        </is>
      </c>
      <c r="E1013" s="59" t="inlineStr">
        <is>
          <t>NOSFERAPTI</t>
        </is>
      </c>
      <c r="F1013" s="60" t="n">
        <v>0.3</v>
      </c>
      <c r="G1013" s="61" t="n">
        <v>20</v>
      </c>
      <c r="H1013" s="61" t="n">
        <v>20</v>
      </c>
      <c r="I1013" s="46">
        <f>IF(OR(COUNTIF('Suivi des rencontres'!$A:$A,$A1013)&gt;0,COUNTIF('Suivi des rencontres'!$C:$C,$J1013)&gt;0),"Non","Oui")</f>
        <v/>
      </c>
      <c r="J1013" s="30" t="inlineStr">
        <is>
          <t>NOSFERAPTI</t>
        </is>
      </c>
    </row>
    <row r="1014">
      <c r="A1014" s="35" t="inlineStr">
        <is>
          <t>Mont Creuset</t>
        </is>
      </c>
      <c r="B1014" s="35" t="inlineStr">
        <is>
          <t>MtMortar_1F_North_hns</t>
        </is>
      </c>
      <c r="C1014" s="33" t="inlineStr">
        <is>
          <t>Matin, jour, soir</t>
        </is>
      </c>
      <c r="D1014" s="49" t="inlineStr">
        <is>
          <t>Herbe</t>
        </is>
      </c>
      <c r="E1014" s="37" t="inlineStr">
        <is>
          <t>RACAILLOU</t>
        </is>
      </c>
      <c r="F1014" s="38" t="n">
        <v>0.3</v>
      </c>
      <c r="G1014" s="39" t="n">
        <v>20</v>
      </c>
      <c r="H1014" s="39" t="n">
        <v>20</v>
      </c>
      <c r="I1014" s="29">
        <f>IF(OR(COUNTIF('Suivi des rencontres'!$A:$A,$A1014)&gt;0,COUNTIF('Suivi des rencontres'!$C:$C,$J1014)&gt;0),"Non","Oui")</f>
        <v/>
      </c>
      <c r="J1014" s="30" t="inlineStr">
        <is>
          <t>RACAILLOU</t>
        </is>
      </c>
    </row>
    <row r="1015">
      <c r="A1015" s="35" t="inlineStr">
        <is>
          <t>Mont Creuset</t>
        </is>
      </c>
      <c r="B1015" s="35" t="inlineStr">
        <is>
          <t>MtMortar_1F_North_hns</t>
        </is>
      </c>
      <c r="C1015" s="33" t="inlineStr">
        <is>
          <t>Matin, jour, soir</t>
        </is>
      </c>
      <c r="D1015" s="49" t="inlineStr">
        <is>
          <t>Herbe</t>
        </is>
      </c>
      <c r="E1015" s="37" t="inlineStr">
        <is>
          <t>MACHOC</t>
        </is>
      </c>
      <c r="F1015" s="38" t="n">
        <v>0.15</v>
      </c>
      <c r="G1015" s="39" t="n">
        <v>21</v>
      </c>
      <c r="H1015" s="39" t="n">
        <v>21</v>
      </c>
      <c r="I1015" s="29">
        <f>IF(OR(COUNTIF('Suivi des rencontres'!$A:$A,$A1015)&gt;0,COUNTIF('Suivi des rencontres'!$C:$C,$J1015)&gt;0),"Non","Oui")</f>
        <v/>
      </c>
      <c r="J1015" s="30" t="inlineStr">
        <is>
          <t>MACHOC</t>
        </is>
      </c>
    </row>
    <row r="1016">
      <c r="A1016" s="35" t="inlineStr">
        <is>
          <t>Mont Creuset</t>
        </is>
      </c>
      <c r="B1016" s="35" t="inlineStr">
        <is>
          <t>MtMortar_1F_North_hns</t>
        </is>
      </c>
      <c r="C1016" s="33" t="inlineStr">
        <is>
          <t>Matin, jour, soir</t>
        </is>
      </c>
      <c r="D1016" s="49" t="inlineStr">
        <is>
          <t>Herbe</t>
        </is>
      </c>
      <c r="E1016" s="37" t="inlineStr">
        <is>
          <t>NOSFERALTO</t>
        </is>
      </c>
      <c r="F1016" s="38" t="n">
        <v>0.15</v>
      </c>
      <c r="G1016" s="39" t="n">
        <v>22</v>
      </c>
      <c r="H1016" s="39" t="n">
        <v>22</v>
      </c>
      <c r="I1016" s="29">
        <f>IF(OR(COUNTIF('Suivi des rencontres'!$A:$A,$A1016)&gt;0,COUNTIF('Suivi des rencontres'!$C:$C,$J1016)&gt;0),"Non","Oui")</f>
        <v/>
      </c>
      <c r="J1016" s="30" t="inlineStr">
        <is>
          <t>NOSFERAPTI</t>
        </is>
      </c>
    </row>
    <row r="1017">
      <c r="A1017" s="35" t="inlineStr">
        <is>
          <t>Mont Creuset</t>
        </is>
      </c>
      <c r="B1017" s="35" t="inlineStr">
        <is>
          <t>MtMortar_1F_North_hns</t>
        </is>
      </c>
      <c r="C1017" s="33" t="inlineStr">
        <is>
          <t>Matin, jour, soir</t>
        </is>
      </c>
      <c r="D1017" s="49" t="inlineStr">
        <is>
          <t>Herbe</t>
        </is>
      </c>
      <c r="E1017" s="37" t="inlineStr">
        <is>
          <t>OSSELAIT</t>
        </is>
      </c>
      <c r="F1017" s="38" t="n">
        <v>0.05</v>
      </c>
      <c r="G1017" s="39" t="n">
        <v>22</v>
      </c>
      <c r="H1017" s="39" t="n">
        <v>22</v>
      </c>
      <c r="I1017" s="29">
        <f>IF(OR(COUNTIF('Suivi des rencontres'!$A:$A,$A1017)&gt;0,COUNTIF('Suivi des rencontres'!$C:$C,$J1017)&gt;0),"Non","Oui")</f>
        <v/>
      </c>
      <c r="J1017" s="30" t="inlineStr">
        <is>
          <t>OSSELAIT</t>
        </is>
      </c>
    </row>
    <row r="1018">
      <c r="A1018" s="35" t="inlineStr">
        <is>
          <t>Mont Creuset</t>
        </is>
      </c>
      <c r="B1018" s="35" t="inlineStr">
        <is>
          <t>MtMortar_1F_North_hns</t>
        </is>
      </c>
      <c r="C1018" s="33" t="inlineStr">
        <is>
          <t>Matin, jour, soir</t>
        </is>
      </c>
      <c r="D1018" s="49" t="inlineStr">
        <is>
          <t>Herbe</t>
        </is>
      </c>
      <c r="E1018" s="37" t="inlineStr">
        <is>
          <t>RHINOCORNE</t>
        </is>
      </c>
      <c r="F1018" s="38" t="n">
        <v>0.05</v>
      </c>
      <c r="G1018" s="39" t="n">
        <v>21</v>
      </c>
      <c r="H1018" s="39" t="n">
        <v>21</v>
      </c>
      <c r="I1018" s="29">
        <f>IF(OR(COUNTIF('Suivi des rencontres'!$A:$A,$A1018)&gt;0,COUNTIF('Suivi des rencontres'!$C:$C,$J1018)&gt;0),"Non","Oui")</f>
        <v/>
      </c>
      <c r="J1018" s="30" t="inlineStr">
        <is>
          <t>RHINOCORNE</t>
        </is>
      </c>
    </row>
    <row r="1019">
      <c r="A1019" s="35" t="inlineStr">
        <is>
          <t>Mont Creuset</t>
        </is>
      </c>
      <c r="B1019" s="35" t="inlineStr">
        <is>
          <t>MtMortar_1F_North_hns</t>
        </is>
      </c>
      <c r="C1019" s="62" t="inlineStr">
        <is>
          <t>Nuit</t>
        </is>
      </c>
      <c r="D1019" s="49" t="inlineStr">
        <is>
          <t>Herbe</t>
        </is>
      </c>
      <c r="E1019" s="37" t="inlineStr">
        <is>
          <t>NOSFERAPTI</t>
        </is>
      </c>
      <c r="F1019" s="38" t="n">
        <v>0.3</v>
      </c>
      <c r="G1019" s="39" t="n">
        <v>20</v>
      </c>
      <c r="H1019" s="39" t="n">
        <v>20</v>
      </c>
      <c r="I1019" s="29">
        <f>IF(OR(COUNTIF('Suivi des rencontres'!$A:$A,$A1019)&gt;0,COUNTIF('Suivi des rencontres'!$C:$C,$J1019)&gt;0),"Non","Oui")</f>
        <v/>
      </c>
      <c r="J1019" s="30" t="inlineStr">
        <is>
          <t>NOSFERAPTI</t>
        </is>
      </c>
    </row>
    <row r="1020">
      <c r="A1020" s="35" t="inlineStr">
        <is>
          <t>Mont Creuset</t>
        </is>
      </c>
      <c r="B1020" s="35" t="inlineStr">
        <is>
          <t>MtMortar_1F_North_hns</t>
        </is>
      </c>
      <c r="C1020" s="62" t="inlineStr">
        <is>
          <t>Nuit</t>
        </is>
      </c>
      <c r="D1020" s="49" t="inlineStr">
        <is>
          <t>Herbe</t>
        </is>
      </c>
      <c r="E1020" s="37" t="inlineStr">
        <is>
          <t>RACAILLOU</t>
        </is>
      </c>
      <c r="F1020" s="38" t="n">
        <v>0.3</v>
      </c>
      <c r="G1020" s="39" t="n">
        <v>20</v>
      </c>
      <c r="H1020" s="39" t="n">
        <v>20</v>
      </c>
      <c r="I1020" s="29">
        <f>IF(OR(COUNTIF('Suivi des rencontres'!$A:$A,$A1020)&gt;0,COUNTIF('Suivi des rencontres'!$C:$C,$J1020)&gt;0),"Non","Oui")</f>
        <v/>
      </c>
      <c r="J1020" s="30" t="inlineStr">
        <is>
          <t>RACAILLOU</t>
        </is>
      </c>
    </row>
    <row r="1021">
      <c r="A1021" s="35" t="inlineStr">
        <is>
          <t>Mont Creuset</t>
        </is>
      </c>
      <c r="B1021" s="35" t="inlineStr">
        <is>
          <t>MtMortar_1F_North_hns</t>
        </is>
      </c>
      <c r="C1021" s="62" t="inlineStr">
        <is>
          <t>Nuit</t>
        </is>
      </c>
      <c r="D1021" s="49" t="inlineStr">
        <is>
          <t>Herbe</t>
        </is>
      </c>
      <c r="E1021" s="37" t="inlineStr">
        <is>
          <t>MARILL</t>
        </is>
      </c>
      <c r="F1021" s="38" t="n">
        <v>0.15</v>
      </c>
      <c r="G1021" s="39" t="n">
        <v>21</v>
      </c>
      <c r="H1021" s="39" t="n">
        <v>21</v>
      </c>
      <c r="I1021" s="29">
        <f>IF(OR(COUNTIF('Suivi des rencontres'!$A:$A,$A1021)&gt;0,COUNTIF('Suivi des rencontres'!$C:$C,$J1021)&gt;0),"Non","Oui")</f>
        <v/>
      </c>
      <c r="J1021" s="30" t="inlineStr">
        <is>
          <t>AZURILL</t>
        </is>
      </c>
    </row>
    <row r="1022">
      <c r="A1022" s="35" t="inlineStr">
        <is>
          <t>Mont Creuset</t>
        </is>
      </c>
      <c r="B1022" s="35" t="inlineStr">
        <is>
          <t>MtMortar_1F_North_hns</t>
        </is>
      </c>
      <c r="C1022" s="62" t="inlineStr">
        <is>
          <t>Nuit</t>
        </is>
      </c>
      <c r="D1022" s="49" t="inlineStr">
        <is>
          <t>Herbe</t>
        </is>
      </c>
      <c r="E1022" s="37" t="inlineStr">
        <is>
          <t>NOSFERALTO</t>
        </is>
      </c>
      <c r="F1022" s="38" t="n">
        <v>0.15</v>
      </c>
      <c r="G1022" s="39" t="n">
        <v>22</v>
      </c>
      <c r="H1022" s="39" t="n">
        <v>22</v>
      </c>
      <c r="I1022" s="29">
        <f>IF(OR(COUNTIF('Suivi des rencontres'!$A:$A,$A1022)&gt;0,COUNTIF('Suivi des rencontres'!$C:$C,$J1022)&gt;0),"Non","Oui")</f>
        <v/>
      </c>
      <c r="J1022" s="30" t="inlineStr">
        <is>
          <t>NOSFERAPTI</t>
        </is>
      </c>
    </row>
    <row r="1023">
      <c r="A1023" s="35" t="inlineStr">
        <is>
          <t>Mont Creuset</t>
        </is>
      </c>
      <c r="B1023" s="35" t="inlineStr">
        <is>
          <t>MtMortar_1F_North_hns</t>
        </is>
      </c>
      <c r="C1023" s="62" t="inlineStr">
        <is>
          <t>Nuit</t>
        </is>
      </c>
      <c r="D1023" s="49" t="inlineStr">
        <is>
          <t>Herbe</t>
        </is>
      </c>
      <c r="E1023" s="37" t="inlineStr">
        <is>
          <t>OSSELAIT</t>
        </is>
      </c>
      <c r="F1023" s="38" t="n">
        <v>0.05</v>
      </c>
      <c r="G1023" s="39" t="n">
        <v>22</v>
      </c>
      <c r="H1023" s="39" t="n">
        <v>22</v>
      </c>
      <c r="I1023" s="29">
        <f>IF(OR(COUNTIF('Suivi des rencontres'!$A:$A,$A1023)&gt;0,COUNTIF('Suivi des rencontres'!$C:$C,$J1023)&gt;0),"Non","Oui")</f>
        <v/>
      </c>
      <c r="J1023" s="30" t="inlineStr">
        <is>
          <t>OSSELAIT</t>
        </is>
      </c>
    </row>
    <row r="1024">
      <c r="A1024" s="35" t="inlineStr">
        <is>
          <t>Mont Creuset</t>
        </is>
      </c>
      <c r="B1024" s="35" t="inlineStr">
        <is>
          <t>MtMortar_1F_North_hns</t>
        </is>
      </c>
      <c r="C1024" s="62" t="inlineStr">
        <is>
          <t>Nuit</t>
        </is>
      </c>
      <c r="D1024" s="49" t="inlineStr">
        <is>
          <t>Herbe</t>
        </is>
      </c>
      <c r="E1024" s="37" t="inlineStr">
        <is>
          <t>RHINOCORNE</t>
        </is>
      </c>
      <c r="F1024" s="38" t="n">
        <v>0.05</v>
      </c>
      <c r="G1024" s="39" t="n">
        <v>21</v>
      </c>
      <c r="H1024" s="39" t="n">
        <v>21</v>
      </c>
      <c r="I1024" s="29">
        <f>IF(OR(COUNTIF('Suivi des rencontres'!$A:$A,$A1024)&gt;0,COUNTIF('Suivi des rencontres'!$C:$C,$J1024)&gt;0),"Non","Oui")</f>
        <v/>
      </c>
      <c r="J1024" s="30" t="inlineStr">
        <is>
          <t>RHINOCORNE</t>
        </is>
      </c>
    </row>
    <row r="1025">
      <c r="A1025" s="35" t="inlineStr">
        <is>
          <t>Mont Creuset</t>
        </is>
      </c>
      <c r="B1025" s="35" t="inlineStr">
        <is>
          <t>MtMortar_1F_North_hns</t>
        </is>
      </c>
      <c r="C1025" s="33" t="inlineStr">
        <is>
          <t>Matin, jour, soir</t>
        </is>
      </c>
      <c r="D1025" s="53" t="inlineStr">
        <is>
          <t>Surf</t>
        </is>
      </c>
      <c r="E1025" s="37" t="inlineStr">
        <is>
          <t>POISSIRENE</t>
        </is>
      </c>
      <c r="F1025" s="38" t="n">
        <v>0.64</v>
      </c>
      <c r="G1025" s="39" t="n">
        <v>15</v>
      </c>
      <c r="H1025" s="39" t="n">
        <v>19</v>
      </c>
      <c r="I1025" s="29">
        <f>IF(OR(COUNTIF('Suivi des rencontres'!$A:$A,$A1025)&gt;0,COUNTIF('Suivi des rencontres'!$C:$C,$J1025)&gt;0),"Non","Oui")</f>
        <v/>
      </c>
      <c r="J1025" s="30" t="inlineStr">
        <is>
          <t>POISSIRENE</t>
        </is>
      </c>
    </row>
    <row r="1026">
      <c r="A1026" s="35" t="inlineStr">
        <is>
          <t>Mont Creuset</t>
        </is>
      </c>
      <c r="B1026" s="35" t="inlineStr">
        <is>
          <t>MtMortar_1F_North_hns</t>
        </is>
      </c>
      <c r="C1026" s="33" t="inlineStr">
        <is>
          <t>Matin, jour, soir</t>
        </is>
      </c>
      <c r="D1026" s="53" t="inlineStr">
        <is>
          <t>Surf</t>
        </is>
      </c>
      <c r="E1026" s="37" t="inlineStr">
        <is>
          <t>MARILL</t>
        </is>
      </c>
      <c r="F1026" s="38" t="n">
        <v>0.31</v>
      </c>
      <c r="G1026" s="39" t="n">
        <v>20</v>
      </c>
      <c r="H1026" s="39" t="n">
        <v>24</v>
      </c>
      <c r="I1026" s="29">
        <f>IF(OR(COUNTIF('Suivi des rencontres'!$A:$A,$A1026)&gt;0,COUNTIF('Suivi des rencontres'!$C:$C,$J1026)&gt;0),"Non","Oui")</f>
        <v/>
      </c>
      <c r="J1026" s="30" t="inlineStr">
        <is>
          <t>AZURILL</t>
        </is>
      </c>
    </row>
    <row r="1027">
      <c r="A1027" s="35" t="inlineStr">
        <is>
          <t>Mont Creuset</t>
        </is>
      </c>
      <c r="B1027" s="35" t="inlineStr">
        <is>
          <t>MtMortar_1F_North_hns</t>
        </is>
      </c>
      <c r="C1027" s="33" t="inlineStr">
        <is>
          <t>Matin, jour, soir</t>
        </is>
      </c>
      <c r="D1027" s="53" t="inlineStr">
        <is>
          <t>Surf</t>
        </is>
      </c>
      <c r="E1027" s="37" t="inlineStr">
        <is>
          <t>POISSOROY</t>
        </is>
      </c>
      <c r="F1027" s="38" t="n">
        <v>0.05</v>
      </c>
      <c r="G1027" s="39" t="n">
        <v>20</v>
      </c>
      <c r="H1027" s="39" t="n">
        <v>24</v>
      </c>
      <c r="I1027" s="29">
        <f>IF(OR(COUNTIF('Suivi des rencontres'!$A:$A,$A1027)&gt;0,COUNTIF('Suivi des rencontres'!$C:$C,$J1027)&gt;0),"Non","Oui")</f>
        <v/>
      </c>
      <c r="J1027" s="30" t="inlineStr">
        <is>
          <t>POISSIRENE</t>
        </is>
      </c>
    </row>
    <row r="1028">
      <c r="A1028" s="35" t="inlineStr">
        <is>
          <t>Mont Creuset</t>
        </is>
      </c>
      <c r="B1028" s="35" t="inlineStr">
        <is>
          <t>MtMortar_1F_North_hns</t>
        </is>
      </c>
      <c r="C1028" s="62" t="inlineStr">
        <is>
          <t>Nuit</t>
        </is>
      </c>
      <c r="D1028" s="53" t="inlineStr">
        <is>
          <t>Surf</t>
        </is>
      </c>
      <c r="E1028" s="37" t="inlineStr">
        <is>
          <t>POISSIRENE</t>
        </is>
      </c>
      <c r="F1028" s="38" t="n">
        <v>0.64</v>
      </c>
      <c r="G1028" s="39" t="n">
        <v>15</v>
      </c>
      <c r="H1028" s="39" t="n">
        <v>19</v>
      </c>
      <c r="I1028" s="29">
        <f>IF(OR(COUNTIF('Suivi des rencontres'!$A:$A,$A1028)&gt;0,COUNTIF('Suivi des rencontres'!$C:$C,$J1028)&gt;0),"Non","Oui")</f>
        <v/>
      </c>
      <c r="J1028" s="30" t="inlineStr">
        <is>
          <t>POISSIRENE</t>
        </is>
      </c>
    </row>
    <row r="1029">
      <c r="A1029" s="35" t="inlineStr">
        <is>
          <t>Mont Creuset</t>
        </is>
      </c>
      <c r="B1029" s="35" t="inlineStr">
        <is>
          <t>MtMortar_1F_North_hns</t>
        </is>
      </c>
      <c r="C1029" s="62" t="inlineStr">
        <is>
          <t>Nuit</t>
        </is>
      </c>
      <c r="D1029" s="53" t="inlineStr">
        <is>
          <t>Surf</t>
        </is>
      </c>
      <c r="E1029" s="37" t="inlineStr">
        <is>
          <t>MARILL</t>
        </is>
      </c>
      <c r="F1029" s="38" t="n">
        <v>0.31</v>
      </c>
      <c r="G1029" s="39" t="n">
        <v>20</v>
      </c>
      <c r="H1029" s="39" t="n">
        <v>24</v>
      </c>
      <c r="I1029" s="29">
        <f>IF(OR(COUNTIF('Suivi des rencontres'!$A:$A,$A1029)&gt;0,COUNTIF('Suivi des rencontres'!$C:$C,$J1029)&gt;0),"Non","Oui")</f>
        <v/>
      </c>
      <c r="J1029" s="30" t="inlineStr">
        <is>
          <t>AZURILL</t>
        </is>
      </c>
    </row>
    <row r="1030">
      <c r="A1030" s="35" t="inlineStr">
        <is>
          <t>Mont Creuset</t>
        </is>
      </c>
      <c r="B1030" s="35" t="inlineStr">
        <is>
          <t>MtMortar_1F_North_hns</t>
        </is>
      </c>
      <c r="C1030" s="62" t="inlineStr">
        <is>
          <t>Nuit</t>
        </is>
      </c>
      <c r="D1030" s="53" t="inlineStr">
        <is>
          <t>Surf</t>
        </is>
      </c>
      <c r="E1030" s="37" t="inlineStr">
        <is>
          <t>POISSOROY</t>
        </is>
      </c>
      <c r="F1030" s="38" t="n">
        <v>0.05</v>
      </c>
      <c r="G1030" s="39" t="n">
        <v>20</v>
      </c>
      <c r="H1030" s="39" t="n">
        <v>24</v>
      </c>
      <c r="I1030" s="29">
        <f>IF(OR(COUNTIF('Suivi des rencontres'!$A:$A,$A1030)&gt;0,COUNTIF('Suivi des rencontres'!$C:$C,$J1030)&gt;0),"Non","Oui")</f>
        <v/>
      </c>
      <c r="J1030" s="30" t="inlineStr">
        <is>
          <t>POISSIRENE</t>
        </is>
      </c>
    </row>
    <row r="1031">
      <c r="A1031" s="35" t="inlineStr">
        <is>
          <t>Mont Creuset</t>
        </is>
      </c>
      <c r="B1031" s="35" t="inlineStr">
        <is>
          <t>MtMortar_1F_North_hns</t>
        </is>
      </c>
      <c r="C1031" s="33" t="inlineStr">
        <is>
          <t>Matin, jour, soir</t>
        </is>
      </c>
      <c r="D1031" s="54" t="inlineStr">
        <is>
          <t>Vieille Canne</t>
        </is>
      </c>
      <c r="E1031" s="37" t="inlineStr">
        <is>
          <t>MAGICARPE</t>
        </is>
      </c>
      <c r="F1031" s="38" t="n">
        <v>0.7</v>
      </c>
      <c r="G1031" s="39" t="n">
        <v>10</v>
      </c>
      <c r="H1031" s="39" t="n">
        <v>10</v>
      </c>
      <c r="I1031" s="29">
        <f>IF(OR(COUNTIF('Suivi des rencontres'!$A:$A,$A1031)&gt;0,COUNTIF('Suivi des rencontres'!$C:$C,$J1031)&gt;0),"Non","Oui")</f>
        <v/>
      </c>
      <c r="J1031" s="30" t="inlineStr">
        <is>
          <t>MAGICARPE</t>
        </is>
      </c>
    </row>
    <row r="1032">
      <c r="A1032" s="35" t="inlineStr">
        <is>
          <t>Mont Creuset</t>
        </is>
      </c>
      <c r="B1032" s="35" t="inlineStr">
        <is>
          <t>MtMortar_1F_North_hns</t>
        </is>
      </c>
      <c r="C1032" s="33" t="inlineStr">
        <is>
          <t>Matin, jour, soir</t>
        </is>
      </c>
      <c r="D1032" s="54" t="inlineStr">
        <is>
          <t>Vieille Canne</t>
        </is>
      </c>
      <c r="E1032" s="37" t="inlineStr">
        <is>
          <t>POISSIRENE</t>
        </is>
      </c>
      <c r="F1032" s="38" t="n">
        <v>0.3</v>
      </c>
      <c r="G1032" s="39" t="n">
        <v>10</v>
      </c>
      <c r="H1032" s="39" t="n">
        <v>10</v>
      </c>
      <c r="I1032" s="29">
        <f>IF(OR(COUNTIF('Suivi des rencontres'!$A:$A,$A1032)&gt;0,COUNTIF('Suivi des rencontres'!$C:$C,$J1032)&gt;0),"Non","Oui")</f>
        <v/>
      </c>
      <c r="J1032" s="30" t="inlineStr">
        <is>
          <t>POISSIRENE</t>
        </is>
      </c>
    </row>
    <row r="1033">
      <c r="A1033" s="35" t="inlineStr">
        <is>
          <t>Mont Creuset</t>
        </is>
      </c>
      <c r="B1033" s="35" t="inlineStr">
        <is>
          <t>MtMortar_1F_North_hns</t>
        </is>
      </c>
      <c r="C1033" s="62" t="inlineStr">
        <is>
          <t>Nuit</t>
        </is>
      </c>
      <c r="D1033" s="54" t="inlineStr">
        <is>
          <t>Vieille Canne</t>
        </is>
      </c>
      <c r="E1033" s="37" t="inlineStr">
        <is>
          <t>MAGICARPE</t>
        </is>
      </c>
      <c r="F1033" s="38" t="n">
        <v>0.7</v>
      </c>
      <c r="G1033" s="39" t="n">
        <v>10</v>
      </c>
      <c r="H1033" s="39" t="n">
        <v>10</v>
      </c>
      <c r="I1033" s="29">
        <f>IF(OR(COUNTIF('Suivi des rencontres'!$A:$A,$A1033)&gt;0,COUNTIF('Suivi des rencontres'!$C:$C,$J1033)&gt;0),"Non","Oui")</f>
        <v/>
      </c>
      <c r="J1033" s="30" t="inlineStr">
        <is>
          <t>MAGICARPE</t>
        </is>
      </c>
    </row>
    <row r="1034">
      <c r="A1034" s="35" t="inlineStr">
        <is>
          <t>Mont Creuset</t>
        </is>
      </c>
      <c r="B1034" s="35" t="inlineStr">
        <is>
          <t>MtMortar_1F_North_hns</t>
        </is>
      </c>
      <c r="C1034" s="62" t="inlineStr">
        <is>
          <t>Nuit</t>
        </is>
      </c>
      <c r="D1034" s="54" t="inlineStr">
        <is>
          <t>Vieille Canne</t>
        </is>
      </c>
      <c r="E1034" s="37" t="inlineStr">
        <is>
          <t>POISSIRENE</t>
        </is>
      </c>
      <c r="F1034" s="38" t="n">
        <v>0.3</v>
      </c>
      <c r="G1034" s="39" t="n">
        <v>10</v>
      </c>
      <c r="H1034" s="39" t="n">
        <v>10</v>
      </c>
      <c r="I1034" s="29">
        <f>IF(OR(COUNTIF('Suivi des rencontres'!$A:$A,$A1034)&gt;0,COUNTIF('Suivi des rencontres'!$C:$C,$J1034)&gt;0),"Non","Oui")</f>
        <v/>
      </c>
      <c r="J1034" s="30" t="inlineStr">
        <is>
          <t>POISSIRENE</t>
        </is>
      </c>
    </row>
    <row r="1035">
      <c r="A1035" s="35" t="inlineStr">
        <is>
          <t>Mont Creuset</t>
        </is>
      </c>
      <c r="B1035" s="35" t="inlineStr">
        <is>
          <t>MtMortar_1F_North_hns</t>
        </is>
      </c>
      <c r="C1035" s="33" t="inlineStr">
        <is>
          <t>Matin, jour, soir</t>
        </is>
      </c>
      <c r="D1035" s="55" t="inlineStr">
        <is>
          <t>Bonne Canne</t>
        </is>
      </c>
      <c r="E1035" s="37" t="inlineStr">
        <is>
          <t>POISSIRENE</t>
        </is>
      </c>
      <c r="F1035" s="38" t="n">
        <v>0.8</v>
      </c>
      <c r="G1035" s="39" t="n">
        <v>20</v>
      </c>
      <c r="H1035" s="39" t="n">
        <v>40</v>
      </c>
      <c r="I1035" s="29">
        <f>IF(OR(COUNTIF('Suivi des rencontres'!$A:$A,$A1035)&gt;0,COUNTIF('Suivi des rencontres'!$C:$C,$J1035)&gt;0),"Non","Oui")</f>
        <v/>
      </c>
      <c r="J1035" s="30" t="inlineStr">
        <is>
          <t>POISSIRENE</t>
        </is>
      </c>
    </row>
    <row r="1036">
      <c r="A1036" s="35" t="inlineStr">
        <is>
          <t>Mont Creuset</t>
        </is>
      </c>
      <c r="B1036" s="35" t="inlineStr">
        <is>
          <t>MtMortar_1F_North_hns</t>
        </is>
      </c>
      <c r="C1036" s="33" t="inlineStr">
        <is>
          <t>Matin, jour, soir</t>
        </is>
      </c>
      <c r="D1036" s="55" t="inlineStr">
        <is>
          <t>Bonne Canne</t>
        </is>
      </c>
      <c r="E1036" s="37" t="inlineStr">
        <is>
          <t>MAGICARPE</t>
        </is>
      </c>
      <c r="F1036" s="38" t="n">
        <v>0.2</v>
      </c>
      <c r="G1036" s="39" t="n">
        <v>20</v>
      </c>
      <c r="H1036" s="39" t="n">
        <v>20</v>
      </c>
      <c r="I1036" s="29">
        <f>IF(OR(COUNTIF('Suivi des rencontres'!$A:$A,$A1036)&gt;0,COUNTIF('Suivi des rencontres'!$C:$C,$J1036)&gt;0),"Non","Oui")</f>
        <v/>
      </c>
      <c r="J1036" s="30" t="inlineStr">
        <is>
          <t>MAGICARPE</t>
        </is>
      </c>
    </row>
    <row r="1037">
      <c r="A1037" s="35" t="inlineStr">
        <is>
          <t>Mont Creuset</t>
        </is>
      </c>
      <c r="B1037" s="35" t="inlineStr">
        <is>
          <t>MtMortar_1F_North_hns</t>
        </is>
      </c>
      <c r="C1037" s="62" t="inlineStr">
        <is>
          <t>Nuit</t>
        </is>
      </c>
      <c r="D1037" s="55" t="inlineStr">
        <is>
          <t>Bonne Canne</t>
        </is>
      </c>
      <c r="E1037" s="37" t="inlineStr">
        <is>
          <t>POISSIRENE</t>
        </is>
      </c>
      <c r="F1037" s="38" t="n">
        <v>0.8</v>
      </c>
      <c r="G1037" s="39" t="n">
        <v>20</v>
      </c>
      <c r="H1037" s="39" t="n">
        <v>40</v>
      </c>
      <c r="I1037" s="29">
        <f>IF(OR(COUNTIF('Suivi des rencontres'!$A:$A,$A1037)&gt;0,COUNTIF('Suivi des rencontres'!$C:$C,$J1037)&gt;0),"Non","Oui")</f>
        <v/>
      </c>
      <c r="J1037" s="30" t="inlineStr">
        <is>
          <t>POISSIRENE</t>
        </is>
      </c>
    </row>
    <row r="1038">
      <c r="A1038" s="35" t="inlineStr">
        <is>
          <t>Mont Creuset</t>
        </is>
      </c>
      <c r="B1038" s="35" t="inlineStr">
        <is>
          <t>MtMortar_1F_North_hns</t>
        </is>
      </c>
      <c r="C1038" s="62" t="inlineStr">
        <is>
          <t>Nuit</t>
        </is>
      </c>
      <c r="D1038" s="55" t="inlineStr">
        <is>
          <t>Bonne Canne</t>
        </is>
      </c>
      <c r="E1038" s="37" t="inlineStr">
        <is>
          <t>MAGICARPE</t>
        </is>
      </c>
      <c r="F1038" s="38" t="n">
        <v>0.2</v>
      </c>
      <c r="G1038" s="39" t="n">
        <v>20</v>
      </c>
      <c r="H1038" s="39" t="n">
        <v>20</v>
      </c>
      <c r="I1038" s="29">
        <f>IF(OR(COUNTIF('Suivi des rencontres'!$A:$A,$A1038)&gt;0,COUNTIF('Suivi des rencontres'!$C:$C,$J1038)&gt;0),"Non","Oui")</f>
        <v/>
      </c>
      <c r="J1038" s="30" t="inlineStr">
        <is>
          <t>MAGICARPE</t>
        </is>
      </c>
    </row>
    <row r="1039">
      <c r="A1039" s="35" t="inlineStr">
        <is>
          <t>Mont Creuset</t>
        </is>
      </c>
      <c r="B1039" s="35" t="inlineStr">
        <is>
          <t>MtMortar_1F_North_hns</t>
        </is>
      </c>
      <c r="C1039" s="33" t="inlineStr">
        <is>
          <t>Matin, jour, soir</t>
        </is>
      </c>
      <c r="D1039" s="56" t="inlineStr">
        <is>
          <t>Super Canne</t>
        </is>
      </c>
      <c r="E1039" s="37" t="inlineStr">
        <is>
          <t>POISSOROY</t>
        </is>
      </c>
      <c r="F1039" s="38" t="n">
        <v>0.55</v>
      </c>
      <c r="G1039" s="39" t="n">
        <v>40</v>
      </c>
      <c r="H1039" s="39" t="n">
        <v>40</v>
      </c>
      <c r="I1039" s="29">
        <f>IF(OR(COUNTIF('Suivi des rencontres'!$A:$A,$A1039)&gt;0,COUNTIF('Suivi des rencontres'!$C:$C,$J1039)&gt;0),"Non","Oui")</f>
        <v/>
      </c>
      <c r="J1039" s="30" t="inlineStr">
        <is>
          <t>POISSIRENE</t>
        </is>
      </c>
    </row>
    <row r="1040">
      <c r="A1040" s="35" t="inlineStr">
        <is>
          <t>Mont Creuset</t>
        </is>
      </c>
      <c r="B1040" s="35" t="inlineStr">
        <is>
          <t>MtMortar_1F_North_hns</t>
        </is>
      </c>
      <c r="C1040" s="33" t="inlineStr">
        <is>
          <t>Matin, jour, soir</t>
        </is>
      </c>
      <c r="D1040" s="56" t="inlineStr">
        <is>
          <t>Super Canne</t>
        </is>
      </c>
      <c r="E1040" s="37" t="inlineStr">
        <is>
          <t>MAGICARPE</t>
        </is>
      </c>
      <c r="F1040" s="38" t="n">
        <v>0.41</v>
      </c>
      <c r="G1040" s="39" t="n">
        <v>20</v>
      </c>
      <c r="H1040" s="39" t="n">
        <v>40</v>
      </c>
      <c r="I1040" s="29">
        <f>IF(OR(COUNTIF('Suivi des rencontres'!$A:$A,$A1040)&gt;0,COUNTIF('Suivi des rencontres'!$C:$C,$J1040)&gt;0),"Non","Oui")</f>
        <v/>
      </c>
      <c r="J1040" s="30" t="inlineStr">
        <is>
          <t>MAGICARPE</t>
        </is>
      </c>
    </row>
    <row r="1041">
      <c r="A1041" s="35" t="inlineStr">
        <is>
          <t>Mont Creuset</t>
        </is>
      </c>
      <c r="B1041" s="35" t="inlineStr">
        <is>
          <t>MtMortar_1F_North_hns</t>
        </is>
      </c>
      <c r="C1041" s="33" t="inlineStr">
        <is>
          <t>Matin, jour, soir</t>
        </is>
      </c>
      <c r="D1041" s="56" t="inlineStr">
        <is>
          <t>Super Canne</t>
        </is>
      </c>
      <c r="E1041" s="37" t="inlineStr">
        <is>
          <t>POISSIRENE</t>
        </is>
      </c>
      <c r="F1041" s="38" t="n">
        <v>0.04</v>
      </c>
      <c r="G1041" s="39" t="n">
        <v>20</v>
      </c>
      <c r="H1041" s="39" t="n">
        <v>20</v>
      </c>
      <c r="I1041" s="29">
        <f>IF(OR(COUNTIF('Suivi des rencontres'!$A:$A,$A1041)&gt;0,COUNTIF('Suivi des rencontres'!$C:$C,$J1041)&gt;0),"Non","Oui")</f>
        <v/>
      </c>
      <c r="J1041" s="30" t="inlineStr">
        <is>
          <t>POISSIRENE</t>
        </is>
      </c>
    </row>
    <row r="1042">
      <c r="A1042" s="35" t="inlineStr">
        <is>
          <t>Mont Creuset</t>
        </is>
      </c>
      <c r="B1042" s="35" t="inlineStr">
        <is>
          <t>MtMortar_1F_North_hns</t>
        </is>
      </c>
      <c r="C1042" s="62" t="inlineStr">
        <is>
          <t>Nuit</t>
        </is>
      </c>
      <c r="D1042" s="56" t="inlineStr">
        <is>
          <t>Super Canne</t>
        </is>
      </c>
      <c r="E1042" s="37" t="inlineStr">
        <is>
          <t>POISSOROY</t>
        </is>
      </c>
      <c r="F1042" s="38" t="n">
        <v>0.55</v>
      </c>
      <c r="G1042" s="39" t="n">
        <v>40</v>
      </c>
      <c r="H1042" s="39" t="n">
        <v>40</v>
      </c>
      <c r="I1042" s="29">
        <f>IF(OR(COUNTIF('Suivi des rencontres'!$A:$A,$A1042)&gt;0,COUNTIF('Suivi des rencontres'!$C:$C,$J1042)&gt;0),"Non","Oui")</f>
        <v/>
      </c>
      <c r="J1042" s="30" t="inlineStr">
        <is>
          <t>POISSIRENE</t>
        </is>
      </c>
    </row>
    <row r="1043">
      <c r="A1043" s="35" t="inlineStr">
        <is>
          <t>Mont Creuset</t>
        </is>
      </c>
      <c r="B1043" s="35" t="inlineStr">
        <is>
          <t>MtMortar_1F_North_hns</t>
        </is>
      </c>
      <c r="C1043" s="62" t="inlineStr">
        <is>
          <t>Nuit</t>
        </is>
      </c>
      <c r="D1043" s="56" t="inlineStr">
        <is>
          <t>Super Canne</t>
        </is>
      </c>
      <c r="E1043" s="37" t="inlineStr">
        <is>
          <t>MAGICARPE</t>
        </is>
      </c>
      <c r="F1043" s="38" t="n">
        <v>0.41</v>
      </c>
      <c r="G1043" s="39" t="n">
        <v>20</v>
      </c>
      <c r="H1043" s="39" t="n">
        <v>40</v>
      </c>
      <c r="I1043" s="29">
        <f>IF(OR(COUNTIF('Suivi des rencontres'!$A:$A,$A1043)&gt;0,COUNTIF('Suivi des rencontres'!$C:$C,$J1043)&gt;0),"Non","Oui")</f>
        <v/>
      </c>
      <c r="J1043" s="30" t="inlineStr">
        <is>
          <t>MAGICARPE</t>
        </is>
      </c>
    </row>
    <row r="1044">
      <c r="A1044" s="35" t="inlineStr">
        <is>
          <t>Mont Creuset</t>
        </is>
      </c>
      <c r="B1044" s="35" t="inlineStr">
        <is>
          <t>MtMortar_1F_North_hns</t>
        </is>
      </c>
      <c r="C1044" s="62" t="inlineStr">
        <is>
          <t>Nuit</t>
        </is>
      </c>
      <c r="D1044" s="56" t="inlineStr">
        <is>
          <t>Super Canne</t>
        </is>
      </c>
      <c r="E1044" s="37" t="inlineStr">
        <is>
          <t>POISSIRENE</t>
        </is>
      </c>
      <c r="F1044" s="38" t="n">
        <v>0.04</v>
      </c>
      <c r="G1044" s="39" t="n">
        <v>20</v>
      </c>
      <c r="H1044" s="39" t="n">
        <v>20</v>
      </c>
      <c r="I1044" s="29">
        <f>IF(OR(COUNTIF('Suivi des rencontres'!$A:$A,$A1044)&gt;0,COUNTIF('Suivi des rencontres'!$C:$C,$J1044)&gt;0),"Non","Oui")</f>
        <v/>
      </c>
      <c r="J1044" s="30" t="inlineStr">
        <is>
          <t>POISSIRENE</t>
        </is>
      </c>
    </row>
    <row r="1045">
      <c r="A1045" s="35" t="inlineStr">
        <is>
          <t>Mont Creuset</t>
        </is>
      </c>
      <c r="B1045" s="35" t="inlineStr">
        <is>
          <t>MtMortar_1F_South_hns</t>
        </is>
      </c>
      <c r="C1045" s="33" t="inlineStr">
        <is>
          <t>Matin, jour, soir</t>
        </is>
      </c>
      <c r="D1045" s="49" t="inlineStr">
        <is>
          <t>Herbe</t>
        </is>
      </c>
      <c r="E1045" s="37" t="inlineStr">
        <is>
          <t>NOSFERAPTI</t>
        </is>
      </c>
      <c r="F1045" s="38" t="n">
        <v>0.3</v>
      </c>
      <c r="G1045" s="39" t="n">
        <v>20</v>
      </c>
      <c r="H1045" s="39" t="n">
        <v>20</v>
      </c>
      <c r="I1045" s="29">
        <f>IF(OR(COUNTIF('Suivi des rencontres'!$A:$A,$A1045)&gt;0,COUNTIF('Suivi des rencontres'!$C:$C,$J1045)&gt;0),"Non","Oui")</f>
        <v/>
      </c>
      <c r="J1045" s="30" t="inlineStr">
        <is>
          <t>NOSFERAPTI</t>
        </is>
      </c>
    </row>
    <row r="1046">
      <c r="A1046" s="35" t="inlineStr">
        <is>
          <t>Mont Creuset</t>
        </is>
      </c>
      <c r="B1046" s="35" t="inlineStr">
        <is>
          <t>MtMortar_1F_South_hns</t>
        </is>
      </c>
      <c r="C1046" s="33" t="inlineStr">
        <is>
          <t>Matin, jour, soir</t>
        </is>
      </c>
      <c r="D1046" s="49" t="inlineStr">
        <is>
          <t>Herbe</t>
        </is>
      </c>
      <c r="E1046" s="37" t="inlineStr">
        <is>
          <t>RACAILLOU</t>
        </is>
      </c>
      <c r="F1046" s="38" t="n">
        <v>0.3</v>
      </c>
      <c r="G1046" s="39" t="n">
        <v>20</v>
      </c>
      <c r="H1046" s="39" t="n">
        <v>20</v>
      </c>
      <c r="I1046" s="29">
        <f>IF(OR(COUNTIF('Suivi des rencontres'!$A:$A,$A1046)&gt;0,COUNTIF('Suivi des rencontres'!$C:$C,$J1046)&gt;0),"Non","Oui")</f>
        <v/>
      </c>
      <c r="J1046" s="30" t="inlineStr">
        <is>
          <t>RACAILLOU</t>
        </is>
      </c>
    </row>
    <row r="1047">
      <c r="A1047" s="35" t="inlineStr">
        <is>
          <t>Mont Creuset</t>
        </is>
      </c>
      <c r="B1047" s="35" t="inlineStr">
        <is>
          <t>MtMortar_1F_South_hns</t>
        </is>
      </c>
      <c r="C1047" s="33" t="inlineStr">
        <is>
          <t>Matin, jour, soir</t>
        </is>
      </c>
      <c r="D1047" s="49" t="inlineStr">
        <is>
          <t>Herbe</t>
        </is>
      </c>
      <c r="E1047" s="37" t="inlineStr">
        <is>
          <t>MACHOC</t>
        </is>
      </c>
      <c r="F1047" s="38" t="n">
        <v>0.15</v>
      </c>
      <c r="G1047" s="39" t="n">
        <v>21</v>
      </c>
      <c r="H1047" s="39" t="n">
        <v>21</v>
      </c>
      <c r="I1047" s="29">
        <f>IF(OR(COUNTIF('Suivi des rencontres'!$A:$A,$A1047)&gt;0,COUNTIF('Suivi des rencontres'!$C:$C,$J1047)&gt;0),"Non","Oui")</f>
        <v/>
      </c>
      <c r="J1047" s="30" t="inlineStr">
        <is>
          <t>MACHOC</t>
        </is>
      </c>
    </row>
    <row r="1048">
      <c r="A1048" s="35" t="inlineStr">
        <is>
          <t>Mont Creuset</t>
        </is>
      </c>
      <c r="B1048" s="35" t="inlineStr">
        <is>
          <t>MtMortar_1F_South_hns</t>
        </is>
      </c>
      <c r="C1048" s="33" t="inlineStr">
        <is>
          <t>Matin, jour, soir</t>
        </is>
      </c>
      <c r="D1048" s="49" t="inlineStr">
        <is>
          <t>Herbe</t>
        </is>
      </c>
      <c r="E1048" s="37" t="inlineStr">
        <is>
          <t>NOSFERALTO</t>
        </is>
      </c>
      <c r="F1048" s="38" t="n">
        <v>0.15</v>
      </c>
      <c r="G1048" s="39" t="n">
        <v>22</v>
      </c>
      <c r="H1048" s="39" t="n">
        <v>22</v>
      </c>
      <c r="I1048" s="29">
        <f>IF(OR(COUNTIF('Suivi des rencontres'!$A:$A,$A1048)&gt;0,COUNTIF('Suivi des rencontres'!$C:$C,$J1048)&gt;0),"Non","Oui")</f>
        <v/>
      </c>
      <c r="J1048" s="30" t="inlineStr">
        <is>
          <t>NOSFERAPTI</t>
        </is>
      </c>
    </row>
    <row r="1049">
      <c r="A1049" s="35" t="inlineStr">
        <is>
          <t>Mont Creuset</t>
        </is>
      </c>
      <c r="B1049" s="35" t="inlineStr">
        <is>
          <t>MtMortar_1F_South_hns</t>
        </is>
      </c>
      <c r="C1049" s="33" t="inlineStr">
        <is>
          <t>Matin, jour, soir</t>
        </is>
      </c>
      <c r="D1049" s="49" t="inlineStr">
        <is>
          <t>Herbe</t>
        </is>
      </c>
      <c r="E1049" s="37" t="inlineStr">
        <is>
          <t>OSSELAIT</t>
        </is>
      </c>
      <c r="F1049" s="38" t="n">
        <v>0.05</v>
      </c>
      <c r="G1049" s="39" t="n">
        <v>22</v>
      </c>
      <c r="H1049" s="39" t="n">
        <v>22</v>
      </c>
      <c r="I1049" s="29">
        <f>IF(OR(COUNTIF('Suivi des rencontres'!$A:$A,$A1049)&gt;0,COUNTIF('Suivi des rencontres'!$C:$C,$J1049)&gt;0),"Non","Oui")</f>
        <v/>
      </c>
      <c r="J1049" s="30" t="inlineStr">
        <is>
          <t>OSSELAIT</t>
        </is>
      </c>
    </row>
    <row r="1050">
      <c r="A1050" s="35" t="inlineStr">
        <is>
          <t>Mont Creuset</t>
        </is>
      </c>
      <c r="B1050" s="35" t="inlineStr">
        <is>
          <t>MtMortar_1F_South_hns</t>
        </is>
      </c>
      <c r="C1050" s="33" t="inlineStr">
        <is>
          <t>Matin, jour, soir</t>
        </is>
      </c>
      <c r="D1050" s="49" t="inlineStr">
        <is>
          <t>Herbe</t>
        </is>
      </c>
      <c r="E1050" s="37" t="inlineStr">
        <is>
          <t>RHINOCORNE</t>
        </is>
      </c>
      <c r="F1050" s="38" t="n">
        <v>0.05</v>
      </c>
      <c r="G1050" s="39" t="n">
        <v>21</v>
      </c>
      <c r="H1050" s="39" t="n">
        <v>21</v>
      </c>
      <c r="I1050" s="29">
        <f>IF(OR(COUNTIF('Suivi des rencontres'!$A:$A,$A1050)&gt;0,COUNTIF('Suivi des rencontres'!$C:$C,$J1050)&gt;0),"Non","Oui")</f>
        <v/>
      </c>
      <c r="J1050" s="30" t="inlineStr">
        <is>
          <t>RHINOCORNE</t>
        </is>
      </c>
    </row>
    <row r="1051">
      <c r="A1051" s="35" t="inlineStr">
        <is>
          <t>Mont Creuset</t>
        </is>
      </c>
      <c r="B1051" s="35" t="inlineStr">
        <is>
          <t>MtMortar_1F_South_hns</t>
        </is>
      </c>
      <c r="C1051" s="62" t="inlineStr">
        <is>
          <t>Nuit</t>
        </is>
      </c>
      <c r="D1051" s="49" t="inlineStr">
        <is>
          <t>Herbe</t>
        </is>
      </c>
      <c r="E1051" s="37" t="inlineStr">
        <is>
          <t>NOSFERAPTI</t>
        </is>
      </c>
      <c r="F1051" s="38" t="n">
        <v>0.3</v>
      </c>
      <c r="G1051" s="39" t="n">
        <v>20</v>
      </c>
      <c r="H1051" s="39" t="n">
        <v>20</v>
      </c>
      <c r="I1051" s="29">
        <f>IF(OR(COUNTIF('Suivi des rencontres'!$A:$A,$A1051)&gt;0,COUNTIF('Suivi des rencontres'!$C:$C,$J1051)&gt;0),"Non","Oui")</f>
        <v/>
      </c>
      <c r="J1051" s="30" t="inlineStr">
        <is>
          <t>NOSFERAPTI</t>
        </is>
      </c>
    </row>
    <row r="1052">
      <c r="A1052" s="35" t="inlineStr">
        <is>
          <t>Mont Creuset</t>
        </is>
      </c>
      <c r="B1052" s="35" t="inlineStr">
        <is>
          <t>MtMortar_1F_South_hns</t>
        </is>
      </c>
      <c r="C1052" s="62" t="inlineStr">
        <is>
          <t>Nuit</t>
        </is>
      </c>
      <c r="D1052" s="49" t="inlineStr">
        <is>
          <t>Herbe</t>
        </is>
      </c>
      <c r="E1052" s="37" t="inlineStr">
        <is>
          <t>RACAILLOU</t>
        </is>
      </c>
      <c r="F1052" s="38" t="n">
        <v>0.3</v>
      </c>
      <c r="G1052" s="39" t="n">
        <v>20</v>
      </c>
      <c r="H1052" s="39" t="n">
        <v>20</v>
      </c>
      <c r="I1052" s="29">
        <f>IF(OR(COUNTIF('Suivi des rencontres'!$A:$A,$A1052)&gt;0,COUNTIF('Suivi des rencontres'!$C:$C,$J1052)&gt;0),"Non","Oui")</f>
        <v/>
      </c>
      <c r="J1052" s="30" t="inlineStr">
        <is>
          <t>RACAILLOU</t>
        </is>
      </c>
    </row>
    <row r="1053">
      <c r="A1053" s="35" t="inlineStr">
        <is>
          <t>Mont Creuset</t>
        </is>
      </c>
      <c r="B1053" s="35" t="inlineStr">
        <is>
          <t>MtMortar_1F_South_hns</t>
        </is>
      </c>
      <c r="C1053" s="62" t="inlineStr">
        <is>
          <t>Nuit</t>
        </is>
      </c>
      <c r="D1053" s="49" t="inlineStr">
        <is>
          <t>Herbe</t>
        </is>
      </c>
      <c r="E1053" s="37" t="inlineStr">
        <is>
          <t>MARILL</t>
        </is>
      </c>
      <c r="F1053" s="38" t="n">
        <v>0.15</v>
      </c>
      <c r="G1053" s="39" t="n">
        <v>21</v>
      </c>
      <c r="H1053" s="39" t="n">
        <v>21</v>
      </c>
      <c r="I1053" s="29">
        <f>IF(OR(COUNTIF('Suivi des rencontres'!$A:$A,$A1053)&gt;0,COUNTIF('Suivi des rencontres'!$C:$C,$J1053)&gt;0),"Non","Oui")</f>
        <v/>
      </c>
      <c r="J1053" s="30" t="inlineStr">
        <is>
          <t>AZURILL</t>
        </is>
      </c>
    </row>
    <row r="1054">
      <c r="A1054" s="35" t="inlineStr">
        <is>
          <t>Mont Creuset</t>
        </is>
      </c>
      <c r="B1054" s="35" t="inlineStr">
        <is>
          <t>MtMortar_1F_South_hns</t>
        </is>
      </c>
      <c r="C1054" s="62" t="inlineStr">
        <is>
          <t>Nuit</t>
        </is>
      </c>
      <c r="D1054" s="49" t="inlineStr">
        <is>
          <t>Herbe</t>
        </is>
      </c>
      <c r="E1054" s="37" t="inlineStr">
        <is>
          <t>NOSFERALTO</t>
        </is>
      </c>
      <c r="F1054" s="38" t="n">
        <v>0.15</v>
      </c>
      <c r="G1054" s="39" t="n">
        <v>22</v>
      </c>
      <c r="H1054" s="39" t="n">
        <v>22</v>
      </c>
      <c r="I1054" s="29">
        <f>IF(OR(COUNTIF('Suivi des rencontres'!$A:$A,$A1054)&gt;0,COUNTIF('Suivi des rencontres'!$C:$C,$J1054)&gt;0),"Non","Oui")</f>
        <v/>
      </c>
      <c r="J1054" s="30" t="inlineStr">
        <is>
          <t>NOSFERAPTI</t>
        </is>
      </c>
    </row>
    <row r="1055">
      <c r="A1055" s="35" t="inlineStr">
        <is>
          <t>Mont Creuset</t>
        </is>
      </c>
      <c r="B1055" s="35" t="inlineStr">
        <is>
          <t>MtMortar_1F_South_hns</t>
        </is>
      </c>
      <c r="C1055" s="62" t="inlineStr">
        <is>
          <t>Nuit</t>
        </is>
      </c>
      <c r="D1055" s="49" t="inlineStr">
        <is>
          <t>Herbe</t>
        </is>
      </c>
      <c r="E1055" s="37" t="inlineStr">
        <is>
          <t>OSSELAIT</t>
        </is>
      </c>
      <c r="F1055" s="38" t="n">
        <v>0.05</v>
      </c>
      <c r="G1055" s="39" t="n">
        <v>22</v>
      </c>
      <c r="H1055" s="39" t="n">
        <v>22</v>
      </c>
      <c r="I1055" s="29">
        <f>IF(OR(COUNTIF('Suivi des rencontres'!$A:$A,$A1055)&gt;0,COUNTIF('Suivi des rencontres'!$C:$C,$J1055)&gt;0),"Non","Oui")</f>
        <v/>
      </c>
      <c r="J1055" s="30" t="inlineStr">
        <is>
          <t>OSSELAIT</t>
        </is>
      </c>
    </row>
    <row r="1056">
      <c r="A1056" s="35" t="inlineStr">
        <is>
          <t>Mont Creuset</t>
        </is>
      </c>
      <c r="B1056" s="35" t="inlineStr">
        <is>
          <t>MtMortar_1F_South_hns</t>
        </is>
      </c>
      <c r="C1056" s="62" t="inlineStr">
        <is>
          <t>Nuit</t>
        </is>
      </c>
      <c r="D1056" s="49" t="inlineStr">
        <is>
          <t>Herbe</t>
        </is>
      </c>
      <c r="E1056" s="37" t="inlineStr">
        <is>
          <t>RHINOCORNE</t>
        </is>
      </c>
      <c r="F1056" s="38" t="n">
        <v>0.05</v>
      </c>
      <c r="G1056" s="39" t="n">
        <v>21</v>
      </c>
      <c r="H1056" s="39" t="n">
        <v>21</v>
      </c>
      <c r="I1056" s="29">
        <f>IF(OR(COUNTIF('Suivi des rencontres'!$A:$A,$A1056)&gt;0,COUNTIF('Suivi des rencontres'!$C:$C,$J1056)&gt;0),"Non","Oui")</f>
        <v/>
      </c>
      <c r="J1056" s="30" t="inlineStr">
        <is>
          <t>RHINOCORNE</t>
        </is>
      </c>
    </row>
    <row r="1057">
      <c r="A1057" s="35" t="inlineStr">
        <is>
          <t>Mont Creuset</t>
        </is>
      </c>
      <c r="B1057" s="35" t="inlineStr">
        <is>
          <t>MtMortar_1F_South_hns</t>
        </is>
      </c>
      <c r="C1057" s="33" t="inlineStr">
        <is>
          <t>Matin, jour, soir</t>
        </is>
      </c>
      <c r="D1057" s="53" t="inlineStr">
        <is>
          <t>Surf</t>
        </is>
      </c>
      <c r="E1057" s="37" t="inlineStr">
        <is>
          <t>POISSIRENE</t>
        </is>
      </c>
      <c r="F1057" s="38" t="n">
        <v>0.64</v>
      </c>
      <c r="G1057" s="39" t="n">
        <v>15</v>
      </c>
      <c r="H1057" s="39" t="n">
        <v>19</v>
      </c>
      <c r="I1057" s="29">
        <f>IF(OR(COUNTIF('Suivi des rencontres'!$A:$A,$A1057)&gt;0,COUNTIF('Suivi des rencontres'!$C:$C,$J1057)&gt;0),"Non","Oui")</f>
        <v/>
      </c>
      <c r="J1057" s="30" t="inlineStr">
        <is>
          <t>POISSIRENE</t>
        </is>
      </c>
    </row>
    <row r="1058">
      <c r="A1058" s="35" t="inlineStr">
        <is>
          <t>Mont Creuset</t>
        </is>
      </c>
      <c r="B1058" s="35" t="inlineStr">
        <is>
          <t>MtMortar_1F_South_hns</t>
        </is>
      </c>
      <c r="C1058" s="33" t="inlineStr">
        <is>
          <t>Matin, jour, soir</t>
        </is>
      </c>
      <c r="D1058" s="53" t="inlineStr">
        <is>
          <t>Surf</t>
        </is>
      </c>
      <c r="E1058" s="37" t="inlineStr">
        <is>
          <t>MARILL</t>
        </is>
      </c>
      <c r="F1058" s="38" t="n">
        <v>0.31</v>
      </c>
      <c r="G1058" s="39" t="n">
        <v>20</v>
      </c>
      <c r="H1058" s="39" t="n">
        <v>24</v>
      </c>
      <c r="I1058" s="29">
        <f>IF(OR(COUNTIF('Suivi des rencontres'!$A:$A,$A1058)&gt;0,COUNTIF('Suivi des rencontres'!$C:$C,$J1058)&gt;0),"Non","Oui")</f>
        <v/>
      </c>
      <c r="J1058" s="30" t="inlineStr">
        <is>
          <t>AZURILL</t>
        </is>
      </c>
    </row>
    <row r="1059">
      <c r="A1059" s="35" t="inlineStr">
        <is>
          <t>Mont Creuset</t>
        </is>
      </c>
      <c r="B1059" s="35" t="inlineStr">
        <is>
          <t>MtMortar_1F_South_hns</t>
        </is>
      </c>
      <c r="C1059" s="33" t="inlineStr">
        <is>
          <t>Matin, jour, soir</t>
        </is>
      </c>
      <c r="D1059" s="53" t="inlineStr">
        <is>
          <t>Surf</t>
        </is>
      </c>
      <c r="E1059" s="37" t="inlineStr">
        <is>
          <t>POISSOROY</t>
        </is>
      </c>
      <c r="F1059" s="38" t="n">
        <v>0.05</v>
      </c>
      <c r="G1059" s="39" t="n">
        <v>20</v>
      </c>
      <c r="H1059" s="39" t="n">
        <v>24</v>
      </c>
      <c r="I1059" s="29">
        <f>IF(OR(COUNTIF('Suivi des rencontres'!$A:$A,$A1059)&gt;0,COUNTIF('Suivi des rencontres'!$C:$C,$J1059)&gt;0),"Non","Oui")</f>
        <v/>
      </c>
      <c r="J1059" s="30" t="inlineStr">
        <is>
          <t>POISSIRENE</t>
        </is>
      </c>
    </row>
    <row r="1060">
      <c r="A1060" s="35" t="inlineStr">
        <is>
          <t>Mont Creuset</t>
        </is>
      </c>
      <c r="B1060" s="35" t="inlineStr">
        <is>
          <t>MtMortar_1F_South_hns</t>
        </is>
      </c>
      <c r="C1060" s="62" t="inlineStr">
        <is>
          <t>Nuit</t>
        </is>
      </c>
      <c r="D1060" s="53" t="inlineStr">
        <is>
          <t>Surf</t>
        </is>
      </c>
      <c r="E1060" s="37" t="inlineStr">
        <is>
          <t>POISSIRENE</t>
        </is>
      </c>
      <c r="F1060" s="38" t="n">
        <v>0.64</v>
      </c>
      <c r="G1060" s="39" t="n">
        <v>15</v>
      </c>
      <c r="H1060" s="39" t="n">
        <v>19</v>
      </c>
      <c r="I1060" s="29">
        <f>IF(OR(COUNTIF('Suivi des rencontres'!$A:$A,$A1060)&gt;0,COUNTIF('Suivi des rencontres'!$C:$C,$J1060)&gt;0),"Non","Oui")</f>
        <v/>
      </c>
      <c r="J1060" s="30" t="inlineStr">
        <is>
          <t>POISSIRENE</t>
        </is>
      </c>
    </row>
    <row r="1061">
      <c r="A1061" s="35" t="inlineStr">
        <is>
          <t>Mont Creuset</t>
        </is>
      </c>
      <c r="B1061" s="35" t="inlineStr">
        <is>
          <t>MtMortar_1F_South_hns</t>
        </is>
      </c>
      <c r="C1061" s="62" t="inlineStr">
        <is>
          <t>Nuit</t>
        </is>
      </c>
      <c r="D1061" s="53" t="inlineStr">
        <is>
          <t>Surf</t>
        </is>
      </c>
      <c r="E1061" s="37" t="inlineStr">
        <is>
          <t>MARILL</t>
        </is>
      </c>
      <c r="F1061" s="38" t="n">
        <v>0.31</v>
      </c>
      <c r="G1061" s="39" t="n">
        <v>20</v>
      </c>
      <c r="H1061" s="39" t="n">
        <v>24</v>
      </c>
      <c r="I1061" s="29">
        <f>IF(OR(COUNTIF('Suivi des rencontres'!$A:$A,$A1061)&gt;0,COUNTIF('Suivi des rencontres'!$C:$C,$J1061)&gt;0),"Non","Oui")</f>
        <v/>
      </c>
      <c r="J1061" s="30" t="inlineStr">
        <is>
          <t>AZURILL</t>
        </is>
      </c>
    </row>
    <row r="1062">
      <c r="A1062" s="35" t="inlineStr">
        <is>
          <t>Mont Creuset</t>
        </is>
      </c>
      <c r="B1062" s="35" t="inlineStr">
        <is>
          <t>MtMortar_1F_South_hns</t>
        </is>
      </c>
      <c r="C1062" s="62" t="inlineStr">
        <is>
          <t>Nuit</t>
        </is>
      </c>
      <c r="D1062" s="53" t="inlineStr">
        <is>
          <t>Surf</t>
        </is>
      </c>
      <c r="E1062" s="37" t="inlineStr">
        <is>
          <t>POISSOROY</t>
        </is>
      </c>
      <c r="F1062" s="38" t="n">
        <v>0.05</v>
      </c>
      <c r="G1062" s="39" t="n">
        <v>20</v>
      </c>
      <c r="H1062" s="39" t="n">
        <v>24</v>
      </c>
      <c r="I1062" s="29">
        <f>IF(OR(COUNTIF('Suivi des rencontres'!$A:$A,$A1062)&gt;0,COUNTIF('Suivi des rencontres'!$C:$C,$J1062)&gt;0),"Non","Oui")</f>
        <v/>
      </c>
      <c r="J1062" s="30" t="inlineStr">
        <is>
          <t>POISSIRENE</t>
        </is>
      </c>
    </row>
    <row r="1063">
      <c r="A1063" s="35" t="inlineStr">
        <is>
          <t>Mont Creuset</t>
        </is>
      </c>
      <c r="B1063" s="35" t="inlineStr">
        <is>
          <t>MtMortar_1F_South_hns</t>
        </is>
      </c>
      <c r="C1063" s="33" t="inlineStr">
        <is>
          <t>Matin, jour, soir</t>
        </is>
      </c>
      <c r="D1063" s="54" t="inlineStr">
        <is>
          <t>Vieille Canne</t>
        </is>
      </c>
      <c r="E1063" s="37" t="inlineStr">
        <is>
          <t>MAGICARPE</t>
        </is>
      </c>
      <c r="F1063" s="38" t="n">
        <v>0.7</v>
      </c>
      <c r="G1063" s="39" t="n">
        <v>10</v>
      </c>
      <c r="H1063" s="39" t="n">
        <v>10</v>
      </c>
      <c r="I1063" s="29">
        <f>IF(OR(COUNTIF('Suivi des rencontres'!$A:$A,$A1063)&gt;0,COUNTIF('Suivi des rencontres'!$C:$C,$J1063)&gt;0),"Non","Oui")</f>
        <v/>
      </c>
      <c r="J1063" s="30" t="inlineStr">
        <is>
          <t>MAGICARPE</t>
        </is>
      </c>
    </row>
    <row r="1064">
      <c r="A1064" s="35" t="inlineStr">
        <is>
          <t>Mont Creuset</t>
        </is>
      </c>
      <c r="B1064" s="35" t="inlineStr">
        <is>
          <t>MtMortar_1F_South_hns</t>
        </is>
      </c>
      <c r="C1064" s="33" t="inlineStr">
        <is>
          <t>Matin, jour, soir</t>
        </is>
      </c>
      <c r="D1064" s="54" t="inlineStr">
        <is>
          <t>Vieille Canne</t>
        </is>
      </c>
      <c r="E1064" s="37" t="inlineStr">
        <is>
          <t>POISSIRENE</t>
        </is>
      </c>
      <c r="F1064" s="38" t="n">
        <v>0.3</v>
      </c>
      <c r="G1064" s="39" t="n">
        <v>10</v>
      </c>
      <c r="H1064" s="39" t="n">
        <v>10</v>
      </c>
      <c r="I1064" s="29">
        <f>IF(OR(COUNTIF('Suivi des rencontres'!$A:$A,$A1064)&gt;0,COUNTIF('Suivi des rencontres'!$C:$C,$J1064)&gt;0),"Non","Oui")</f>
        <v/>
      </c>
      <c r="J1064" s="30" t="inlineStr">
        <is>
          <t>POISSIRENE</t>
        </is>
      </c>
    </row>
    <row r="1065">
      <c r="A1065" s="35" t="inlineStr">
        <is>
          <t>Mont Creuset</t>
        </is>
      </c>
      <c r="B1065" s="35" t="inlineStr">
        <is>
          <t>MtMortar_1F_South_hns</t>
        </is>
      </c>
      <c r="C1065" s="62" t="inlineStr">
        <is>
          <t>Nuit</t>
        </is>
      </c>
      <c r="D1065" s="54" t="inlineStr">
        <is>
          <t>Vieille Canne</t>
        </is>
      </c>
      <c r="E1065" s="37" t="inlineStr">
        <is>
          <t>MAGICARPE</t>
        </is>
      </c>
      <c r="F1065" s="38" t="n">
        <v>0.7</v>
      </c>
      <c r="G1065" s="39" t="n">
        <v>10</v>
      </c>
      <c r="H1065" s="39" t="n">
        <v>10</v>
      </c>
      <c r="I1065" s="29">
        <f>IF(OR(COUNTIF('Suivi des rencontres'!$A:$A,$A1065)&gt;0,COUNTIF('Suivi des rencontres'!$C:$C,$J1065)&gt;0),"Non","Oui")</f>
        <v/>
      </c>
      <c r="J1065" s="30" t="inlineStr">
        <is>
          <t>MAGICARPE</t>
        </is>
      </c>
    </row>
    <row r="1066">
      <c r="A1066" s="35" t="inlineStr">
        <is>
          <t>Mont Creuset</t>
        </is>
      </c>
      <c r="B1066" s="35" t="inlineStr">
        <is>
          <t>MtMortar_1F_South_hns</t>
        </is>
      </c>
      <c r="C1066" s="62" t="inlineStr">
        <is>
          <t>Nuit</t>
        </is>
      </c>
      <c r="D1066" s="54" t="inlineStr">
        <is>
          <t>Vieille Canne</t>
        </is>
      </c>
      <c r="E1066" s="37" t="inlineStr">
        <is>
          <t>POISSIRENE</t>
        </is>
      </c>
      <c r="F1066" s="38" t="n">
        <v>0.3</v>
      </c>
      <c r="G1066" s="39" t="n">
        <v>10</v>
      </c>
      <c r="H1066" s="39" t="n">
        <v>10</v>
      </c>
      <c r="I1066" s="29">
        <f>IF(OR(COUNTIF('Suivi des rencontres'!$A:$A,$A1066)&gt;0,COUNTIF('Suivi des rencontres'!$C:$C,$J1066)&gt;0),"Non","Oui")</f>
        <v/>
      </c>
      <c r="J1066" s="30" t="inlineStr">
        <is>
          <t>POISSIRENE</t>
        </is>
      </c>
    </row>
    <row r="1067">
      <c r="A1067" s="35" t="inlineStr">
        <is>
          <t>Mont Creuset</t>
        </is>
      </c>
      <c r="B1067" s="35" t="inlineStr">
        <is>
          <t>MtMortar_1F_South_hns</t>
        </is>
      </c>
      <c r="C1067" s="33" t="inlineStr">
        <is>
          <t>Matin, jour, soir</t>
        </is>
      </c>
      <c r="D1067" s="55" t="inlineStr">
        <is>
          <t>Bonne Canne</t>
        </is>
      </c>
      <c r="E1067" s="37" t="inlineStr">
        <is>
          <t>POISSIRENE</t>
        </is>
      </c>
      <c r="F1067" s="38" t="n">
        <v>0.8</v>
      </c>
      <c r="G1067" s="39" t="n">
        <v>20</v>
      </c>
      <c r="H1067" s="39" t="n">
        <v>40</v>
      </c>
      <c r="I1067" s="29">
        <f>IF(OR(COUNTIF('Suivi des rencontres'!$A:$A,$A1067)&gt;0,COUNTIF('Suivi des rencontres'!$C:$C,$J1067)&gt;0),"Non","Oui")</f>
        <v/>
      </c>
      <c r="J1067" s="30" t="inlineStr">
        <is>
          <t>POISSIRENE</t>
        </is>
      </c>
    </row>
    <row r="1068">
      <c r="A1068" s="35" t="inlineStr">
        <is>
          <t>Mont Creuset</t>
        </is>
      </c>
      <c r="B1068" s="35" t="inlineStr">
        <is>
          <t>MtMortar_1F_South_hns</t>
        </is>
      </c>
      <c r="C1068" s="33" t="inlineStr">
        <is>
          <t>Matin, jour, soir</t>
        </is>
      </c>
      <c r="D1068" s="55" t="inlineStr">
        <is>
          <t>Bonne Canne</t>
        </is>
      </c>
      <c r="E1068" s="37" t="inlineStr">
        <is>
          <t>MAGICARPE</t>
        </is>
      </c>
      <c r="F1068" s="38" t="n">
        <v>0.2</v>
      </c>
      <c r="G1068" s="39" t="n">
        <v>20</v>
      </c>
      <c r="H1068" s="39" t="n">
        <v>20</v>
      </c>
      <c r="I1068" s="29">
        <f>IF(OR(COUNTIF('Suivi des rencontres'!$A:$A,$A1068)&gt;0,COUNTIF('Suivi des rencontres'!$C:$C,$J1068)&gt;0),"Non","Oui")</f>
        <v/>
      </c>
      <c r="J1068" s="30" t="inlineStr">
        <is>
          <t>MAGICARPE</t>
        </is>
      </c>
    </row>
    <row r="1069">
      <c r="A1069" s="35" t="inlineStr">
        <is>
          <t>Mont Creuset</t>
        </is>
      </c>
      <c r="B1069" s="35" t="inlineStr">
        <is>
          <t>MtMortar_1F_South_hns</t>
        </is>
      </c>
      <c r="C1069" s="62" t="inlineStr">
        <is>
          <t>Nuit</t>
        </is>
      </c>
      <c r="D1069" s="55" t="inlineStr">
        <is>
          <t>Bonne Canne</t>
        </is>
      </c>
      <c r="E1069" s="37" t="inlineStr">
        <is>
          <t>POISSIRENE</t>
        </is>
      </c>
      <c r="F1069" s="38" t="n">
        <v>0.8</v>
      </c>
      <c r="G1069" s="39" t="n">
        <v>20</v>
      </c>
      <c r="H1069" s="39" t="n">
        <v>40</v>
      </c>
      <c r="I1069" s="29">
        <f>IF(OR(COUNTIF('Suivi des rencontres'!$A:$A,$A1069)&gt;0,COUNTIF('Suivi des rencontres'!$C:$C,$J1069)&gt;0),"Non","Oui")</f>
        <v/>
      </c>
      <c r="J1069" s="30" t="inlineStr">
        <is>
          <t>POISSIRENE</t>
        </is>
      </c>
    </row>
    <row r="1070">
      <c r="A1070" s="35" t="inlineStr">
        <is>
          <t>Mont Creuset</t>
        </is>
      </c>
      <c r="B1070" s="35" t="inlineStr">
        <is>
          <t>MtMortar_1F_South_hns</t>
        </is>
      </c>
      <c r="C1070" s="62" t="inlineStr">
        <is>
          <t>Nuit</t>
        </is>
      </c>
      <c r="D1070" s="55" t="inlineStr">
        <is>
          <t>Bonne Canne</t>
        </is>
      </c>
      <c r="E1070" s="37" t="inlineStr">
        <is>
          <t>MAGICARPE</t>
        </is>
      </c>
      <c r="F1070" s="38" t="n">
        <v>0.2</v>
      </c>
      <c r="G1070" s="39" t="n">
        <v>20</v>
      </c>
      <c r="H1070" s="39" t="n">
        <v>20</v>
      </c>
      <c r="I1070" s="29">
        <f>IF(OR(COUNTIF('Suivi des rencontres'!$A:$A,$A1070)&gt;0,COUNTIF('Suivi des rencontres'!$C:$C,$J1070)&gt;0),"Non","Oui")</f>
        <v/>
      </c>
      <c r="J1070" s="30" t="inlineStr">
        <is>
          <t>MAGICARPE</t>
        </is>
      </c>
    </row>
    <row r="1071">
      <c r="A1071" s="35" t="inlineStr">
        <is>
          <t>Mont Creuset</t>
        </is>
      </c>
      <c r="B1071" s="35" t="inlineStr">
        <is>
          <t>MtMortar_1F_South_hns</t>
        </is>
      </c>
      <c r="C1071" s="33" t="inlineStr">
        <is>
          <t>Matin, jour, soir</t>
        </is>
      </c>
      <c r="D1071" s="56" t="inlineStr">
        <is>
          <t>Super Canne</t>
        </is>
      </c>
      <c r="E1071" s="37" t="inlineStr">
        <is>
          <t>POISSOROY</t>
        </is>
      </c>
      <c r="F1071" s="38" t="n">
        <v>0.55</v>
      </c>
      <c r="G1071" s="39" t="n">
        <v>40</v>
      </c>
      <c r="H1071" s="39" t="n">
        <v>40</v>
      </c>
      <c r="I1071" s="29">
        <f>IF(OR(COUNTIF('Suivi des rencontres'!$A:$A,$A1071)&gt;0,COUNTIF('Suivi des rencontres'!$C:$C,$J1071)&gt;0),"Non","Oui")</f>
        <v/>
      </c>
      <c r="J1071" s="30" t="inlineStr">
        <is>
          <t>POISSIRENE</t>
        </is>
      </c>
    </row>
    <row r="1072">
      <c r="A1072" s="35" t="inlineStr">
        <is>
          <t>Mont Creuset</t>
        </is>
      </c>
      <c r="B1072" s="35" t="inlineStr">
        <is>
          <t>MtMortar_1F_South_hns</t>
        </is>
      </c>
      <c r="C1072" s="33" t="inlineStr">
        <is>
          <t>Matin, jour, soir</t>
        </is>
      </c>
      <c r="D1072" s="56" t="inlineStr">
        <is>
          <t>Super Canne</t>
        </is>
      </c>
      <c r="E1072" s="37" t="inlineStr">
        <is>
          <t>MAGICARPE</t>
        </is>
      </c>
      <c r="F1072" s="38" t="n">
        <v>0.41</v>
      </c>
      <c r="G1072" s="39" t="n">
        <v>20</v>
      </c>
      <c r="H1072" s="39" t="n">
        <v>40</v>
      </c>
      <c r="I1072" s="29">
        <f>IF(OR(COUNTIF('Suivi des rencontres'!$A:$A,$A1072)&gt;0,COUNTIF('Suivi des rencontres'!$C:$C,$J1072)&gt;0),"Non","Oui")</f>
        <v/>
      </c>
      <c r="J1072" s="30" t="inlineStr">
        <is>
          <t>MAGICARPE</t>
        </is>
      </c>
    </row>
    <row r="1073">
      <c r="A1073" s="35" t="inlineStr">
        <is>
          <t>Mont Creuset</t>
        </is>
      </c>
      <c r="B1073" s="35" t="inlineStr">
        <is>
          <t>MtMortar_1F_South_hns</t>
        </is>
      </c>
      <c r="C1073" s="33" t="inlineStr">
        <is>
          <t>Matin, jour, soir</t>
        </is>
      </c>
      <c r="D1073" s="56" t="inlineStr">
        <is>
          <t>Super Canne</t>
        </is>
      </c>
      <c r="E1073" s="37" t="inlineStr">
        <is>
          <t>POISSIRENE</t>
        </is>
      </c>
      <c r="F1073" s="38" t="n">
        <v>0.04</v>
      </c>
      <c r="G1073" s="39" t="n">
        <v>20</v>
      </c>
      <c r="H1073" s="39" t="n">
        <v>20</v>
      </c>
      <c r="I1073" s="29">
        <f>IF(OR(COUNTIF('Suivi des rencontres'!$A:$A,$A1073)&gt;0,COUNTIF('Suivi des rencontres'!$C:$C,$J1073)&gt;0),"Non","Oui")</f>
        <v/>
      </c>
      <c r="J1073" s="30" t="inlineStr">
        <is>
          <t>POISSIRENE</t>
        </is>
      </c>
    </row>
    <row r="1074">
      <c r="A1074" s="35" t="inlineStr">
        <is>
          <t>Mont Creuset</t>
        </is>
      </c>
      <c r="B1074" s="35" t="inlineStr">
        <is>
          <t>MtMortar_1F_South_hns</t>
        </is>
      </c>
      <c r="C1074" s="62" t="inlineStr">
        <is>
          <t>Nuit</t>
        </is>
      </c>
      <c r="D1074" s="56" t="inlineStr">
        <is>
          <t>Super Canne</t>
        </is>
      </c>
      <c r="E1074" s="37" t="inlineStr">
        <is>
          <t>POISSOROY</t>
        </is>
      </c>
      <c r="F1074" s="38" t="n">
        <v>0.55</v>
      </c>
      <c r="G1074" s="39" t="n">
        <v>40</v>
      </c>
      <c r="H1074" s="39" t="n">
        <v>40</v>
      </c>
      <c r="I1074" s="29">
        <f>IF(OR(COUNTIF('Suivi des rencontres'!$A:$A,$A1074)&gt;0,COUNTIF('Suivi des rencontres'!$C:$C,$J1074)&gt;0),"Non","Oui")</f>
        <v/>
      </c>
      <c r="J1074" s="30" t="inlineStr">
        <is>
          <t>POISSIRENE</t>
        </is>
      </c>
    </row>
    <row r="1075">
      <c r="A1075" s="35" t="inlineStr">
        <is>
          <t>Mont Creuset</t>
        </is>
      </c>
      <c r="B1075" s="35" t="inlineStr">
        <is>
          <t>MtMortar_1F_South_hns</t>
        </is>
      </c>
      <c r="C1075" s="62" t="inlineStr">
        <is>
          <t>Nuit</t>
        </is>
      </c>
      <c r="D1075" s="56" t="inlineStr">
        <is>
          <t>Super Canne</t>
        </is>
      </c>
      <c r="E1075" s="37" t="inlineStr">
        <is>
          <t>MAGICARPE</t>
        </is>
      </c>
      <c r="F1075" s="38" t="n">
        <v>0.41</v>
      </c>
      <c r="G1075" s="39" t="n">
        <v>20</v>
      </c>
      <c r="H1075" s="39" t="n">
        <v>40</v>
      </c>
      <c r="I1075" s="29">
        <f>IF(OR(COUNTIF('Suivi des rencontres'!$A:$A,$A1075)&gt;0,COUNTIF('Suivi des rencontres'!$C:$C,$J1075)&gt;0),"Non","Oui")</f>
        <v/>
      </c>
      <c r="J1075" s="30" t="inlineStr">
        <is>
          <t>MAGICARPE</t>
        </is>
      </c>
    </row>
    <row r="1076">
      <c r="A1076" s="35" t="inlineStr">
        <is>
          <t>Mont Creuset</t>
        </is>
      </c>
      <c r="B1076" s="35" t="inlineStr">
        <is>
          <t>MtMortar_1F_South_hns</t>
        </is>
      </c>
      <c r="C1076" s="62" t="inlineStr">
        <is>
          <t>Nuit</t>
        </is>
      </c>
      <c r="D1076" s="56" t="inlineStr">
        <is>
          <t>Super Canne</t>
        </is>
      </c>
      <c r="E1076" s="37" t="inlineStr">
        <is>
          <t>POISSIRENE</t>
        </is>
      </c>
      <c r="F1076" s="38" t="n">
        <v>0.04</v>
      </c>
      <c r="G1076" s="39" t="n">
        <v>20</v>
      </c>
      <c r="H1076" s="39" t="n">
        <v>20</v>
      </c>
      <c r="I1076" s="29">
        <f>IF(OR(COUNTIF('Suivi des rencontres'!$A:$A,$A1076)&gt;0,COUNTIF('Suivi des rencontres'!$C:$C,$J1076)&gt;0),"Non","Oui")</f>
        <v/>
      </c>
      <c r="J1076" s="30" t="inlineStr">
        <is>
          <t>POISSIRENE</t>
        </is>
      </c>
    </row>
    <row r="1077">
      <c r="A1077" s="35" t="inlineStr">
        <is>
          <t>Mont Creuset</t>
        </is>
      </c>
      <c r="B1077" s="35" t="inlineStr">
        <is>
          <t>MtMortar_2F_hns</t>
        </is>
      </c>
      <c r="C1077" s="33" t="inlineStr">
        <is>
          <t>Matin, jour, soir</t>
        </is>
      </c>
      <c r="D1077" s="49" t="inlineStr">
        <is>
          <t>Herbe</t>
        </is>
      </c>
      <c r="E1077" s="37" t="inlineStr">
        <is>
          <t>GRAVALANCH</t>
        </is>
      </c>
      <c r="F1077" s="38" t="n">
        <v>0.3</v>
      </c>
      <c r="G1077" s="39" t="n">
        <v>31</v>
      </c>
      <c r="H1077" s="39" t="n">
        <v>31</v>
      </c>
      <c r="I1077" s="29">
        <f>IF(OR(COUNTIF('Suivi des rencontres'!$A:$A,$A1077)&gt;0,COUNTIF('Suivi des rencontres'!$C:$C,$J1077)&gt;0),"Non","Oui")</f>
        <v/>
      </c>
      <c r="J1077" s="30" t="inlineStr">
        <is>
          <t>RACAILLOU</t>
        </is>
      </c>
    </row>
    <row r="1078">
      <c r="A1078" s="35" t="inlineStr">
        <is>
          <t>Mont Creuset</t>
        </is>
      </c>
      <c r="B1078" s="35" t="inlineStr">
        <is>
          <t>MtMortar_2F_hns</t>
        </is>
      </c>
      <c r="C1078" s="33" t="inlineStr">
        <is>
          <t>Matin, jour, soir</t>
        </is>
      </c>
      <c r="D1078" s="49" t="inlineStr">
        <is>
          <t>Herbe</t>
        </is>
      </c>
      <c r="E1078" s="37" t="inlineStr">
        <is>
          <t>MACHOPEUR</t>
        </is>
      </c>
      <c r="F1078" s="38" t="n">
        <v>0.3</v>
      </c>
      <c r="G1078" s="39" t="n">
        <v>32</v>
      </c>
      <c r="H1078" s="39" t="n">
        <v>32</v>
      </c>
      <c r="I1078" s="29">
        <f>IF(OR(COUNTIF('Suivi des rencontres'!$A:$A,$A1078)&gt;0,COUNTIF('Suivi des rencontres'!$C:$C,$J1078)&gt;0),"Non","Oui")</f>
        <v/>
      </c>
      <c r="J1078" s="30" t="inlineStr">
        <is>
          <t>MACHOC</t>
        </is>
      </c>
    </row>
    <row r="1079">
      <c r="A1079" s="35" t="inlineStr">
        <is>
          <t>Mont Creuset</t>
        </is>
      </c>
      <c r="B1079" s="35" t="inlineStr">
        <is>
          <t>MtMortar_2F_hns</t>
        </is>
      </c>
      <c r="C1079" s="33" t="inlineStr">
        <is>
          <t>Matin, jour, soir</t>
        </is>
      </c>
      <c r="D1079" s="49" t="inlineStr">
        <is>
          <t>Herbe</t>
        </is>
      </c>
      <c r="E1079" s="37" t="inlineStr">
        <is>
          <t>RACAILLOU</t>
        </is>
      </c>
      <c r="F1079" s="38" t="n">
        <v>0.15</v>
      </c>
      <c r="G1079" s="39" t="n">
        <v>31</v>
      </c>
      <c r="H1079" s="39" t="n">
        <v>31</v>
      </c>
      <c r="I1079" s="29">
        <f>IF(OR(COUNTIF('Suivi des rencontres'!$A:$A,$A1079)&gt;0,COUNTIF('Suivi des rencontres'!$C:$C,$J1079)&gt;0),"Non","Oui")</f>
        <v/>
      </c>
      <c r="J1079" s="30" t="inlineStr">
        <is>
          <t>RACAILLOU</t>
        </is>
      </c>
    </row>
    <row r="1080">
      <c r="A1080" s="35" t="inlineStr">
        <is>
          <t>Mont Creuset</t>
        </is>
      </c>
      <c r="B1080" s="35" t="inlineStr">
        <is>
          <t>MtMortar_2F_hns</t>
        </is>
      </c>
      <c r="C1080" s="33" t="inlineStr">
        <is>
          <t>Matin, jour, soir</t>
        </is>
      </c>
      <c r="D1080" s="49" t="inlineStr">
        <is>
          <t>Herbe</t>
        </is>
      </c>
      <c r="E1080" s="37" t="inlineStr">
        <is>
          <t>RATTATAC</t>
        </is>
      </c>
      <c r="F1080" s="38" t="n">
        <v>0.15</v>
      </c>
      <c r="G1080" s="39" t="n">
        <v>30</v>
      </c>
      <c r="H1080" s="39" t="n">
        <v>30</v>
      </c>
      <c r="I1080" s="29">
        <f>IF(OR(COUNTIF('Suivi des rencontres'!$A:$A,$A1080)&gt;0,COUNTIF('Suivi des rencontres'!$C:$C,$J1080)&gt;0),"Non","Oui")</f>
        <v/>
      </c>
      <c r="J1080" s="30" t="inlineStr">
        <is>
          <t>RATTATA</t>
        </is>
      </c>
    </row>
    <row r="1081">
      <c r="A1081" s="35" t="inlineStr">
        <is>
          <t>Mont Creuset</t>
        </is>
      </c>
      <c r="B1081" s="35" t="inlineStr">
        <is>
          <t>MtMortar_2F_hns</t>
        </is>
      </c>
      <c r="C1081" s="33" t="inlineStr">
        <is>
          <t>Matin, jour, soir</t>
        </is>
      </c>
      <c r="D1081" s="49" t="inlineStr">
        <is>
          <t>Herbe</t>
        </is>
      </c>
      <c r="E1081" s="37" t="inlineStr">
        <is>
          <t>MACHOC</t>
        </is>
      </c>
      <c r="F1081" s="38" t="n">
        <v>0.05</v>
      </c>
      <c r="G1081" s="39" t="n">
        <v>28</v>
      </c>
      <c r="H1081" s="39" t="n">
        <v>28</v>
      </c>
      <c r="I1081" s="29">
        <f>IF(OR(COUNTIF('Suivi des rencontres'!$A:$A,$A1081)&gt;0,COUNTIF('Suivi des rencontres'!$C:$C,$J1081)&gt;0),"Non","Oui")</f>
        <v/>
      </c>
      <c r="J1081" s="30" t="inlineStr">
        <is>
          <t>MACHOC</t>
        </is>
      </c>
    </row>
    <row r="1082">
      <c r="A1082" s="35" t="inlineStr">
        <is>
          <t>Mont Creuset</t>
        </is>
      </c>
      <c r="B1082" s="35" t="inlineStr">
        <is>
          <t>MtMortar_2F_hns</t>
        </is>
      </c>
      <c r="C1082" s="33" t="inlineStr">
        <is>
          <t>Matin, jour, soir</t>
        </is>
      </c>
      <c r="D1082" s="49" t="inlineStr">
        <is>
          <t>Herbe</t>
        </is>
      </c>
      <c r="E1082" s="37" t="inlineStr">
        <is>
          <t>NOSFERALTO</t>
        </is>
      </c>
      <c r="F1082" s="38" t="n">
        <v>0.05</v>
      </c>
      <c r="G1082" s="39" t="n">
        <v>30</v>
      </c>
      <c r="H1082" s="39" t="n">
        <v>30</v>
      </c>
      <c r="I1082" s="29">
        <f>IF(OR(COUNTIF('Suivi des rencontres'!$A:$A,$A1082)&gt;0,COUNTIF('Suivi des rencontres'!$C:$C,$J1082)&gt;0),"Non","Oui")</f>
        <v/>
      </c>
      <c r="J1082" s="30" t="inlineStr">
        <is>
          <t>NOSFERAPTI</t>
        </is>
      </c>
    </row>
    <row r="1083">
      <c r="A1083" s="35" t="inlineStr">
        <is>
          <t>Mont Creuset</t>
        </is>
      </c>
      <c r="B1083" s="35" t="inlineStr">
        <is>
          <t>MtMortar_2F_hns</t>
        </is>
      </c>
      <c r="C1083" s="62" t="inlineStr">
        <is>
          <t>Nuit</t>
        </is>
      </c>
      <c r="D1083" s="49" t="inlineStr">
        <is>
          <t>Herbe</t>
        </is>
      </c>
      <c r="E1083" s="37" t="inlineStr">
        <is>
          <t>GRAVALANCH</t>
        </is>
      </c>
      <c r="F1083" s="38" t="n">
        <v>0.3</v>
      </c>
      <c r="G1083" s="39" t="n">
        <v>31</v>
      </c>
      <c r="H1083" s="39" t="n">
        <v>31</v>
      </c>
      <c r="I1083" s="29">
        <f>IF(OR(COUNTIF('Suivi des rencontres'!$A:$A,$A1083)&gt;0,COUNTIF('Suivi des rencontres'!$C:$C,$J1083)&gt;0),"Non","Oui")</f>
        <v/>
      </c>
      <c r="J1083" s="30" t="inlineStr">
        <is>
          <t>RACAILLOU</t>
        </is>
      </c>
    </row>
    <row r="1084">
      <c r="A1084" s="35" t="inlineStr">
        <is>
          <t>Mont Creuset</t>
        </is>
      </c>
      <c r="B1084" s="35" t="inlineStr">
        <is>
          <t>MtMortar_2F_hns</t>
        </is>
      </c>
      <c r="C1084" s="62" t="inlineStr">
        <is>
          <t>Nuit</t>
        </is>
      </c>
      <c r="D1084" s="49" t="inlineStr">
        <is>
          <t>Herbe</t>
        </is>
      </c>
      <c r="E1084" s="37" t="inlineStr">
        <is>
          <t>MACHOPEUR</t>
        </is>
      </c>
      <c r="F1084" s="38" t="n">
        <v>0.3</v>
      </c>
      <c r="G1084" s="39" t="n">
        <v>32</v>
      </c>
      <c r="H1084" s="39" t="n">
        <v>32</v>
      </c>
      <c r="I1084" s="29">
        <f>IF(OR(COUNTIF('Suivi des rencontres'!$A:$A,$A1084)&gt;0,COUNTIF('Suivi des rencontres'!$C:$C,$J1084)&gt;0),"Non","Oui")</f>
        <v/>
      </c>
      <c r="J1084" s="30" t="inlineStr">
        <is>
          <t>MACHOC</t>
        </is>
      </c>
    </row>
    <row r="1085">
      <c r="A1085" s="35" t="inlineStr">
        <is>
          <t>Mont Creuset</t>
        </is>
      </c>
      <c r="B1085" s="35" t="inlineStr">
        <is>
          <t>MtMortar_2F_hns</t>
        </is>
      </c>
      <c r="C1085" s="62" t="inlineStr">
        <is>
          <t>Nuit</t>
        </is>
      </c>
      <c r="D1085" s="49" t="inlineStr">
        <is>
          <t>Herbe</t>
        </is>
      </c>
      <c r="E1085" s="37" t="inlineStr">
        <is>
          <t>RACAILLOU</t>
        </is>
      </c>
      <c r="F1085" s="38" t="n">
        <v>0.15</v>
      </c>
      <c r="G1085" s="39" t="n">
        <v>31</v>
      </c>
      <c r="H1085" s="39" t="n">
        <v>31</v>
      </c>
      <c r="I1085" s="29">
        <f>IF(OR(COUNTIF('Suivi des rencontres'!$A:$A,$A1085)&gt;0,COUNTIF('Suivi des rencontres'!$C:$C,$J1085)&gt;0),"Non","Oui")</f>
        <v/>
      </c>
      <c r="J1085" s="30" t="inlineStr">
        <is>
          <t>RACAILLOU</t>
        </is>
      </c>
    </row>
    <row r="1086">
      <c r="A1086" s="35" t="inlineStr">
        <is>
          <t>Mont Creuset</t>
        </is>
      </c>
      <c r="B1086" s="35" t="inlineStr">
        <is>
          <t>MtMortar_2F_hns</t>
        </is>
      </c>
      <c r="C1086" s="62" t="inlineStr">
        <is>
          <t>Nuit</t>
        </is>
      </c>
      <c r="D1086" s="49" t="inlineStr">
        <is>
          <t>Herbe</t>
        </is>
      </c>
      <c r="E1086" s="37" t="inlineStr">
        <is>
          <t>RATTATAC</t>
        </is>
      </c>
      <c r="F1086" s="38" t="n">
        <v>0.15</v>
      </c>
      <c r="G1086" s="39" t="n">
        <v>30</v>
      </c>
      <c r="H1086" s="39" t="n">
        <v>30</v>
      </c>
      <c r="I1086" s="29">
        <f>IF(OR(COUNTIF('Suivi des rencontres'!$A:$A,$A1086)&gt;0,COUNTIF('Suivi des rencontres'!$C:$C,$J1086)&gt;0),"Non","Oui")</f>
        <v/>
      </c>
      <c r="J1086" s="30" t="inlineStr">
        <is>
          <t>RATTATA</t>
        </is>
      </c>
    </row>
    <row r="1087">
      <c r="A1087" s="35" t="inlineStr">
        <is>
          <t>Mont Creuset</t>
        </is>
      </c>
      <c r="B1087" s="35" t="inlineStr">
        <is>
          <t>MtMortar_2F_hns</t>
        </is>
      </c>
      <c r="C1087" s="62" t="inlineStr">
        <is>
          <t>Nuit</t>
        </is>
      </c>
      <c r="D1087" s="49" t="inlineStr">
        <is>
          <t>Herbe</t>
        </is>
      </c>
      <c r="E1087" s="37" t="inlineStr">
        <is>
          <t>MARILL</t>
        </is>
      </c>
      <c r="F1087" s="38" t="n">
        <v>0.05</v>
      </c>
      <c r="G1087" s="39" t="n">
        <v>28</v>
      </c>
      <c r="H1087" s="39" t="n">
        <v>28</v>
      </c>
      <c r="I1087" s="29">
        <f>IF(OR(COUNTIF('Suivi des rencontres'!$A:$A,$A1087)&gt;0,COUNTIF('Suivi des rencontres'!$C:$C,$J1087)&gt;0),"Non","Oui")</f>
        <v/>
      </c>
      <c r="J1087" s="30" t="inlineStr">
        <is>
          <t>AZURILL</t>
        </is>
      </c>
    </row>
    <row r="1088">
      <c r="A1088" s="35" t="inlineStr">
        <is>
          <t>Mont Creuset</t>
        </is>
      </c>
      <c r="B1088" s="35" t="inlineStr">
        <is>
          <t>MtMortar_2F_hns</t>
        </is>
      </c>
      <c r="C1088" s="62" t="inlineStr">
        <is>
          <t>Nuit</t>
        </is>
      </c>
      <c r="D1088" s="49" t="inlineStr">
        <is>
          <t>Herbe</t>
        </is>
      </c>
      <c r="E1088" s="37" t="inlineStr">
        <is>
          <t>NOSFERALTO</t>
        </is>
      </c>
      <c r="F1088" s="38" t="n">
        <v>0.05</v>
      </c>
      <c r="G1088" s="39" t="n">
        <v>30</v>
      </c>
      <c r="H1088" s="39" t="n">
        <v>30</v>
      </c>
      <c r="I1088" s="29">
        <f>IF(OR(COUNTIF('Suivi des rencontres'!$A:$A,$A1088)&gt;0,COUNTIF('Suivi des rencontres'!$C:$C,$J1088)&gt;0),"Non","Oui")</f>
        <v/>
      </c>
      <c r="J1088" s="30" t="inlineStr">
        <is>
          <t>NOSFERAPTI</t>
        </is>
      </c>
    </row>
    <row r="1089">
      <c r="A1089" s="35" t="inlineStr">
        <is>
          <t>Mont Creuset</t>
        </is>
      </c>
      <c r="B1089" s="35" t="inlineStr">
        <is>
          <t>MtMortar_2F_hns</t>
        </is>
      </c>
      <c r="C1089" s="33" t="inlineStr">
        <is>
          <t>Matin, jour, soir</t>
        </is>
      </c>
      <c r="D1089" s="53" t="inlineStr">
        <is>
          <t>Surf</t>
        </is>
      </c>
      <c r="E1089" s="37" t="inlineStr">
        <is>
          <t>POISSIRENE</t>
        </is>
      </c>
      <c r="F1089" s="38" t="n">
        <v>0.64</v>
      </c>
      <c r="G1089" s="39" t="n">
        <v>20</v>
      </c>
      <c r="H1089" s="39" t="n">
        <v>24</v>
      </c>
      <c r="I1089" s="29">
        <f>IF(OR(COUNTIF('Suivi des rencontres'!$A:$A,$A1089)&gt;0,COUNTIF('Suivi des rencontres'!$C:$C,$J1089)&gt;0),"Non","Oui")</f>
        <v/>
      </c>
      <c r="J1089" s="30" t="inlineStr">
        <is>
          <t>POISSIRENE</t>
        </is>
      </c>
    </row>
    <row r="1090">
      <c r="A1090" s="35" t="inlineStr">
        <is>
          <t>Mont Creuset</t>
        </is>
      </c>
      <c r="B1090" s="35" t="inlineStr">
        <is>
          <t>MtMortar_2F_hns</t>
        </is>
      </c>
      <c r="C1090" s="33" t="inlineStr">
        <is>
          <t>Matin, jour, soir</t>
        </is>
      </c>
      <c r="D1090" s="53" t="inlineStr">
        <is>
          <t>Surf</t>
        </is>
      </c>
      <c r="E1090" s="37" t="inlineStr">
        <is>
          <t>MARILL</t>
        </is>
      </c>
      <c r="F1090" s="38" t="n">
        <v>0.31</v>
      </c>
      <c r="G1090" s="39" t="n">
        <v>25</v>
      </c>
      <c r="H1090" s="39" t="n">
        <v>29</v>
      </c>
      <c r="I1090" s="29">
        <f>IF(OR(COUNTIF('Suivi des rencontres'!$A:$A,$A1090)&gt;0,COUNTIF('Suivi des rencontres'!$C:$C,$J1090)&gt;0),"Non","Oui")</f>
        <v/>
      </c>
      <c r="J1090" s="30" t="inlineStr">
        <is>
          <t>AZURILL</t>
        </is>
      </c>
    </row>
    <row r="1091">
      <c r="A1091" s="35" t="inlineStr">
        <is>
          <t>Mont Creuset</t>
        </is>
      </c>
      <c r="B1091" s="35" t="inlineStr">
        <is>
          <t>MtMortar_2F_hns</t>
        </is>
      </c>
      <c r="C1091" s="33" t="inlineStr">
        <is>
          <t>Matin, jour, soir</t>
        </is>
      </c>
      <c r="D1091" s="53" t="inlineStr">
        <is>
          <t>Surf</t>
        </is>
      </c>
      <c r="E1091" s="37" t="inlineStr">
        <is>
          <t>POISSOROY</t>
        </is>
      </c>
      <c r="F1091" s="38" t="n">
        <v>0.05</v>
      </c>
      <c r="G1091" s="39" t="n">
        <v>25</v>
      </c>
      <c r="H1091" s="39" t="n">
        <v>29</v>
      </c>
      <c r="I1091" s="29">
        <f>IF(OR(COUNTIF('Suivi des rencontres'!$A:$A,$A1091)&gt;0,COUNTIF('Suivi des rencontres'!$C:$C,$J1091)&gt;0),"Non","Oui")</f>
        <v/>
      </c>
      <c r="J1091" s="30" t="inlineStr">
        <is>
          <t>POISSIRENE</t>
        </is>
      </c>
    </row>
    <row r="1092">
      <c r="A1092" s="35" t="inlineStr">
        <is>
          <t>Mont Creuset</t>
        </is>
      </c>
      <c r="B1092" s="35" t="inlineStr">
        <is>
          <t>MtMortar_2F_hns</t>
        </is>
      </c>
      <c r="C1092" s="62" t="inlineStr">
        <is>
          <t>Nuit</t>
        </is>
      </c>
      <c r="D1092" s="53" t="inlineStr">
        <is>
          <t>Surf</t>
        </is>
      </c>
      <c r="E1092" s="37" t="inlineStr">
        <is>
          <t>POISSIRENE</t>
        </is>
      </c>
      <c r="F1092" s="38" t="n">
        <v>0.64</v>
      </c>
      <c r="G1092" s="39" t="n">
        <v>20</v>
      </c>
      <c r="H1092" s="39" t="n">
        <v>24</v>
      </c>
      <c r="I1092" s="29">
        <f>IF(OR(COUNTIF('Suivi des rencontres'!$A:$A,$A1092)&gt;0,COUNTIF('Suivi des rencontres'!$C:$C,$J1092)&gt;0),"Non","Oui")</f>
        <v/>
      </c>
      <c r="J1092" s="30" t="inlineStr">
        <is>
          <t>POISSIRENE</t>
        </is>
      </c>
    </row>
    <row r="1093">
      <c r="A1093" s="35" t="inlineStr">
        <is>
          <t>Mont Creuset</t>
        </is>
      </c>
      <c r="B1093" s="35" t="inlineStr">
        <is>
          <t>MtMortar_2F_hns</t>
        </is>
      </c>
      <c r="C1093" s="62" t="inlineStr">
        <is>
          <t>Nuit</t>
        </is>
      </c>
      <c r="D1093" s="53" t="inlineStr">
        <is>
          <t>Surf</t>
        </is>
      </c>
      <c r="E1093" s="37" t="inlineStr">
        <is>
          <t>MARILL</t>
        </is>
      </c>
      <c r="F1093" s="38" t="n">
        <v>0.31</v>
      </c>
      <c r="G1093" s="39" t="n">
        <v>25</v>
      </c>
      <c r="H1093" s="39" t="n">
        <v>29</v>
      </c>
      <c r="I1093" s="29">
        <f>IF(OR(COUNTIF('Suivi des rencontres'!$A:$A,$A1093)&gt;0,COUNTIF('Suivi des rencontres'!$C:$C,$J1093)&gt;0),"Non","Oui")</f>
        <v/>
      </c>
      <c r="J1093" s="30" t="inlineStr">
        <is>
          <t>AZURILL</t>
        </is>
      </c>
    </row>
    <row r="1094">
      <c r="A1094" s="35" t="inlineStr">
        <is>
          <t>Mont Creuset</t>
        </is>
      </c>
      <c r="B1094" s="35" t="inlineStr">
        <is>
          <t>MtMortar_2F_hns</t>
        </is>
      </c>
      <c r="C1094" s="62" t="inlineStr">
        <is>
          <t>Nuit</t>
        </is>
      </c>
      <c r="D1094" s="53" t="inlineStr">
        <is>
          <t>Surf</t>
        </is>
      </c>
      <c r="E1094" s="37" t="inlineStr">
        <is>
          <t>POISSOROY</t>
        </is>
      </c>
      <c r="F1094" s="38" t="n">
        <v>0.05</v>
      </c>
      <c r="G1094" s="39" t="n">
        <v>25</v>
      </c>
      <c r="H1094" s="39" t="n">
        <v>29</v>
      </c>
      <c r="I1094" s="29">
        <f>IF(OR(COUNTIF('Suivi des rencontres'!$A:$A,$A1094)&gt;0,COUNTIF('Suivi des rencontres'!$C:$C,$J1094)&gt;0),"Non","Oui")</f>
        <v/>
      </c>
      <c r="J1094" s="30" t="inlineStr">
        <is>
          <t>POISSIRENE</t>
        </is>
      </c>
    </row>
    <row r="1095">
      <c r="A1095" s="35" t="inlineStr">
        <is>
          <t>Mont Creuset</t>
        </is>
      </c>
      <c r="B1095" s="35" t="inlineStr">
        <is>
          <t>MtMortar_2F_hns</t>
        </is>
      </c>
      <c r="C1095" s="33" t="inlineStr">
        <is>
          <t>Matin, jour, soir</t>
        </is>
      </c>
      <c r="D1095" s="54" t="inlineStr">
        <is>
          <t>Vieille Canne</t>
        </is>
      </c>
      <c r="E1095" s="37" t="inlineStr">
        <is>
          <t>MAGICARPE</t>
        </is>
      </c>
      <c r="F1095" s="38" t="n">
        <v>0.7</v>
      </c>
      <c r="G1095" s="39" t="n">
        <v>10</v>
      </c>
      <c r="H1095" s="39" t="n">
        <v>10</v>
      </c>
      <c r="I1095" s="29">
        <f>IF(OR(COUNTIF('Suivi des rencontres'!$A:$A,$A1095)&gt;0,COUNTIF('Suivi des rencontres'!$C:$C,$J1095)&gt;0),"Non","Oui")</f>
        <v/>
      </c>
      <c r="J1095" s="30" t="inlineStr">
        <is>
          <t>MAGICARPE</t>
        </is>
      </c>
    </row>
    <row r="1096">
      <c r="A1096" s="35" t="inlineStr">
        <is>
          <t>Mont Creuset</t>
        </is>
      </c>
      <c r="B1096" s="35" t="inlineStr">
        <is>
          <t>MtMortar_2F_hns</t>
        </is>
      </c>
      <c r="C1096" s="33" t="inlineStr">
        <is>
          <t>Matin, jour, soir</t>
        </is>
      </c>
      <c r="D1096" s="54" t="inlineStr">
        <is>
          <t>Vieille Canne</t>
        </is>
      </c>
      <c r="E1096" s="37" t="inlineStr">
        <is>
          <t>POISSIRENE</t>
        </is>
      </c>
      <c r="F1096" s="38" t="n">
        <v>0.3</v>
      </c>
      <c r="G1096" s="39" t="n">
        <v>10</v>
      </c>
      <c r="H1096" s="39" t="n">
        <v>10</v>
      </c>
      <c r="I1096" s="29">
        <f>IF(OR(COUNTIF('Suivi des rencontres'!$A:$A,$A1096)&gt;0,COUNTIF('Suivi des rencontres'!$C:$C,$J1096)&gt;0),"Non","Oui")</f>
        <v/>
      </c>
      <c r="J1096" s="30" t="inlineStr">
        <is>
          <t>POISSIRENE</t>
        </is>
      </c>
    </row>
    <row r="1097">
      <c r="A1097" s="35" t="inlineStr">
        <is>
          <t>Mont Creuset</t>
        </is>
      </c>
      <c r="B1097" s="35" t="inlineStr">
        <is>
          <t>MtMortar_2F_hns</t>
        </is>
      </c>
      <c r="C1097" s="62" t="inlineStr">
        <is>
          <t>Nuit</t>
        </is>
      </c>
      <c r="D1097" s="54" t="inlineStr">
        <is>
          <t>Vieille Canne</t>
        </is>
      </c>
      <c r="E1097" s="37" t="inlineStr">
        <is>
          <t>MAGICARPE</t>
        </is>
      </c>
      <c r="F1097" s="38" t="n">
        <v>0.7</v>
      </c>
      <c r="G1097" s="39" t="n">
        <v>10</v>
      </c>
      <c r="H1097" s="39" t="n">
        <v>10</v>
      </c>
      <c r="I1097" s="29">
        <f>IF(OR(COUNTIF('Suivi des rencontres'!$A:$A,$A1097)&gt;0,COUNTIF('Suivi des rencontres'!$C:$C,$J1097)&gt;0),"Non","Oui")</f>
        <v/>
      </c>
      <c r="J1097" s="30" t="inlineStr">
        <is>
          <t>MAGICARPE</t>
        </is>
      </c>
    </row>
    <row r="1098">
      <c r="A1098" s="35" t="inlineStr">
        <is>
          <t>Mont Creuset</t>
        </is>
      </c>
      <c r="B1098" s="35" t="inlineStr">
        <is>
          <t>MtMortar_2F_hns</t>
        </is>
      </c>
      <c r="C1098" s="62" t="inlineStr">
        <is>
          <t>Nuit</t>
        </is>
      </c>
      <c r="D1098" s="54" t="inlineStr">
        <is>
          <t>Vieille Canne</t>
        </is>
      </c>
      <c r="E1098" s="37" t="inlineStr">
        <is>
          <t>POISSIRENE</t>
        </is>
      </c>
      <c r="F1098" s="38" t="n">
        <v>0.3</v>
      </c>
      <c r="G1098" s="39" t="n">
        <v>10</v>
      </c>
      <c r="H1098" s="39" t="n">
        <v>10</v>
      </c>
      <c r="I1098" s="29">
        <f>IF(OR(COUNTIF('Suivi des rencontres'!$A:$A,$A1098)&gt;0,COUNTIF('Suivi des rencontres'!$C:$C,$J1098)&gt;0),"Non","Oui")</f>
        <v/>
      </c>
      <c r="J1098" s="30" t="inlineStr">
        <is>
          <t>POISSIRENE</t>
        </is>
      </c>
    </row>
    <row r="1099">
      <c r="A1099" s="35" t="inlineStr">
        <is>
          <t>Mont Creuset</t>
        </is>
      </c>
      <c r="B1099" s="35" t="inlineStr">
        <is>
          <t>MtMortar_2F_hns</t>
        </is>
      </c>
      <c r="C1099" s="33" t="inlineStr">
        <is>
          <t>Matin, jour, soir</t>
        </is>
      </c>
      <c r="D1099" s="55" t="inlineStr">
        <is>
          <t>Bonne Canne</t>
        </is>
      </c>
      <c r="E1099" s="37" t="inlineStr">
        <is>
          <t>POISSIRENE</t>
        </is>
      </c>
      <c r="F1099" s="38" t="n">
        <v>0.8</v>
      </c>
      <c r="G1099" s="39" t="n">
        <v>20</v>
      </c>
      <c r="H1099" s="39" t="n">
        <v>40</v>
      </c>
      <c r="I1099" s="29">
        <f>IF(OR(COUNTIF('Suivi des rencontres'!$A:$A,$A1099)&gt;0,COUNTIF('Suivi des rencontres'!$C:$C,$J1099)&gt;0),"Non","Oui")</f>
        <v/>
      </c>
      <c r="J1099" s="30" t="inlineStr">
        <is>
          <t>POISSIRENE</t>
        </is>
      </c>
    </row>
    <row r="1100">
      <c r="A1100" s="35" t="inlineStr">
        <is>
          <t>Mont Creuset</t>
        </is>
      </c>
      <c r="B1100" s="35" t="inlineStr">
        <is>
          <t>MtMortar_2F_hns</t>
        </is>
      </c>
      <c r="C1100" s="33" t="inlineStr">
        <is>
          <t>Matin, jour, soir</t>
        </is>
      </c>
      <c r="D1100" s="55" t="inlineStr">
        <is>
          <t>Bonne Canne</t>
        </is>
      </c>
      <c r="E1100" s="37" t="inlineStr">
        <is>
          <t>MAGICARPE</t>
        </is>
      </c>
      <c r="F1100" s="38" t="n">
        <v>0.2</v>
      </c>
      <c r="G1100" s="39" t="n">
        <v>20</v>
      </c>
      <c r="H1100" s="39" t="n">
        <v>20</v>
      </c>
      <c r="I1100" s="29">
        <f>IF(OR(COUNTIF('Suivi des rencontres'!$A:$A,$A1100)&gt;0,COUNTIF('Suivi des rencontres'!$C:$C,$J1100)&gt;0),"Non","Oui")</f>
        <v/>
      </c>
      <c r="J1100" s="30" t="inlineStr">
        <is>
          <t>MAGICARPE</t>
        </is>
      </c>
    </row>
    <row r="1101">
      <c r="A1101" s="35" t="inlineStr">
        <is>
          <t>Mont Creuset</t>
        </is>
      </c>
      <c r="B1101" s="35" t="inlineStr">
        <is>
          <t>MtMortar_2F_hns</t>
        </is>
      </c>
      <c r="C1101" s="62" t="inlineStr">
        <is>
          <t>Nuit</t>
        </is>
      </c>
      <c r="D1101" s="55" t="inlineStr">
        <is>
          <t>Bonne Canne</t>
        </is>
      </c>
      <c r="E1101" s="37" t="inlineStr">
        <is>
          <t>POISSIRENE</t>
        </is>
      </c>
      <c r="F1101" s="38" t="n">
        <v>0.8</v>
      </c>
      <c r="G1101" s="39" t="n">
        <v>20</v>
      </c>
      <c r="H1101" s="39" t="n">
        <v>40</v>
      </c>
      <c r="I1101" s="29">
        <f>IF(OR(COUNTIF('Suivi des rencontres'!$A:$A,$A1101)&gt;0,COUNTIF('Suivi des rencontres'!$C:$C,$J1101)&gt;0),"Non","Oui")</f>
        <v/>
      </c>
      <c r="J1101" s="30" t="inlineStr">
        <is>
          <t>POISSIRENE</t>
        </is>
      </c>
    </row>
    <row r="1102">
      <c r="A1102" s="35" t="inlineStr">
        <is>
          <t>Mont Creuset</t>
        </is>
      </c>
      <c r="B1102" s="35" t="inlineStr">
        <is>
          <t>MtMortar_2F_hns</t>
        </is>
      </c>
      <c r="C1102" s="62" t="inlineStr">
        <is>
          <t>Nuit</t>
        </is>
      </c>
      <c r="D1102" s="55" t="inlineStr">
        <is>
          <t>Bonne Canne</t>
        </is>
      </c>
      <c r="E1102" s="37" t="inlineStr">
        <is>
          <t>MAGICARPE</t>
        </is>
      </c>
      <c r="F1102" s="38" t="n">
        <v>0.2</v>
      </c>
      <c r="G1102" s="39" t="n">
        <v>20</v>
      </c>
      <c r="H1102" s="39" t="n">
        <v>20</v>
      </c>
      <c r="I1102" s="29">
        <f>IF(OR(COUNTIF('Suivi des rencontres'!$A:$A,$A1102)&gt;0,COUNTIF('Suivi des rencontres'!$C:$C,$J1102)&gt;0),"Non","Oui")</f>
        <v/>
      </c>
      <c r="J1102" s="30" t="inlineStr">
        <is>
          <t>MAGICARPE</t>
        </is>
      </c>
    </row>
    <row r="1103">
      <c r="A1103" s="35" t="inlineStr">
        <is>
          <t>Mont Creuset</t>
        </is>
      </c>
      <c r="B1103" s="35" t="inlineStr">
        <is>
          <t>MtMortar_2F_hns</t>
        </is>
      </c>
      <c r="C1103" s="33" t="inlineStr">
        <is>
          <t>Matin, jour, soir</t>
        </is>
      </c>
      <c r="D1103" s="56" t="inlineStr">
        <is>
          <t>Super Canne</t>
        </is>
      </c>
      <c r="E1103" s="37" t="inlineStr">
        <is>
          <t>POISSOROY</t>
        </is>
      </c>
      <c r="F1103" s="38" t="n">
        <v>0.55</v>
      </c>
      <c r="G1103" s="39" t="n">
        <v>40</v>
      </c>
      <c r="H1103" s="39" t="n">
        <v>40</v>
      </c>
      <c r="I1103" s="29">
        <f>IF(OR(COUNTIF('Suivi des rencontres'!$A:$A,$A1103)&gt;0,COUNTIF('Suivi des rencontres'!$C:$C,$J1103)&gt;0),"Non","Oui")</f>
        <v/>
      </c>
      <c r="J1103" s="30" t="inlineStr">
        <is>
          <t>POISSIRENE</t>
        </is>
      </c>
    </row>
    <row r="1104">
      <c r="A1104" s="35" t="inlineStr">
        <is>
          <t>Mont Creuset</t>
        </is>
      </c>
      <c r="B1104" s="35" t="inlineStr">
        <is>
          <t>MtMortar_2F_hns</t>
        </is>
      </c>
      <c r="C1104" s="33" t="inlineStr">
        <is>
          <t>Matin, jour, soir</t>
        </is>
      </c>
      <c r="D1104" s="56" t="inlineStr">
        <is>
          <t>Super Canne</t>
        </is>
      </c>
      <c r="E1104" s="37" t="inlineStr">
        <is>
          <t>MAGICARPE</t>
        </is>
      </c>
      <c r="F1104" s="38" t="n">
        <v>0.41</v>
      </c>
      <c r="G1104" s="39" t="n">
        <v>20</v>
      </c>
      <c r="H1104" s="39" t="n">
        <v>40</v>
      </c>
      <c r="I1104" s="29">
        <f>IF(OR(COUNTIF('Suivi des rencontres'!$A:$A,$A1104)&gt;0,COUNTIF('Suivi des rencontres'!$C:$C,$J1104)&gt;0),"Non","Oui")</f>
        <v/>
      </c>
      <c r="J1104" s="30" t="inlineStr">
        <is>
          <t>MAGICARPE</t>
        </is>
      </c>
    </row>
    <row r="1105">
      <c r="A1105" s="35" t="inlineStr">
        <is>
          <t>Mont Creuset</t>
        </is>
      </c>
      <c r="B1105" s="35" t="inlineStr">
        <is>
          <t>MtMortar_2F_hns</t>
        </is>
      </c>
      <c r="C1105" s="33" t="inlineStr">
        <is>
          <t>Matin, jour, soir</t>
        </is>
      </c>
      <c r="D1105" s="56" t="inlineStr">
        <is>
          <t>Super Canne</t>
        </is>
      </c>
      <c r="E1105" s="37" t="inlineStr">
        <is>
          <t>POISSIRENE</t>
        </is>
      </c>
      <c r="F1105" s="38" t="n">
        <v>0.04</v>
      </c>
      <c r="G1105" s="39" t="n">
        <v>20</v>
      </c>
      <c r="H1105" s="39" t="n">
        <v>20</v>
      </c>
      <c r="I1105" s="29">
        <f>IF(OR(COUNTIF('Suivi des rencontres'!$A:$A,$A1105)&gt;0,COUNTIF('Suivi des rencontres'!$C:$C,$J1105)&gt;0),"Non","Oui")</f>
        <v/>
      </c>
      <c r="J1105" s="30" t="inlineStr">
        <is>
          <t>POISSIRENE</t>
        </is>
      </c>
    </row>
    <row r="1106">
      <c r="A1106" s="35" t="inlineStr">
        <is>
          <t>Mont Creuset</t>
        </is>
      </c>
      <c r="B1106" s="35" t="inlineStr">
        <is>
          <t>MtMortar_2F_hns</t>
        </is>
      </c>
      <c r="C1106" s="62" t="inlineStr">
        <is>
          <t>Nuit</t>
        </is>
      </c>
      <c r="D1106" s="56" t="inlineStr">
        <is>
          <t>Super Canne</t>
        </is>
      </c>
      <c r="E1106" s="37" t="inlineStr">
        <is>
          <t>POISSOROY</t>
        </is>
      </c>
      <c r="F1106" s="38" t="n">
        <v>0.55</v>
      </c>
      <c r="G1106" s="39" t="n">
        <v>40</v>
      </c>
      <c r="H1106" s="39" t="n">
        <v>40</v>
      </c>
      <c r="I1106" s="29">
        <f>IF(OR(COUNTIF('Suivi des rencontres'!$A:$A,$A1106)&gt;0,COUNTIF('Suivi des rencontres'!$C:$C,$J1106)&gt;0),"Non","Oui")</f>
        <v/>
      </c>
      <c r="J1106" s="30" t="inlineStr">
        <is>
          <t>POISSIRENE</t>
        </is>
      </c>
    </row>
    <row r="1107">
      <c r="A1107" s="35" t="inlineStr">
        <is>
          <t>Mont Creuset</t>
        </is>
      </c>
      <c r="B1107" s="35" t="inlineStr">
        <is>
          <t>MtMortar_2F_hns</t>
        </is>
      </c>
      <c r="C1107" s="62" t="inlineStr">
        <is>
          <t>Nuit</t>
        </is>
      </c>
      <c r="D1107" s="56" t="inlineStr">
        <is>
          <t>Super Canne</t>
        </is>
      </c>
      <c r="E1107" s="37" t="inlineStr">
        <is>
          <t>MAGICARPE</t>
        </is>
      </c>
      <c r="F1107" s="38" t="n">
        <v>0.41</v>
      </c>
      <c r="G1107" s="39" t="n">
        <v>20</v>
      </c>
      <c r="H1107" s="39" t="n">
        <v>40</v>
      </c>
      <c r="I1107" s="29">
        <f>IF(OR(COUNTIF('Suivi des rencontres'!$A:$A,$A1107)&gt;0,COUNTIF('Suivi des rencontres'!$C:$C,$J1107)&gt;0),"Non","Oui")</f>
        <v/>
      </c>
      <c r="J1107" s="30" t="inlineStr">
        <is>
          <t>MAGICARPE</t>
        </is>
      </c>
    </row>
    <row r="1108">
      <c r="A1108" s="35" t="inlineStr">
        <is>
          <t>Mont Creuset</t>
        </is>
      </c>
      <c r="B1108" s="35" t="inlineStr">
        <is>
          <t>MtMortar_2F_hns</t>
        </is>
      </c>
      <c r="C1108" s="62" t="inlineStr">
        <is>
          <t>Nuit</t>
        </is>
      </c>
      <c r="D1108" s="56" t="inlineStr">
        <is>
          <t>Super Canne</t>
        </is>
      </c>
      <c r="E1108" s="37" t="inlineStr">
        <is>
          <t>POISSIRENE</t>
        </is>
      </c>
      <c r="F1108" s="38" t="n">
        <v>0.04</v>
      </c>
      <c r="G1108" s="39" t="n">
        <v>20</v>
      </c>
      <c r="H1108" s="39" t="n">
        <v>20</v>
      </c>
      <c r="I1108" s="29">
        <f>IF(OR(COUNTIF('Suivi des rencontres'!$A:$A,$A1108)&gt;0,COUNTIF('Suivi des rencontres'!$C:$C,$J1108)&gt;0),"Non","Oui")</f>
        <v/>
      </c>
      <c r="J1108" s="30" t="inlineStr">
        <is>
          <t>POISSIRENE</t>
        </is>
      </c>
    </row>
    <row r="1109">
      <c r="A1109" s="35" t="inlineStr">
        <is>
          <t>Mont Creuset</t>
        </is>
      </c>
      <c r="B1109" s="35" t="inlineStr">
        <is>
          <t>MtMortar_B1F_hns</t>
        </is>
      </c>
      <c r="C1109" s="33" t="inlineStr">
        <is>
          <t>Matin, jour, soir</t>
        </is>
      </c>
      <c r="D1109" s="49" t="inlineStr">
        <is>
          <t>Herbe</t>
        </is>
      </c>
      <c r="E1109" s="37" t="inlineStr">
        <is>
          <t>NOSFERAPTI</t>
        </is>
      </c>
      <c r="F1109" s="38" t="n">
        <v>0.3</v>
      </c>
      <c r="G1109" s="39" t="n">
        <v>20</v>
      </c>
      <c r="H1109" s="39" t="n">
        <v>20</v>
      </c>
      <c r="I1109" s="29">
        <f>IF(OR(COUNTIF('Suivi des rencontres'!$A:$A,$A1109)&gt;0,COUNTIF('Suivi des rencontres'!$C:$C,$J1109)&gt;0),"Non","Oui")</f>
        <v/>
      </c>
      <c r="J1109" s="30" t="inlineStr">
        <is>
          <t>NOSFERAPTI</t>
        </is>
      </c>
    </row>
    <row r="1110">
      <c r="A1110" s="35" t="inlineStr">
        <is>
          <t>Mont Creuset</t>
        </is>
      </c>
      <c r="B1110" s="35" t="inlineStr">
        <is>
          <t>MtMortar_B1F_hns</t>
        </is>
      </c>
      <c r="C1110" s="33" t="inlineStr">
        <is>
          <t>Matin, jour, soir</t>
        </is>
      </c>
      <c r="D1110" s="49" t="inlineStr">
        <is>
          <t>Herbe</t>
        </is>
      </c>
      <c r="E1110" s="37" t="inlineStr">
        <is>
          <t>RACAILLOU</t>
        </is>
      </c>
      <c r="F1110" s="38" t="n">
        <v>0.3</v>
      </c>
      <c r="G1110" s="39" t="n">
        <v>20</v>
      </c>
      <c r="H1110" s="39" t="n">
        <v>20</v>
      </c>
      <c r="I1110" s="29">
        <f>IF(OR(COUNTIF('Suivi des rencontres'!$A:$A,$A1110)&gt;0,COUNTIF('Suivi des rencontres'!$C:$C,$J1110)&gt;0),"Non","Oui")</f>
        <v/>
      </c>
      <c r="J1110" s="30" t="inlineStr">
        <is>
          <t>RACAILLOU</t>
        </is>
      </c>
    </row>
    <row r="1111">
      <c r="A1111" s="35" t="inlineStr">
        <is>
          <t>Mont Creuset</t>
        </is>
      </c>
      <c r="B1111" s="35" t="inlineStr">
        <is>
          <t>MtMortar_B1F_hns</t>
        </is>
      </c>
      <c r="C1111" s="33" t="inlineStr">
        <is>
          <t>Matin, jour, soir</t>
        </is>
      </c>
      <c r="D1111" s="49" t="inlineStr">
        <is>
          <t>Herbe</t>
        </is>
      </c>
      <c r="E1111" s="37" t="inlineStr">
        <is>
          <t>MACHOC</t>
        </is>
      </c>
      <c r="F1111" s="38" t="n">
        <v>0.15</v>
      </c>
      <c r="G1111" s="39" t="n">
        <v>21</v>
      </c>
      <c r="H1111" s="39" t="n">
        <v>21</v>
      </c>
      <c r="I1111" s="29">
        <f>IF(OR(COUNTIF('Suivi des rencontres'!$A:$A,$A1111)&gt;0,COUNTIF('Suivi des rencontres'!$C:$C,$J1111)&gt;0),"Non","Oui")</f>
        <v/>
      </c>
      <c r="J1111" s="30" t="inlineStr">
        <is>
          <t>MACHOC</t>
        </is>
      </c>
    </row>
    <row r="1112">
      <c r="A1112" s="35" t="inlineStr">
        <is>
          <t>Mont Creuset</t>
        </is>
      </c>
      <c r="B1112" s="35" t="inlineStr">
        <is>
          <t>MtMortar_B1F_hns</t>
        </is>
      </c>
      <c r="C1112" s="33" t="inlineStr">
        <is>
          <t>Matin, jour, soir</t>
        </is>
      </c>
      <c r="D1112" s="49" t="inlineStr">
        <is>
          <t>Herbe</t>
        </is>
      </c>
      <c r="E1112" s="37" t="inlineStr">
        <is>
          <t>NOSFERALTO</t>
        </is>
      </c>
      <c r="F1112" s="38" t="n">
        <v>0.15</v>
      </c>
      <c r="G1112" s="39" t="n">
        <v>22</v>
      </c>
      <c r="H1112" s="39" t="n">
        <v>22</v>
      </c>
      <c r="I1112" s="29">
        <f>IF(OR(COUNTIF('Suivi des rencontres'!$A:$A,$A1112)&gt;0,COUNTIF('Suivi des rencontres'!$C:$C,$J1112)&gt;0),"Non","Oui")</f>
        <v/>
      </c>
      <c r="J1112" s="30" t="inlineStr">
        <is>
          <t>NOSFERAPTI</t>
        </is>
      </c>
    </row>
    <row r="1113">
      <c r="A1113" s="35" t="inlineStr">
        <is>
          <t>Mont Creuset</t>
        </is>
      </c>
      <c r="B1113" s="35" t="inlineStr">
        <is>
          <t>MtMortar_B1F_hns</t>
        </is>
      </c>
      <c r="C1113" s="33" t="inlineStr">
        <is>
          <t>Matin, jour, soir</t>
        </is>
      </c>
      <c r="D1113" s="49" t="inlineStr">
        <is>
          <t>Herbe</t>
        </is>
      </c>
      <c r="E1113" s="37" t="inlineStr">
        <is>
          <t>OSSELAIT</t>
        </is>
      </c>
      <c r="F1113" s="38" t="n">
        <v>0.05</v>
      </c>
      <c r="G1113" s="39" t="n">
        <v>22</v>
      </c>
      <c r="H1113" s="39" t="n">
        <v>22</v>
      </c>
      <c r="I1113" s="29">
        <f>IF(OR(COUNTIF('Suivi des rencontres'!$A:$A,$A1113)&gt;0,COUNTIF('Suivi des rencontres'!$C:$C,$J1113)&gt;0),"Non","Oui")</f>
        <v/>
      </c>
      <c r="J1113" s="30" t="inlineStr">
        <is>
          <t>OSSELAIT</t>
        </is>
      </c>
    </row>
    <row r="1114">
      <c r="A1114" s="35" t="inlineStr">
        <is>
          <t>Mont Creuset</t>
        </is>
      </c>
      <c r="B1114" s="35" t="inlineStr">
        <is>
          <t>MtMortar_B1F_hns</t>
        </is>
      </c>
      <c r="C1114" s="33" t="inlineStr">
        <is>
          <t>Matin, jour, soir</t>
        </is>
      </c>
      <c r="D1114" s="49" t="inlineStr">
        <is>
          <t>Herbe</t>
        </is>
      </c>
      <c r="E1114" s="37" t="inlineStr">
        <is>
          <t>RHINOCORNE</t>
        </is>
      </c>
      <c r="F1114" s="38" t="n">
        <v>0.05</v>
      </c>
      <c r="G1114" s="39" t="n">
        <v>21</v>
      </c>
      <c r="H1114" s="39" t="n">
        <v>21</v>
      </c>
      <c r="I1114" s="29">
        <f>IF(OR(COUNTIF('Suivi des rencontres'!$A:$A,$A1114)&gt;0,COUNTIF('Suivi des rencontres'!$C:$C,$J1114)&gt;0),"Non","Oui")</f>
        <v/>
      </c>
      <c r="J1114" s="30" t="inlineStr">
        <is>
          <t>RHINOCORNE</t>
        </is>
      </c>
    </row>
    <row r="1115">
      <c r="A1115" s="35" t="inlineStr">
        <is>
          <t>Mont Creuset</t>
        </is>
      </c>
      <c r="B1115" s="35" t="inlineStr">
        <is>
          <t>MtMortar_B1F_hns</t>
        </is>
      </c>
      <c r="C1115" s="62" t="inlineStr">
        <is>
          <t>Nuit</t>
        </is>
      </c>
      <c r="D1115" s="49" t="inlineStr">
        <is>
          <t>Herbe</t>
        </is>
      </c>
      <c r="E1115" s="37" t="inlineStr">
        <is>
          <t>NOSFERAPTI</t>
        </is>
      </c>
      <c r="F1115" s="38" t="n">
        <v>0.3</v>
      </c>
      <c r="G1115" s="39" t="n">
        <v>20</v>
      </c>
      <c r="H1115" s="39" t="n">
        <v>20</v>
      </c>
      <c r="I1115" s="29">
        <f>IF(OR(COUNTIF('Suivi des rencontres'!$A:$A,$A1115)&gt;0,COUNTIF('Suivi des rencontres'!$C:$C,$J1115)&gt;0),"Non","Oui")</f>
        <v/>
      </c>
      <c r="J1115" s="30" t="inlineStr">
        <is>
          <t>NOSFERAPTI</t>
        </is>
      </c>
    </row>
    <row r="1116">
      <c r="A1116" s="35" t="inlineStr">
        <is>
          <t>Mont Creuset</t>
        </is>
      </c>
      <c r="B1116" s="35" t="inlineStr">
        <is>
          <t>MtMortar_B1F_hns</t>
        </is>
      </c>
      <c r="C1116" s="62" t="inlineStr">
        <is>
          <t>Nuit</t>
        </is>
      </c>
      <c r="D1116" s="49" t="inlineStr">
        <is>
          <t>Herbe</t>
        </is>
      </c>
      <c r="E1116" s="37" t="inlineStr">
        <is>
          <t>RACAILLOU</t>
        </is>
      </c>
      <c r="F1116" s="38" t="n">
        <v>0.3</v>
      </c>
      <c r="G1116" s="39" t="n">
        <v>20</v>
      </c>
      <c r="H1116" s="39" t="n">
        <v>20</v>
      </c>
      <c r="I1116" s="29">
        <f>IF(OR(COUNTIF('Suivi des rencontres'!$A:$A,$A1116)&gt;0,COUNTIF('Suivi des rencontres'!$C:$C,$J1116)&gt;0),"Non","Oui")</f>
        <v/>
      </c>
      <c r="J1116" s="30" t="inlineStr">
        <is>
          <t>RACAILLOU</t>
        </is>
      </c>
    </row>
    <row r="1117">
      <c r="A1117" s="35" t="inlineStr">
        <is>
          <t>Mont Creuset</t>
        </is>
      </c>
      <c r="B1117" s="35" t="inlineStr">
        <is>
          <t>MtMortar_B1F_hns</t>
        </is>
      </c>
      <c r="C1117" s="62" t="inlineStr">
        <is>
          <t>Nuit</t>
        </is>
      </c>
      <c r="D1117" s="49" t="inlineStr">
        <is>
          <t>Herbe</t>
        </is>
      </c>
      <c r="E1117" s="37" t="inlineStr">
        <is>
          <t>MARILL</t>
        </is>
      </c>
      <c r="F1117" s="38" t="n">
        <v>0.15</v>
      </c>
      <c r="G1117" s="39" t="n">
        <v>21</v>
      </c>
      <c r="H1117" s="39" t="n">
        <v>21</v>
      </c>
      <c r="I1117" s="29">
        <f>IF(OR(COUNTIF('Suivi des rencontres'!$A:$A,$A1117)&gt;0,COUNTIF('Suivi des rencontres'!$C:$C,$J1117)&gt;0),"Non","Oui")</f>
        <v/>
      </c>
      <c r="J1117" s="30" t="inlineStr">
        <is>
          <t>AZURILL</t>
        </is>
      </c>
    </row>
    <row r="1118">
      <c r="A1118" s="35" t="inlineStr">
        <is>
          <t>Mont Creuset</t>
        </is>
      </c>
      <c r="B1118" s="35" t="inlineStr">
        <is>
          <t>MtMortar_B1F_hns</t>
        </is>
      </c>
      <c r="C1118" s="62" t="inlineStr">
        <is>
          <t>Nuit</t>
        </is>
      </c>
      <c r="D1118" s="49" t="inlineStr">
        <is>
          <t>Herbe</t>
        </is>
      </c>
      <c r="E1118" s="37" t="inlineStr">
        <is>
          <t>NOSFERALTO</t>
        </is>
      </c>
      <c r="F1118" s="38" t="n">
        <v>0.15</v>
      </c>
      <c r="G1118" s="39" t="n">
        <v>22</v>
      </c>
      <c r="H1118" s="39" t="n">
        <v>22</v>
      </c>
      <c r="I1118" s="29">
        <f>IF(OR(COUNTIF('Suivi des rencontres'!$A:$A,$A1118)&gt;0,COUNTIF('Suivi des rencontres'!$C:$C,$J1118)&gt;0),"Non","Oui")</f>
        <v/>
      </c>
      <c r="J1118" s="30" t="inlineStr">
        <is>
          <t>NOSFERAPTI</t>
        </is>
      </c>
    </row>
    <row r="1119">
      <c r="A1119" s="35" t="inlineStr">
        <is>
          <t>Mont Creuset</t>
        </is>
      </c>
      <c r="B1119" s="35" t="inlineStr">
        <is>
          <t>MtMortar_B1F_hns</t>
        </is>
      </c>
      <c r="C1119" s="62" t="inlineStr">
        <is>
          <t>Nuit</t>
        </is>
      </c>
      <c r="D1119" s="49" t="inlineStr">
        <is>
          <t>Herbe</t>
        </is>
      </c>
      <c r="E1119" s="37" t="inlineStr">
        <is>
          <t>OSSELAIT</t>
        </is>
      </c>
      <c r="F1119" s="38" t="n">
        <v>0.05</v>
      </c>
      <c r="G1119" s="39" t="n">
        <v>22</v>
      </c>
      <c r="H1119" s="39" t="n">
        <v>22</v>
      </c>
      <c r="I1119" s="29">
        <f>IF(OR(COUNTIF('Suivi des rencontres'!$A:$A,$A1119)&gt;0,COUNTIF('Suivi des rencontres'!$C:$C,$J1119)&gt;0),"Non","Oui")</f>
        <v/>
      </c>
      <c r="J1119" s="30" t="inlineStr">
        <is>
          <t>OSSELAIT</t>
        </is>
      </c>
    </row>
    <row r="1120">
      <c r="A1120" s="35" t="inlineStr">
        <is>
          <t>Mont Creuset</t>
        </is>
      </c>
      <c r="B1120" s="35" t="inlineStr">
        <is>
          <t>MtMortar_B1F_hns</t>
        </is>
      </c>
      <c r="C1120" s="62" t="inlineStr">
        <is>
          <t>Nuit</t>
        </is>
      </c>
      <c r="D1120" s="49" t="inlineStr">
        <is>
          <t>Herbe</t>
        </is>
      </c>
      <c r="E1120" s="37" t="inlineStr">
        <is>
          <t>RHINOCORNE</t>
        </is>
      </c>
      <c r="F1120" s="38" t="n">
        <v>0.05</v>
      </c>
      <c r="G1120" s="39" t="n">
        <v>21</v>
      </c>
      <c r="H1120" s="39" t="n">
        <v>21</v>
      </c>
      <c r="I1120" s="29">
        <f>IF(OR(COUNTIF('Suivi des rencontres'!$A:$A,$A1120)&gt;0,COUNTIF('Suivi des rencontres'!$C:$C,$J1120)&gt;0),"Non","Oui")</f>
        <v/>
      </c>
      <c r="J1120" s="30" t="inlineStr">
        <is>
          <t>RHINOCORNE</t>
        </is>
      </c>
    </row>
    <row r="1121">
      <c r="A1121" s="35" t="inlineStr">
        <is>
          <t>Mont Creuset</t>
        </is>
      </c>
      <c r="B1121" s="35" t="inlineStr">
        <is>
          <t>MtMortar_B1F_hns</t>
        </is>
      </c>
      <c r="C1121" s="33" t="inlineStr">
        <is>
          <t>Matin, jour, soir</t>
        </is>
      </c>
      <c r="D1121" s="53" t="inlineStr">
        <is>
          <t>Surf</t>
        </is>
      </c>
      <c r="E1121" s="37" t="inlineStr">
        <is>
          <t>POISSIRENE</t>
        </is>
      </c>
      <c r="F1121" s="38" t="n">
        <v>0.64</v>
      </c>
      <c r="G1121" s="39" t="n">
        <v>15</v>
      </c>
      <c r="H1121" s="39" t="n">
        <v>19</v>
      </c>
      <c r="I1121" s="29">
        <f>IF(OR(COUNTIF('Suivi des rencontres'!$A:$A,$A1121)&gt;0,COUNTIF('Suivi des rencontres'!$C:$C,$J1121)&gt;0),"Non","Oui")</f>
        <v/>
      </c>
      <c r="J1121" s="30" t="inlineStr">
        <is>
          <t>POISSIRENE</t>
        </is>
      </c>
    </row>
    <row r="1122">
      <c r="A1122" s="35" t="inlineStr">
        <is>
          <t>Mont Creuset</t>
        </is>
      </c>
      <c r="B1122" s="35" t="inlineStr">
        <is>
          <t>MtMortar_B1F_hns</t>
        </is>
      </c>
      <c r="C1122" s="33" t="inlineStr">
        <is>
          <t>Matin, jour, soir</t>
        </is>
      </c>
      <c r="D1122" s="53" t="inlineStr">
        <is>
          <t>Surf</t>
        </is>
      </c>
      <c r="E1122" s="37" t="inlineStr">
        <is>
          <t>MARILL</t>
        </is>
      </c>
      <c r="F1122" s="38" t="n">
        <v>0.31</v>
      </c>
      <c r="G1122" s="39" t="n">
        <v>20</v>
      </c>
      <c r="H1122" s="39" t="n">
        <v>24</v>
      </c>
      <c r="I1122" s="29">
        <f>IF(OR(COUNTIF('Suivi des rencontres'!$A:$A,$A1122)&gt;0,COUNTIF('Suivi des rencontres'!$C:$C,$J1122)&gt;0),"Non","Oui")</f>
        <v/>
      </c>
      <c r="J1122" s="30" t="inlineStr">
        <is>
          <t>AZURILL</t>
        </is>
      </c>
    </row>
    <row r="1123">
      <c r="A1123" s="35" t="inlineStr">
        <is>
          <t>Mont Creuset</t>
        </is>
      </c>
      <c r="B1123" s="35" t="inlineStr">
        <is>
          <t>MtMortar_B1F_hns</t>
        </is>
      </c>
      <c r="C1123" s="33" t="inlineStr">
        <is>
          <t>Matin, jour, soir</t>
        </is>
      </c>
      <c r="D1123" s="53" t="inlineStr">
        <is>
          <t>Surf</t>
        </is>
      </c>
      <c r="E1123" s="37" t="inlineStr">
        <is>
          <t>POISSOROY</t>
        </is>
      </c>
      <c r="F1123" s="38" t="n">
        <v>0.05</v>
      </c>
      <c r="G1123" s="39" t="n">
        <v>20</v>
      </c>
      <c r="H1123" s="39" t="n">
        <v>24</v>
      </c>
      <c r="I1123" s="29">
        <f>IF(OR(COUNTIF('Suivi des rencontres'!$A:$A,$A1123)&gt;0,COUNTIF('Suivi des rencontres'!$C:$C,$J1123)&gt;0),"Non","Oui")</f>
        <v/>
      </c>
      <c r="J1123" s="30" t="inlineStr">
        <is>
          <t>POISSIRENE</t>
        </is>
      </c>
    </row>
    <row r="1124">
      <c r="A1124" s="35" t="inlineStr">
        <is>
          <t>Mont Creuset</t>
        </is>
      </c>
      <c r="B1124" s="35" t="inlineStr">
        <is>
          <t>MtMortar_B1F_hns</t>
        </is>
      </c>
      <c r="C1124" s="62" t="inlineStr">
        <is>
          <t>Nuit</t>
        </is>
      </c>
      <c r="D1124" s="53" t="inlineStr">
        <is>
          <t>Surf</t>
        </is>
      </c>
      <c r="E1124" s="37" t="inlineStr">
        <is>
          <t>POISSIRENE</t>
        </is>
      </c>
      <c r="F1124" s="38" t="n">
        <v>0.64</v>
      </c>
      <c r="G1124" s="39" t="n">
        <v>15</v>
      </c>
      <c r="H1124" s="39" t="n">
        <v>19</v>
      </c>
      <c r="I1124" s="29">
        <f>IF(OR(COUNTIF('Suivi des rencontres'!$A:$A,$A1124)&gt;0,COUNTIF('Suivi des rencontres'!$C:$C,$J1124)&gt;0),"Non","Oui")</f>
        <v/>
      </c>
      <c r="J1124" s="30" t="inlineStr">
        <is>
          <t>POISSIRENE</t>
        </is>
      </c>
    </row>
    <row r="1125">
      <c r="A1125" s="35" t="inlineStr">
        <is>
          <t>Mont Creuset</t>
        </is>
      </c>
      <c r="B1125" s="35" t="inlineStr">
        <is>
          <t>MtMortar_B1F_hns</t>
        </is>
      </c>
      <c r="C1125" s="62" t="inlineStr">
        <is>
          <t>Nuit</t>
        </is>
      </c>
      <c r="D1125" s="53" t="inlineStr">
        <is>
          <t>Surf</t>
        </is>
      </c>
      <c r="E1125" s="37" t="inlineStr">
        <is>
          <t>MARILL</t>
        </is>
      </c>
      <c r="F1125" s="38" t="n">
        <v>0.31</v>
      </c>
      <c r="G1125" s="39" t="n">
        <v>20</v>
      </c>
      <c r="H1125" s="39" t="n">
        <v>24</v>
      </c>
      <c r="I1125" s="29">
        <f>IF(OR(COUNTIF('Suivi des rencontres'!$A:$A,$A1125)&gt;0,COUNTIF('Suivi des rencontres'!$C:$C,$J1125)&gt;0),"Non","Oui")</f>
        <v/>
      </c>
      <c r="J1125" s="30" t="inlineStr">
        <is>
          <t>AZURILL</t>
        </is>
      </c>
    </row>
    <row r="1126">
      <c r="A1126" s="35" t="inlineStr">
        <is>
          <t>Mont Creuset</t>
        </is>
      </c>
      <c r="B1126" s="35" t="inlineStr">
        <is>
          <t>MtMortar_B1F_hns</t>
        </is>
      </c>
      <c r="C1126" s="62" t="inlineStr">
        <is>
          <t>Nuit</t>
        </is>
      </c>
      <c r="D1126" s="53" t="inlineStr">
        <is>
          <t>Surf</t>
        </is>
      </c>
      <c r="E1126" s="37" t="inlineStr">
        <is>
          <t>POISSOROY</t>
        </is>
      </c>
      <c r="F1126" s="38" t="n">
        <v>0.05</v>
      </c>
      <c r="G1126" s="39" t="n">
        <v>20</v>
      </c>
      <c r="H1126" s="39" t="n">
        <v>24</v>
      </c>
      <c r="I1126" s="29">
        <f>IF(OR(COUNTIF('Suivi des rencontres'!$A:$A,$A1126)&gt;0,COUNTIF('Suivi des rencontres'!$C:$C,$J1126)&gt;0),"Non","Oui")</f>
        <v/>
      </c>
      <c r="J1126" s="30" t="inlineStr">
        <is>
          <t>POISSIRENE</t>
        </is>
      </c>
    </row>
    <row r="1127">
      <c r="A1127" s="35" t="inlineStr">
        <is>
          <t>Mont Creuset</t>
        </is>
      </c>
      <c r="B1127" s="35" t="inlineStr">
        <is>
          <t>MtMortar_B1F_hns</t>
        </is>
      </c>
      <c r="C1127" s="33" t="inlineStr">
        <is>
          <t>Matin, jour, soir</t>
        </is>
      </c>
      <c r="D1127" s="54" t="inlineStr">
        <is>
          <t>Vieille Canne</t>
        </is>
      </c>
      <c r="E1127" s="37" t="inlineStr">
        <is>
          <t>MAGICARPE</t>
        </is>
      </c>
      <c r="F1127" s="38" t="n">
        <v>0.7</v>
      </c>
      <c r="G1127" s="39" t="n">
        <v>10</v>
      </c>
      <c r="H1127" s="39" t="n">
        <v>10</v>
      </c>
      <c r="I1127" s="29">
        <f>IF(OR(COUNTIF('Suivi des rencontres'!$A:$A,$A1127)&gt;0,COUNTIF('Suivi des rencontres'!$C:$C,$J1127)&gt;0),"Non","Oui")</f>
        <v/>
      </c>
      <c r="J1127" s="30" t="inlineStr">
        <is>
          <t>MAGICARPE</t>
        </is>
      </c>
    </row>
    <row r="1128">
      <c r="A1128" s="35" t="inlineStr">
        <is>
          <t>Mont Creuset</t>
        </is>
      </c>
      <c r="B1128" s="35" t="inlineStr">
        <is>
          <t>MtMortar_B1F_hns</t>
        </is>
      </c>
      <c r="C1128" s="33" t="inlineStr">
        <is>
          <t>Matin, jour, soir</t>
        </is>
      </c>
      <c r="D1128" s="54" t="inlineStr">
        <is>
          <t>Vieille Canne</t>
        </is>
      </c>
      <c r="E1128" s="37" t="inlineStr">
        <is>
          <t>POISSIRENE</t>
        </is>
      </c>
      <c r="F1128" s="38" t="n">
        <v>0.3</v>
      </c>
      <c r="G1128" s="39" t="n">
        <v>10</v>
      </c>
      <c r="H1128" s="39" t="n">
        <v>10</v>
      </c>
      <c r="I1128" s="29">
        <f>IF(OR(COUNTIF('Suivi des rencontres'!$A:$A,$A1128)&gt;0,COUNTIF('Suivi des rencontres'!$C:$C,$J1128)&gt;0),"Non","Oui")</f>
        <v/>
      </c>
      <c r="J1128" s="30" t="inlineStr">
        <is>
          <t>POISSIRENE</t>
        </is>
      </c>
    </row>
    <row r="1129">
      <c r="A1129" s="35" t="inlineStr">
        <is>
          <t>Mont Creuset</t>
        </is>
      </c>
      <c r="B1129" s="35" t="inlineStr">
        <is>
          <t>MtMortar_B1F_hns</t>
        </is>
      </c>
      <c r="C1129" s="62" t="inlineStr">
        <is>
          <t>Nuit</t>
        </is>
      </c>
      <c r="D1129" s="54" t="inlineStr">
        <is>
          <t>Vieille Canne</t>
        </is>
      </c>
      <c r="E1129" s="37" t="inlineStr">
        <is>
          <t>MAGICARPE</t>
        </is>
      </c>
      <c r="F1129" s="38" t="n">
        <v>0.7</v>
      </c>
      <c r="G1129" s="39" t="n">
        <v>10</v>
      </c>
      <c r="H1129" s="39" t="n">
        <v>10</v>
      </c>
      <c r="I1129" s="29">
        <f>IF(OR(COUNTIF('Suivi des rencontres'!$A:$A,$A1129)&gt;0,COUNTIF('Suivi des rencontres'!$C:$C,$J1129)&gt;0),"Non","Oui")</f>
        <v/>
      </c>
      <c r="J1129" s="30" t="inlineStr">
        <is>
          <t>MAGICARPE</t>
        </is>
      </c>
    </row>
    <row r="1130">
      <c r="A1130" s="35" t="inlineStr">
        <is>
          <t>Mont Creuset</t>
        </is>
      </c>
      <c r="B1130" s="35" t="inlineStr">
        <is>
          <t>MtMortar_B1F_hns</t>
        </is>
      </c>
      <c r="C1130" s="62" t="inlineStr">
        <is>
          <t>Nuit</t>
        </is>
      </c>
      <c r="D1130" s="54" t="inlineStr">
        <is>
          <t>Vieille Canne</t>
        </is>
      </c>
      <c r="E1130" s="37" t="inlineStr">
        <is>
          <t>POISSIRENE</t>
        </is>
      </c>
      <c r="F1130" s="38" t="n">
        <v>0.3</v>
      </c>
      <c r="G1130" s="39" t="n">
        <v>10</v>
      </c>
      <c r="H1130" s="39" t="n">
        <v>10</v>
      </c>
      <c r="I1130" s="29">
        <f>IF(OR(COUNTIF('Suivi des rencontres'!$A:$A,$A1130)&gt;0,COUNTIF('Suivi des rencontres'!$C:$C,$J1130)&gt;0),"Non","Oui")</f>
        <v/>
      </c>
      <c r="J1130" s="30" t="inlineStr">
        <is>
          <t>POISSIRENE</t>
        </is>
      </c>
    </row>
    <row r="1131">
      <c r="A1131" s="35" t="inlineStr">
        <is>
          <t>Mont Creuset</t>
        </is>
      </c>
      <c r="B1131" s="35" t="inlineStr">
        <is>
          <t>MtMortar_B1F_hns</t>
        </is>
      </c>
      <c r="C1131" s="33" t="inlineStr">
        <is>
          <t>Matin, jour, soir</t>
        </is>
      </c>
      <c r="D1131" s="55" t="inlineStr">
        <is>
          <t>Bonne Canne</t>
        </is>
      </c>
      <c r="E1131" s="37" t="inlineStr">
        <is>
          <t>POISSIRENE</t>
        </is>
      </c>
      <c r="F1131" s="38" t="n">
        <v>0.8</v>
      </c>
      <c r="G1131" s="39" t="n">
        <v>20</v>
      </c>
      <c r="H1131" s="39" t="n">
        <v>40</v>
      </c>
      <c r="I1131" s="29">
        <f>IF(OR(COUNTIF('Suivi des rencontres'!$A:$A,$A1131)&gt;0,COUNTIF('Suivi des rencontres'!$C:$C,$J1131)&gt;0),"Non","Oui")</f>
        <v/>
      </c>
      <c r="J1131" s="30" t="inlineStr">
        <is>
          <t>POISSIRENE</t>
        </is>
      </c>
    </row>
    <row r="1132">
      <c r="A1132" s="35" t="inlineStr">
        <is>
          <t>Mont Creuset</t>
        </is>
      </c>
      <c r="B1132" s="35" t="inlineStr">
        <is>
          <t>MtMortar_B1F_hns</t>
        </is>
      </c>
      <c r="C1132" s="33" t="inlineStr">
        <is>
          <t>Matin, jour, soir</t>
        </is>
      </c>
      <c r="D1132" s="55" t="inlineStr">
        <is>
          <t>Bonne Canne</t>
        </is>
      </c>
      <c r="E1132" s="37" t="inlineStr">
        <is>
          <t>MAGICARPE</t>
        </is>
      </c>
      <c r="F1132" s="38" t="n">
        <v>0.2</v>
      </c>
      <c r="G1132" s="39" t="n">
        <v>20</v>
      </c>
      <c r="H1132" s="39" t="n">
        <v>20</v>
      </c>
      <c r="I1132" s="29">
        <f>IF(OR(COUNTIF('Suivi des rencontres'!$A:$A,$A1132)&gt;0,COUNTIF('Suivi des rencontres'!$C:$C,$J1132)&gt;0),"Non","Oui")</f>
        <v/>
      </c>
      <c r="J1132" s="30" t="inlineStr">
        <is>
          <t>MAGICARPE</t>
        </is>
      </c>
    </row>
    <row r="1133">
      <c r="A1133" s="35" t="inlineStr">
        <is>
          <t>Mont Creuset</t>
        </is>
      </c>
      <c r="B1133" s="35" t="inlineStr">
        <is>
          <t>MtMortar_B1F_hns</t>
        </is>
      </c>
      <c r="C1133" s="62" t="inlineStr">
        <is>
          <t>Nuit</t>
        </is>
      </c>
      <c r="D1133" s="55" t="inlineStr">
        <is>
          <t>Bonne Canne</t>
        </is>
      </c>
      <c r="E1133" s="37" t="inlineStr">
        <is>
          <t>POISSIRENE</t>
        </is>
      </c>
      <c r="F1133" s="38" t="n">
        <v>0.8</v>
      </c>
      <c r="G1133" s="39" t="n">
        <v>20</v>
      </c>
      <c r="H1133" s="39" t="n">
        <v>40</v>
      </c>
      <c r="I1133" s="29">
        <f>IF(OR(COUNTIF('Suivi des rencontres'!$A:$A,$A1133)&gt;0,COUNTIF('Suivi des rencontres'!$C:$C,$J1133)&gt;0),"Non","Oui")</f>
        <v/>
      </c>
      <c r="J1133" s="30" t="inlineStr">
        <is>
          <t>POISSIRENE</t>
        </is>
      </c>
    </row>
    <row r="1134">
      <c r="A1134" s="35" t="inlineStr">
        <is>
          <t>Mont Creuset</t>
        </is>
      </c>
      <c r="B1134" s="35" t="inlineStr">
        <is>
          <t>MtMortar_B1F_hns</t>
        </is>
      </c>
      <c r="C1134" s="62" t="inlineStr">
        <is>
          <t>Nuit</t>
        </is>
      </c>
      <c r="D1134" s="55" t="inlineStr">
        <is>
          <t>Bonne Canne</t>
        </is>
      </c>
      <c r="E1134" s="37" t="inlineStr">
        <is>
          <t>MAGICARPE</t>
        </is>
      </c>
      <c r="F1134" s="38" t="n">
        <v>0.2</v>
      </c>
      <c r="G1134" s="39" t="n">
        <v>20</v>
      </c>
      <c r="H1134" s="39" t="n">
        <v>20</v>
      </c>
      <c r="I1134" s="29">
        <f>IF(OR(COUNTIF('Suivi des rencontres'!$A:$A,$A1134)&gt;0,COUNTIF('Suivi des rencontres'!$C:$C,$J1134)&gt;0),"Non","Oui")</f>
        <v/>
      </c>
      <c r="J1134" s="30" t="inlineStr">
        <is>
          <t>MAGICARPE</t>
        </is>
      </c>
    </row>
    <row r="1135">
      <c r="A1135" s="35" t="inlineStr">
        <is>
          <t>Mont Creuset</t>
        </is>
      </c>
      <c r="B1135" s="35" t="inlineStr">
        <is>
          <t>MtMortar_B1F_hns</t>
        </is>
      </c>
      <c r="C1135" s="33" t="inlineStr">
        <is>
          <t>Matin, jour, soir</t>
        </is>
      </c>
      <c r="D1135" s="56" t="inlineStr">
        <is>
          <t>Super Canne</t>
        </is>
      </c>
      <c r="E1135" s="37" t="inlineStr">
        <is>
          <t>POISSOROY</t>
        </is>
      </c>
      <c r="F1135" s="38" t="n">
        <v>0.55</v>
      </c>
      <c r="G1135" s="39" t="n">
        <v>40</v>
      </c>
      <c r="H1135" s="39" t="n">
        <v>40</v>
      </c>
      <c r="I1135" s="29">
        <f>IF(OR(COUNTIF('Suivi des rencontres'!$A:$A,$A1135)&gt;0,COUNTIF('Suivi des rencontres'!$C:$C,$J1135)&gt;0),"Non","Oui")</f>
        <v/>
      </c>
      <c r="J1135" s="30" t="inlineStr">
        <is>
          <t>POISSIRENE</t>
        </is>
      </c>
    </row>
    <row r="1136">
      <c r="A1136" s="35" t="inlineStr">
        <is>
          <t>Mont Creuset</t>
        </is>
      </c>
      <c r="B1136" s="35" t="inlineStr">
        <is>
          <t>MtMortar_B1F_hns</t>
        </is>
      </c>
      <c r="C1136" s="33" t="inlineStr">
        <is>
          <t>Matin, jour, soir</t>
        </is>
      </c>
      <c r="D1136" s="56" t="inlineStr">
        <is>
          <t>Super Canne</t>
        </is>
      </c>
      <c r="E1136" s="37" t="inlineStr">
        <is>
          <t>MAGICARPE</t>
        </is>
      </c>
      <c r="F1136" s="38" t="n">
        <v>0.41</v>
      </c>
      <c r="G1136" s="39" t="n">
        <v>20</v>
      </c>
      <c r="H1136" s="39" t="n">
        <v>40</v>
      </c>
      <c r="I1136" s="29">
        <f>IF(OR(COUNTIF('Suivi des rencontres'!$A:$A,$A1136)&gt;0,COUNTIF('Suivi des rencontres'!$C:$C,$J1136)&gt;0),"Non","Oui")</f>
        <v/>
      </c>
      <c r="J1136" s="30" t="inlineStr">
        <is>
          <t>MAGICARPE</t>
        </is>
      </c>
    </row>
    <row r="1137">
      <c r="A1137" s="35" t="inlineStr">
        <is>
          <t>Mont Creuset</t>
        </is>
      </c>
      <c r="B1137" s="35" t="inlineStr">
        <is>
          <t>MtMortar_B1F_hns</t>
        </is>
      </c>
      <c r="C1137" s="33" t="inlineStr">
        <is>
          <t>Matin, jour, soir</t>
        </is>
      </c>
      <c r="D1137" s="56" t="inlineStr">
        <is>
          <t>Super Canne</t>
        </is>
      </c>
      <c r="E1137" s="37" t="inlineStr">
        <is>
          <t>POISSIRENE</t>
        </is>
      </c>
      <c r="F1137" s="38" t="n">
        <v>0.04</v>
      </c>
      <c r="G1137" s="39" t="n">
        <v>20</v>
      </c>
      <c r="H1137" s="39" t="n">
        <v>20</v>
      </c>
      <c r="I1137" s="29">
        <f>IF(OR(COUNTIF('Suivi des rencontres'!$A:$A,$A1137)&gt;0,COUNTIF('Suivi des rencontres'!$C:$C,$J1137)&gt;0),"Non","Oui")</f>
        <v/>
      </c>
      <c r="J1137" s="30" t="inlineStr">
        <is>
          <t>POISSIRENE</t>
        </is>
      </c>
    </row>
    <row r="1138">
      <c r="A1138" s="35" t="inlineStr">
        <is>
          <t>Mont Creuset</t>
        </is>
      </c>
      <c r="B1138" s="35" t="inlineStr">
        <is>
          <t>MtMortar_B1F_hns</t>
        </is>
      </c>
      <c r="C1138" s="62" t="inlineStr">
        <is>
          <t>Nuit</t>
        </is>
      </c>
      <c r="D1138" s="56" t="inlineStr">
        <is>
          <t>Super Canne</t>
        </is>
      </c>
      <c r="E1138" s="37" t="inlineStr">
        <is>
          <t>POISSOROY</t>
        </is>
      </c>
      <c r="F1138" s="38" t="n">
        <v>0.55</v>
      </c>
      <c r="G1138" s="39" t="n">
        <v>40</v>
      </c>
      <c r="H1138" s="39" t="n">
        <v>40</v>
      </c>
      <c r="I1138" s="29">
        <f>IF(OR(COUNTIF('Suivi des rencontres'!$A:$A,$A1138)&gt;0,COUNTIF('Suivi des rencontres'!$C:$C,$J1138)&gt;0),"Non","Oui")</f>
        <v/>
      </c>
      <c r="J1138" s="30" t="inlineStr">
        <is>
          <t>POISSIRENE</t>
        </is>
      </c>
    </row>
    <row r="1139">
      <c r="A1139" s="35" t="inlineStr">
        <is>
          <t>Mont Creuset</t>
        </is>
      </c>
      <c r="B1139" s="35" t="inlineStr">
        <is>
          <t>MtMortar_B1F_hns</t>
        </is>
      </c>
      <c r="C1139" s="62" t="inlineStr">
        <is>
          <t>Nuit</t>
        </is>
      </c>
      <c r="D1139" s="56" t="inlineStr">
        <is>
          <t>Super Canne</t>
        </is>
      </c>
      <c r="E1139" s="37" t="inlineStr">
        <is>
          <t>MAGICARPE</t>
        </is>
      </c>
      <c r="F1139" s="38" t="n">
        <v>0.41</v>
      </c>
      <c r="G1139" s="39" t="n">
        <v>20</v>
      </c>
      <c r="H1139" s="39" t="n">
        <v>40</v>
      </c>
      <c r="I1139" s="29">
        <f>IF(OR(COUNTIF('Suivi des rencontres'!$A:$A,$A1139)&gt;0,COUNTIF('Suivi des rencontres'!$C:$C,$J1139)&gt;0),"Non","Oui")</f>
        <v/>
      </c>
      <c r="J1139" s="30" t="inlineStr">
        <is>
          <t>MAGICARPE</t>
        </is>
      </c>
    </row>
    <row r="1140">
      <c r="A1140" s="35" t="inlineStr">
        <is>
          <t>Mont Creuset</t>
        </is>
      </c>
      <c r="B1140" s="35" t="inlineStr">
        <is>
          <t>MtMortar_B1F_hns</t>
        </is>
      </c>
      <c r="C1140" s="62" t="inlineStr">
        <is>
          <t>Nuit</t>
        </is>
      </c>
      <c r="D1140" s="56" t="inlineStr">
        <is>
          <t>Super Canne</t>
        </is>
      </c>
      <c r="E1140" s="37" t="inlineStr">
        <is>
          <t>POISSIRENE</t>
        </is>
      </c>
      <c r="F1140" s="38" t="n">
        <v>0.04</v>
      </c>
      <c r="G1140" s="39" t="n">
        <v>20</v>
      </c>
      <c r="H1140" s="39" t="n">
        <v>20</v>
      </c>
      <c r="I1140" s="29">
        <f>IF(OR(COUNTIF('Suivi des rencontres'!$A:$A,$A1140)&gt;0,COUNTIF('Suivi des rencontres'!$C:$C,$J1140)&gt;0),"Non","Oui")</f>
        <v/>
      </c>
      <c r="J1140" s="30" t="inlineStr">
        <is>
          <t>POISSIRENE</t>
        </is>
      </c>
    </row>
    <row r="1141">
      <c r="A1141" s="40" t="inlineStr">
        <is>
          <t>Mont Lanakila</t>
        </is>
      </c>
      <c r="B1141" s="40" t="inlineStr">
        <is>
          <t>UlaUla_Cave_hns</t>
        </is>
      </c>
      <c r="C1141" s="41" t="inlineStr">
        <is>
          <t>Toute la journée</t>
        </is>
      </c>
      <c r="D1141" s="42" t="inlineStr">
        <is>
          <t>Herbe</t>
        </is>
      </c>
      <c r="E1141" s="43" t="inlineStr">
        <is>
          <t>GOUPIX-A</t>
        </is>
      </c>
      <c r="F1141" s="44" t="n">
        <v>0.35</v>
      </c>
      <c r="G1141" s="45" t="n">
        <v>43</v>
      </c>
      <c r="H1141" s="45" t="n">
        <v>45</v>
      </c>
      <c r="I1141" s="46">
        <f>IF(OR(COUNTIF('Suivi des rencontres'!$A:$A,$A1141)&gt;0,COUNTIF('Suivi des rencontres'!$C:$C,$J1141)&gt;0),"Non","Oui")</f>
        <v/>
      </c>
      <c r="J1141" s="30" t="inlineStr">
        <is>
          <t>GOUPIX-A</t>
        </is>
      </c>
    </row>
    <row r="1142">
      <c r="A1142" s="47" t="inlineStr">
        <is>
          <t>Mont Lanakila</t>
        </is>
      </c>
      <c r="B1142" s="47" t="inlineStr">
        <is>
          <t>UlaUla_Cave_hns</t>
        </is>
      </c>
      <c r="C1142" s="48" t="inlineStr">
        <is>
          <t>Toute la journée</t>
        </is>
      </c>
      <c r="D1142" s="49" t="inlineStr">
        <is>
          <t>Herbe</t>
        </is>
      </c>
      <c r="E1142" s="50" t="inlineStr">
        <is>
          <t>SABELETTE-A</t>
        </is>
      </c>
      <c r="F1142" s="51" t="n">
        <v>0.35</v>
      </c>
      <c r="G1142" s="52" t="n">
        <v>43</v>
      </c>
      <c r="H1142" s="52" t="n">
        <v>45</v>
      </c>
      <c r="I1142" s="29">
        <f>IF(OR(COUNTIF('Suivi des rencontres'!$A:$A,$A1142)&gt;0,COUNTIF('Suivi des rencontres'!$C:$C,$J1142)&gt;0),"Non","Oui")</f>
        <v/>
      </c>
      <c r="J1142" s="30" t="inlineStr">
        <is>
          <t>SABELETTE-A</t>
        </is>
      </c>
    </row>
    <row r="1143">
      <c r="A1143" s="47" t="inlineStr">
        <is>
          <t>Mont Lanakila</t>
        </is>
      </c>
      <c r="B1143" s="47" t="inlineStr">
        <is>
          <t>UlaUla_Cave_hns</t>
        </is>
      </c>
      <c r="C1143" s="48" t="inlineStr">
        <is>
          <t>Toute la journée</t>
        </is>
      </c>
      <c r="D1143" s="49" t="inlineStr">
        <is>
          <t>Herbe</t>
        </is>
      </c>
      <c r="E1143" s="50" t="inlineStr">
        <is>
          <t>CADOIZO</t>
        </is>
      </c>
      <c r="F1143" s="51" t="n">
        <v>0.1</v>
      </c>
      <c r="G1143" s="52" t="n">
        <v>43</v>
      </c>
      <c r="H1143" s="52" t="n">
        <v>45</v>
      </c>
      <c r="I1143" s="29">
        <f>IF(OR(COUNTIF('Suivi des rencontres'!$A:$A,$A1143)&gt;0,COUNTIF('Suivi des rencontres'!$C:$C,$J1143)&gt;0),"Non","Oui")</f>
        <v/>
      </c>
      <c r="J1143" s="30" t="inlineStr">
        <is>
          <t>CADOIZO</t>
        </is>
      </c>
    </row>
    <row r="1144">
      <c r="A1144" s="47" t="inlineStr">
        <is>
          <t>Mont Lanakila</t>
        </is>
      </c>
      <c r="B1144" s="47" t="inlineStr">
        <is>
          <t>UlaUla_Cave_hns</t>
        </is>
      </c>
      <c r="C1144" s="48" t="inlineStr">
        <is>
          <t>Toute la journée</t>
        </is>
      </c>
      <c r="D1144" s="49" t="inlineStr">
        <is>
          <t>Herbe</t>
        </is>
      </c>
      <c r="E1144" s="50" t="inlineStr">
        <is>
          <t>FARFURET</t>
        </is>
      </c>
      <c r="F1144" s="51" t="n">
        <v>0.1</v>
      </c>
      <c r="G1144" s="52" t="n">
        <v>43</v>
      </c>
      <c r="H1144" s="52" t="n">
        <v>45</v>
      </c>
      <c r="I1144" s="29">
        <f>IF(OR(COUNTIF('Suivi des rencontres'!$A:$A,$A1144)&gt;0,COUNTIF('Suivi des rencontres'!$C:$C,$J1144)&gt;0),"Non","Oui")</f>
        <v/>
      </c>
      <c r="J1144" s="30" t="inlineStr">
        <is>
          <t>FARFURET</t>
        </is>
      </c>
    </row>
    <row r="1145">
      <c r="A1145" s="47" t="inlineStr">
        <is>
          <t>Mont Lanakila</t>
        </is>
      </c>
      <c r="B1145" s="47" t="inlineStr">
        <is>
          <t>UlaUla_Cave_hns</t>
        </is>
      </c>
      <c r="C1145" s="48" t="inlineStr">
        <is>
          <t>Toute la journée</t>
        </is>
      </c>
      <c r="D1145" s="49" t="inlineStr">
        <is>
          <t>Herbe</t>
        </is>
      </c>
      <c r="E1145" s="50" t="inlineStr">
        <is>
          <t>RAMBOUM</t>
        </is>
      </c>
      <c r="F1145" s="51" t="n">
        <v>0.05</v>
      </c>
      <c r="G1145" s="52" t="n">
        <v>43</v>
      </c>
      <c r="H1145" s="52" t="n">
        <v>45</v>
      </c>
      <c r="I1145" s="29">
        <f>IF(OR(COUNTIF('Suivi des rencontres'!$A:$A,$A1145)&gt;0,COUNTIF('Suivi des rencontres'!$C:$C,$J1145)&gt;0),"Non","Oui")</f>
        <v/>
      </c>
      <c r="J1145" s="30" t="inlineStr">
        <is>
          <t>CHUCHMUR</t>
        </is>
      </c>
    </row>
    <row r="1146">
      <c r="A1146" s="47" t="inlineStr">
        <is>
          <t>Mont Lanakila</t>
        </is>
      </c>
      <c r="B1146" s="47" t="inlineStr">
        <is>
          <t>UlaUla_Cave_hns</t>
        </is>
      </c>
      <c r="C1146" s="48" t="inlineStr">
        <is>
          <t>Toute la journée</t>
        </is>
      </c>
      <c r="D1146" s="49" t="inlineStr">
        <is>
          <t>Herbe</t>
        </is>
      </c>
      <c r="E1146" s="50" t="inlineStr">
        <is>
          <t>STALGAMIN</t>
        </is>
      </c>
      <c r="F1146" s="51" t="n">
        <v>0.05</v>
      </c>
      <c r="G1146" s="52" t="n">
        <v>43</v>
      </c>
      <c r="H1146" s="52" t="n">
        <v>45</v>
      </c>
      <c r="I1146" s="29">
        <f>IF(OR(COUNTIF('Suivi des rencontres'!$A:$A,$A1146)&gt;0,COUNTIF('Suivi des rencontres'!$C:$C,$J1146)&gt;0),"Non","Oui")</f>
        <v/>
      </c>
      <c r="J1146" s="30" t="inlineStr">
        <is>
          <t>STALGAMIN</t>
        </is>
      </c>
    </row>
    <row r="1147">
      <c r="A1147" s="57" t="inlineStr">
        <is>
          <t>Mont Sélénite</t>
        </is>
      </c>
      <c r="B1147" s="57" t="inlineStr">
        <is>
          <t>MtMoon_Cave_hns</t>
        </is>
      </c>
      <c r="C1147" s="58" t="inlineStr">
        <is>
          <t>Matin, jour, soir</t>
        </is>
      </c>
      <c r="D1147" s="42" t="inlineStr">
        <is>
          <t>Herbe</t>
        </is>
      </c>
      <c r="E1147" s="59" t="inlineStr">
        <is>
          <t>NOSFERAPTI</t>
        </is>
      </c>
      <c r="F1147" s="60" t="n">
        <v>0.3</v>
      </c>
      <c r="G1147" s="61" t="n">
        <v>46</v>
      </c>
      <c r="H1147" s="61" t="n">
        <v>48</v>
      </c>
      <c r="I1147" s="46">
        <f>IF(OR(COUNTIF('Suivi des rencontres'!$A:$A,$A1147)&gt;0,COUNTIF('Suivi des rencontres'!$C:$C,$J1147)&gt;0),"Non","Oui")</f>
        <v/>
      </c>
      <c r="J1147" s="30" t="inlineStr">
        <is>
          <t>NOSFERAPTI</t>
        </is>
      </c>
    </row>
    <row r="1148">
      <c r="A1148" s="35" t="inlineStr">
        <is>
          <t>Mont Sélénite</t>
        </is>
      </c>
      <c r="B1148" s="35" t="inlineStr">
        <is>
          <t>MtMoon_Cave_hns</t>
        </is>
      </c>
      <c r="C1148" s="33" t="inlineStr">
        <is>
          <t>Matin, jour, soir</t>
        </is>
      </c>
      <c r="D1148" s="49" t="inlineStr">
        <is>
          <t>Herbe</t>
        </is>
      </c>
      <c r="E1148" s="37" t="inlineStr">
        <is>
          <t>RACAILLOU</t>
        </is>
      </c>
      <c r="F1148" s="38" t="n">
        <v>0.3</v>
      </c>
      <c r="G1148" s="39" t="n">
        <v>48</v>
      </c>
      <c r="H1148" s="39" t="n">
        <v>48</v>
      </c>
      <c r="I1148" s="29">
        <f>IF(OR(COUNTIF('Suivi des rencontres'!$A:$A,$A1148)&gt;0,COUNTIF('Suivi des rencontres'!$C:$C,$J1148)&gt;0),"Non","Oui")</f>
        <v/>
      </c>
      <c r="J1148" s="30" t="inlineStr">
        <is>
          <t>RACAILLOU</t>
        </is>
      </c>
    </row>
    <row r="1149">
      <c r="A1149" s="35" t="inlineStr">
        <is>
          <t>Mont Sélénite</t>
        </is>
      </c>
      <c r="B1149" s="35" t="inlineStr">
        <is>
          <t>MtMoon_Cave_hns</t>
        </is>
      </c>
      <c r="C1149" s="33" t="inlineStr">
        <is>
          <t>Matin, jour, soir</t>
        </is>
      </c>
      <c r="D1149" s="49" t="inlineStr">
        <is>
          <t>Herbe</t>
        </is>
      </c>
      <c r="E1149" s="37" t="inlineStr">
        <is>
          <t>PARAS</t>
        </is>
      </c>
      <c r="F1149" s="38" t="n">
        <v>0.14</v>
      </c>
      <c r="G1149" s="39" t="n">
        <v>43</v>
      </c>
      <c r="H1149" s="39" t="n">
        <v>45</v>
      </c>
      <c r="I1149" s="29">
        <f>IF(OR(COUNTIF('Suivi des rencontres'!$A:$A,$A1149)&gt;0,COUNTIF('Suivi des rencontres'!$C:$C,$J1149)&gt;0),"Non","Oui")</f>
        <v/>
      </c>
      <c r="J1149" s="30" t="inlineStr">
        <is>
          <t>PARAS</t>
        </is>
      </c>
    </row>
    <row r="1150">
      <c r="A1150" s="35" t="inlineStr">
        <is>
          <t>Mont Sélénite</t>
        </is>
      </c>
      <c r="B1150" s="35" t="inlineStr">
        <is>
          <t>MtMoon_Cave_hns</t>
        </is>
      </c>
      <c r="C1150" s="33" t="inlineStr">
        <is>
          <t>Matin, jour, soir</t>
        </is>
      </c>
      <c r="D1150" s="49" t="inlineStr">
        <is>
          <t>Herbe</t>
        </is>
      </c>
      <c r="E1150" s="37" t="inlineStr">
        <is>
          <t>MELOFEE</t>
        </is>
      </c>
      <c r="F1150" s="38" t="n">
        <v>0.11</v>
      </c>
      <c r="G1150" s="39" t="n">
        <v>48</v>
      </c>
      <c r="H1150" s="39" t="n">
        <v>50</v>
      </c>
      <c r="I1150" s="29">
        <f>IF(OR(COUNTIF('Suivi des rencontres'!$A:$A,$A1150)&gt;0,COUNTIF('Suivi des rencontres'!$C:$C,$J1150)&gt;0),"Non","Oui")</f>
        <v/>
      </c>
      <c r="J1150" s="30" t="inlineStr">
        <is>
          <t>MELO</t>
        </is>
      </c>
    </row>
    <row r="1151">
      <c r="A1151" s="35" t="inlineStr">
        <is>
          <t>Mont Sélénite</t>
        </is>
      </c>
      <c r="B1151" s="35" t="inlineStr">
        <is>
          <t>MtMoon_Cave_hns</t>
        </is>
      </c>
      <c r="C1151" s="33" t="inlineStr">
        <is>
          <t>Matin, jour, soir</t>
        </is>
      </c>
      <c r="D1151" s="49" t="inlineStr">
        <is>
          <t>Herbe</t>
        </is>
      </c>
      <c r="E1151" s="37" t="inlineStr">
        <is>
          <t>SABELETTE</t>
        </is>
      </c>
      <c r="F1151" s="38" t="n">
        <v>0.1</v>
      </c>
      <c r="G1151" s="39" t="n">
        <v>48</v>
      </c>
      <c r="H1151" s="39" t="n">
        <v>50</v>
      </c>
      <c r="I1151" s="29">
        <f>IF(OR(COUNTIF('Suivi des rencontres'!$A:$A,$A1151)&gt;0,COUNTIF('Suivi des rencontres'!$C:$C,$J1151)&gt;0),"Non","Oui")</f>
        <v/>
      </c>
      <c r="J1151" s="30" t="inlineStr">
        <is>
          <t>SABELETTE</t>
        </is>
      </c>
    </row>
    <row r="1152">
      <c r="A1152" s="35" t="inlineStr">
        <is>
          <t>Mont Sélénite</t>
        </is>
      </c>
      <c r="B1152" s="35" t="inlineStr">
        <is>
          <t>MtMoon_Cave_hns</t>
        </is>
      </c>
      <c r="C1152" s="33" t="inlineStr">
        <is>
          <t>Matin, jour, soir</t>
        </is>
      </c>
      <c r="D1152" s="49" t="inlineStr">
        <is>
          <t>Herbe</t>
        </is>
      </c>
      <c r="E1152" s="37" t="inlineStr">
        <is>
          <t>SOLAROC</t>
        </is>
      </c>
      <c r="F1152" s="38" t="n">
        <v>0.05</v>
      </c>
      <c r="G1152" s="39" t="n">
        <v>48</v>
      </c>
      <c r="H1152" s="39" t="n">
        <v>50</v>
      </c>
      <c r="I1152" s="29">
        <f>IF(OR(COUNTIF('Suivi des rencontres'!$A:$A,$A1152)&gt;0,COUNTIF('Suivi des rencontres'!$C:$C,$J1152)&gt;0),"Non","Oui")</f>
        <v/>
      </c>
      <c r="J1152" s="30" t="inlineStr">
        <is>
          <t>SOLAROC</t>
        </is>
      </c>
    </row>
    <row r="1153">
      <c r="A1153" s="35" t="inlineStr">
        <is>
          <t>Mont Sélénite</t>
        </is>
      </c>
      <c r="B1153" s="35" t="inlineStr">
        <is>
          <t>MtMoon_Cave_hns</t>
        </is>
      </c>
      <c r="C1153" s="62" t="inlineStr">
        <is>
          <t>Nuit</t>
        </is>
      </c>
      <c r="D1153" s="49" t="inlineStr">
        <is>
          <t>Herbe</t>
        </is>
      </c>
      <c r="E1153" s="37" t="inlineStr">
        <is>
          <t>NOSFERAPTI</t>
        </is>
      </c>
      <c r="F1153" s="38" t="n">
        <v>0.3</v>
      </c>
      <c r="G1153" s="39" t="n">
        <v>46</v>
      </c>
      <c r="H1153" s="39" t="n">
        <v>48</v>
      </c>
      <c r="I1153" s="29">
        <f>IF(OR(COUNTIF('Suivi des rencontres'!$A:$A,$A1153)&gt;0,COUNTIF('Suivi des rencontres'!$C:$C,$J1153)&gt;0),"Non","Oui")</f>
        <v/>
      </c>
      <c r="J1153" s="30" t="inlineStr">
        <is>
          <t>NOSFERAPTI</t>
        </is>
      </c>
    </row>
    <row r="1154">
      <c r="A1154" s="35" t="inlineStr">
        <is>
          <t>Mont Sélénite</t>
        </is>
      </c>
      <c r="B1154" s="35" t="inlineStr">
        <is>
          <t>MtMoon_Cave_hns</t>
        </is>
      </c>
      <c r="C1154" s="62" t="inlineStr">
        <is>
          <t>Nuit</t>
        </is>
      </c>
      <c r="D1154" s="49" t="inlineStr">
        <is>
          <t>Herbe</t>
        </is>
      </c>
      <c r="E1154" s="37" t="inlineStr">
        <is>
          <t>RACAILLOU</t>
        </is>
      </c>
      <c r="F1154" s="38" t="n">
        <v>0.3</v>
      </c>
      <c r="G1154" s="39" t="n">
        <v>48</v>
      </c>
      <c r="H1154" s="39" t="n">
        <v>48</v>
      </c>
      <c r="I1154" s="29">
        <f>IF(OR(COUNTIF('Suivi des rencontres'!$A:$A,$A1154)&gt;0,COUNTIF('Suivi des rencontres'!$C:$C,$J1154)&gt;0),"Non","Oui")</f>
        <v/>
      </c>
      <c r="J1154" s="30" t="inlineStr">
        <is>
          <t>RACAILLOU</t>
        </is>
      </c>
    </row>
    <row r="1155">
      <c r="A1155" s="35" t="inlineStr">
        <is>
          <t>Mont Sélénite</t>
        </is>
      </c>
      <c r="B1155" s="35" t="inlineStr">
        <is>
          <t>MtMoon_Cave_hns</t>
        </is>
      </c>
      <c r="C1155" s="62" t="inlineStr">
        <is>
          <t>Nuit</t>
        </is>
      </c>
      <c r="D1155" s="49" t="inlineStr">
        <is>
          <t>Herbe</t>
        </is>
      </c>
      <c r="E1155" s="37" t="inlineStr">
        <is>
          <t>MELOFEE</t>
        </is>
      </c>
      <c r="F1155" s="38" t="n">
        <v>0.21</v>
      </c>
      <c r="G1155" s="39" t="n">
        <v>48</v>
      </c>
      <c r="H1155" s="39" t="n">
        <v>48</v>
      </c>
      <c r="I1155" s="29">
        <f>IF(OR(COUNTIF('Suivi des rencontres'!$A:$A,$A1155)&gt;0,COUNTIF('Suivi des rencontres'!$C:$C,$J1155)&gt;0),"Non","Oui")</f>
        <v/>
      </c>
      <c r="J1155" s="30" t="inlineStr">
        <is>
          <t>MELO</t>
        </is>
      </c>
    </row>
    <row r="1156">
      <c r="A1156" s="35" t="inlineStr">
        <is>
          <t>Mont Sélénite</t>
        </is>
      </c>
      <c r="B1156" s="35" t="inlineStr">
        <is>
          <t>MtMoon_Cave_hns</t>
        </is>
      </c>
      <c r="C1156" s="62" t="inlineStr">
        <is>
          <t>Nuit</t>
        </is>
      </c>
      <c r="D1156" s="49" t="inlineStr">
        <is>
          <t>Herbe</t>
        </is>
      </c>
      <c r="E1156" s="37" t="inlineStr">
        <is>
          <t>PARAS</t>
        </is>
      </c>
      <c r="F1156" s="38" t="n">
        <v>0.14</v>
      </c>
      <c r="G1156" s="39" t="n">
        <v>43</v>
      </c>
      <c r="H1156" s="39" t="n">
        <v>45</v>
      </c>
      <c r="I1156" s="29">
        <f>IF(OR(COUNTIF('Suivi des rencontres'!$A:$A,$A1156)&gt;0,COUNTIF('Suivi des rencontres'!$C:$C,$J1156)&gt;0),"Non","Oui")</f>
        <v/>
      </c>
      <c r="J1156" s="30" t="inlineStr">
        <is>
          <t>PARAS</t>
        </is>
      </c>
    </row>
    <row r="1157">
      <c r="A1157" s="35" t="inlineStr">
        <is>
          <t>Mont Sélénite</t>
        </is>
      </c>
      <c r="B1157" s="35" t="inlineStr">
        <is>
          <t>MtMoon_Cave_hns</t>
        </is>
      </c>
      <c r="C1157" s="62" t="inlineStr">
        <is>
          <t>Nuit</t>
        </is>
      </c>
      <c r="D1157" s="49" t="inlineStr">
        <is>
          <t>Herbe</t>
        </is>
      </c>
      <c r="E1157" s="37" t="inlineStr">
        <is>
          <t>SELEROC</t>
        </is>
      </c>
      <c r="F1157" s="38" t="n">
        <v>0.05</v>
      </c>
      <c r="G1157" s="39" t="n">
        <v>48</v>
      </c>
      <c r="H1157" s="39" t="n">
        <v>48</v>
      </c>
      <c r="I1157" s="29">
        <f>IF(OR(COUNTIF('Suivi des rencontres'!$A:$A,$A1157)&gt;0,COUNTIF('Suivi des rencontres'!$C:$C,$J1157)&gt;0),"Non","Oui")</f>
        <v/>
      </c>
      <c r="J1157" s="30" t="inlineStr">
        <is>
          <t>SELEROC</t>
        </is>
      </c>
    </row>
    <row r="1158">
      <c r="A1158" s="40" t="inlineStr">
        <is>
          <t>New Sinjoh</t>
        </is>
      </c>
      <c r="B1158" s="40" t="inlineStr">
        <is>
          <t>NewSinjoh_HotSprings_hns</t>
        </is>
      </c>
      <c r="C1158" s="41" t="inlineStr">
        <is>
          <t>Toute la journée</t>
        </is>
      </c>
      <c r="D1158" s="42" t="inlineStr">
        <is>
          <t>Herbe</t>
        </is>
      </c>
      <c r="E1158" s="43" t="inlineStr">
        <is>
          <t>CANINOS-H</t>
        </is>
      </c>
      <c r="F1158" s="44" t="n">
        <v>0.3</v>
      </c>
      <c r="G1158" s="45" t="n">
        <v>45</v>
      </c>
      <c r="H1158" s="45" t="n">
        <v>60</v>
      </c>
      <c r="I1158" s="46">
        <f>IF(OR(COUNTIF('Suivi des rencontres'!$A:$A,$A1158)&gt;0,COUNTIF('Suivi des rencontres'!$C:$C,$J1158)&gt;0),"Non","Oui")</f>
        <v/>
      </c>
      <c r="J1158" s="30" t="inlineStr">
        <is>
          <t>CANINOS-H</t>
        </is>
      </c>
    </row>
    <row r="1159">
      <c r="A1159" s="47" t="inlineStr">
        <is>
          <t>New Sinjoh</t>
        </is>
      </c>
      <c r="B1159" s="47" t="inlineStr">
        <is>
          <t>NewSinjoh_HotSprings_hns</t>
        </is>
      </c>
      <c r="C1159" s="48" t="inlineStr">
        <is>
          <t>Toute la journée</t>
        </is>
      </c>
      <c r="D1159" s="49" t="inlineStr">
        <is>
          <t>Herbe</t>
        </is>
      </c>
      <c r="E1159" s="50" t="inlineStr">
        <is>
          <t>MAGMAR</t>
        </is>
      </c>
      <c r="F1159" s="51" t="n">
        <v>0.2</v>
      </c>
      <c r="G1159" s="52" t="n">
        <v>45</v>
      </c>
      <c r="H1159" s="52" t="n">
        <v>60</v>
      </c>
      <c r="I1159" s="29">
        <f>IF(OR(COUNTIF('Suivi des rencontres'!$A:$A,$A1159)&gt;0,COUNTIF('Suivi des rencontres'!$C:$C,$J1159)&gt;0),"Non","Oui")</f>
        <v/>
      </c>
      <c r="J1159" s="30" t="inlineStr">
        <is>
          <t>MAGBY</t>
        </is>
      </c>
    </row>
    <row r="1160">
      <c r="A1160" s="47" t="inlineStr">
        <is>
          <t>New Sinjoh</t>
        </is>
      </c>
      <c r="B1160" s="47" t="inlineStr">
        <is>
          <t>NewSinjoh_HotSprings_hns</t>
        </is>
      </c>
      <c r="C1160" s="48" t="inlineStr">
        <is>
          <t>Toute la journée</t>
        </is>
      </c>
      <c r="D1160" s="49" t="inlineStr">
        <is>
          <t>Herbe</t>
        </is>
      </c>
      <c r="E1160" s="50" t="inlineStr">
        <is>
          <t>RHINOCORNE</t>
        </is>
      </c>
      <c r="F1160" s="51" t="n">
        <v>0.2</v>
      </c>
      <c r="G1160" s="52" t="n">
        <v>45</v>
      </c>
      <c r="H1160" s="52" t="n">
        <v>60</v>
      </c>
      <c r="I1160" s="29">
        <f>IF(OR(COUNTIF('Suivi des rencontres'!$A:$A,$A1160)&gt;0,COUNTIF('Suivi des rencontres'!$C:$C,$J1160)&gt;0),"Non","Oui")</f>
        <v/>
      </c>
      <c r="J1160" s="30" t="inlineStr">
        <is>
          <t>RHINOCORNE</t>
        </is>
      </c>
    </row>
    <row r="1161">
      <c r="A1161" s="47" t="inlineStr">
        <is>
          <t>New Sinjoh</t>
        </is>
      </c>
      <c r="B1161" s="47" t="inlineStr">
        <is>
          <t>NewSinjoh_HotSprings_hns</t>
        </is>
      </c>
      <c r="C1161" s="48" t="inlineStr">
        <is>
          <t>Toute la journée</t>
        </is>
      </c>
      <c r="D1161" s="49" t="inlineStr">
        <is>
          <t>Herbe</t>
        </is>
      </c>
      <c r="E1161" s="50" t="inlineStr">
        <is>
          <t>VOLCAROPOD</t>
        </is>
      </c>
      <c r="F1161" s="51" t="n">
        <v>0.1</v>
      </c>
      <c r="G1161" s="52" t="n">
        <v>45</v>
      </c>
      <c r="H1161" s="52" t="n">
        <v>60</v>
      </c>
      <c r="I1161" s="29">
        <f>IF(OR(COUNTIF('Suivi des rencontres'!$A:$A,$A1161)&gt;0,COUNTIF('Suivi des rencontres'!$C:$C,$J1161)&gt;0),"Non","Oui")</f>
        <v/>
      </c>
      <c r="J1161" s="30" t="inlineStr">
        <is>
          <t>LIMAGMA</t>
        </is>
      </c>
    </row>
    <row r="1162">
      <c r="A1162" s="47" t="inlineStr">
        <is>
          <t>New Sinjoh</t>
        </is>
      </c>
      <c r="B1162" s="47" t="inlineStr">
        <is>
          <t>NewSinjoh_HotSprings_hns</t>
        </is>
      </c>
      <c r="C1162" s="48" t="inlineStr">
        <is>
          <t>Toute la journée</t>
        </is>
      </c>
      <c r="D1162" s="49" t="inlineStr">
        <is>
          <t>Herbe</t>
        </is>
      </c>
      <c r="E1162" s="50" t="inlineStr">
        <is>
          <t>ARCANIN-H</t>
        </is>
      </c>
      <c r="F1162" s="51" t="n">
        <v>0.05</v>
      </c>
      <c r="G1162" s="52" t="n">
        <v>45</v>
      </c>
      <c r="H1162" s="52" t="n">
        <v>70</v>
      </c>
      <c r="I1162" s="29">
        <f>IF(OR(COUNTIF('Suivi des rencontres'!$A:$A,$A1162)&gt;0,COUNTIF('Suivi des rencontres'!$C:$C,$J1162)&gt;0),"Non","Oui")</f>
        <v/>
      </c>
      <c r="J1162" s="30" t="inlineStr">
        <is>
          <t>CANINOS-H</t>
        </is>
      </c>
    </row>
    <row r="1163">
      <c r="A1163" s="47" t="inlineStr">
        <is>
          <t>New Sinjoh</t>
        </is>
      </c>
      <c r="B1163" s="47" t="inlineStr">
        <is>
          <t>NewSinjoh_HotSprings_hns</t>
        </is>
      </c>
      <c r="C1163" s="48" t="inlineStr">
        <is>
          <t>Toute la journée</t>
        </is>
      </c>
      <c r="D1163" s="49" t="inlineStr">
        <is>
          <t>Herbe</t>
        </is>
      </c>
      <c r="E1163" s="50" t="inlineStr">
        <is>
          <t>CHARTOR</t>
        </is>
      </c>
      <c r="F1163" s="51" t="n">
        <v>0.05</v>
      </c>
      <c r="G1163" s="52" t="n">
        <v>45</v>
      </c>
      <c r="H1163" s="52" t="n">
        <v>70</v>
      </c>
      <c r="I1163" s="29">
        <f>IF(OR(COUNTIF('Suivi des rencontres'!$A:$A,$A1163)&gt;0,COUNTIF('Suivi des rencontres'!$C:$C,$J1163)&gt;0),"Non","Oui")</f>
        <v/>
      </c>
      <c r="J1163" s="30" t="inlineStr">
        <is>
          <t>CHARTOR</t>
        </is>
      </c>
    </row>
    <row r="1164">
      <c r="A1164" s="47" t="inlineStr">
        <is>
          <t>New Sinjoh</t>
        </is>
      </c>
      <c r="B1164" s="47" t="inlineStr">
        <is>
          <t>NewSinjoh_HotSprings_hns</t>
        </is>
      </c>
      <c r="C1164" s="48" t="inlineStr">
        <is>
          <t>Toute la journée</t>
        </is>
      </c>
      <c r="D1164" s="49" t="inlineStr">
        <is>
          <t>Herbe</t>
        </is>
      </c>
      <c r="E1164" s="50" t="inlineStr">
        <is>
          <t>RHINOFEROS</t>
        </is>
      </c>
      <c r="F1164" s="51" t="n">
        <v>0.05</v>
      </c>
      <c r="G1164" s="52" t="n">
        <v>45</v>
      </c>
      <c r="H1164" s="52" t="n">
        <v>60</v>
      </c>
      <c r="I1164" s="29">
        <f>IF(OR(COUNTIF('Suivi des rencontres'!$A:$A,$A1164)&gt;0,COUNTIF('Suivi des rencontres'!$C:$C,$J1164)&gt;0),"Non","Oui")</f>
        <v/>
      </c>
      <c r="J1164" s="30" t="inlineStr">
        <is>
          <t>RHINOCORNE</t>
        </is>
      </c>
    </row>
    <row r="1165">
      <c r="A1165" s="47" t="inlineStr">
        <is>
          <t>New Sinjoh</t>
        </is>
      </c>
      <c r="B1165" s="47" t="inlineStr">
        <is>
          <t>NewSinjoh_HotSprings_hns</t>
        </is>
      </c>
      <c r="C1165" s="48" t="inlineStr">
        <is>
          <t>Toute la journée</t>
        </is>
      </c>
      <c r="D1165" s="49" t="inlineStr">
        <is>
          <t>Herbe</t>
        </is>
      </c>
      <c r="E1165" s="50" t="inlineStr">
        <is>
          <t>URSAKING</t>
        </is>
      </c>
      <c r="F1165" s="51" t="n">
        <v>0.05</v>
      </c>
      <c r="G1165" s="52" t="n">
        <v>45</v>
      </c>
      <c r="H1165" s="52" t="n">
        <v>60</v>
      </c>
      <c r="I1165" s="29">
        <f>IF(OR(COUNTIF('Suivi des rencontres'!$A:$A,$A1165)&gt;0,COUNTIF('Suivi des rencontres'!$C:$C,$J1165)&gt;0),"Non","Oui")</f>
        <v/>
      </c>
      <c r="J1165" s="30" t="inlineStr">
        <is>
          <t>TEDDIURSA</t>
        </is>
      </c>
    </row>
    <row r="1166">
      <c r="A1166" s="57" t="inlineStr">
        <is>
          <t>Oliville</t>
        </is>
      </c>
      <c r="B1166" s="57" t="inlineStr">
        <is>
          <t>OlivineCity_PortOutside_hns</t>
        </is>
      </c>
      <c r="C1166" s="58" t="inlineStr">
        <is>
          <t>Matin, jour, soir</t>
        </is>
      </c>
      <c r="D1166" s="63" t="inlineStr">
        <is>
          <t>Surf</t>
        </is>
      </c>
      <c r="E1166" s="59" t="inlineStr">
        <is>
          <t>TENTACOOL</t>
        </is>
      </c>
      <c r="F1166" s="60" t="n">
        <v>0.96</v>
      </c>
      <c r="G1166" s="61" t="n">
        <v>15</v>
      </c>
      <c r="H1166" s="61" t="n">
        <v>24</v>
      </c>
      <c r="I1166" s="46">
        <f>IF(OR(COUNTIF('Suivi des rencontres'!$A:$A,$A1166)&gt;0,COUNTIF('Suivi des rencontres'!$C:$C,$J1166)&gt;0),"Non","Oui")</f>
        <v/>
      </c>
      <c r="J1166" s="30" t="inlineStr">
        <is>
          <t>TENTACOOL</t>
        </is>
      </c>
    </row>
    <row r="1167">
      <c r="A1167" s="35" t="inlineStr">
        <is>
          <t>Oliville</t>
        </is>
      </c>
      <c r="B1167" s="35" t="inlineStr">
        <is>
          <t>OlivineCity_PortOutside_hns</t>
        </is>
      </c>
      <c r="C1167" s="33" t="inlineStr">
        <is>
          <t>Matin, jour, soir</t>
        </is>
      </c>
      <c r="D1167" s="53" t="inlineStr">
        <is>
          <t>Surf</t>
        </is>
      </c>
      <c r="E1167" s="37" t="inlineStr">
        <is>
          <t>TENTACRUEL</t>
        </is>
      </c>
      <c r="F1167" s="38" t="n">
        <v>0.04</v>
      </c>
      <c r="G1167" s="39" t="n">
        <v>20</v>
      </c>
      <c r="H1167" s="39" t="n">
        <v>24</v>
      </c>
      <c r="I1167" s="29">
        <f>IF(OR(COUNTIF('Suivi des rencontres'!$A:$A,$A1167)&gt;0,COUNTIF('Suivi des rencontres'!$C:$C,$J1167)&gt;0),"Non","Oui")</f>
        <v/>
      </c>
      <c r="J1167" s="30" t="inlineStr">
        <is>
          <t>TENTACOOL</t>
        </is>
      </c>
    </row>
    <row r="1168">
      <c r="A1168" s="35" t="inlineStr">
        <is>
          <t>Oliville</t>
        </is>
      </c>
      <c r="B1168" s="35" t="inlineStr">
        <is>
          <t>OlivineCity_PortOutside_hns</t>
        </is>
      </c>
      <c r="C1168" s="62" t="inlineStr">
        <is>
          <t>Nuit</t>
        </is>
      </c>
      <c r="D1168" s="53" t="inlineStr">
        <is>
          <t>Surf</t>
        </is>
      </c>
      <c r="E1168" s="37" t="inlineStr">
        <is>
          <t>TENTACOOL</t>
        </is>
      </c>
      <c r="F1168" s="38" t="n">
        <v>0.96</v>
      </c>
      <c r="G1168" s="39" t="n">
        <v>15</v>
      </c>
      <c r="H1168" s="39" t="n">
        <v>24</v>
      </c>
      <c r="I1168" s="29">
        <f>IF(OR(COUNTIF('Suivi des rencontres'!$A:$A,$A1168)&gt;0,COUNTIF('Suivi des rencontres'!$C:$C,$J1168)&gt;0),"Non","Oui")</f>
        <v/>
      </c>
      <c r="J1168" s="30" t="inlineStr">
        <is>
          <t>TENTACOOL</t>
        </is>
      </c>
    </row>
    <row r="1169">
      <c r="A1169" s="35" t="inlineStr">
        <is>
          <t>Oliville</t>
        </is>
      </c>
      <c r="B1169" s="35" t="inlineStr">
        <is>
          <t>OlivineCity_PortOutside_hns</t>
        </is>
      </c>
      <c r="C1169" s="62" t="inlineStr">
        <is>
          <t>Nuit</t>
        </is>
      </c>
      <c r="D1169" s="53" t="inlineStr">
        <is>
          <t>Surf</t>
        </is>
      </c>
      <c r="E1169" s="37" t="inlineStr">
        <is>
          <t>TENTACRUEL</t>
        </is>
      </c>
      <c r="F1169" s="38" t="n">
        <v>0.04</v>
      </c>
      <c r="G1169" s="39" t="n">
        <v>20</v>
      </c>
      <c r="H1169" s="39" t="n">
        <v>24</v>
      </c>
      <c r="I1169" s="29">
        <f>IF(OR(COUNTIF('Suivi des rencontres'!$A:$A,$A1169)&gt;0,COUNTIF('Suivi des rencontres'!$C:$C,$J1169)&gt;0),"Non","Oui")</f>
        <v/>
      </c>
      <c r="J1169" s="30" t="inlineStr">
        <is>
          <t>TENTACOOL</t>
        </is>
      </c>
    </row>
    <row r="1170">
      <c r="A1170" s="35" t="inlineStr">
        <is>
          <t>Oliville</t>
        </is>
      </c>
      <c r="B1170" s="35" t="inlineStr">
        <is>
          <t>OlivineCity_PortOutside_hns</t>
        </is>
      </c>
      <c r="C1170" s="33" t="inlineStr">
        <is>
          <t>Matin, jour, soir</t>
        </is>
      </c>
      <c r="D1170" s="54" t="inlineStr">
        <is>
          <t>Vieille Canne</t>
        </is>
      </c>
      <c r="E1170" s="37" t="inlineStr">
        <is>
          <t>MAGICARPE</t>
        </is>
      </c>
      <c r="F1170" s="38" t="n">
        <v>0.7</v>
      </c>
      <c r="G1170" s="39" t="n">
        <v>10</v>
      </c>
      <c r="H1170" s="39" t="n">
        <v>10</v>
      </c>
      <c r="I1170" s="29">
        <f>IF(OR(COUNTIF('Suivi des rencontres'!$A:$A,$A1170)&gt;0,COUNTIF('Suivi des rencontres'!$C:$C,$J1170)&gt;0),"Non","Oui")</f>
        <v/>
      </c>
      <c r="J1170" s="30" t="inlineStr">
        <is>
          <t>MAGICARPE</t>
        </is>
      </c>
    </row>
    <row r="1171">
      <c r="A1171" s="35" t="inlineStr">
        <is>
          <t>Oliville</t>
        </is>
      </c>
      <c r="B1171" s="35" t="inlineStr">
        <is>
          <t>OlivineCity_PortOutside_hns</t>
        </is>
      </c>
      <c r="C1171" s="33" t="inlineStr">
        <is>
          <t>Matin, jour, soir</t>
        </is>
      </c>
      <c r="D1171" s="54" t="inlineStr">
        <is>
          <t>Vieille Canne</t>
        </is>
      </c>
      <c r="E1171" s="37" t="inlineStr">
        <is>
          <t>TENTACOOL</t>
        </is>
      </c>
      <c r="F1171" s="38" t="n">
        <v>0.3</v>
      </c>
      <c r="G1171" s="39" t="n">
        <v>10</v>
      </c>
      <c r="H1171" s="39" t="n">
        <v>10</v>
      </c>
      <c r="I1171" s="29">
        <f>IF(OR(COUNTIF('Suivi des rencontres'!$A:$A,$A1171)&gt;0,COUNTIF('Suivi des rencontres'!$C:$C,$J1171)&gt;0),"Non","Oui")</f>
        <v/>
      </c>
      <c r="J1171" s="30" t="inlineStr">
        <is>
          <t>TENTACOOL</t>
        </is>
      </c>
    </row>
    <row r="1172">
      <c r="A1172" s="35" t="inlineStr">
        <is>
          <t>Oliville</t>
        </is>
      </c>
      <c r="B1172" s="35" t="inlineStr">
        <is>
          <t>OlivineCity_PortOutside_hns</t>
        </is>
      </c>
      <c r="C1172" s="62" t="inlineStr">
        <is>
          <t>Nuit</t>
        </is>
      </c>
      <c r="D1172" s="54" t="inlineStr">
        <is>
          <t>Vieille Canne</t>
        </is>
      </c>
      <c r="E1172" s="37" t="inlineStr">
        <is>
          <t>MAGICARPE</t>
        </is>
      </c>
      <c r="F1172" s="38" t="n">
        <v>0.7</v>
      </c>
      <c r="G1172" s="39" t="n">
        <v>10</v>
      </c>
      <c r="H1172" s="39" t="n">
        <v>10</v>
      </c>
      <c r="I1172" s="29">
        <f>IF(OR(COUNTIF('Suivi des rencontres'!$A:$A,$A1172)&gt;0,COUNTIF('Suivi des rencontres'!$C:$C,$J1172)&gt;0),"Non","Oui")</f>
        <v/>
      </c>
      <c r="J1172" s="30" t="inlineStr">
        <is>
          <t>MAGICARPE</t>
        </is>
      </c>
    </row>
    <row r="1173">
      <c r="A1173" s="35" t="inlineStr">
        <is>
          <t>Oliville</t>
        </is>
      </c>
      <c r="B1173" s="35" t="inlineStr">
        <is>
          <t>OlivineCity_PortOutside_hns</t>
        </is>
      </c>
      <c r="C1173" s="62" t="inlineStr">
        <is>
          <t>Nuit</t>
        </is>
      </c>
      <c r="D1173" s="54" t="inlineStr">
        <is>
          <t>Vieille Canne</t>
        </is>
      </c>
      <c r="E1173" s="37" t="inlineStr">
        <is>
          <t>TENTACOOL</t>
        </is>
      </c>
      <c r="F1173" s="38" t="n">
        <v>0.3</v>
      </c>
      <c r="G1173" s="39" t="n">
        <v>10</v>
      </c>
      <c r="H1173" s="39" t="n">
        <v>10</v>
      </c>
      <c r="I1173" s="29">
        <f>IF(OR(COUNTIF('Suivi des rencontres'!$A:$A,$A1173)&gt;0,COUNTIF('Suivi des rencontres'!$C:$C,$J1173)&gt;0),"Non","Oui")</f>
        <v/>
      </c>
      <c r="J1173" s="30" t="inlineStr">
        <is>
          <t>TENTACOOL</t>
        </is>
      </c>
    </row>
    <row r="1174">
      <c r="A1174" s="35" t="inlineStr">
        <is>
          <t>Oliville</t>
        </is>
      </c>
      <c r="B1174" s="35" t="inlineStr">
        <is>
          <t>OlivineCity_PortOutside_hns</t>
        </is>
      </c>
      <c r="C1174" s="33" t="inlineStr">
        <is>
          <t>Matin, jour, soir</t>
        </is>
      </c>
      <c r="D1174" s="55" t="inlineStr">
        <is>
          <t>Bonne Canne</t>
        </is>
      </c>
      <c r="E1174" s="37" t="inlineStr">
        <is>
          <t>MAGICARPE</t>
        </is>
      </c>
      <c r="F1174" s="38" t="n">
        <v>0.6</v>
      </c>
      <c r="G1174" s="39" t="n">
        <v>20</v>
      </c>
      <c r="H1174" s="39" t="n">
        <v>20</v>
      </c>
      <c r="I1174" s="29">
        <f>IF(OR(COUNTIF('Suivi des rencontres'!$A:$A,$A1174)&gt;0,COUNTIF('Suivi des rencontres'!$C:$C,$J1174)&gt;0),"Non","Oui")</f>
        <v/>
      </c>
      <c r="J1174" s="30" t="inlineStr">
        <is>
          <t>MAGICARPE</t>
        </is>
      </c>
    </row>
    <row r="1175">
      <c r="A1175" s="35" t="inlineStr">
        <is>
          <t>Oliville</t>
        </is>
      </c>
      <c r="B1175" s="35" t="inlineStr">
        <is>
          <t>OlivineCity_PortOutside_hns</t>
        </is>
      </c>
      <c r="C1175" s="33" t="inlineStr">
        <is>
          <t>Matin, jour, soir</t>
        </is>
      </c>
      <c r="D1175" s="55" t="inlineStr">
        <is>
          <t>Bonne Canne</t>
        </is>
      </c>
      <c r="E1175" s="37" t="inlineStr">
        <is>
          <t>LOUPIO</t>
        </is>
      </c>
      <c r="F1175" s="38" t="n">
        <v>0.2</v>
      </c>
      <c r="G1175" s="39" t="n">
        <v>20</v>
      </c>
      <c r="H1175" s="39" t="n">
        <v>20</v>
      </c>
      <c r="I1175" s="29">
        <f>IF(OR(COUNTIF('Suivi des rencontres'!$A:$A,$A1175)&gt;0,COUNTIF('Suivi des rencontres'!$C:$C,$J1175)&gt;0),"Non","Oui")</f>
        <v/>
      </c>
      <c r="J1175" s="30" t="inlineStr">
        <is>
          <t>LOUPIO</t>
        </is>
      </c>
    </row>
    <row r="1176">
      <c r="A1176" s="35" t="inlineStr">
        <is>
          <t>Oliville</t>
        </is>
      </c>
      <c r="B1176" s="35" t="inlineStr">
        <is>
          <t>OlivineCity_PortOutside_hns</t>
        </is>
      </c>
      <c r="C1176" s="33" t="inlineStr">
        <is>
          <t>Matin, jour, soir</t>
        </is>
      </c>
      <c r="D1176" s="55" t="inlineStr">
        <is>
          <t>Bonne Canne</t>
        </is>
      </c>
      <c r="E1176" s="37" t="inlineStr">
        <is>
          <t>TENTACOOL</t>
        </is>
      </c>
      <c r="F1176" s="38" t="n">
        <v>0.2</v>
      </c>
      <c r="G1176" s="39" t="n">
        <v>20</v>
      </c>
      <c r="H1176" s="39" t="n">
        <v>20</v>
      </c>
      <c r="I1176" s="29">
        <f>IF(OR(COUNTIF('Suivi des rencontres'!$A:$A,$A1176)&gt;0,COUNTIF('Suivi des rencontres'!$C:$C,$J1176)&gt;0),"Non","Oui")</f>
        <v/>
      </c>
      <c r="J1176" s="30" t="inlineStr">
        <is>
          <t>TENTACOOL</t>
        </is>
      </c>
    </row>
    <row r="1177">
      <c r="A1177" s="35" t="inlineStr">
        <is>
          <t>Oliville</t>
        </is>
      </c>
      <c r="B1177" s="35" t="inlineStr">
        <is>
          <t>OlivineCity_PortOutside_hns</t>
        </is>
      </c>
      <c r="C1177" s="62" t="inlineStr">
        <is>
          <t>Nuit</t>
        </is>
      </c>
      <c r="D1177" s="55" t="inlineStr">
        <is>
          <t>Bonne Canne</t>
        </is>
      </c>
      <c r="E1177" s="37" t="inlineStr">
        <is>
          <t>MAGICARPE</t>
        </is>
      </c>
      <c r="F1177" s="38" t="n">
        <v>0.6</v>
      </c>
      <c r="G1177" s="39" t="n">
        <v>20</v>
      </c>
      <c r="H1177" s="39" t="n">
        <v>20</v>
      </c>
      <c r="I1177" s="29">
        <f>IF(OR(COUNTIF('Suivi des rencontres'!$A:$A,$A1177)&gt;0,COUNTIF('Suivi des rencontres'!$C:$C,$J1177)&gt;0),"Non","Oui")</f>
        <v/>
      </c>
      <c r="J1177" s="30" t="inlineStr">
        <is>
          <t>MAGICARPE</t>
        </is>
      </c>
    </row>
    <row r="1178">
      <c r="A1178" s="35" t="inlineStr">
        <is>
          <t>Oliville</t>
        </is>
      </c>
      <c r="B1178" s="35" t="inlineStr">
        <is>
          <t>OlivineCity_PortOutside_hns</t>
        </is>
      </c>
      <c r="C1178" s="62" t="inlineStr">
        <is>
          <t>Nuit</t>
        </is>
      </c>
      <c r="D1178" s="55" t="inlineStr">
        <is>
          <t>Bonne Canne</t>
        </is>
      </c>
      <c r="E1178" s="37" t="inlineStr">
        <is>
          <t>LOUPIO</t>
        </is>
      </c>
      <c r="F1178" s="38" t="n">
        <v>0.2</v>
      </c>
      <c r="G1178" s="39" t="n">
        <v>20</v>
      </c>
      <c r="H1178" s="39" t="n">
        <v>20</v>
      </c>
      <c r="I1178" s="29">
        <f>IF(OR(COUNTIF('Suivi des rencontres'!$A:$A,$A1178)&gt;0,COUNTIF('Suivi des rencontres'!$C:$C,$J1178)&gt;0),"Non","Oui")</f>
        <v/>
      </c>
      <c r="J1178" s="30" t="inlineStr">
        <is>
          <t>LOUPIO</t>
        </is>
      </c>
    </row>
    <row r="1179">
      <c r="A1179" s="35" t="inlineStr">
        <is>
          <t>Oliville</t>
        </is>
      </c>
      <c r="B1179" s="35" t="inlineStr">
        <is>
          <t>OlivineCity_PortOutside_hns</t>
        </is>
      </c>
      <c r="C1179" s="62" t="inlineStr">
        <is>
          <t>Nuit</t>
        </is>
      </c>
      <c r="D1179" s="55" t="inlineStr">
        <is>
          <t>Bonne Canne</t>
        </is>
      </c>
      <c r="E1179" s="37" t="inlineStr">
        <is>
          <t>TENTACOOL</t>
        </is>
      </c>
      <c r="F1179" s="38" t="n">
        <v>0.2</v>
      </c>
      <c r="G1179" s="39" t="n">
        <v>20</v>
      </c>
      <c r="H1179" s="39" t="n">
        <v>20</v>
      </c>
      <c r="I1179" s="29">
        <f>IF(OR(COUNTIF('Suivi des rencontres'!$A:$A,$A1179)&gt;0,COUNTIF('Suivi des rencontres'!$C:$C,$J1179)&gt;0),"Non","Oui")</f>
        <v/>
      </c>
      <c r="J1179" s="30" t="inlineStr">
        <is>
          <t>TENTACOOL</t>
        </is>
      </c>
    </row>
    <row r="1180">
      <c r="A1180" s="35" t="inlineStr">
        <is>
          <t>Oliville</t>
        </is>
      </c>
      <c r="B1180" s="35" t="inlineStr">
        <is>
          <t>OlivineCity_PortOutside_hns</t>
        </is>
      </c>
      <c r="C1180" s="33" t="inlineStr">
        <is>
          <t>Matin, jour, soir</t>
        </is>
      </c>
      <c r="D1180" s="56" t="inlineStr">
        <is>
          <t>Super Canne</t>
        </is>
      </c>
      <c r="E1180" s="37" t="inlineStr">
        <is>
          <t>KOKIYAS</t>
        </is>
      </c>
      <c r="F1180" s="38" t="n">
        <v>0.55</v>
      </c>
      <c r="G1180" s="39" t="n">
        <v>20</v>
      </c>
      <c r="H1180" s="39" t="n">
        <v>40</v>
      </c>
      <c r="I1180" s="29">
        <f>IF(OR(COUNTIF('Suivi des rencontres'!$A:$A,$A1180)&gt;0,COUNTIF('Suivi des rencontres'!$C:$C,$J1180)&gt;0),"Non","Oui")</f>
        <v/>
      </c>
      <c r="J1180" s="30" t="inlineStr">
        <is>
          <t>KOKIYAS</t>
        </is>
      </c>
    </row>
    <row r="1181">
      <c r="A1181" s="35" t="inlineStr">
        <is>
          <t>Oliville</t>
        </is>
      </c>
      <c r="B1181" s="35" t="inlineStr">
        <is>
          <t>OlivineCity_PortOutside_hns</t>
        </is>
      </c>
      <c r="C1181" s="33" t="inlineStr">
        <is>
          <t>Matin, jour, soir</t>
        </is>
      </c>
      <c r="D1181" s="56" t="inlineStr">
        <is>
          <t>Super Canne</t>
        </is>
      </c>
      <c r="E1181" s="37" t="inlineStr">
        <is>
          <t>LOUPIO</t>
        </is>
      </c>
      <c r="F1181" s="38" t="n">
        <v>0.4</v>
      </c>
      <c r="G1181" s="39" t="n">
        <v>40</v>
      </c>
      <c r="H1181" s="39" t="n">
        <v>40</v>
      </c>
      <c r="I1181" s="29">
        <f>IF(OR(COUNTIF('Suivi des rencontres'!$A:$A,$A1181)&gt;0,COUNTIF('Suivi des rencontres'!$C:$C,$J1181)&gt;0),"Non","Oui")</f>
        <v/>
      </c>
      <c r="J1181" s="30" t="inlineStr">
        <is>
          <t>LOUPIO</t>
        </is>
      </c>
    </row>
    <row r="1182">
      <c r="A1182" s="35" t="inlineStr">
        <is>
          <t>Oliville</t>
        </is>
      </c>
      <c r="B1182" s="35" t="inlineStr">
        <is>
          <t>OlivineCity_PortOutside_hns</t>
        </is>
      </c>
      <c r="C1182" s="33" t="inlineStr">
        <is>
          <t>Matin, jour, soir</t>
        </is>
      </c>
      <c r="D1182" s="56" t="inlineStr">
        <is>
          <t>Super Canne</t>
        </is>
      </c>
      <c r="E1182" s="37" t="inlineStr">
        <is>
          <t>TENTACRUEL</t>
        </is>
      </c>
      <c r="F1182" s="38" t="n">
        <v>0.04</v>
      </c>
      <c r="G1182" s="39" t="n">
        <v>40</v>
      </c>
      <c r="H1182" s="39" t="n">
        <v>40</v>
      </c>
      <c r="I1182" s="29">
        <f>IF(OR(COUNTIF('Suivi des rencontres'!$A:$A,$A1182)&gt;0,COUNTIF('Suivi des rencontres'!$C:$C,$J1182)&gt;0),"Non","Oui")</f>
        <v/>
      </c>
      <c r="J1182" s="30" t="inlineStr">
        <is>
          <t>TENTACOOL</t>
        </is>
      </c>
    </row>
    <row r="1183">
      <c r="A1183" s="35" t="inlineStr">
        <is>
          <t>Oliville</t>
        </is>
      </c>
      <c r="B1183" s="35" t="inlineStr">
        <is>
          <t>OlivineCity_PortOutside_hns</t>
        </is>
      </c>
      <c r="C1183" s="33" t="inlineStr">
        <is>
          <t>Matin, jour, soir</t>
        </is>
      </c>
      <c r="D1183" s="56" t="inlineStr">
        <is>
          <t>Super Canne</t>
        </is>
      </c>
      <c r="E1183" s="37" t="inlineStr">
        <is>
          <t>LANTURN</t>
        </is>
      </c>
      <c r="F1183" s="38" t="n">
        <v>0.01</v>
      </c>
      <c r="G1183" s="39" t="n">
        <v>40</v>
      </c>
      <c r="H1183" s="39" t="n">
        <v>40</v>
      </c>
      <c r="I1183" s="29">
        <f>IF(OR(COUNTIF('Suivi des rencontres'!$A:$A,$A1183)&gt;0,COUNTIF('Suivi des rencontres'!$C:$C,$J1183)&gt;0),"Non","Oui")</f>
        <v/>
      </c>
      <c r="J1183" s="30" t="inlineStr">
        <is>
          <t>LOUPIO</t>
        </is>
      </c>
    </row>
    <row r="1184">
      <c r="A1184" s="35" t="inlineStr">
        <is>
          <t>Oliville</t>
        </is>
      </c>
      <c r="B1184" s="35" t="inlineStr">
        <is>
          <t>OlivineCity_PortOutside_hns</t>
        </is>
      </c>
      <c r="C1184" s="62" t="inlineStr">
        <is>
          <t>Nuit</t>
        </is>
      </c>
      <c r="D1184" s="56" t="inlineStr">
        <is>
          <t>Super Canne</t>
        </is>
      </c>
      <c r="E1184" s="37" t="inlineStr">
        <is>
          <t>KOKIYAS</t>
        </is>
      </c>
      <c r="F1184" s="38" t="n">
        <v>0.55</v>
      </c>
      <c r="G1184" s="39" t="n">
        <v>20</v>
      </c>
      <c r="H1184" s="39" t="n">
        <v>40</v>
      </c>
      <c r="I1184" s="29">
        <f>IF(OR(COUNTIF('Suivi des rencontres'!$A:$A,$A1184)&gt;0,COUNTIF('Suivi des rencontres'!$C:$C,$J1184)&gt;0),"Non","Oui")</f>
        <v/>
      </c>
      <c r="J1184" s="30" t="inlineStr">
        <is>
          <t>KOKIYAS</t>
        </is>
      </c>
    </row>
    <row r="1185">
      <c r="A1185" s="35" t="inlineStr">
        <is>
          <t>Oliville</t>
        </is>
      </c>
      <c r="B1185" s="35" t="inlineStr">
        <is>
          <t>OlivineCity_PortOutside_hns</t>
        </is>
      </c>
      <c r="C1185" s="62" t="inlineStr">
        <is>
          <t>Nuit</t>
        </is>
      </c>
      <c r="D1185" s="56" t="inlineStr">
        <is>
          <t>Super Canne</t>
        </is>
      </c>
      <c r="E1185" s="37" t="inlineStr">
        <is>
          <t>LOUPIO</t>
        </is>
      </c>
      <c r="F1185" s="38" t="n">
        <v>0.4</v>
      </c>
      <c r="G1185" s="39" t="n">
        <v>40</v>
      </c>
      <c r="H1185" s="39" t="n">
        <v>40</v>
      </c>
      <c r="I1185" s="29">
        <f>IF(OR(COUNTIF('Suivi des rencontres'!$A:$A,$A1185)&gt;0,COUNTIF('Suivi des rencontres'!$C:$C,$J1185)&gt;0),"Non","Oui")</f>
        <v/>
      </c>
      <c r="J1185" s="30" t="inlineStr">
        <is>
          <t>LOUPIO</t>
        </is>
      </c>
    </row>
    <row r="1186">
      <c r="A1186" s="35" t="inlineStr">
        <is>
          <t>Oliville</t>
        </is>
      </c>
      <c r="B1186" s="35" t="inlineStr">
        <is>
          <t>OlivineCity_PortOutside_hns</t>
        </is>
      </c>
      <c r="C1186" s="62" t="inlineStr">
        <is>
          <t>Nuit</t>
        </is>
      </c>
      <c r="D1186" s="56" t="inlineStr">
        <is>
          <t>Super Canne</t>
        </is>
      </c>
      <c r="E1186" s="37" t="inlineStr">
        <is>
          <t>TENTACRUEL</t>
        </is>
      </c>
      <c r="F1186" s="38" t="n">
        <v>0.04</v>
      </c>
      <c r="G1186" s="39" t="n">
        <v>40</v>
      </c>
      <c r="H1186" s="39" t="n">
        <v>40</v>
      </c>
      <c r="I1186" s="29">
        <f>IF(OR(COUNTIF('Suivi des rencontres'!$A:$A,$A1186)&gt;0,COUNTIF('Suivi des rencontres'!$C:$C,$J1186)&gt;0),"Non","Oui")</f>
        <v/>
      </c>
      <c r="J1186" s="30" t="inlineStr">
        <is>
          <t>TENTACOOL</t>
        </is>
      </c>
    </row>
    <row r="1187">
      <c r="A1187" s="35" t="inlineStr">
        <is>
          <t>Oliville</t>
        </is>
      </c>
      <c r="B1187" s="35" t="inlineStr">
        <is>
          <t>OlivineCity_PortOutside_hns</t>
        </is>
      </c>
      <c r="C1187" s="62" t="inlineStr">
        <is>
          <t>Nuit</t>
        </is>
      </c>
      <c r="D1187" s="56" t="inlineStr">
        <is>
          <t>Super Canne</t>
        </is>
      </c>
      <c r="E1187" s="37" t="inlineStr">
        <is>
          <t>LANTURN</t>
        </is>
      </c>
      <c r="F1187" s="38" t="n">
        <v>0.01</v>
      </c>
      <c r="G1187" s="39" t="n">
        <v>40</v>
      </c>
      <c r="H1187" s="39" t="n">
        <v>40</v>
      </c>
      <c r="I1187" s="29">
        <f>IF(OR(COUNTIF('Suivi des rencontres'!$A:$A,$A1187)&gt;0,COUNTIF('Suivi des rencontres'!$C:$C,$J1187)&gt;0),"Non","Oui")</f>
        <v/>
      </c>
      <c r="J1187" s="30" t="inlineStr">
        <is>
          <t>LOUPIO</t>
        </is>
      </c>
    </row>
    <row r="1188">
      <c r="A1188" s="35" t="inlineStr">
        <is>
          <t>Oliville</t>
        </is>
      </c>
      <c r="B1188" s="35" t="inlineStr">
        <is>
          <t>OlivineCity_hns</t>
        </is>
      </c>
      <c r="C1188" s="33" t="inlineStr">
        <is>
          <t>Matin, jour, soir</t>
        </is>
      </c>
      <c r="D1188" s="53" t="inlineStr">
        <is>
          <t>Surf</t>
        </is>
      </c>
      <c r="E1188" s="37" t="inlineStr">
        <is>
          <t>TENTACOOL</t>
        </is>
      </c>
      <c r="F1188" s="38" t="n">
        <v>0.96</v>
      </c>
      <c r="G1188" s="39" t="n">
        <v>15</v>
      </c>
      <c r="H1188" s="39" t="n">
        <v>24</v>
      </c>
      <c r="I1188" s="29">
        <f>IF(OR(COUNTIF('Suivi des rencontres'!$A:$A,$A1188)&gt;0,COUNTIF('Suivi des rencontres'!$C:$C,$J1188)&gt;0),"Non","Oui")</f>
        <v/>
      </c>
      <c r="J1188" s="30" t="inlineStr">
        <is>
          <t>TENTACOOL</t>
        </is>
      </c>
    </row>
    <row r="1189">
      <c r="A1189" s="35" t="inlineStr">
        <is>
          <t>Oliville</t>
        </is>
      </c>
      <c r="B1189" s="35" t="inlineStr">
        <is>
          <t>OlivineCity_hns</t>
        </is>
      </c>
      <c r="C1189" s="33" t="inlineStr">
        <is>
          <t>Matin, jour, soir</t>
        </is>
      </c>
      <c r="D1189" s="53" t="inlineStr">
        <is>
          <t>Surf</t>
        </is>
      </c>
      <c r="E1189" s="37" t="inlineStr">
        <is>
          <t>TENTACRUEL</t>
        </is>
      </c>
      <c r="F1189" s="38" t="n">
        <v>0.04</v>
      </c>
      <c r="G1189" s="39" t="n">
        <v>20</v>
      </c>
      <c r="H1189" s="39" t="n">
        <v>24</v>
      </c>
      <c r="I1189" s="29">
        <f>IF(OR(COUNTIF('Suivi des rencontres'!$A:$A,$A1189)&gt;0,COUNTIF('Suivi des rencontres'!$C:$C,$J1189)&gt;0),"Non","Oui")</f>
        <v/>
      </c>
      <c r="J1189" s="30" t="inlineStr">
        <is>
          <t>TENTACOOL</t>
        </is>
      </c>
    </row>
    <row r="1190">
      <c r="A1190" s="35" t="inlineStr">
        <is>
          <t>Oliville</t>
        </is>
      </c>
      <c r="B1190" s="35" t="inlineStr">
        <is>
          <t>OlivineCity_hns</t>
        </is>
      </c>
      <c r="C1190" s="62" t="inlineStr">
        <is>
          <t>Nuit</t>
        </is>
      </c>
      <c r="D1190" s="53" t="inlineStr">
        <is>
          <t>Surf</t>
        </is>
      </c>
      <c r="E1190" s="37" t="inlineStr">
        <is>
          <t>TENTACOOL</t>
        </is>
      </c>
      <c r="F1190" s="38" t="n">
        <v>0.96</v>
      </c>
      <c r="G1190" s="39" t="n">
        <v>15</v>
      </c>
      <c r="H1190" s="39" t="n">
        <v>24</v>
      </c>
      <c r="I1190" s="29">
        <f>IF(OR(COUNTIF('Suivi des rencontres'!$A:$A,$A1190)&gt;0,COUNTIF('Suivi des rencontres'!$C:$C,$J1190)&gt;0),"Non","Oui")</f>
        <v/>
      </c>
      <c r="J1190" s="30" t="inlineStr">
        <is>
          <t>TENTACOOL</t>
        </is>
      </c>
    </row>
    <row r="1191">
      <c r="A1191" s="35" t="inlineStr">
        <is>
          <t>Oliville</t>
        </is>
      </c>
      <c r="B1191" s="35" t="inlineStr">
        <is>
          <t>OlivineCity_hns</t>
        </is>
      </c>
      <c r="C1191" s="62" t="inlineStr">
        <is>
          <t>Nuit</t>
        </is>
      </c>
      <c r="D1191" s="53" t="inlineStr">
        <is>
          <t>Surf</t>
        </is>
      </c>
      <c r="E1191" s="37" t="inlineStr">
        <is>
          <t>TENTACRUEL</t>
        </is>
      </c>
      <c r="F1191" s="38" t="n">
        <v>0.04</v>
      </c>
      <c r="G1191" s="39" t="n">
        <v>20</v>
      </c>
      <c r="H1191" s="39" t="n">
        <v>24</v>
      </c>
      <c r="I1191" s="29">
        <f>IF(OR(COUNTIF('Suivi des rencontres'!$A:$A,$A1191)&gt;0,COUNTIF('Suivi des rencontres'!$C:$C,$J1191)&gt;0),"Non","Oui")</f>
        <v/>
      </c>
      <c r="J1191" s="30" t="inlineStr">
        <is>
          <t>TENTACOOL</t>
        </is>
      </c>
    </row>
    <row r="1192">
      <c r="A1192" s="35" t="inlineStr">
        <is>
          <t>Oliville</t>
        </is>
      </c>
      <c r="B1192" s="35" t="inlineStr">
        <is>
          <t>OlivineCity_hns</t>
        </is>
      </c>
      <c r="C1192" s="33" t="inlineStr">
        <is>
          <t>Matin, jour, soir</t>
        </is>
      </c>
      <c r="D1192" s="36" t="inlineStr">
        <is>
          <t>Éclate-Roc</t>
        </is>
      </c>
      <c r="E1192" s="37" t="inlineStr">
        <is>
          <t>POMDEPIK</t>
        </is>
      </c>
      <c r="F1192" s="38" t="n">
        <v>0.6</v>
      </c>
      <c r="G1192" s="39" t="n">
        <v>10</v>
      </c>
      <c r="H1192" s="39" t="n">
        <v>10</v>
      </c>
      <c r="I1192" s="29">
        <f>IF(OR(COUNTIF('Suivi des rencontres'!$A:$A,$A1192)&gt;0,COUNTIF('Suivi des rencontres'!$C:$C,$J1192)&gt;0),"Non","Oui")</f>
        <v/>
      </c>
      <c r="J1192" s="30" t="inlineStr">
        <is>
          <t>POMDEPIK</t>
        </is>
      </c>
    </row>
    <row r="1193">
      <c r="A1193" s="35" t="inlineStr">
        <is>
          <t>Oliville</t>
        </is>
      </c>
      <c r="B1193" s="35" t="inlineStr">
        <is>
          <t>OlivineCity_hns</t>
        </is>
      </c>
      <c r="C1193" s="33" t="inlineStr">
        <is>
          <t>Matin, jour, soir</t>
        </is>
      </c>
      <c r="D1193" s="36" t="inlineStr">
        <is>
          <t>Éclate-Roc</t>
        </is>
      </c>
      <c r="E1193" s="37" t="inlineStr">
        <is>
          <t>NOEUNOEUF</t>
        </is>
      </c>
      <c r="F1193" s="38" t="n">
        <v>0.3</v>
      </c>
      <c r="G1193" s="39" t="n">
        <v>10</v>
      </c>
      <c r="H1193" s="39" t="n">
        <v>10</v>
      </c>
      <c r="I1193" s="29">
        <f>IF(OR(COUNTIF('Suivi des rencontres'!$A:$A,$A1193)&gt;0,COUNTIF('Suivi des rencontres'!$C:$C,$J1193)&gt;0),"Non","Oui")</f>
        <v/>
      </c>
      <c r="J1193" s="30" t="inlineStr">
        <is>
          <t>NOEUNOEUF</t>
        </is>
      </c>
    </row>
    <row r="1194">
      <c r="A1194" s="35" t="inlineStr">
        <is>
          <t>Oliville</t>
        </is>
      </c>
      <c r="B1194" s="35" t="inlineStr">
        <is>
          <t>OlivineCity_hns</t>
        </is>
      </c>
      <c r="C1194" s="33" t="inlineStr">
        <is>
          <t>Matin, jour, soir</t>
        </is>
      </c>
      <c r="D1194" s="36" t="inlineStr">
        <is>
          <t>Éclate-Roc</t>
        </is>
      </c>
      <c r="E1194" s="37" t="inlineStr">
        <is>
          <t>COXY</t>
        </is>
      </c>
      <c r="F1194" s="38" t="n">
        <v>0.05</v>
      </c>
      <c r="G1194" s="39" t="n">
        <v>10</v>
      </c>
      <c r="H1194" s="39" t="n">
        <v>10</v>
      </c>
      <c r="I1194" s="29">
        <f>IF(OR(COUNTIF('Suivi des rencontres'!$A:$A,$A1194)&gt;0,COUNTIF('Suivi des rencontres'!$C:$C,$J1194)&gt;0),"Non","Oui")</f>
        <v/>
      </c>
      <c r="J1194" s="30" t="inlineStr">
        <is>
          <t>COXY</t>
        </is>
      </c>
    </row>
    <row r="1195">
      <c r="A1195" s="35" t="inlineStr">
        <is>
          <t>Oliville</t>
        </is>
      </c>
      <c r="B1195" s="35" t="inlineStr">
        <is>
          <t>OlivineCity_hns</t>
        </is>
      </c>
      <c r="C1195" s="33" t="inlineStr">
        <is>
          <t>Matin, jour, soir</t>
        </is>
      </c>
      <c r="D1195" s="36" t="inlineStr">
        <is>
          <t>Éclate-Roc</t>
        </is>
      </c>
      <c r="E1195" s="37" t="inlineStr">
        <is>
          <t>MIMIGAL</t>
        </is>
      </c>
      <c r="F1195" s="38" t="n">
        <v>0.05</v>
      </c>
      <c r="G1195" s="39" t="n">
        <v>10</v>
      </c>
      <c r="H1195" s="39" t="n">
        <v>10</v>
      </c>
      <c r="I1195" s="29">
        <f>IF(OR(COUNTIF('Suivi des rencontres'!$A:$A,$A1195)&gt;0,COUNTIF('Suivi des rencontres'!$C:$C,$J1195)&gt;0),"Non","Oui")</f>
        <v/>
      </c>
      <c r="J1195" s="30" t="inlineStr">
        <is>
          <t>MIMIGAL</t>
        </is>
      </c>
    </row>
    <row r="1196">
      <c r="A1196" s="35" t="inlineStr">
        <is>
          <t>Oliville</t>
        </is>
      </c>
      <c r="B1196" s="35" t="inlineStr">
        <is>
          <t>OlivineCity_hns</t>
        </is>
      </c>
      <c r="C1196" s="62" t="inlineStr">
        <is>
          <t>Nuit</t>
        </is>
      </c>
      <c r="D1196" s="36" t="inlineStr">
        <is>
          <t>Éclate-Roc</t>
        </is>
      </c>
      <c r="E1196" s="37" t="inlineStr">
        <is>
          <t>POMDEPIK</t>
        </is>
      </c>
      <c r="F1196" s="38" t="n">
        <v>0.6</v>
      </c>
      <c r="G1196" s="39" t="n">
        <v>10</v>
      </c>
      <c r="H1196" s="39" t="n">
        <v>10</v>
      </c>
      <c r="I1196" s="29">
        <f>IF(OR(COUNTIF('Suivi des rencontres'!$A:$A,$A1196)&gt;0,COUNTIF('Suivi des rencontres'!$C:$C,$J1196)&gt;0),"Non","Oui")</f>
        <v/>
      </c>
      <c r="J1196" s="30" t="inlineStr">
        <is>
          <t>POMDEPIK</t>
        </is>
      </c>
    </row>
    <row r="1197">
      <c r="A1197" s="35" t="inlineStr">
        <is>
          <t>Oliville</t>
        </is>
      </c>
      <c r="B1197" s="35" t="inlineStr">
        <is>
          <t>OlivineCity_hns</t>
        </is>
      </c>
      <c r="C1197" s="62" t="inlineStr">
        <is>
          <t>Nuit</t>
        </is>
      </c>
      <c r="D1197" s="36" t="inlineStr">
        <is>
          <t>Éclate-Roc</t>
        </is>
      </c>
      <c r="E1197" s="37" t="inlineStr">
        <is>
          <t>NOEUNOEUF</t>
        </is>
      </c>
      <c r="F1197" s="38" t="n">
        <v>0.3</v>
      </c>
      <c r="G1197" s="39" t="n">
        <v>10</v>
      </c>
      <c r="H1197" s="39" t="n">
        <v>10</v>
      </c>
      <c r="I1197" s="29">
        <f>IF(OR(COUNTIF('Suivi des rencontres'!$A:$A,$A1197)&gt;0,COUNTIF('Suivi des rencontres'!$C:$C,$J1197)&gt;0),"Non","Oui")</f>
        <v/>
      </c>
      <c r="J1197" s="30" t="inlineStr">
        <is>
          <t>NOEUNOEUF</t>
        </is>
      </c>
    </row>
    <row r="1198">
      <c r="A1198" s="35" t="inlineStr">
        <is>
          <t>Oliville</t>
        </is>
      </c>
      <c r="B1198" s="35" t="inlineStr">
        <is>
          <t>OlivineCity_hns</t>
        </is>
      </c>
      <c r="C1198" s="62" t="inlineStr">
        <is>
          <t>Nuit</t>
        </is>
      </c>
      <c r="D1198" s="36" t="inlineStr">
        <is>
          <t>Éclate-Roc</t>
        </is>
      </c>
      <c r="E1198" s="37" t="inlineStr">
        <is>
          <t>COXY</t>
        </is>
      </c>
      <c r="F1198" s="38" t="n">
        <v>0.05</v>
      </c>
      <c r="G1198" s="39" t="n">
        <v>10</v>
      </c>
      <c r="H1198" s="39" t="n">
        <v>10</v>
      </c>
      <c r="I1198" s="29">
        <f>IF(OR(COUNTIF('Suivi des rencontres'!$A:$A,$A1198)&gt;0,COUNTIF('Suivi des rencontres'!$C:$C,$J1198)&gt;0),"Non","Oui")</f>
        <v/>
      </c>
      <c r="J1198" s="30" t="inlineStr">
        <is>
          <t>COXY</t>
        </is>
      </c>
    </row>
    <row r="1199">
      <c r="A1199" s="35" t="inlineStr">
        <is>
          <t>Oliville</t>
        </is>
      </c>
      <c r="B1199" s="35" t="inlineStr">
        <is>
          <t>OlivineCity_hns</t>
        </is>
      </c>
      <c r="C1199" s="62" t="inlineStr">
        <is>
          <t>Nuit</t>
        </is>
      </c>
      <c r="D1199" s="36" t="inlineStr">
        <is>
          <t>Éclate-Roc</t>
        </is>
      </c>
      <c r="E1199" s="37" t="inlineStr">
        <is>
          <t>MIMIGAL</t>
        </is>
      </c>
      <c r="F1199" s="38" t="n">
        <v>0.05</v>
      </c>
      <c r="G1199" s="39" t="n">
        <v>10</v>
      </c>
      <c r="H1199" s="39" t="n">
        <v>10</v>
      </c>
      <c r="I1199" s="29">
        <f>IF(OR(COUNTIF('Suivi des rencontres'!$A:$A,$A1199)&gt;0,COUNTIF('Suivi des rencontres'!$C:$C,$J1199)&gt;0),"Non","Oui")</f>
        <v/>
      </c>
      <c r="J1199" s="30" t="inlineStr">
        <is>
          <t>MIMIGAL</t>
        </is>
      </c>
    </row>
    <row r="1200">
      <c r="A1200" s="35" t="inlineStr">
        <is>
          <t>Oliville</t>
        </is>
      </c>
      <c r="B1200" s="35" t="inlineStr">
        <is>
          <t>OlivineCity_hns</t>
        </is>
      </c>
      <c r="C1200" s="33" t="inlineStr">
        <is>
          <t>Matin, jour, soir</t>
        </is>
      </c>
      <c r="D1200" s="54" t="inlineStr">
        <is>
          <t>Vieille Canne</t>
        </is>
      </c>
      <c r="E1200" s="37" t="inlineStr">
        <is>
          <t>MAGICARPE</t>
        </is>
      </c>
      <c r="F1200" s="38" t="n">
        <v>0.7</v>
      </c>
      <c r="G1200" s="39" t="n">
        <v>10</v>
      </c>
      <c r="H1200" s="39" t="n">
        <v>10</v>
      </c>
      <c r="I1200" s="29">
        <f>IF(OR(COUNTIF('Suivi des rencontres'!$A:$A,$A1200)&gt;0,COUNTIF('Suivi des rencontres'!$C:$C,$J1200)&gt;0),"Non","Oui")</f>
        <v/>
      </c>
      <c r="J1200" s="30" t="inlineStr">
        <is>
          <t>MAGICARPE</t>
        </is>
      </c>
    </row>
    <row r="1201">
      <c r="A1201" s="35" t="inlineStr">
        <is>
          <t>Oliville</t>
        </is>
      </c>
      <c r="B1201" s="35" t="inlineStr">
        <is>
          <t>OlivineCity_hns</t>
        </is>
      </c>
      <c r="C1201" s="33" t="inlineStr">
        <is>
          <t>Matin, jour, soir</t>
        </is>
      </c>
      <c r="D1201" s="54" t="inlineStr">
        <is>
          <t>Vieille Canne</t>
        </is>
      </c>
      <c r="E1201" s="37" t="inlineStr">
        <is>
          <t>KRABBY</t>
        </is>
      </c>
      <c r="F1201" s="38" t="n">
        <v>0.3</v>
      </c>
      <c r="G1201" s="39" t="n">
        <v>10</v>
      </c>
      <c r="H1201" s="39" t="n">
        <v>10</v>
      </c>
      <c r="I1201" s="29">
        <f>IF(OR(COUNTIF('Suivi des rencontres'!$A:$A,$A1201)&gt;0,COUNTIF('Suivi des rencontres'!$C:$C,$J1201)&gt;0),"Non","Oui")</f>
        <v/>
      </c>
      <c r="J1201" s="30" t="inlineStr">
        <is>
          <t>KRABBY</t>
        </is>
      </c>
    </row>
    <row r="1202">
      <c r="A1202" s="35" t="inlineStr">
        <is>
          <t>Oliville</t>
        </is>
      </c>
      <c r="B1202" s="35" t="inlineStr">
        <is>
          <t>OlivineCity_hns</t>
        </is>
      </c>
      <c r="C1202" s="62" t="inlineStr">
        <is>
          <t>Nuit</t>
        </is>
      </c>
      <c r="D1202" s="54" t="inlineStr">
        <is>
          <t>Vieille Canne</t>
        </is>
      </c>
      <c r="E1202" s="37" t="inlineStr">
        <is>
          <t>MAGICARPE</t>
        </is>
      </c>
      <c r="F1202" s="38" t="n">
        <v>0.7</v>
      </c>
      <c r="G1202" s="39" t="n">
        <v>10</v>
      </c>
      <c r="H1202" s="39" t="n">
        <v>10</v>
      </c>
      <c r="I1202" s="29">
        <f>IF(OR(COUNTIF('Suivi des rencontres'!$A:$A,$A1202)&gt;0,COUNTIF('Suivi des rencontres'!$C:$C,$J1202)&gt;0),"Non","Oui")</f>
        <v/>
      </c>
      <c r="J1202" s="30" t="inlineStr">
        <is>
          <t>MAGICARPE</t>
        </is>
      </c>
    </row>
    <row r="1203">
      <c r="A1203" s="35" t="inlineStr">
        <is>
          <t>Oliville</t>
        </is>
      </c>
      <c r="B1203" s="35" t="inlineStr">
        <is>
          <t>OlivineCity_hns</t>
        </is>
      </c>
      <c r="C1203" s="62" t="inlineStr">
        <is>
          <t>Nuit</t>
        </is>
      </c>
      <c r="D1203" s="54" t="inlineStr">
        <is>
          <t>Vieille Canne</t>
        </is>
      </c>
      <c r="E1203" s="37" t="inlineStr">
        <is>
          <t>KRABBY</t>
        </is>
      </c>
      <c r="F1203" s="38" t="n">
        <v>0.3</v>
      </c>
      <c r="G1203" s="39" t="n">
        <v>10</v>
      </c>
      <c r="H1203" s="39" t="n">
        <v>10</v>
      </c>
      <c r="I1203" s="29">
        <f>IF(OR(COUNTIF('Suivi des rencontres'!$A:$A,$A1203)&gt;0,COUNTIF('Suivi des rencontres'!$C:$C,$J1203)&gt;0),"Non","Oui")</f>
        <v/>
      </c>
      <c r="J1203" s="30" t="inlineStr">
        <is>
          <t>KRABBY</t>
        </is>
      </c>
    </row>
    <row r="1204">
      <c r="A1204" s="35" t="inlineStr">
        <is>
          <t>Oliville</t>
        </is>
      </c>
      <c r="B1204" s="35" t="inlineStr">
        <is>
          <t>OlivineCity_hns</t>
        </is>
      </c>
      <c r="C1204" s="33" t="inlineStr">
        <is>
          <t>Matin, jour, soir</t>
        </is>
      </c>
      <c r="D1204" s="55" t="inlineStr">
        <is>
          <t>Bonne Canne</t>
        </is>
      </c>
      <c r="E1204" s="37" t="inlineStr">
        <is>
          <t>KRABBY</t>
        </is>
      </c>
      <c r="F1204" s="38" t="n">
        <v>0.6</v>
      </c>
      <c r="G1204" s="39" t="n">
        <v>20</v>
      </c>
      <c r="H1204" s="39" t="n">
        <v>20</v>
      </c>
      <c r="I1204" s="29">
        <f>IF(OR(COUNTIF('Suivi des rencontres'!$A:$A,$A1204)&gt;0,COUNTIF('Suivi des rencontres'!$C:$C,$J1204)&gt;0),"Non","Oui")</f>
        <v/>
      </c>
      <c r="J1204" s="30" t="inlineStr">
        <is>
          <t>KRABBY</t>
        </is>
      </c>
    </row>
    <row r="1205">
      <c r="A1205" s="35" t="inlineStr">
        <is>
          <t>Oliville</t>
        </is>
      </c>
      <c r="B1205" s="35" t="inlineStr">
        <is>
          <t>OlivineCity_hns</t>
        </is>
      </c>
      <c r="C1205" s="33" t="inlineStr">
        <is>
          <t>Matin, jour, soir</t>
        </is>
      </c>
      <c r="D1205" s="55" t="inlineStr">
        <is>
          <t>Bonne Canne</t>
        </is>
      </c>
      <c r="E1205" s="37" t="inlineStr">
        <is>
          <t>CORAYON</t>
        </is>
      </c>
      <c r="F1205" s="38" t="n">
        <v>0.2</v>
      </c>
      <c r="G1205" s="39" t="n">
        <v>20</v>
      </c>
      <c r="H1205" s="39" t="n">
        <v>20</v>
      </c>
      <c r="I1205" s="29">
        <f>IF(OR(COUNTIF('Suivi des rencontres'!$A:$A,$A1205)&gt;0,COUNTIF('Suivi des rencontres'!$C:$C,$J1205)&gt;0),"Non","Oui")</f>
        <v/>
      </c>
      <c r="J1205" s="30" t="inlineStr">
        <is>
          <t>CORAYON</t>
        </is>
      </c>
    </row>
    <row r="1206">
      <c r="A1206" s="35" t="inlineStr">
        <is>
          <t>Oliville</t>
        </is>
      </c>
      <c r="B1206" s="35" t="inlineStr">
        <is>
          <t>OlivineCity_hns</t>
        </is>
      </c>
      <c r="C1206" s="33" t="inlineStr">
        <is>
          <t>Matin, jour, soir</t>
        </is>
      </c>
      <c r="D1206" s="55" t="inlineStr">
        <is>
          <t>Bonne Canne</t>
        </is>
      </c>
      <c r="E1206" s="37" t="inlineStr">
        <is>
          <t>MAGICARPE</t>
        </is>
      </c>
      <c r="F1206" s="38" t="n">
        <v>0.2</v>
      </c>
      <c r="G1206" s="39" t="n">
        <v>20</v>
      </c>
      <c r="H1206" s="39" t="n">
        <v>20</v>
      </c>
      <c r="I1206" s="29">
        <f>IF(OR(COUNTIF('Suivi des rencontres'!$A:$A,$A1206)&gt;0,COUNTIF('Suivi des rencontres'!$C:$C,$J1206)&gt;0),"Non","Oui")</f>
        <v/>
      </c>
      <c r="J1206" s="30" t="inlineStr">
        <is>
          <t>MAGICARPE</t>
        </is>
      </c>
    </row>
    <row r="1207">
      <c r="A1207" s="35" t="inlineStr">
        <is>
          <t>Oliville</t>
        </is>
      </c>
      <c r="B1207" s="35" t="inlineStr">
        <is>
          <t>OlivineCity_hns</t>
        </is>
      </c>
      <c r="C1207" s="62" t="inlineStr">
        <is>
          <t>Nuit</t>
        </is>
      </c>
      <c r="D1207" s="55" t="inlineStr">
        <is>
          <t>Bonne Canne</t>
        </is>
      </c>
      <c r="E1207" s="37" t="inlineStr">
        <is>
          <t>KRABBY</t>
        </is>
      </c>
      <c r="F1207" s="38" t="n">
        <v>0.6</v>
      </c>
      <c r="G1207" s="39" t="n">
        <v>20</v>
      </c>
      <c r="H1207" s="39" t="n">
        <v>20</v>
      </c>
      <c r="I1207" s="29">
        <f>IF(OR(COUNTIF('Suivi des rencontres'!$A:$A,$A1207)&gt;0,COUNTIF('Suivi des rencontres'!$C:$C,$J1207)&gt;0),"Non","Oui")</f>
        <v/>
      </c>
      <c r="J1207" s="30" t="inlineStr">
        <is>
          <t>KRABBY</t>
        </is>
      </c>
    </row>
    <row r="1208">
      <c r="A1208" s="35" t="inlineStr">
        <is>
          <t>Oliville</t>
        </is>
      </c>
      <c r="B1208" s="35" t="inlineStr">
        <is>
          <t>OlivineCity_hns</t>
        </is>
      </c>
      <c r="C1208" s="62" t="inlineStr">
        <is>
          <t>Nuit</t>
        </is>
      </c>
      <c r="D1208" s="55" t="inlineStr">
        <is>
          <t>Bonne Canne</t>
        </is>
      </c>
      <c r="E1208" s="37" t="inlineStr">
        <is>
          <t>MAGICARPE</t>
        </is>
      </c>
      <c r="F1208" s="38" t="n">
        <v>0.2</v>
      </c>
      <c r="G1208" s="39" t="n">
        <v>20</v>
      </c>
      <c r="H1208" s="39" t="n">
        <v>20</v>
      </c>
      <c r="I1208" s="29">
        <f>IF(OR(COUNTIF('Suivi des rencontres'!$A:$A,$A1208)&gt;0,COUNTIF('Suivi des rencontres'!$C:$C,$J1208)&gt;0),"Non","Oui")</f>
        <v/>
      </c>
      <c r="J1208" s="30" t="inlineStr">
        <is>
          <t>MAGICARPE</t>
        </is>
      </c>
    </row>
    <row r="1209">
      <c r="A1209" s="35" t="inlineStr">
        <is>
          <t>Oliville</t>
        </is>
      </c>
      <c r="B1209" s="35" t="inlineStr">
        <is>
          <t>OlivineCity_hns</t>
        </is>
      </c>
      <c r="C1209" s="62" t="inlineStr">
        <is>
          <t>Nuit</t>
        </is>
      </c>
      <c r="D1209" s="55" t="inlineStr">
        <is>
          <t>Bonne Canne</t>
        </is>
      </c>
      <c r="E1209" s="37" t="inlineStr">
        <is>
          <t>STARI</t>
        </is>
      </c>
      <c r="F1209" s="38" t="n">
        <v>0.2</v>
      </c>
      <c r="G1209" s="39" t="n">
        <v>20</v>
      </c>
      <c r="H1209" s="39" t="n">
        <v>20</v>
      </c>
      <c r="I1209" s="29">
        <f>IF(OR(COUNTIF('Suivi des rencontres'!$A:$A,$A1209)&gt;0,COUNTIF('Suivi des rencontres'!$C:$C,$J1209)&gt;0),"Non","Oui")</f>
        <v/>
      </c>
      <c r="J1209" s="30" t="inlineStr">
        <is>
          <t>STARI</t>
        </is>
      </c>
    </row>
    <row r="1210">
      <c r="A1210" s="35" t="inlineStr">
        <is>
          <t>Oliville</t>
        </is>
      </c>
      <c r="B1210" s="35" t="inlineStr">
        <is>
          <t>OlivineCity_hns</t>
        </is>
      </c>
      <c r="C1210" s="33" t="inlineStr">
        <is>
          <t>Matin, jour, soir</t>
        </is>
      </c>
      <c r="D1210" s="56" t="inlineStr">
        <is>
          <t>Super Canne</t>
        </is>
      </c>
      <c r="E1210" s="37" t="inlineStr">
        <is>
          <t>CORAYON</t>
        </is>
      </c>
      <c r="F1210" s="38" t="n">
        <v>0.44</v>
      </c>
      <c r="G1210" s="39" t="n">
        <v>40</v>
      </c>
      <c r="H1210" s="39" t="n">
        <v>40</v>
      </c>
      <c r="I1210" s="29">
        <f>IF(OR(COUNTIF('Suivi des rencontres'!$A:$A,$A1210)&gt;0,COUNTIF('Suivi des rencontres'!$C:$C,$J1210)&gt;0),"Non","Oui")</f>
        <v/>
      </c>
      <c r="J1210" s="30" t="inlineStr">
        <is>
          <t>CORAYON</t>
        </is>
      </c>
    </row>
    <row r="1211">
      <c r="A1211" s="35" t="inlineStr">
        <is>
          <t>Oliville</t>
        </is>
      </c>
      <c r="B1211" s="35" t="inlineStr">
        <is>
          <t>OlivineCity_hns</t>
        </is>
      </c>
      <c r="C1211" s="33" t="inlineStr">
        <is>
          <t>Matin, jour, soir</t>
        </is>
      </c>
      <c r="D1211" s="56" t="inlineStr">
        <is>
          <t>Super Canne</t>
        </is>
      </c>
      <c r="E1211" s="37" t="inlineStr">
        <is>
          <t>KRABBY</t>
        </is>
      </c>
      <c r="F1211" s="38" t="n">
        <v>0.41</v>
      </c>
      <c r="G1211" s="39" t="n">
        <v>40</v>
      </c>
      <c r="H1211" s="39" t="n">
        <v>40</v>
      </c>
      <c r="I1211" s="29">
        <f>IF(OR(COUNTIF('Suivi des rencontres'!$A:$A,$A1211)&gt;0,COUNTIF('Suivi des rencontres'!$C:$C,$J1211)&gt;0),"Non","Oui")</f>
        <v/>
      </c>
      <c r="J1211" s="30" t="inlineStr">
        <is>
          <t>KRABBY</t>
        </is>
      </c>
    </row>
    <row r="1212">
      <c r="A1212" s="35" t="inlineStr">
        <is>
          <t>Oliville</t>
        </is>
      </c>
      <c r="B1212" s="35" t="inlineStr">
        <is>
          <t>OlivineCity_hns</t>
        </is>
      </c>
      <c r="C1212" s="33" t="inlineStr">
        <is>
          <t>Matin, jour, soir</t>
        </is>
      </c>
      <c r="D1212" s="56" t="inlineStr">
        <is>
          <t>Super Canne</t>
        </is>
      </c>
      <c r="E1212" s="37" t="inlineStr">
        <is>
          <t>KRABBOSS</t>
        </is>
      </c>
      <c r="F1212" s="38" t="n">
        <v>0.15</v>
      </c>
      <c r="G1212" s="39" t="n">
        <v>40</v>
      </c>
      <c r="H1212" s="39" t="n">
        <v>40</v>
      </c>
      <c r="I1212" s="29">
        <f>IF(OR(COUNTIF('Suivi des rencontres'!$A:$A,$A1212)&gt;0,COUNTIF('Suivi des rencontres'!$C:$C,$J1212)&gt;0),"Non","Oui")</f>
        <v/>
      </c>
      <c r="J1212" s="30" t="inlineStr">
        <is>
          <t>KRABBY</t>
        </is>
      </c>
    </row>
    <row r="1213">
      <c r="A1213" s="35" t="inlineStr">
        <is>
          <t>Oliville</t>
        </is>
      </c>
      <c r="B1213" s="35" t="inlineStr">
        <is>
          <t>OlivineCity_hns</t>
        </is>
      </c>
      <c r="C1213" s="62" t="inlineStr">
        <is>
          <t>Nuit</t>
        </is>
      </c>
      <c r="D1213" s="56" t="inlineStr">
        <is>
          <t>Super Canne</t>
        </is>
      </c>
      <c r="E1213" s="37" t="inlineStr">
        <is>
          <t>STARI</t>
        </is>
      </c>
      <c r="F1213" s="38" t="n">
        <v>0.44</v>
      </c>
      <c r="G1213" s="39" t="n">
        <v>40</v>
      </c>
      <c r="H1213" s="39" t="n">
        <v>40</v>
      </c>
      <c r="I1213" s="29">
        <f>IF(OR(COUNTIF('Suivi des rencontres'!$A:$A,$A1213)&gt;0,COUNTIF('Suivi des rencontres'!$C:$C,$J1213)&gt;0),"Non","Oui")</f>
        <v/>
      </c>
      <c r="J1213" s="30" t="inlineStr">
        <is>
          <t>STARI</t>
        </is>
      </c>
    </row>
    <row r="1214">
      <c r="A1214" s="35" t="inlineStr">
        <is>
          <t>Oliville</t>
        </is>
      </c>
      <c r="B1214" s="35" t="inlineStr">
        <is>
          <t>OlivineCity_hns</t>
        </is>
      </c>
      <c r="C1214" s="62" t="inlineStr">
        <is>
          <t>Nuit</t>
        </is>
      </c>
      <c r="D1214" s="56" t="inlineStr">
        <is>
          <t>Super Canne</t>
        </is>
      </c>
      <c r="E1214" s="37" t="inlineStr">
        <is>
          <t>KRABBY</t>
        </is>
      </c>
      <c r="F1214" s="38" t="n">
        <v>0.41</v>
      </c>
      <c r="G1214" s="39" t="n">
        <v>40</v>
      </c>
      <c r="H1214" s="39" t="n">
        <v>40</v>
      </c>
      <c r="I1214" s="29">
        <f>IF(OR(COUNTIF('Suivi des rencontres'!$A:$A,$A1214)&gt;0,COUNTIF('Suivi des rencontres'!$C:$C,$J1214)&gt;0),"Non","Oui")</f>
        <v/>
      </c>
      <c r="J1214" s="30" t="inlineStr">
        <is>
          <t>KRABBY</t>
        </is>
      </c>
    </row>
    <row r="1215">
      <c r="A1215" s="35" t="inlineStr">
        <is>
          <t>Oliville</t>
        </is>
      </c>
      <c r="B1215" s="35" t="inlineStr">
        <is>
          <t>OlivineCity_hns</t>
        </is>
      </c>
      <c r="C1215" s="62" t="inlineStr">
        <is>
          <t>Nuit</t>
        </is>
      </c>
      <c r="D1215" s="56" t="inlineStr">
        <is>
          <t>Super Canne</t>
        </is>
      </c>
      <c r="E1215" s="37" t="inlineStr">
        <is>
          <t>KRABBOSS</t>
        </is>
      </c>
      <c r="F1215" s="38" t="n">
        <v>0.15</v>
      </c>
      <c r="G1215" s="39" t="n">
        <v>40</v>
      </c>
      <c r="H1215" s="39" t="n">
        <v>40</v>
      </c>
      <c r="I1215" s="29">
        <f>IF(OR(COUNTIF('Suivi des rencontres'!$A:$A,$A1215)&gt;0,COUNTIF('Suivi des rencontres'!$C:$C,$J1215)&gt;0),"Non","Oui")</f>
        <v/>
      </c>
      <c r="J1215" s="30" t="inlineStr">
        <is>
          <t>KRABBY</t>
        </is>
      </c>
    </row>
    <row r="1216">
      <c r="A1216" s="40" t="inlineStr">
        <is>
          <t>Parc Naturel</t>
        </is>
      </c>
      <c r="B1216" s="40" t="inlineStr">
        <is>
          <t>NationalPark_BugContest_hns</t>
        </is>
      </c>
      <c r="C1216" s="41" t="inlineStr">
        <is>
          <t>Toute la journée</t>
        </is>
      </c>
      <c r="D1216" s="42" t="inlineStr">
        <is>
          <t>Herbe</t>
        </is>
      </c>
      <c r="E1216" s="43" t="inlineStr">
        <is>
          <t>ASPICOT</t>
        </is>
      </c>
      <c r="F1216" s="44" t="n">
        <v>0.2</v>
      </c>
      <c r="G1216" s="45" t="n">
        <v>15</v>
      </c>
      <c r="H1216" s="45" t="n">
        <v>15</v>
      </c>
      <c r="I1216" s="46">
        <f>IF(OR(COUNTIF('Suivi des rencontres'!$A:$A,$A1216)&gt;0,COUNTIF('Suivi des rencontres'!$C:$C,$J1216)&gt;0),"Non","Oui")</f>
        <v/>
      </c>
      <c r="J1216" s="30" t="inlineStr">
        <is>
          <t>ASPICOT</t>
        </is>
      </c>
    </row>
    <row r="1217">
      <c r="A1217" s="47" t="inlineStr">
        <is>
          <t>Parc Naturel</t>
        </is>
      </c>
      <c r="B1217" s="47" t="inlineStr">
        <is>
          <t>NationalPark_BugContest_hns</t>
        </is>
      </c>
      <c r="C1217" s="48" t="inlineStr">
        <is>
          <t>Toute la journée</t>
        </is>
      </c>
      <c r="D1217" s="49" t="inlineStr">
        <is>
          <t>Herbe</t>
        </is>
      </c>
      <c r="E1217" s="50" t="inlineStr">
        <is>
          <t>CHENIPAN</t>
        </is>
      </c>
      <c r="F1217" s="51" t="n">
        <v>0.2</v>
      </c>
      <c r="G1217" s="52" t="n">
        <v>14</v>
      </c>
      <c r="H1217" s="52" t="n">
        <v>14</v>
      </c>
      <c r="I1217" s="29">
        <f>IF(OR(COUNTIF('Suivi des rencontres'!$A:$A,$A1217)&gt;0,COUNTIF('Suivi des rencontres'!$C:$C,$J1217)&gt;0),"Non","Oui")</f>
        <v/>
      </c>
      <c r="J1217" s="30" t="inlineStr">
        <is>
          <t>CHENIPAN</t>
        </is>
      </c>
    </row>
    <row r="1218">
      <c r="A1218" s="47" t="inlineStr">
        <is>
          <t>Parc Naturel</t>
        </is>
      </c>
      <c r="B1218" s="47" t="inlineStr">
        <is>
          <t>NationalPark_BugContest_hns</t>
        </is>
      </c>
      <c r="C1218" s="48" t="inlineStr">
        <is>
          <t>Toute la journée</t>
        </is>
      </c>
      <c r="D1218" s="49" t="inlineStr">
        <is>
          <t>Herbe</t>
        </is>
      </c>
      <c r="E1218" s="50" t="inlineStr">
        <is>
          <t>CHRYSACIER</t>
        </is>
      </c>
      <c r="F1218" s="51" t="n">
        <v>0.1</v>
      </c>
      <c r="G1218" s="52" t="n">
        <v>12</v>
      </c>
      <c r="H1218" s="52" t="n">
        <v>15</v>
      </c>
      <c r="I1218" s="29">
        <f>IF(OR(COUNTIF('Suivi des rencontres'!$A:$A,$A1218)&gt;0,COUNTIF('Suivi des rencontres'!$C:$C,$J1218)&gt;0),"Non","Oui")</f>
        <v/>
      </c>
      <c r="J1218" s="30" t="inlineStr">
        <is>
          <t>CHENIPAN</t>
        </is>
      </c>
    </row>
    <row r="1219">
      <c r="A1219" s="47" t="inlineStr">
        <is>
          <t>Parc Naturel</t>
        </is>
      </c>
      <c r="B1219" s="47" t="inlineStr">
        <is>
          <t>NationalPark_BugContest_hns</t>
        </is>
      </c>
      <c r="C1219" s="48" t="inlineStr">
        <is>
          <t>Toute la journée</t>
        </is>
      </c>
      <c r="D1219" s="49" t="inlineStr">
        <is>
          <t>Herbe</t>
        </is>
      </c>
      <c r="E1219" s="50" t="inlineStr">
        <is>
          <t>COCONFORT</t>
        </is>
      </c>
      <c r="F1219" s="51" t="n">
        <v>0.1</v>
      </c>
      <c r="G1219" s="52" t="n">
        <v>17</v>
      </c>
      <c r="H1219" s="52" t="n">
        <v>17</v>
      </c>
      <c r="I1219" s="29">
        <f>IF(OR(COUNTIF('Suivi des rencontres'!$A:$A,$A1219)&gt;0,COUNTIF('Suivi des rencontres'!$C:$C,$J1219)&gt;0),"Non","Oui")</f>
        <v/>
      </c>
      <c r="J1219" s="30" t="inlineStr">
        <is>
          <t>ASPICOT</t>
        </is>
      </c>
    </row>
    <row r="1220">
      <c r="A1220" s="47" t="inlineStr">
        <is>
          <t>Parc Naturel</t>
        </is>
      </c>
      <c r="B1220" s="47" t="inlineStr">
        <is>
          <t>NationalPark_BugContest_hns</t>
        </is>
      </c>
      <c r="C1220" s="48" t="inlineStr">
        <is>
          <t>Toute la journée</t>
        </is>
      </c>
      <c r="D1220" s="49" t="inlineStr">
        <is>
          <t>Herbe</t>
        </is>
      </c>
      <c r="E1220" s="50" t="inlineStr">
        <is>
          <t>MIMITOSS</t>
        </is>
      </c>
      <c r="F1220" s="51" t="n">
        <v>0.1</v>
      </c>
      <c r="G1220" s="52" t="n">
        <v>14</v>
      </c>
      <c r="H1220" s="52" t="n">
        <v>14</v>
      </c>
      <c r="I1220" s="29">
        <f>IF(OR(COUNTIF('Suivi des rencontres'!$A:$A,$A1220)&gt;0,COUNTIF('Suivi des rencontres'!$C:$C,$J1220)&gt;0),"Non","Oui")</f>
        <v/>
      </c>
      <c r="J1220" s="30" t="inlineStr">
        <is>
          <t>MIMITOSS</t>
        </is>
      </c>
    </row>
    <row r="1221">
      <c r="A1221" s="47" t="inlineStr">
        <is>
          <t>Parc Naturel</t>
        </is>
      </c>
      <c r="B1221" s="47" t="inlineStr">
        <is>
          <t>NationalPark_BugContest_hns</t>
        </is>
      </c>
      <c r="C1221" s="48" t="inlineStr">
        <is>
          <t>Toute la journée</t>
        </is>
      </c>
      <c r="D1221" s="49" t="inlineStr">
        <is>
          <t>Herbe</t>
        </is>
      </c>
      <c r="E1221" s="50" t="inlineStr">
        <is>
          <t>PARAS</t>
        </is>
      </c>
      <c r="F1221" s="51" t="n">
        <v>0.1</v>
      </c>
      <c r="G1221" s="52" t="n">
        <v>12</v>
      </c>
      <c r="H1221" s="52" t="n">
        <v>17</v>
      </c>
      <c r="I1221" s="29">
        <f>IF(OR(COUNTIF('Suivi des rencontres'!$A:$A,$A1221)&gt;0,COUNTIF('Suivi des rencontres'!$C:$C,$J1221)&gt;0),"Non","Oui")</f>
        <v/>
      </c>
      <c r="J1221" s="30" t="inlineStr">
        <is>
          <t>PARAS</t>
        </is>
      </c>
    </row>
    <row r="1222">
      <c r="A1222" s="47" t="inlineStr">
        <is>
          <t>Parc Naturel</t>
        </is>
      </c>
      <c r="B1222" s="47" t="inlineStr">
        <is>
          <t>NationalPark_BugContest_hns</t>
        </is>
      </c>
      <c r="C1222" s="48" t="inlineStr">
        <is>
          <t>Toute la journée</t>
        </is>
      </c>
      <c r="D1222" s="49" t="inlineStr">
        <is>
          <t>Herbe</t>
        </is>
      </c>
      <c r="E1222" s="50" t="inlineStr">
        <is>
          <t>DARDARGNAN</t>
        </is>
      </c>
      <c r="F1222" s="51" t="n">
        <v>0.05</v>
      </c>
      <c r="G1222" s="52" t="n">
        <v>15</v>
      </c>
      <c r="H1222" s="52" t="n">
        <v>15</v>
      </c>
      <c r="I1222" s="29">
        <f>IF(OR(COUNTIF('Suivi des rencontres'!$A:$A,$A1222)&gt;0,COUNTIF('Suivi des rencontres'!$C:$C,$J1222)&gt;0),"Non","Oui")</f>
        <v/>
      </c>
      <c r="J1222" s="30" t="inlineStr">
        <is>
          <t>ASPICOT</t>
        </is>
      </c>
    </row>
    <row r="1223">
      <c r="A1223" s="47" t="inlineStr">
        <is>
          <t>Parc Naturel</t>
        </is>
      </c>
      <c r="B1223" s="47" t="inlineStr">
        <is>
          <t>NationalPark_BugContest_hns</t>
        </is>
      </c>
      <c r="C1223" s="48" t="inlineStr">
        <is>
          <t>Toute la journée</t>
        </is>
      </c>
      <c r="D1223" s="49" t="inlineStr">
        <is>
          <t>Herbe</t>
        </is>
      </c>
      <c r="E1223" s="50" t="inlineStr">
        <is>
          <t>INSECATEUR</t>
        </is>
      </c>
      <c r="F1223" s="51" t="n">
        <v>0.05</v>
      </c>
      <c r="G1223" s="52" t="n">
        <v>16</v>
      </c>
      <c r="H1223" s="52" t="n">
        <v>16</v>
      </c>
      <c r="I1223" s="29">
        <f>IF(OR(COUNTIF('Suivi des rencontres'!$A:$A,$A1223)&gt;0,COUNTIF('Suivi des rencontres'!$C:$C,$J1223)&gt;0),"Non","Oui")</f>
        <v/>
      </c>
      <c r="J1223" s="30" t="inlineStr">
        <is>
          <t>INSECATEUR</t>
        </is>
      </c>
    </row>
    <row r="1224">
      <c r="A1224" s="47" t="inlineStr">
        <is>
          <t>Parc Naturel</t>
        </is>
      </c>
      <c r="B1224" s="47" t="inlineStr">
        <is>
          <t>NationalPark_BugContest_hns</t>
        </is>
      </c>
      <c r="C1224" s="48" t="inlineStr">
        <is>
          <t>Toute la journée</t>
        </is>
      </c>
      <c r="D1224" s="49" t="inlineStr">
        <is>
          <t>Herbe</t>
        </is>
      </c>
      <c r="E1224" s="50" t="inlineStr">
        <is>
          <t>PAPILUSION</t>
        </is>
      </c>
      <c r="F1224" s="51" t="n">
        <v>0.05</v>
      </c>
      <c r="G1224" s="52" t="n">
        <v>16</v>
      </c>
      <c r="H1224" s="52" t="n">
        <v>16</v>
      </c>
      <c r="I1224" s="29">
        <f>IF(OR(COUNTIF('Suivi des rencontres'!$A:$A,$A1224)&gt;0,COUNTIF('Suivi des rencontres'!$C:$C,$J1224)&gt;0),"Non","Oui")</f>
        <v/>
      </c>
      <c r="J1224" s="30" t="inlineStr">
        <is>
          <t>CHENIPAN</t>
        </is>
      </c>
    </row>
    <row r="1225">
      <c r="A1225" s="47" t="inlineStr">
        <is>
          <t>Parc Naturel</t>
        </is>
      </c>
      <c r="B1225" s="47" t="inlineStr">
        <is>
          <t>NationalPark_BugContest_hns</t>
        </is>
      </c>
      <c r="C1225" s="48" t="inlineStr">
        <is>
          <t>Toute la journée</t>
        </is>
      </c>
      <c r="D1225" s="49" t="inlineStr">
        <is>
          <t>Herbe</t>
        </is>
      </c>
      <c r="E1225" s="50" t="inlineStr">
        <is>
          <t>SCARABRUTE</t>
        </is>
      </c>
      <c r="F1225" s="51" t="n">
        <v>0.05</v>
      </c>
      <c r="G1225" s="52" t="n">
        <v>16</v>
      </c>
      <c r="H1225" s="52" t="n">
        <v>16</v>
      </c>
      <c r="I1225" s="29">
        <f>IF(OR(COUNTIF('Suivi des rencontres'!$A:$A,$A1225)&gt;0,COUNTIF('Suivi des rencontres'!$C:$C,$J1225)&gt;0),"Non","Oui")</f>
        <v/>
      </c>
      <c r="J1225" s="30" t="inlineStr">
        <is>
          <t>SCARABRUTE</t>
        </is>
      </c>
    </row>
    <row r="1226">
      <c r="A1226" s="47" t="inlineStr">
        <is>
          <t>Parc Naturel</t>
        </is>
      </c>
      <c r="B1226" s="47" t="inlineStr">
        <is>
          <t>NationalPark_Normal_hns</t>
        </is>
      </c>
      <c r="C1226" s="48" t="inlineStr">
        <is>
          <t>Matin, jour, soir</t>
        </is>
      </c>
      <c r="D1226" s="49" t="inlineStr">
        <is>
          <t>Herbe</t>
        </is>
      </c>
      <c r="E1226" s="50" t="inlineStr">
        <is>
          <t>NIDORAN♀</t>
        </is>
      </c>
      <c r="F1226" s="51" t="n">
        <v>0.3</v>
      </c>
      <c r="G1226" s="52" t="n">
        <v>14</v>
      </c>
      <c r="H1226" s="52" t="n">
        <v>15</v>
      </c>
      <c r="I1226" s="29">
        <f>IF(OR(COUNTIF('Suivi des rencontres'!$A:$A,$A1226)&gt;0,COUNTIF('Suivi des rencontres'!$C:$C,$J1226)&gt;0),"Non","Oui")</f>
        <v/>
      </c>
      <c r="J1226" s="30" t="inlineStr">
        <is>
          <t>NIDORAN♀</t>
        </is>
      </c>
    </row>
    <row r="1227">
      <c r="A1227" s="47" t="inlineStr">
        <is>
          <t>Parc Naturel</t>
        </is>
      </c>
      <c r="B1227" s="47" t="inlineStr">
        <is>
          <t>NationalPark_Normal_hns</t>
        </is>
      </c>
      <c r="C1227" s="48" t="inlineStr">
        <is>
          <t>Matin, jour, soir</t>
        </is>
      </c>
      <c r="D1227" s="49" t="inlineStr">
        <is>
          <t>Herbe</t>
        </is>
      </c>
      <c r="E1227" s="50" t="inlineStr">
        <is>
          <t>NIDORAN♂</t>
        </is>
      </c>
      <c r="F1227" s="51" t="n">
        <v>0.25</v>
      </c>
      <c r="G1227" s="52" t="n">
        <v>14</v>
      </c>
      <c r="H1227" s="52" t="n">
        <v>15</v>
      </c>
      <c r="I1227" s="29">
        <f>IF(OR(COUNTIF('Suivi des rencontres'!$A:$A,$A1227)&gt;0,COUNTIF('Suivi des rencontres'!$C:$C,$J1227)&gt;0),"Non","Oui")</f>
        <v/>
      </c>
      <c r="J1227" s="30" t="inlineStr">
        <is>
          <t>NIDORAN♂</t>
        </is>
      </c>
    </row>
    <row r="1228">
      <c r="A1228" s="47" t="inlineStr">
        <is>
          <t>Parc Naturel</t>
        </is>
      </c>
      <c r="B1228" s="47" t="inlineStr">
        <is>
          <t>NationalPark_Normal_hns</t>
        </is>
      </c>
      <c r="C1228" s="48" t="inlineStr">
        <is>
          <t>Matin, jour, soir</t>
        </is>
      </c>
      <c r="D1228" s="49" t="inlineStr">
        <is>
          <t>Herbe</t>
        </is>
      </c>
      <c r="E1228" s="50" t="inlineStr">
        <is>
          <t>ASPICOT</t>
        </is>
      </c>
      <c r="F1228" s="51" t="n">
        <v>0.2</v>
      </c>
      <c r="G1228" s="52" t="n">
        <v>10</v>
      </c>
      <c r="H1228" s="52" t="n">
        <v>10</v>
      </c>
      <c r="I1228" s="29">
        <f>IF(OR(COUNTIF('Suivi des rencontres'!$A:$A,$A1228)&gt;0,COUNTIF('Suivi des rencontres'!$C:$C,$J1228)&gt;0),"Non","Oui")</f>
        <v/>
      </c>
      <c r="J1228" s="30" t="inlineStr">
        <is>
          <t>ASPICOT</t>
        </is>
      </c>
    </row>
    <row r="1229">
      <c r="A1229" s="47" t="inlineStr">
        <is>
          <t>Parc Naturel</t>
        </is>
      </c>
      <c r="B1229" s="47" t="inlineStr">
        <is>
          <t>NationalPark_Normal_hns</t>
        </is>
      </c>
      <c r="C1229" s="48" t="inlineStr">
        <is>
          <t>Matin, jour, soir</t>
        </is>
      </c>
      <c r="D1229" s="49" t="inlineStr">
        <is>
          <t>Herbe</t>
        </is>
      </c>
      <c r="E1229" s="50" t="inlineStr">
        <is>
          <t>TOURNEGRIN</t>
        </is>
      </c>
      <c r="F1229" s="51" t="n">
        <v>0.19</v>
      </c>
      <c r="G1229" s="52" t="n">
        <v>16</v>
      </c>
      <c r="H1229" s="52" t="n">
        <v>17</v>
      </c>
      <c r="I1229" s="29">
        <f>IF(OR(COUNTIF('Suivi des rencontres'!$A:$A,$A1229)&gt;0,COUNTIF('Suivi des rencontres'!$C:$C,$J1229)&gt;0),"Non","Oui")</f>
        <v/>
      </c>
      <c r="J1229" s="30" t="inlineStr">
        <is>
          <t>TOURNEGRIN</t>
        </is>
      </c>
    </row>
    <row r="1230">
      <c r="A1230" s="47" t="inlineStr">
        <is>
          <t>Parc Naturel</t>
        </is>
      </c>
      <c r="B1230" s="47" t="inlineStr">
        <is>
          <t>NationalPark_Normal_hns</t>
        </is>
      </c>
      <c r="C1230" s="48" t="inlineStr">
        <is>
          <t>Matin, jour, soir</t>
        </is>
      </c>
      <c r="D1230" s="49" t="inlineStr">
        <is>
          <t>Herbe</t>
        </is>
      </c>
      <c r="E1230" s="50" t="inlineStr">
        <is>
          <t>CHENIPAN</t>
        </is>
      </c>
      <c r="F1230" s="51" t="n">
        <v>0.05</v>
      </c>
      <c r="G1230" s="52" t="n">
        <v>10</v>
      </c>
      <c r="H1230" s="52" t="n">
        <v>10</v>
      </c>
      <c r="I1230" s="29">
        <f>IF(OR(COUNTIF('Suivi des rencontres'!$A:$A,$A1230)&gt;0,COUNTIF('Suivi des rencontres'!$C:$C,$J1230)&gt;0),"Non","Oui")</f>
        <v/>
      </c>
      <c r="J1230" s="30" t="inlineStr">
        <is>
          <t>CHENIPAN</t>
        </is>
      </c>
    </row>
    <row r="1231">
      <c r="A1231" s="47" t="inlineStr">
        <is>
          <t>Parc Naturel</t>
        </is>
      </c>
      <c r="B1231" s="47" t="inlineStr">
        <is>
          <t>NationalPark_Normal_hns</t>
        </is>
      </c>
      <c r="C1231" s="48" t="inlineStr">
        <is>
          <t>Matin, jour, soir</t>
        </is>
      </c>
      <c r="D1231" s="49" t="inlineStr">
        <is>
          <t>Herbe</t>
        </is>
      </c>
      <c r="E1231" s="50" t="inlineStr">
        <is>
          <t>INSECATEUR</t>
        </is>
      </c>
      <c r="F1231" s="51" t="n">
        <v>0.01</v>
      </c>
      <c r="G1231" s="52" t="n">
        <v>16</v>
      </c>
      <c r="H1231" s="52" t="n">
        <v>16</v>
      </c>
      <c r="I1231" s="29">
        <f>IF(OR(COUNTIF('Suivi des rencontres'!$A:$A,$A1231)&gt;0,COUNTIF('Suivi des rencontres'!$C:$C,$J1231)&gt;0),"Non","Oui")</f>
        <v/>
      </c>
      <c r="J1231" s="30" t="inlineStr">
        <is>
          <t>INSECATEUR</t>
        </is>
      </c>
    </row>
    <row r="1232">
      <c r="A1232" s="47" t="inlineStr">
        <is>
          <t>Parc Naturel</t>
        </is>
      </c>
      <c r="B1232" s="47" t="inlineStr">
        <is>
          <t>NationalPark_Normal_hns</t>
        </is>
      </c>
      <c r="C1232" s="62" t="inlineStr">
        <is>
          <t>Nuit</t>
        </is>
      </c>
      <c r="D1232" s="49" t="inlineStr">
        <is>
          <t>Herbe</t>
        </is>
      </c>
      <c r="E1232" s="50" t="inlineStr">
        <is>
          <t>PSYKOKWAK</t>
        </is>
      </c>
      <c r="F1232" s="51" t="n">
        <v>0.3</v>
      </c>
      <c r="G1232" s="52" t="n">
        <v>13</v>
      </c>
      <c r="H1232" s="52" t="n">
        <v>13</v>
      </c>
      <c r="I1232" s="29">
        <f>IF(OR(COUNTIF('Suivi des rencontres'!$A:$A,$A1232)&gt;0,COUNTIF('Suivi des rencontres'!$C:$C,$J1232)&gt;0),"Non","Oui")</f>
        <v/>
      </c>
      <c r="J1232" s="30" t="inlineStr">
        <is>
          <t>PSYKOKWAK</t>
        </is>
      </c>
    </row>
    <row r="1233">
      <c r="A1233" s="47" t="inlineStr">
        <is>
          <t>Parc Naturel</t>
        </is>
      </c>
      <c r="B1233" s="47" t="inlineStr">
        <is>
          <t>NationalPark_Normal_hns</t>
        </is>
      </c>
      <c r="C1233" s="62" t="inlineStr">
        <is>
          <t>Nuit</t>
        </is>
      </c>
      <c r="D1233" s="49" t="inlineStr">
        <is>
          <t>Herbe</t>
        </is>
      </c>
      <c r="E1233" s="50" t="inlineStr">
        <is>
          <t>CORNEBRE</t>
        </is>
      </c>
      <c r="F1233" s="51" t="n">
        <v>0.25</v>
      </c>
      <c r="G1233" s="52" t="n">
        <v>17</v>
      </c>
      <c r="H1233" s="52" t="n">
        <v>17</v>
      </c>
      <c r="I1233" s="29">
        <f>IF(OR(COUNTIF('Suivi des rencontres'!$A:$A,$A1233)&gt;0,COUNTIF('Suivi des rencontres'!$C:$C,$J1233)&gt;0),"Non","Oui")</f>
        <v/>
      </c>
      <c r="J1233" s="30" t="inlineStr">
        <is>
          <t>CORNEBRE</t>
        </is>
      </c>
    </row>
    <row r="1234">
      <c r="A1234" s="47" t="inlineStr">
        <is>
          <t>Parc Naturel</t>
        </is>
      </c>
      <c r="B1234" s="47" t="inlineStr">
        <is>
          <t>NationalPark_Normal_hns</t>
        </is>
      </c>
      <c r="C1234" s="62" t="inlineStr">
        <is>
          <t>Nuit</t>
        </is>
      </c>
      <c r="D1234" s="49" t="inlineStr">
        <is>
          <t>Herbe</t>
        </is>
      </c>
      <c r="E1234" s="50" t="inlineStr">
        <is>
          <t>MIMIGAL</t>
        </is>
      </c>
      <c r="F1234" s="51" t="n">
        <v>0.2</v>
      </c>
      <c r="G1234" s="52" t="n">
        <v>14</v>
      </c>
      <c r="H1234" s="52" t="n">
        <v>14</v>
      </c>
      <c r="I1234" s="29">
        <f>IF(OR(COUNTIF('Suivi des rencontres'!$A:$A,$A1234)&gt;0,COUNTIF('Suivi des rencontres'!$C:$C,$J1234)&gt;0),"Non","Oui")</f>
        <v/>
      </c>
      <c r="J1234" s="30" t="inlineStr">
        <is>
          <t>MIMIGAL</t>
        </is>
      </c>
    </row>
    <row r="1235">
      <c r="A1235" s="47" t="inlineStr">
        <is>
          <t>Parc Naturel</t>
        </is>
      </c>
      <c r="B1235" s="47" t="inlineStr">
        <is>
          <t>NationalPark_Normal_hns</t>
        </is>
      </c>
      <c r="C1235" s="62" t="inlineStr">
        <is>
          <t>Nuit</t>
        </is>
      </c>
      <c r="D1235" s="49" t="inlineStr">
        <is>
          <t>Herbe</t>
        </is>
      </c>
      <c r="E1235" s="50" t="inlineStr">
        <is>
          <t>HOOTHOOT</t>
        </is>
      </c>
      <c r="F1235" s="51" t="n">
        <v>0.15</v>
      </c>
      <c r="G1235" s="52" t="n">
        <v>15</v>
      </c>
      <c r="H1235" s="52" t="n">
        <v>15</v>
      </c>
      <c r="I1235" s="29">
        <f>IF(OR(COUNTIF('Suivi des rencontres'!$A:$A,$A1235)&gt;0,COUNTIF('Suivi des rencontres'!$C:$C,$J1235)&gt;0),"Non","Oui")</f>
        <v/>
      </c>
      <c r="J1235" s="30" t="inlineStr">
        <is>
          <t>HOOTHOOT</t>
        </is>
      </c>
    </row>
    <row r="1236">
      <c r="A1236" s="47" t="inlineStr">
        <is>
          <t>Parc Naturel</t>
        </is>
      </c>
      <c r="B1236" s="47" t="inlineStr">
        <is>
          <t>NationalPark_Normal_hns</t>
        </is>
      </c>
      <c r="C1236" s="62" t="inlineStr">
        <is>
          <t>Nuit</t>
        </is>
      </c>
      <c r="D1236" s="49" t="inlineStr">
        <is>
          <t>Herbe</t>
        </is>
      </c>
      <c r="E1236" s="50" t="inlineStr">
        <is>
          <t>INSECATEUR</t>
        </is>
      </c>
      <c r="F1236" s="51" t="n">
        <v>0.05</v>
      </c>
      <c r="G1236" s="52" t="n">
        <v>16</v>
      </c>
      <c r="H1236" s="52" t="n">
        <v>16</v>
      </c>
      <c r="I1236" s="29">
        <f>IF(OR(COUNTIF('Suivi des rencontres'!$A:$A,$A1236)&gt;0,COUNTIF('Suivi des rencontres'!$C:$C,$J1236)&gt;0),"Non","Oui")</f>
        <v/>
      </c>
      <c r="J1236" s="30" t="inlineStr">
        <is>
          <t>INSECATEUR</t>
        </is>
      </c>
    </row>
    <row r="1237">
      <c r="A1237" s="47" t="inlineStr">
        <is>
          <t>Parc Naturel</t>
        </is>
      </c>
      <c r="B1237" s="47" t="inlineStr">
        <is>
          <t>NationalPark_Normal_hns</t>
        </is>
      </c>
      <c r="C1237" s="62" t="inlineStr">
        <is>
          <t>Nuit</t>
        </is>
      </c>
      <c r="D1237" s="49" t="inlineStr">
        <is>
          <t>Herbe</t>
        </is>
      </c>
      <c r="E1237" s="50" t="inlineStr">
        <is>
          <t>MIMITOSS</t>
        </is>
      </c>
      <c r="F1237" s="51" t="n">
        <v>0.05</v>
      </c>
      <c r="G1237" s="52" t="n">
        <v>14</v>
      </c>
      <c r="H1237" s="52" t="n">
        <v>14</v>
      </c>
      <c r="I1237" s="29">
        <f>IF(OR(COUNTIF('Suivi des rencontres'!$A:$A,$A1237)&gt;0,COUNTIF('Suivi des rencontres'!$C:$C,$J1237)&gt;0),"Non","Oui")</f>
        <v/>
      </c>
      <c r="J1237" s="30" t="inlineStr">
        <is>
          <t>MIMITOSS</t>
        </is>
      </c>
    </row>
    <row r="1238">
      <c r="A1238" s="57" t="inlineStr">
        <is>
          <t>Parmanie</t>
        </is>
      </c>
      <c r="B1238" s="57" t="inlineStr">
        <is>
          <t>FuchsiaCity_SafariZoneBeach_hns</t>
        </is>
      </c>
      <c r="C1238" s="58" t="inlineStr">
        <is>
          <t>Toute la journée</t>
        </is>
      </c>
      <c r="D1238" s="42" t="inlineStr">
        <is>
          <t>Herbe</t>
        </is>
      </c>
      <c r="E1238" s="59" t="inlineStr">
        <is>
          <t>CACNEA</t>
        </is>
      </c>
      <c r="F1238" s="60" t="n">
        <v>0.2</v>
      </c>
      <c r="G1238" s="61" t="n">
        <v>42</v>
      </c>
      <c r="H1238" s="61" t="n">
        <v>45</v>
      </c>
      <c r="I1238" s="46">
        <f>IF(OR(COUNTIF('Suivi des rencontres'!$A:$A,$A1238)&gt;0,COUNTIF('Suivi des rencontres'!$C:$C,$J1238)&gt;0),"Non","Oui")</f>
        <v/>
      </c>
      <c r="J1238" s="30" t="inlineStr">
        <is>
          <t>CACNEA</t>
        </is>
      </c>
    </row>
    <row r="1239">
      <c r="A1239" s="35" t="inlineStr">
        <is>
          <t>Parmanie</t>
        </is>
      </c>
      <c r="B1239" s="35" t="inlineStr">
        <is>
          <t>FuchsiaCity_SafariZoneBeach_hns</t>
        </is>
      </c>
      <c r="C1239" s="33" t="inlineStr">
        <is>
          <t>Toute la journée</t>
        </is>
      </c>
      <c r="D1239" s="49" t="inlineStr">
        <is>
          <t>Herbe</t>
        </is>
      </c>
      <c r="E1239" s="37" t="inlineStr">
        <is>
          <t>KRAKNOIX</t>
        </is>
      </c>
      <c r="F1239" s="38" t="n">
        <v>0.2</v>
      </c>
      <c r="G1239" s="39" t="n">
        <v>42</v>
      </c>
      <c r="H1239" s="39" t="n">
        <v>45</v>
      </c>
      <c r="I1239" s="29">
        <f>IF(OR(COUNTIF('Suivi des rencontres'!$A:$A,$A1239)&gt;0,COUNTIF('Suivi des rencontres'!$C:$C,$J1239)&gt;0),"Non","Oui")</f>
        <v/>
      </c>
      <c r="J1239" s="30" t="inlineStr">
        <is>
          <t>KRAKNOIX</t>
        </is>
      </c>
    </row>
    <row r="1240">
      <c r="A1240" s="35" t="inlineStr">
        <is>
          <t>Parmanie</t>
        </is>
      </c>
      <c r="B1240" s="35" t="inlineStr">
        <is>
          <t>FuchsiaCity_SafariZoneBeach_hns</t>
        </is>
      </c>
      <c r="C1240" s="33" t="inlineStr">
        <is>
          <t>Toute la journée</t>
        </is>
      </c>
      <c r="D1240" s="49" t="inlineStr">
        <is>
          <t>Herbe</t>
        </is>
      </c>
      <c r="E1240" s="37" t="inlineStr">
        <is>
          <t>MAKUHITA</t>
        </is>
      </c>
      <c r="F1240" s="38" t="n">
        <v>0.2</v>
      </c>
      <c r="G1240" s="39" t="n">
        <v>42</v>
      </c>
      <c r="H1240" s="39" t="n">
        <v>45</v>
      </c>
      <c r="I1240" s="29">
        <f>IF(OR(COUNTIF('Suivi des rencontres'!$A:$A,$A1240)&gt;0,COUNTIF('Suivi des rencontres'!$C:$C,$J1240)&gt;0),"Non","Oui")</f>
        <v/>
      </c>
      <c r="J1240" s="30" t="inlineStr">
        <is>
          <t>MAKUHITA</t>
        </is>
      </c>
    </row>
    <row r="1241">
      <c r="A1241" s="35" t="inlineStr">
        <is>
          <t>Parmanie</t>
        </is>
      </c>
      <c r="B1241" s="35" t="inlineStr">
        <is>
          <t>FuchsiaCity_SafariZoneBeach_hns</t>
        </is>
      </c>
      <c r="C1241" s="33" t="inlineStr">
        <is>
          <t>Toute la journée</t>
        </is>
      </c>
      <c r="D1241" s="49" t="inlineStr">
        <is>
          <t>Herbe</t>
        </is>
      </c>
      <c r="E1241" s="37" t="inlineStr">
        <is>
          <t>NENUPIOT</t>
        </is>
      </c>
      <c r="F1241" s="38" t="n">
        <v>0.2</v>
      </c>
      <c r="G1241" s="39" t="n">
        <v>42</v>
      </c>
      <c r="H1241" s="39" t="n">
        <v>45</v>
      </c>
      <c r="I1241" s="29">
        <f>IF(OR(COUNTIF('Suivi des rencontres'!$A:$A,$A1241)&gt;0,COUNTIF('Suivi des rencontres'!$C:$C,$J1241)&gt;0),"Non","Oui")</f>
        <v/>
      </c>
      <c r="J1241" s="30" t="inlineStr">
        <is>
          <t>NENUPIOT</t>
        </is>
      </c>
    </row>
    <row r="1242">
      <c r="A1242" s="35" t="inlineStr">
        <is>
          <t>Parmanie</t>
        </is>
      </c>
      <c r="B1242" s="35" t="inlineStr">
        <is>
          <t>FuchsiaCity_SafariZoneBeach_hns</t>
        </is>
      </c>
      <c r="C1242" s="33" t="inlineStr">
        <is>
          <t>Toute la journée</t>
        </is>
      </c>
      <c r="D1242" s="49" t="inlineStr">
        <is>
          <t>Herbe</t>
        </is>
      </c>
      <c r="E1242" s="37" t="inlineStr">
        <is>
          <t>LOMBRE</t>
        </is>
      </c>
      <c r="F1242" s="38" t="n">
        <v>0.1</v>
      </c>
      <c r="G1242" s="39" t="n">
        <v>42</v>
      </c>
      <c r="H1242" s="39" t="n">
        <v>45</v>
      </c>
      <c r="I1242" s="29">
        <f>IF(OR(COUNTIF('Suivi des rencontres'!$A:$A,$A1242)&gt;0,COUNTIF('Suivi des rencontres'!$C:$C,$J1242)&gt;0),"Non","Oui")</f>
        <v/>
      </c>
      <c r="J1242" s="30" t="inlineStr">
        <is>
          <t>NENUPIOT</t>
        </is>
      </c>
    </row>
    <row r="1243">
      <c r="A1243" s="35" t="inlineStr">
        <is>
          <t>Parmanie</t>
        </is>
      </c>
      <c r="B1243" s="35" t="inlineStr">
        <is>
          <t>FuchsiaCity_SafariZoneBeach_hns</t>
        </is>
      </c>
      <c r="C1243" s="33" t="inlineStr">
        <is>
          <t>Toute la journée</t>
        </is>
      </c>
      <c r="D1243" s="49" t="inlineStr">
        <is>
          <t>Herbe</t>
        </is>
      </c>
      <c r="E1243" s="37" t="inlineStr">
        <is>
          <t>TERHAL</t>
        </is>
      </c>
      <c r="F1243" s="38" t="n">
        <v>0.05</v>
      </c>
      <c r="G1243" s="39" t="n">
        <v>42</v>
      </c>
      <c r="H1243" s="39" t="n">
        <v>45</v>
      </c>
      <c r="I1243" s="29">
        <f>IF(OR(COUNTIF('Suivi des rencontres'!$A:$A,$A1243)&gt;0,COUNTIF('Suivi des rencontres'!$C:$C,$J1243)&gt;0),"Non","Oui")</f>
        <v/>
      </c>
      <c r="J1243" s="30" t="inlineStr">
        <is>
          <t>TERHAL</t>
        </is>
      </c>
    </row>
    <row r="1244">
      <c r="A1244" s="35" t="inlineStr">
        <is>
          <t>Parmanie</t>
        </is>
      </c>
      <c r="B1244" s="35" t="inlineStr">
        <is>
          <t>FuchsiaCity_SafariZoneBeach_hns</t>
        </is>
      </c>
      <c r="C1244" s="33" t="inlineStr">
        <is>
          <t>Toute la journée</t>
        </is>
      </c>
      <c r="D1244" s="49" t="inlineStr">
        <is>
          <t>Herbe</t>
        </is>
      </c>
      <c r="E1244" s="37" t="inlineStr">
        <is>
          <t>VIBRANINF</t>
        </is>
      </c>
      <c r="F1244" s="38" t="n">
        <v>0.05</v>
      </c>
      <c r="G1244" s="39" t="n">
        <v>42</v>
      </c>
      <c r="H1244" s="39" t="n">
        <v>45</v>
      </c>
      <c r="I1244" s="29">
        <f>IF(OR(COUNTIF('Suivi des rencontres'!$A:$A,$A1244)&gt;0,COUNTIF('Suivi des rencontres'!$C:$C,$J1244)&gt;0),"Non","Oui")</f>
        <v/>
      </c>
      <c r="J1244" s="30" t="inlineStr">
        <is>
          <t>KRAKNOIX</t>
        </is>
      </c>
    </row>
    <row r="1245">
      <c r="A1245" s="35" t="inlineStr">
        <is>
          <t>Parmanie</t>
        </is>
      </c>
      <c r="B1245" s="35" t="inlineStr">
        <is>
          <t>FuchsiaCity_SafariZoneBeach_hns</t>
        </is>
      </c>
      <c r="C1245" s="33" t="inlineStr">
        <is>
          <t>Toute la journée</t>
        </is>
      </c>
      <c r="D1245" s="53" t="inlineStr">
        <is>
          <t>Surf</t>
        </is>
      </c>
      <c r="E1245" s="37" t="inlineStr">
        <is>
          <t>MAGICARPE</t>
        </is>
      </c>
      <c r="F1245" s="38" t="n">
        <v>0.6</v>
      </c>
      <c r="G1245" s="39" t="n">
        <v>42</v>
      </c>
      <c r="H1245" s="39" t="n">
        <v>45</v>
      </c>
      <c r="I1245" s="29">
        <f>IF(OR(COUNTIF('Suivi des rencontres'!$A:$A,$A1245)&gt;0,COUNTIF('Suivi des rencontres'!$C:$C,$J1245)&gt;0),"Non","Oui")</f>
        <v/>
      </c>
      <c r="J1245" s="30" t="inlineStr">
        <is>
          <t>MAGICARPE</t>
        </is>
      </c>
    </row>
    <row r="1246">
      <c r="A1246" s="35" t="inlineStr">
        <is>
          <t>Parmanie</t>
        </is>
      </c>
      <c r="B1246" s="35" t="inlineStr">
        <is>
          <t>FuchsiaCity_SafariZoneBeach_hns</t>
        </is>
      </c>
      <c r="C1246" s="33" t="inlineStr">
        <is>
          <t>Toute la journée</t>
        </is>
      </c>
      <c r="D1246" s="53" t="inlineStr">
        <is>
          <t>Surf</t>
        </is>
      </c>
      <c r="E1246" s="37" t="inlineStr">
        <is>
          <t>TENTACOOL</t>
        </is>
      </c>
      <c r="F1246" s="38" t="n">
        <v>0.4</v>
      </c>
      <c r="G1246" s="39" t="n">
        <v>42</v>
      </c>
      <c r="H1246" s="39" t="n">
        <v>45</v>
      </c>
      <c r="I1246" s="29">
        <f>IF(OR(COUNTIF('Suivi des rencontres'!$A:$A,$A1246)&gt;0,COUNTIF('Suivi des rencontres'!$C:$C,$J1246)&gt;0),"Non","Oui")</f>
        <v/>
      </c>
      <c r="J1246" s="30" t="inlineStr">
        <is>
          <t>TENTACOOL</t>
        </is>
      </c>
    </row>
    <row r="1247">
      <c r="A1247" s="35" t="inlineStr">
        <is>
          <t>Parmanie</t>
        </is>
      </c>
      <c r="B1247" s="35" t="inlineStr">
        <is>
          <t>FuchsiaCity_SafariZoneBeach_hns</t>
        </is>
      </c>
      <c r="C1247" s="33" t="inlineStr">
        <is>
          <t>Toute la journée</t>
        </is>
      </c>
      <c r="D1247" s="54" t="inlineStr">
        <is>
          <t>Vieille Canne</t>
        </is>
      </c>
      <c r="E1247" s="37" t="inlineStr">
        <is>
          <t>MAGICARPE</t>
        </is>
      </c>
      <c r="F1247" s="38" t="n">
        <v>0.7</v>
      </c>
      <c r="G1247" s="39" t="n">
        <v>41</v>
      </c>
      <c r="H1247" s="39" t="n">
        <v>43</v>
      </c>
      <c r="I1247" s="29">
        <f>IF(OR(COUNTIF('Suivi des rencontres'!$A:$A,$A1247)&gt;0,COUNTIF('Suivi des rencontres'!$C:$C,$J1247)&gt;0),"Non","Oui")</f>
        <v/>
      </c>
      <c r="J1247" s="30" t="inlineStr">
        <is>
          <t>MAGICARPE</t>
        </is>
      </c>
    </row>
    <row r="1248">
      <c r="A1248" s="35" t="inlineStr">
        <is>
          <t>Parmanie</t>
        </is>
      </c>
      <c r="B1248" s="35" t="inlineStr">
        <is>
          <t>FuchsiaCity_SafariZoneBeach_hns</t>
        </is>
      </c>
      <c r="C1248" s="33" t="inlineStr">
        <is>
          <t>Toute la journée</t>
        </is>
      </c>
      <c r="D1248" s="54" t="inlineStr">
        <is>
          <t>Vieille Canne</t>
        </is>
      </c>
      <c r="E1248" s="37" t="inlineStr">
        <is>
          <t>TENTACOOL</t>
        </is>
      </c>
      <c r="F1248" s="38" t="n">
        <v>0.3</v>
      </c>
      <c r="G1248" s="39" t="n">
        <v>41</v>
      </c>
      <c r="H1248" s="39" t="n">
        <v>43</v>
      </c>
      <c r="I1248" s="29">
        <f>IF(OR(COUNTIF('Suivi des rencontres'!$A:$A,$A1248)&gt;0,COUNTIF('Suivi des rencontres'!$C:$C,$J1248)&gt;0),"Non","Oui")</f>
        <v/>
      </c>
      <c r="J1248" s="30" t="inlineStr">
        <is>
          <t>TENTACOOL</t>
        </is>
      </c>
    </row>
    <row r="1249">
      <c r="A1249" s="35" t="inlineStr">
        <is>
          <t>Parmanie</t>
        </is>
      </c>
      <c r="B1249" s="35" t="inlineStr">
        <is>
          <t>FuchsiaCity_SafariZoneBeach_hns</t>
        </is>
      </c>
      <c r="C1249" s="33" t="inlineStr">
        <is>
          <t>Toute la journée</t>
        </is>
      </c>
      <c r="D1249" s="55" t="inlineStr">
        <is>
          <t>Bonne Canne</t>
        </is>
      </c>
      <c r="E1249" s="37" t="inlineStr">
        <is>
          <t>MAGICARPE</t>
        </is>
      </c>
      <c r="F1249" s="38" t="n">
        <v>0.6</v>
      </c>
      <c r="G1249" s="39" t="n">
        <v>42</v>
      </c>
      <c r="H1249" s="39" t="n">
        <v>44</v>
      </c>
      <c r="I1249" s="29">
        <f>IF(OR(COUNTIF('Suivi des rencontres'!$A:$A,$A1249)&gt;0,COUNTIF('Suivi des rencontres'!$C:$C,$J1249)&gt;0),"Non","Oui")</f>
        <v/>
      </c>
      <c r="J1249" s="30" t="inlineStr">
        <is>
          <t>MAGICARPE</t>
        </is>
      </c>
    </row>
    <row r="1250">
      <c r="A1250" s="35" t="inlineStr">
        <is>
          <t>Parmanie</t>
        </is>
      </c>
      <c r="B1250" s="35" t="inlineStr">
        <is>
          <t>FuchsiaCity_SafariZoneBeach_hns</t>
        </is>
      </c>
      <c r="C1250" s="33" t="inlineStr">
        <is>
          <t>Toute la journée</t>
        </is>
      </c>
      <c r="D1250" s="55" t="inlineStr">
        <is>
          <t>Bonne Canne</t>
        </is>
      </c>
      <c r="E1250" s="37" t="inlineStr">
        <is>
          <t>MARAISTE</t>
        </is>
      </c>
      <c r="F1250" s="38" t="n">
        <v>0.2</v>
      </c>
      <c r="G1250" s="39" t="n">
        <v>42</v>
      </c>
      <c r="H1250" s="39" t="n">
        <v>44</v>
      </c>
      <c r="I1250" s="29">
        <f>IF(OR(COUNTIF('Suivi des rencontres'!$A:$A,$A1250)&gt;0,COUNTIF('Suivi des rencontres'!$C:$C,$J1250)&gt;0),"Non","Oui")</f>
        <v/>
      </c>
      <c r="J1250" s="30" t="inlineStr">
        <is>
          <t>AXOLOTO</t>
        </is>
      </c>
    </row>
    <row r="1251">
      <c r="A1251" s="35" t="inlineStr">
        <is>
          <t>Parmanie</t>
        </is>
      </c>
      <c r="B1251" s="35" t="inlineStr">
        <is>
          <t>FuchsiaCity_SafariZoneBeach_hns</t>
        </is>
      </c>
      <c r="C1251" s="33" t="inlineStr">
        <is>
          <t>Toute la journée</t>
        </is>
      </c>
      <c r="D1251" s="55" t="inlineStr">
        <is>
          <t>Bonne Canne</t>
        </is>
      </c>
      <c r="E1251" s="37" t="inlineStr">
        <is>
          <t>TENTACOOL</t>
        </is>
      </c>
      <c r="F1251" s="38" t="n">
        <v>0.2</v>
      </c>
      <c r="G1251" s="39" t="n">
        <v>42</v>
      </c>
      <c r="H1251" s="39" t="n">
        <v>44</v>
      </c>
      <c r="I1251" s="29">
        <f>IF(OR(COUNTIF('Suivi des rencontres'!$A:$A,$A1251)&gt;0,COUNTIF('Suivi des rencontres'!$C:$C,$J1251)&gt;0),"Non","Oui")</f>
        <v/>
      </c>
      <c r="J1251" s="30" t="inlineStr">
        <is>
          <t>TENTACOOL</t>
        </is>
      </c>
    </row>
    <row r="1252">
      <c r="A1252" s="35" t="inlineStr">
        <is>
          <t>Parmanie</t>
        </is>
      </c>
      <c r="B1252" s="35" t="inlineStr">
        <is>
          <t>FuchsiaCity_SafariZoneBeach_hns</t>
        </is>
      </c>
      <c r="C1252" s="33" t="inlineStr">
        <is>
          <t>Toute la journée</t>
        </is>
      </c>
      <c r="D1252" s="56" t="inlineStr">
        <is>
          <t>Super Canne</t>
        </is>
      </c>
      <c r="E1252" s="37" t="inlineStr">
        <is>
          <t>MARAISTE</t>
        </is>
      </c>
      <c r="F1252" s="38" t="n">
        <v>0.8</v>
      </c>
      <c r="G1252" s="39" t="n">
        <v>40</v>
      </c>
      <c r="H1252" s="39" t="n">
        <v>44</v>
      </c>
      <c r="I1252" s="29">
        <f>IF(OR(COUNTIF('Suivi des rencontres'!$A:$A,$A1252)&gt;0,COUNTIF('Suivi des rencontres'!$C:$C,$J1252)&gt;0),"Non","Oui")</f>
        <v/>
      </c>
      <c r="J1252" s="30" t="inlineStr">
        <is>
          <t>AXOLOTO</t>
        </is>
      </c>
    </row>
    <row r="1253">
      <c r="A1253" s="35" t="inlineStr">
        <is>
          <t>Parmanie</t>
        </is>
      </c>
      <c r="B1253" s="35" t="inlineStr">
        <is>
          <t>FuchsiaCity_SafariZoneBeach_hns</t>
        </is>
      </c>
      <c r="C1253" s="33" t="inlineStr">
        <is>
          <t>Toute la journée</t>
        </is>
      </c>
      <c r="D1253" s="56" t="inlineStr">
        <is>
          <t>Super Canne</t>
        </is>
      </c>
      <c r="E1253" s="37" t="inlineStr">
        <is>
          <t>TENTACRUEL</t>
        </is>
      </c>
      <c r="F1253" s="38" t="n">
        <v>0.15</v>
      </c>
      <c r="G1253" s="39" t="n">
        <v>40</v>
      </c>
      <c r="H1253" s="39" t="n">
        <v>40</v>
      </c>
      <c r="I1253" s="29">
        <f>IF(OR(COUNTIF('Suivi des rencontres'!$A:$A,$A1253)&gt;0,COUNTIF('Suivi des rencontres'!$C:$C,$J1253)&gt;0),"Non","Oui")</f>
        <v/>
      </c>
      <c r="J1253" s="30" t="inlineStr">
        <is>
          <t>TENTACOOL</t>
        </is>
      </c>
    </row>
    <row r="1254">
      <c r="A1254" s="35" t="inlineStr">
        <is>
          <t>Parmanie</t>
        </is>
      </c>
      <c r="B1254" s="35" t="inlineStr">
        <is>
          <t>FuchsiaCity_SafariZoneBeach_hns</t>
        </is>
      </c>
      <c r="C1254" s="33" t="inlineStr">
        <is>
          <t>Toute la journée</t>
        </is>
      </c>
      <c r="D1254" s="56" t="inlineStr">
        <is>
          <t>Super Canne</t>
        </is>
      </c>
      <c r="E1254" s="37" t="inlineStr">
        <is>
          <t>MAGICARPE</t>
        </is>
      </c>
      <c r="F1254" s="38" t="n">
        <v>0.04</v>
      </c>
      <c r="G1254" s="39" t="n">
        <v>40</v>
      </c>
      <c r="H1254" s="39" t="n">
        <v>40</v>
      </c>
      <c r="I1254" s="29">
        <f>IF(OR(COUNTIF('Suivi des rencontres'!$A:$A,$A1254)&gt;0,COUNTIF('Suivi des rencontres'!$C:$C,$J1254)&gt;0),"Non","Oui")</f>
        <v/>
      </c>
      <c r="J1254" s="30" t="inlineStr">
        <is>
          <t>MAGICARPE</t>
        </is>
      </c>
    </row>
    <row r="1255">
      <c r="A1255" s="35" t="inlineStr">
        <is>
          <t>Parmanie</t>
        </is>
      </c>
      <c r="B1255" s="35" t="inlineStr">
        <is>
          <t>FuchsiaCity_SafariZoneBeach_hns</t>
        </is>
      </c>
      <c r="C1255" s="33" t="inlineStr">
        <is>
          <t>Toute la journée</t>
        </is>
      </c>
      <c r="D1255" s="56" t="inlineStr">
        <is>
          <t>Super Canne</t>
        </is>
      </c>
      <c r="E1255" s="37" t="inlineStr">
        <is>
          <t>TENTACOOL</t>
        </is>
      </c>
      <c r="F1255" s="38" t="n">
        <v>0.01</v>
      </c>
      <c r="G1255" s="39" t="n">
        <v>40</v>
      </c>
      <c r="H1255" s="39" t="n">
        <v>40</v>
      </c>
      <c r="I1255" s="29">
        <f>IF(OR(COUNTIF('Suivi des rencontres'!$A:$A,$A1255)&gt;0,COUNTIF('Suivi des rencontres'!$C:$C,$J1255)&gt;0),"Non","Oui")</f>
        <v/>
      </c>
      <c r="J1255" s="30" t="inlineStr">
        <is>
          <t>TENTACOOL</t>
        </is>
      </c>
    </row>
    <row r="1256">
      <c r="A1256" s="35" t="inlineStr">
        <is>
          <t>Parmanie</t>
        </is>
      </c>
      <c r="B1256" s="35" t="inlineStr">
        <is>
          <t>FuchsiaCity_SafariZoneBrush_hns</t>
        </is>
      </c>
      <c r="C1256" s="33" t="inlineStr">
        <is>
          <t>Toute la journée</t>
        </is>
      </c>
      <c r="D1256" s="49" t="inlineStr">
        <is>
          <t>Herbe</t>
        </is>
      </c>
      <c r="E1256" s="37" t="inlineStr">
        <is>
          <t>TROPIUS</t>
        </is>
      </c>
      <c r="F1256" s="38" t="n">
        <v>0.5</v>
      </c>
      <c r="G1256" s="39" t="n">
        <v>48</v>
      </c>
      <c r="H1256" s="39" t="n">
        <v>48</v>
      </c>
      <c r="I1256" s="29">
        <f>IF(OR(COUNTIF('Suivi des rencontres'!$A:$A,$A1256)&gt;0,COUNTIF('Suivi des rencontres'!$C:$C,$J1256)&gt;0),"Non","Oui")</f>
        <v/>
      </c>
      <c r="J1256" s="30" t="inlineStr">
        <is>
          <t>TROPIUS</t>
        </is>
      </c>
    </row>
    <row r="1257">
      <c r="A1257" s="35" t="inlineStr">
        <is>
          <t>Parmanie</t>
        </is>
      </c>
      <c r="B1257" s="35" t="inlineStr">
        <is>
          <t>FuchsiaCity_SafariZoneBrush_hns</t>
        </is>
      </c>
      <c r="C1257" s="33" t="inlineStr">
        <is>
          <t>Toute la journée</t>
        </is>
      </c>
      <c r="D1257" s="49" t="inlineStr">
        <is>
          <t>Herbe</t>
        </is>
      </c>
      <c r="E1257" s="37" t="inlineStr">
        <is>
          <t>EOKO</t>
        </is>
      </c>
      <c r="F1257" s="38" t="n">
        <v>0.4</v>
      </c>
      <c r="G1257" s="39" t="n">
        <v>48</v>
      </c>
      <c r="H1257" s="39" t="n">
        <v>48</v>
      </c>
      <c r="I1257" s="29">
        <f>IF(OR(COUNTIF('Suivi des rencontres'!$A:$A,$A1257)&gt;0,COUNTIF('Suivi des rencontres'!$C:$C,$J1257)&gt;0),"Non","Oui")</f>
        <v/>
      </c>
      <c r="J1257" s="30" t="inlineStr">
        <is>
          <t>KORILLON</t>
        </is>
      </c>
    </row>
    <row r="1258">
      <c r="A1258" s="35" t="inlineStr">
        <is>
          <t>Parmanie</t>
        </is>
      </c>
      <c r="B1258" s="35" t="inlineStr">
        <is>
          <t>FuchsiaCity_SafariZoneBrush_hns</t>
        </is>
      </c>
      <c r="C1258" s="33" t="inlineStr">
        <is>
          <t>Toute la journée</t>
        </is>
      </c>
      <c r="D1258" s="49" t="inlineStr">
        <is>
          <t>Herbe</t>
        </is>
      </c>
      <c r="E1258" s="37" t="inlineStr">
        <is>
          <t>ABSOL</t>
        </is>
      </c>
      <c r="F1258" s="38" t="n">
        <v>0.09</v>
      </c>
      <c r="G1258" s="39" t="n">
        <v>48</v>
      </c>
      <c r="H1258" s="39" t="n">
        <v>48</v>
      </c>
      <c r="I1258" s="29">
        <f>IF(OR(COUNTIF('Suivi des rencontres'!$A:$A,$A1258)&gt;0,COUNTIF('Suivi des rencontres'!$C:$C,$J1258)&gt;0),"Non","Oui")</f>
        <v/>
      </c>
      <c r="J1258" s="30" t="inlineStr">
        <is>
          <t>ABSOL</t>
        </is>
      </c>
    </row>
    <row r="1259">
      <c r="A1259" s="35" t="inlineStr">
        <is>
          <t>Parmanie</t>
        </is>
      </c>
      <c r="B1259" s="35" t="inlineStr">
        <is>
          <t>FuchsiaCity_SafariZoneBrush_hns</t>
        </is>
      </c>
      <c r="C1259" s="33" t="inlineStr">
        <is>
          <t>Toute la journée</t>
        </is>
      </c>
      <c r="D1259" s="49" t="inlineStr">
        <is>
          <t>Herbe</t>
        </is>
      </c>
      <c r="E1259" s="37" t="inlineStr">
        <is>
          <t>MORPHEO</t>
        </is>
      </c>
      <c r="F1259" s="38" t="n">
        <v>0.01</v>
      </c>
      <c r="G1259" s="39" t="n">
        <v>48</v>
      </c>
      <c r="H1259" s="39" t="n">
        <v>48</v>
      </c>
      <c r="I1259" s="29">
        <f>IF(OR(COUNTIF('Suivi des rencontres'!$A:$A,$A1259)&gt;0,COUNTIF('Suivi des rencontres'!$C:$C,$J1259)&gt;0),"Non","Oui")</f>
        <v/>
      </c>
      <c r="J1259" s="30" t="inlineStr">
        <is>
          <t>MORPHEO</t>
        </is>
      </c>
    </row>
    <row r="1260">
      <c r="A1260" s="35" t="inlineStr">
        <is>
          <t>Parmanie</t>
        </is>
      </c>
      <c r="B1260" s="35" t="inlineStr">
        <is>
          <t>FuchsiaCity_SafariZoneCave_hns</t>
        </is>
      </c>
      <c r="C1260" s="33" t="inlineStr">
        <is>
          <t>Toute la journée</t>
        </is>
      </c>
      <c r="D1260" s="49" t="inlineStr">
        <is>
          <t>Herbe</t>
        </is>
      </c>
      <c r="E1260" s="37" t="inlineStr">
        <is>
          <t>CHUCHMUR</t>
        </is>
      </c>
      <c r="F1260" s="38" t="n">
        <v>0.4</v>
      </c>
      <c r="G1260" s="39" t="n">
        <v>48</v>
      </c>
      <c r="H1260" s="39" t="n">
        <v>48</v>
      </c>
      <c r="I1260" s="29">
        <f>IF(OR(COUNTIF('Suivi des rencontres'!$A:$A,$A1260)&gt;0,COUNTIF('Suivi des rencontres'!$C:$C,$J1260)&gt;0),"Non","Oui")</f>
        <v/>
      </c>
      <c r="J1260" s="30" t="inlineStr">
        <is>
          <t>CHUCHMUR</t>
        </is>
      </c>
    </row>
    <row r="1261">
      <c r="A1261" s="35" t="inlineStr">
        <is>
          <t>Parmanie</t>
        </is>
      </c>
      <c r="B1261" s="35" t="inlineStr">
        <is>
          <t>FuchsiaCity_SafariZoneCave_hns</t>
        </is>
      </c>
      <c r="C1261" s="33" t="inlineStr">
        <is>
          <t>Toute la journée</t>
        </is>
      </c>
      <c r="D1261" s="49" t="inlineStr">
        <is>
          <t>Herbe</t>
        </is>
      </c>
      <c r="E1261" s="37" t="inlineStr">
        <is>
          <t>TARINOR</t>
        </is>
      </c>
      <c r="F1261" s="38" t="n">
        <v>0.3</v>
      </c>
      <c r="G1261" s="39" t="n">
        <v>48</v>
      </c>
      <c r="H1261" s="39" t="n">
        <v>48</v>
      </c>
      <c r="I1261" s="29">
        <f>IF(OR(COUNTIF('Suivi des rencontres'!$A:$A,$A1261)&gt;0,COUNTIF('Suivi des rencontres'!$C:$C,$J1261)&gt;0),"Non","Oui")</f>
        <v/>
      </c>
      <c r="J1261" s="30" t="inlineStr">
        <is>
          <t>TARINOR</t>
        </is>
      </c>
    </row>
    <row r="1262">
      <c r="A1262" s="35" t="inlineStr">
        <is>
          <t>Parmanie</t>
        </is>
      </c>
      <c r="B1262" s="35" t="inlineStr">
        <is>
          <t>FuchsiaCity_SafariZoneCave_hns</t>
        </is>
      </c>
      <c r="C1262" s="33" t="inlineStr">
        <is>
          <t>Toute la journée</t>
        </is>
      </c>
      <c r="D1262" s="49" t="inlineStr">
        <is>
          <t>Herbe</t>
        </is>
      </c>
      <c r="E1262" s="37" t="inlineStr">
        <is>
          <t>RACAILLOU</t>
        </is>
      </c>
      <c r="F1262" s="38" t="n">
        <v>0.15</v>
      </c>
      <c r="G1262" s="39" t="n">
        <v>48</v>
      </c>
      <c r="H1262" s="39" t="n">
        <v>48</v>
      </c>
      <c r="I1262" s="29">
        <f>IF(OR(COUNTIF('Suivi des rencontres'!$A:$A,$A1262)&gt;0,COUNTIF('Suivi des rencontres'!$C:$C,$J1262)&gt;0),"Non","Oui")</f>
        <v/>
      </c>
      <c r="J1262" s="30" t="inlineStr">
        <is>
          <t>RACAILLOU</t>
        </is>
      </c>
    </row>
    <row r="1263">
      <c r="A1263" s="35" t="inlineStr">
        <is>
          <t>Parmanie</t>
        </is>
      </c>
      <c r="B1263" s="35" t="inlineStr">
        <is>
          <t>FuchsiaCity_SafariZoneCave_hns</t>
        </is>
      </c>
      <c r="C1263" s="33" t="inlineStr">
        <is>
          <t>Toute la journée</t>
        </is>
      </c>
      <c r="D1263" s="49" t="inlineStr">
        <is>
          <t>Herbe</t>
        </is>
      </c>
      <c r="E1263" s="37" t="inlineStr">
        <is>
          <t>NOSFERAPTI</t>
        </is>
      </c>
      <c r="F1263" s="38" t="n">
        <v>0.1</v>
      </c>
      <c r="G1263" s="39" t="n">
        <v>48</v>
      </c>
      <c r="H1263" s="39" t="n">
        <v>48</v>
      </c>
      <c r="I1263" s="29">
        <f>IF(OR(COUNTIF('Suivi des rencontres'!$A:$A,$A1263)&gt;0,COUNTIF('Suivi des rencontres'!$C:$C,$J1263)&gt;0),"Non","Oui")</f>
        <v/>
      </c>
      <c r="J1263" s="30" t="inlineStr">
        <is>
          <t>NOSFERAPTI</t>
        </is>
      </c>
    </row>
    <row r="1264">
      <c r="A1264" s="35" t="inlineStr">
        <is>
          <t>Parmanie</t>
        </is>
      </c>
      <c r="B1264" s="35" t="inlineStr">
        <is>
          <t>FuchsiaCity_SafariZoneCave_hns</t>
        </is>
      </c>
      <c r="C1264" s="33" t="inlineStr">
        <is>
          <t>Toute la journée</t>
        </is>
      </c>
      <c r="D1264" s="49" t="inlineStr">
        <is>
          <t>Herbe</t>
        </is>
      </c>
      <c r="E1264" s="37" t="inlineStr">
        <is>
          <t>DRABY</t>
        </is>
      </c>
      <c r="F1264" s="38" t="n">
        <v>0.05</v>
      </c>
      <c r="G1264" s="39" t="n">
        <v>48</v>
      </c>
      <c r="H1264" s="39" t="n">
        <v>48</v>
      </c>
      <c r="I1264" s="29">
        <f>IF(OR(COUNTIF('Suivi des rencontres'!$A:$A,$A1264)&gt;0,COUNTIF('Suivi des rencontres'!$C:$C,$J1264)&gt;0),"Non","Oui")</f>
        <v/>
      </c>
      <c r="J1264" s="30" t="inlineStr">
        <is>
          <t>DRABY</t>
        </is>
      </c>
    </row>
    <row r="1265">
      <c r="A1265" s="35" t="inlineStr">
        <is>
          <t>Parmanie</t>
        </is>
      </c>
      <c r="B1265" s="35" t="inlineStr">
        <is>
          <t>FuchsiaCity_SafariZoneCave_hns</t>
        </is>
      </c>
      <c r="C1265" s="33" t="inlineStr">
        <is>
          <t>Toute la journée</t>
        </is>
      </c>
      <c r="D1265" s="53" t="inlineStr">
        <is>
          <t>Surf</t>
        </is>
      </c>
      <c r="E1265" s="37" t="inlineStr">
        <is>
          <t>RELICANTH</t>
        </is>
      </c>
      <c r="F1265" s="38" t="n">
        <v>0.6</v>
      </c>
      <c r="G1265" s="39" t="n">
        <v>42</v>
      </c>
      <c r="H1265" s="39" t="n">
        <v>45</v>
      </c>
      <c r="I1265" s="29">
        <f>IF(OR(COUNTIF('Suivi des rencontres'!$A:$A,$A1265)&gt;0,COUNTIF('Suivi des rencontres'!$C:$C,$J1265)&gt;0),"Non","Oui")</f>
        <v/>
      </c>
      <c r="J1265" s="30" t="inlineStr">
        <is>
          <t>RELICANTH</t>
        </is>
      </c>
    </row>
    <row r="1266">
      <c r="A1266" s="35" t="inlineStr">
        <is>
          <t>Parmanie</t>
        </is>
      </c>
      <c r="B1266" s="35" t="inlineStr">
        <is>
          <t>FuchsiaCity_SafariZoneCave_hns</t>
        </is>
      </c>
      <c r="C1266" s="33" t="inlineStr">
        <is>
          <t>Toute la journée</t>
        </is>
      </c>
      <c r="D1266" s="53" t="inlineStr">
        <is>
          <t>Surf</t>
        </is>
      </c>
      <c r="E1266" s="37" t="inlineStr">
        <is>
          <t>AXOLOTO</t>
        </is>
      </c>
      <c r="F1266" s="38" t="n">
        <v>0.3</v>
      </c>
      <c r="G1266" s="39" t="n">
        <v>41</v>
      </c>
      <c r="H1266" s="39" t="n">
        <v>45</v>
      </c>
      <c r="I1266" s="29">
        <f>IF(OR(COUNTIF('Suivi des rencontres'!$A:$A,$A1266)&gt;0,COUNTIF('Suivi des rencontres'!$C:$C,$J1266)&gt;0),"Non","Oui")</f>
        <v/>
      </c>
      <c r="J1266" s="30" t="inlineStr">
        <is>
          <t>AXOLOTO</t>
        </is>
      </c>
    </row>
    <row r="1267">
      <c r="A1267" s="35" t="inlineStr">
        <is>
          <t>Parmanie</t>
        </is>
      </c>
      <c r="B1267" s="35" t="inlineStr">
        <is>
          <t>FuchsiaCity_SafariZoneCave_hns</t>
        </is>
      </c>
      <c r="C1267" s="33" t="inlineStr">
        <is>
          <t>Toute la journée</t>
        </is>
      </c>
      <c r="D1267" s="53" t="inlineStr">
        <is>
          <t>Surf</t>
        </is>
      </c>
      <c r="E1267" s="37" t="inlineStr">
        <is>
          <t>MARAISTE</t>
        </is>
      </c>
      <c r="F1267" s="38" t="n">
        <v>0.1</v>
      </c>
      <c r="G1267" s="39" t="n">
        <v>41</v>
      </c>
      <c r="H1267" s="39" t="n">
        <v>45</v>
      </c>
      <c r="I1267" s="29">
        <f>IF(OR(COUNTIF('Suivi des rencontres'!$A:$A,$A1267)&gt;0,COUNTIF('Suivi des rencontres'!$C:$C,$J1267)&gt;0),"Non","Oui")</f>
        <v/>
      </c>
      <c r="J1267" s="30" t="inlineStr">
        <is>
          <t>AXOLOTO</t>
        </is>
      </c>
    </row>
    <row r="1268">
      <c r="A1268" s="35" t="inlineStr">
        <is>
          <t>Parmanie</t>
        </is>
      </c>
      <c r="B1268" s="35" t="inlineStr">
        <is>
          <t>FuchsiaCity_SafariZoneCave_hns</t>
        </is>
      </c>
      <c r="C1268" s="33" t="inlineStr">
        <is>
          <t>Toute la journée</t>
        </is>
      </c>
      <c r="D1268" s="54" t="inlineStr">
        <is>
          <t>Vieille Canne</t>
        </is>
      </c>
      <c r="E1268" s="37" t="inlineStr">
        <is>
          <t>MAGICARPE</t>
        </is>
      </c>
      <c r="F1268" s="38" t="n">
        <v>1</v>
      </c>
      <c r="G1268" s="39" t="n">
        <v>41</v>
      </c>
      <c r="H1268" s="39" t="n">
        <v>43</v>
      </c>
      <c r="I1268" s="29">
        <f>IF(OR(COUNTIF('Suivi des rencontres'!$A:$A,$A1268)&gt;0,COUNTIF('Suivi des rencontres'!$C:$C,$J1268)&gt;0),"Non","Oui")</f>
        <v/>
      </c>
      <c r="J1268" s="30" t="inlineStr">
        <is>
          <t>MAGICARPE</t>
        </is>
      </c>
    </row>
    <row r="1269">
      <c r="A1269" s="35" t="inlineStr">
        <is>
          <t>Parmanie</t>
        </is>
      </c>
      <c r="B1269" s="35" t="inlineStr">
        <is>
          <t>FuchsiaCity_SafariZoneCave_hns</t>
        </is>
      </c>
      <c r="C1269" s="33" t="inlineStr">
        <is>
          <t>Toute la journée</t>
        </is>
      </c>
      <c r="D1269" s="55" t="inlineStr">
        <is>
          <t>Bonne Canne</t>
        </is>
      </c>
      <c r="E1269" s="37" t="inlineStr">
        <is>
          <t>MAGICARPE</t>
        </is>
      </c>
      <c r="F1269" s="38" t="n">
        <v>1</v>
      </c>
      <c r="G1269" s="39" t="n">
        <v>42</v>
      </c>
      <c r="H1269" s="39" t="n">
        <v>44</v>
      </c>
      <c r="I1269" s="29">
        <f>IF(OR(COUNTIF('Suivi des rencontres'!$A:$A,$A1269)&gt;0,COUNTIF('Suivi des rencontres'!$C:$C,$J1269)&gt;0),"Non","Oui")</f>
        <v/>
      </c>
      <c r="J1269" s="30" t="inlineStr">
        <is>
          <t>MAGICARPE</t>
        </is>
      </c>
    </row>
    <row r="1270">
      <c r="A1270" s="35" t="inlineStr">
        <is>
          <t>Parmanie</t>
        </is>
      </c>
      <c r="B1270" s="35" t="inlineStr">
        <is>
          <t>FuchsiaCity_SafariZoneCave_hns</t>
        </is>
      </c>
      <c r="C1270" s="33" t="inlineStr">
        <is>
          <t>Toute la journée</t>
        </is>
      </c>
      <c r="D1270" s="56" t="inlineStr">
        <is>
          <t>Super Canne</t>
        </is>
      </c>
      <c r="E1270" s="37" t="inlineStr">
        <is>
          <t>MAGICARPE</t>
        </is>
      </c>
      <c r="F1270" s="38" t="n">
        <v>0.99</v>
      </c>
      <c r="G1270" s="39" t="n">
        <v>42</v>
      </c>
      <c r="H1270" s="39" t="n">
        <v>45</v>
      </c>
      <c r="I1270" s="29">
        <f>IF(OR(COUNTIF('Suivi des rencontres'!$A:$A,$A1270)&gt;0,COUNTIF('Suivi des rencontres'!$C:$C,$J1270)&gt;0),"Non","Oui")</f>
        <v/>
      </c>
      <c r="J1270" s="30" t="inlineStr">
        <is>
          <t>MAGICARPE</t>
        </is>
      </c>
    </row>
    <row r="1271">
      <c r="A1271" s="35" t="inlineStr">
        <is>
          <t>Parmanie</t>
        </is>
      </c>
      <c r="B1271" s="35" t="inlineStr">
        <is>
          <t>FuchsiaCity_SafariZoneCave_hns</t>
        </is>
      </c>
      <c r="C1271" s="33" t="inlineStr">
        <is>
          <t>Toute la journée</t>
        </is>
      </c>
      <c r="D1271" s="56" t="inlineStr">
        <is>
          <t>Super Canne</t>
        </is>
      </c>
      <c r="E1271" s="37" t="inlineStr">
        <is>
          <t>BARPAU</t>
        </is>
      </c>
      <c r="F1271" s="38" t="n">
        <v>0.01</v>
      </c>
      <c r="G1271" s="39" t="n">
        <v>43</v>
      </c>
      <c r="H1271" s="39" t="n">
        <v>45</v>
      </c>
      <c r="I1271" s="29">
        <f>IF(OR(COUNTIF('Suivi des rencontres'!$A:$A,$A1271)&gt;0,COUNTIF('Suivi des rencontres'!$C:$C,$J1271)&gt;0),"Non","Oui")</f>
        <v/>
      </c>
      <c r="J1271" s="30" t="inlineStr">
        <is>
          <t>BARPAU</t>
        </is>
      </c>
    </row>
    <row r="1272">
      <c r="A1272" s="35" t="inlineStr">
        <is>
          <t>Parmanie</t>
        </is>
      </c>
      <c r="B1272" s="35" t="inlineStr">
        <is>
          <t>FuchsiaCity_SafariZoneMountain_hns</t>
        </is>
      </c>
      <c r="C1272" s="33" t="inlineStr">
        <is>
          <t>Toute la journée</t>
        </is>
      </c>
      <c r="D1272" s="49" t="inlineStr">
        <is>
          <t>Herbe</t>
        </is>
      </c>
      <c r="E1272" s="37" t="inlineStr">
        <is>
          <t>MEDITIKKA</t>
        </is>
      </c>
      <c r="F1272" s="38" t="n">
        <v>0.4</v>
      </c>
      <c r="G1272" s="39" t="n">
        <v>48</v>
      </c>
      <c r="H1272" s="39" t="n">
        <v>48</v>
      </c>
      <c r="I1272" s="29">
        <f>IF(OR(COUNTIF('Suivi des rencontres'!$A:$A,$A1272)&gt;0,COUNTIF('Suivi des rencontres'!$C:$C,$J1272)&gt;0),"Non","Oui")</f>
        <v/>
      </c>
      <c r="J1272" s="30" t="inlineStr">
        <is>
          <t>MEDITIKKA</t>
        </is>
      </c>
    </row>
    <row r="1273">
      <c r="A1273" s="35" t="inlineStr">
        <is>
          <t>Parmanie</t>
        </is>
      </c>
      <c r="B1273" s="35" t="inlineStr">
        <is>
          <t>FuchsiaCity_SafariZoneMountain_hns</t>
        </is>
      </c>
      <c r="C1273" s="33" t="inlineStr">
        <is>
          <t>Toute la journée</t>
        </is>
      </c>
      <c r="D1273" s="49" t="inlineStr">
        <is>
          <t>Herbe</t>
        </is>
      </c>
      <c r="E1273" s="37" t="inlineStr">
        <is>
          <t>BALBUTO</t>
        </is>
      </c>
      <c r="F1273" s="38" t="n">
        <v>0.2</v>
      </c>
      <c r="G1273" s="39" t="n">
        <v>48</v>
      </c>
      <c r="H1273" s="39" t="n">
        <v>48</v>
      </c>
      <c r="I1273" s="29">
        <f>IF(OR(COUNTIF('Suivi des rencontres'!$A:$A,$A1273)&gt;0,COUNTIF('Suivi des rencontres'!$C:$C,$J1273)&gt;0),"Non","Oui")</f>
        <v/>
      </c>
      <c r="J1273" s="30" t="inlineStr">
        <is>
          <t>BALBUTO</t>
        </is>
      </c>
    </row>
    <row r="1274">
      <c r="A1274" s="35" t="inlineStr">
        <is>
          <t>Parmanie</t>
        </is>
      </c>
      <c r="B1274" s="35" t="inlineStr">
        <is>
          <t>FuchsiaCity_SafariZoneMountain_hns</t>
        </is>
      </c>
      <c r="C1274" s="33" t="inlineStr">
        <is>
          <t>Toute la journée</t>
        </is>
      </c>
      <c r="D1274" s="49" t="inlineStr">
        <is>
          <t>Herbe</t>
        </is>
      </c>
      <c r="E1274" s="37" t="inlineStr">
        <is>
          <t>CHAMALLOT</t>
        </is>
      </c>
      <c r="F1274" s="38" t="n">
        <v>0.2</v>
      </c>
      <c r="G1274" s="39" t="n">
        <v>48</v>
      </c>
      <c r="H1274" s="39" t="n">
        <v>48</v>
      </c>
      <c r="I1274" s="29">
        <f>IF(OR(COUNTIF('Suivi des rencontres'!$A:$A,$A1274)&gt;0,COUNTIF('Suivi des rencontres'!$C:$C,$J1274)&gt;0),"Non","Oui")</f>
        <v/>
      </c>
      <c r="J1274" s="30" t="inlineStr">
        <is>
          <t>CHAMALLOT</t>
        </is>
      </c>
    </row>
    <row r="1275">
      <c r="A1275" s="35" t="inlineStr">
        <is>
          <t>Parmanie</t>
        </is>
      </c>
      <c r="B1275" s="35" t="inlineStr">
        <is>
          <t>FuchsiaCity_SafariZoneMountain_hns</t>
        </is>
      </c>
      <c r="C1275" s="33" t="inlineStr">
        <is>
          <t>Toute la journée</t>
        </is>
      </c>
      <c r="D1275" s="49" t="inlineStr">
        <is>
          <t>Herbe</t>
        </is>
      </c>
      <c r="E1275" s="37" t="inlineStr">
        <is>
          <t>RACAILLOU</t>
        </is>
      </c>
      <c r="F1275" s="38" t="n">
        <v>0.1</v>
      </c>
      <c r="G1275" s="39" t="n">
        <v>48</v>
      </c>
      <c r="H1275" s="39" t="n">
        <v>48</v>
      </c>
      <c r="I1275" s="29">
        <f>IF(OR(COUNTIF('Suivi des rencontres'!$A:$A,$A1275)&gt;0,COUNTIF('Suivi des rencontres'!$C:$C,$J1275)&gt;0),"Non","Oui")</f>
        <v/>
      </c>
      <c r="J1275" s="30" t="inlineStr">
        <is>
          <t>RACAILLOU</t>
        </is>
      </c>
    </row>
    <row r="1276">
      <c r="A1276" s="35" t="inlineStr">
        <is>
          <t>Parmanie</t>
        </is>
      </c>
      <c r="B1276" s="35" t="inlineStr">
        <is>
          <t>FuchsiaCity_SafariZoneMountain_hns</t>
        </is>
      </c>
      <c r="C1276" s="33" t="inlineStr">
        <is>
          <t>Toute la journée</t>
        </is>
      </c>
      <c r="D1276" s="49" t="inlineStr">
        <is>
          <t>Herbe</t>
        </is>
      </c>
      <c r="E1276" s="37" t="inlineStr">
        <is>
          <t>ABSOL</t>
        </is>
      </c>
      <c r="F1276" s="38" t="n">
        <v>0.08</v>
      </c>
      <c r="G1276" s="39" t="n">
        <v>48</v>
      </c>
      <c r="H1276" s="39" t="n">
        <v>48</v>
      </c>
      <c r="I1276" s="29">
        <f>IF(OR(COUNTIF('Suivi des rencontres'!$A:$A,$A1276)&gt;0,COUNTIF('Suivi des rencontres'!$C:$C,$J1276)&gt;0),"Non","Oui")</f>
        <v/>
      </c>
      <c r="J1276" s="30" t="inlineStr">
        <is>
          <t>ABSOL</t>
        </is>
      </c>
    </row>
    <row r="1277">
      <c r="A1277" s="35" t="inlineStr">
        <is>
          <t>Parmanie</t>
        </is>
      </c>
      <c r="B1277" s="35" t="inlineStr">
        <is>
          <t>FuchsiaCity_SafariZoneMountain_hns</t>
        </is>
      </c>
      <c r="C1277" s="33" t="inlineStr">
        <is>
          <t>Toute la journée</t>
        </is>
      </c>
      <c r="D1277" s="49" t="inlineStr">
        <is>
          <t>Herbe</t>
        </is>
      </c>
      <c r="E1277" s="37" t="inlineStr">
        <is>
          <t>CAMERUPT</t>
        </is>
      </c>
      <c r="F1277" s="38" t="n">
        <v>0.01</v>
      </c>
      <c r="G1277" s="39" t="n">
        <v>48</v>
      </c>
      <c r="H1277" s="39" t="n">
        <v>48</v>
      </c>
      <c r="I1277" s="29">
        <f>IF(OR(COUNTIF('Suivi des rencontres'!$A:$A,$A1277)&gt;0,COUNTIF('Suivi des rencontres'!$C:$C,$J1277)&gt;0),"Non","Oui")</f>
        <v/>
      </c>
      <c r="J1277" s="30" t="inlineStr">
        <is>
          <t>CHAMALLOT</t>
        </is>
      </c>
    </row>
    <row r="1278">
      <c r="A1278" s="35" t="inlineStr">
        <is>
          <t>Parmanie</t>
        </is>
      </c>
      <c r="B1278" s="35" t="inlineStr">
        <is>
          <t>FuchsiaCity_SafariZoneMountain_hns</t>
        </is>
      </c>
      <c r="C1278" s="33" t="inlineStr">
        <is>
          <t>Toute la journée</t>
        </is>
      </c>
      <c r="D1278" s="49" t="inlineStr">
        <is>
          <t>Herbe</t>
        </is>
      </c>
      <c r="E1278" s="37" t="inlineStr">
        <is>
          <t>CHARMINA</t>
        </is>
      </c>
      <c r="F1278" s="38" t="n">
        <v>0.01</v>
      </c>
      <c r="G1278" s="39" t="n">
        <v>48</v>
      </c>
      <c r="H1278" s="39" t="n">
        <v>48</v>
      </c>
      <c r="I1278" s="29">
        <f>IF(OR(COUNTIF('Suivi des rencontres'!$A:$A,$A1278)&gt;0,COUNTIF('Suivi des rencontres'!$C:$C,$J1278)&gt;0),"Non","Oui")</f>
        <v/>
      </c>
      <c r="J1278" s="30" t="inlineStr">
        <is>
          <t>MEDITIKKA</t>
        </is>
      </c>
    </row>
    <row r="1279">
      <c r="A1279" s="35" t="inlineStr">
        <is>
          <t>Parmanie</t>
        </is>
      </c>
      <c r="B1279" s="35" t="inlineStr">
        <is>
          <t>FuchsiaCity_SafariZoneMountain_hns</t>
        </is>
      </c>
      <c r="C1279" s="33" t="inlineStr">
        <is>
          <t>Toute la journée</t>
        </is>
      </c>
      <c r="D1279" s="53" t="inlineStr">
        <is>
          <t>Surf</t>
        </is>
      </c>
      <c r="E1279" s="37" t="inlineStr">
        <is>
          <t>BARLOCHE</t>
        </is>
      </c>
      <c r="F1279" s="38" t="n">
        <v>0.99</v>
      </c>
      <c r="G1279" s="39" t="n">
        <v>45</v>
      </c>
      <c r="H1279" s="39" t="n">
        <v>47</v>
      </c>
      <c r="I1279" s="29">
        <f>IF(OR(COUNTIF('Suivi des rencontres'!$A:$A,$A1279)&gt;0,COUNTIF('Suivi des rencontres'!$C:$C,$J1279)&gt;0),"Non","Oui")</f>
        <v/>
      </c>
      <c r="J1279" s="30" t="inlineStr">
        <is>
          <t>BARLOCHE</t>
        </is>
      </c>
    </row>
    <row r="1280">
      <c r="A1280" s="35" t="inlineStr">
        <is>
          <t>Parmanie</t>
        </is>
      </c>
      <c r="B1280" s="35" t="inlineStr">
        <is>
          <t>FuchsiaCity_SafariZoneMountain_hns</t>
        </is>
      </c>
      <c r="C1280" s="33" t="inlineStr">
        <is>
          <t>Toute la journée</t>
        </is>
      </c>
      <c r="D1280" s="53" t="inlineStr">
        <is>
          <t>Surf</t>
        </is>
      </c>
      <c r="E1280" s="37" t="inlineStr">
        <is>
          <t>BARBICHA</t>
        </is>
      </c>
      <c r="F1280" s="38" t="n">
        <v>0.01</v>
      </c>
      <c r="G1280" s="39" t="n">
        <v>45</v>
      </c>
      <c r="H1280" s="39" t="n">
        <v>47</v>
      </c>
      <c r="I1280" s="29">
        <f>IF(OR(COUNTIF('Suivi des rencontres'!$A:$A,$A1280)&gt;0,COUNTIF('Suivi des rencontres'!$C:$C,$J1280)&gt;0),"Non","Oui")</f>
        <v/>
      </c>
      <c r="J1280" s="30" t="inlineStr">
        <is>
          <t>BARLOCHE</t>
        </is>
      </c>
    </row>
    <row r="1281">
      <c r="A1281" s="35" t="inlineStr">
        <is>
          <t>Parmanie</t>
        </is>
      </c>
      <c r="B1281" s="35" t="inlineStr">
        <is>
          <t>FuchsiaCity_SafariZoneMountain_hns</t>
        </is>
      </c>
      <c r="C1281" s="33" t="inlineStr">
        <is>
          <t>Toute la journée</t>
        </is>
      </c>
      <c r="D1281" s="54" t="inlineStr">
        <is>
          <t>Vieille Canne</t>
        </is>
      </c>
      <c r="E1281" s="37" t="inlineStr">
        <is>
          <t>MAGICARPE</t>
        </is>
      </c>
      <c r="F1281" s="38" t="n">
        <v>1</v>
      </c>
      <c r="G1281" s="39" t="n">
        <v>45</v>
      </c>
      <c r="H1281" s="39" t="n">
        <v>47</v>
      </c>
      <c r="I1281" s="29">
        <f>IF(OR(COUNTIF('Suivi des rencontres'!$A:$A,$A1281)&gt;0,COUNTIF('Suivi des rencontres'!$C:$C,$J1281)&gt;0),"Non","Oui")</f>
        <v/>
      </c>
      <c r="J1281" s="30" t="inlineStr">
        <is>
          <t>MAGICARPE</t>
        </is>
      </c>
    </row>
    <row r="1282">
      <c r="A1282" s="35" t="inlineStr">
        <is>
          <t>Parmanie</t>
        </is>
      </c>
      <c r="B1282" s="35" t="inlineStr">
        <is>
          <t>FuchsiaCity_SafariZoneMountain_hns</t>
        </is>
      </c>
      <c r="C1282" s="33" t="inlineStr">
        <is>
          <t>Toute la journée</t>
        </is>
      </c>
      <c r="D1282" s="55" t="inlineStr">
        <is>
          <t>Bonne Canne</t>
        </is>
      </c>
      <c r="E1282" s="37" t="inlineStr">
        <is>
          <t>MAGICARPE</t>
        </is>
      </c>
      <c r="F1282" s="38" t="n">
        <v>0.6</v>
      </c>
      <c r="G1282" s="39" t="n">
        <v>45</v>
      </c>
      <c r="H1282" s="39" t="n">
        <v>47</v>
      </c>
      <c r="I1282" s="29">
        <f>IF(OR(COUNTIF('Suivi des rencontres'!$A:$A,$A1282)&gt;0,COUNTIF('Suivi des rencontres'!$C:$C,$J1282)&gt;0),"Non","Oui")</f>
        <v/>
      </c>
      <c r="J1282" s="30" t="inlineStr">
        <is>
          <t>MAGICARPE</t>
        </is>
      </c>
    </row>
    <row r="1283">
      <c r="A1283" s="35" t="inlineStr">
        <is>
          <t>Parmanie</t>
        </is>
      </c>
      <c r="B1283" s="35" t="inlineStr">
        <is>
          <t>FuchsiaCity_SafariZoneMountain_hns</t>
        </is>
      </c>
      <c r="C1283" s="33" t="inlineStr">
        <is>
          <t>Toute la journée</t>
        </is>
      </c>
      <c r="D1283" s="55" t="inlineStr">
        <is>
          <t>Bonne Canne</t>
        </is>
      </c>
      <c r="E1283" s="37" t="inlineStr">
        <is>
          <t>BARLOCHE</t>
        </is>
      </c>
      <c r="F1283" s="38" t="n">
        <v>0.4</v>
      </c>
      <c r="G1283" s="39" t="n">
        <v>45</v>
      </c>
      <c r="H1283" s="39" t="n">
        <v>47</v>
      </c>
      <c r="I1283" s="29">
        <f>IF(OR(COUNTIF('Suivi des rencontres'!$A:$A,$A1283)&gt;0,COUNTIF('Suivi des rencontres'!$C:$C,$J1283)&gt;0),"Non","Oui")</f>
        <v/>
      </c>
      <c r="J1283" s="30" t="inlineStr">
        <is>
          <t>BARLOCHE</t>
        </is>
      </c>
    </row>
    <row r="1284">
      <c r="A1284" s="35" t="inlineStr">
        <is>
          <t>Parmanie</t>
        </is>
      </c>
      <c r="B1284" s="35" t="inlineStr">
        <is>
          <t>FuchsiaCity_SafariZoneMountain_hns</t>
        </is>
      </c>
      <c r="C1284" s="33" t="inlineStr">
        <is>
          <t>Toute la journée</t>
        </is>
      </c>
      <c r="D1284" s="56" t="inlineStr">
        <is>
          <t>Super Canne</t>
        </is>
      </c>
      <c r="E1284" s="37" t="inlineStr">
        <is>
          <t>BARLOCHE</t>
        </is>
      </c>
      <c r="F1284" s="38" t="n">
        <v>0.6</v>
      </c>
      <c r="G1284" s="39" t="n">
        <v>45</v>
      </c>
      <c r="H1284" s="39" t="n">
        <v>47</v>
      </c>
      <c r="I1284" s="29">
        <f>IF(OR(COUNTIF('Suivi des rencontres'!$A:$A,$A1284)&gt;0,COUNTIF('Suivi des rencontres'!$C:$C,$J1284)&gt;0),"Non","Oui")</f>
        <v/>
      </c>
      <c r="J1284" s="30" t="inlineStr">
        <is>
          <t>BARLOCHE</t>
        </is>
      </c>
    </row>
    <row r="1285">
      <c r="A1285" s="35" t="inlineStr">
        <is>
          <t>Parmanie</t>
        </is>
      </c>
      <c r="B1285" s="35" t="inlineStr">
        <is>
          <t>FuchsiaCity_SafariZoneMountain_hns</t>
        </is>
      </c>
      <c r="C1285" s="33" t="inlineStr">
        <is>
          <t>Toute la journée</t>
        </is>
      </c>
      <c r="D1285" s="56" t="inlineStr">
        <is>
          <t>Super Canne</t>
        </is>
      </c>
      <c r="E1285" s="37" t="inlineStr">
        <is>
          <t>BARBICHA</t>
        </is>
      </c>
      <c r="F1285" s="38" t="n">
        <v>0.4</v>
      </c>
      <c r="G1285" s="39" t="n">
        <v>45</v>
      </c>
      <c r="H1285" s="39" t="n">
        <v>47</v>
      </c>
      <c r="I1285" s="29">
        <f>IF(OR(COUNTIF('Suivi des rencontres'!$A:$A,$A1285)&gt;0,COUNTIF('Suivi des rencontres'!$C:$C,$J1285)&gt;0),"Non","Oui")</f>
        <v/>
      </c>
      <c r="J1285" s="30" t="inlineStr">
        <is>
          <t>BARLOCHE</t>
        </is>
      </c>
    </row>
    <row r="1286">
      <c r="A1286" s="35" t="inlineStr">
        <is>
          <t>Parmanie</t>
        </is>
      </c>
      <c r="B1286" s="35" t="inlineStr">
        <is>
          <t>FuchsiaCity_hns</t>
        </is>
      </c>
      <c r="C1286" s="33" t="inlineStr">
        <is>
          <t>Matin, jour, soir</t>
        </is>
      </c>
      <c r="D1286" s="53" t="inlineStr">
        <is>
          <t>Surf</t>
        </is>
      </c>
      <c r="E1286" s="37" t="inlineStr">
        <is>
          <t>MAGICARPE</t>
        </is>
      </c>
      <c r="F1286" s="38" t="n">
        <v>1</v>
      </c>
      <c r="G1286" s="39" t="n">
        <v>41</v>
      </c>
      <c r="H1286" s="39" t="n">
        <v>48</v>
      </c>
      <c r="I1286" s="29">
        <f>IF(OR(COUNTIF('Suivi des rencontres'!$A:$A,$A1286)&gt;0,COUNTIF('Suivi des rencontres'!$C:$C,$J1286)&gt;0),"Non","Oui")</f>
        <v/>
      </c>
      <c r="J1286" s="30" t="inlineStr">
        <is>
          <t>MAGICARPE</t>
        </is>
      </c>
    </row>
    <row r="1287">
      <c r="A1287" s="35" t="inlineStr">
        <is>
          <t>Parmanie</t>
        </is>
      </c>
      <c r="B1287" s="35" t="inlineStr">
        <is>
          <t>FuchsiaCity_hns</t>
        </is>
      </c>
      <c r="C1287" s="62" t="inlineStr">
        <is>
          <t>Nuit</t>
        </is>
      </c>
      <c r="D1287" s="53" t="inlineStr">
        <is>
          <t>Surf</t>
        </is>
      </c>
      <c r="E1287" s="37" t="inlineStr">
        <is>
          <t>MAGICARPE</t>
        </is>
      </c>
      <c r="F1287" s="38" t="n">
        <v>1</v>
      </c>
      <c r="G1287" s="39" t="n">
        <v>41</v>
      </c>
      <c r="H1287" s="39" t="n">
        <v>48</v>
      </c>
      <c r="I1287" s="29">
        <f>IF(OR(COUNTIF('Suivi des rencontres'!$A:$A,$A1287)&gt;0,COUNTIF('Suivi des rencontres'!$C:$C,$J1287)&gt;0),"Non","Oui")</f>
        <v/>
      </c>
      <c r="J1287" s="30" t="inlineStr">
        <is>
          <t>MAGICARPE</t>
        </is>
      </c>
    </row>
    <row r="1288">
      <c r="A1288" s="35" t="inlineStr">
        <is>
          <t>Parmanie</t>
        </is>
      </c>
      <c r="B1288" s="35" t="inlineStr">
        <is>
          <t>FuchsiaCity_hns</t>
        </is>
      </c>
      <c r="C1288" s="33" t="inlineStr">
        <is>
          <t>Matin, jour, soir</t>
        </is>
      </c>
      <c r="D1288" s="36" t="inlineStr">
        <is>
          <t>Éclate-Roc</t>
        </is>
      </c>
      <c r="E1288" s="37" t="inlineStr">
        <is>
          <t>POMDEPIK</t>
        </is>
      </c>
      <c r="F1288" s="38" t="n">
        <v>0.6</v>
      </c>
      <c r="G1288" s="39" t="n">
        <v>41</v>
      </c>
      <c r="H1288" s="39" t="n">
        <v>43</v>
      </c>
      <c r="I1288" s="29">
        <f>IF(OR(COUNTIF('Suivi des rencontres'!$A:$A,$A1288)&gt;0,COUNTIF('Suivi des rencontres'!$C:$C,$J1288)&gt;0),"Non","Oui")</f>
        <v/>
      </c>
      <c r="J1288" s="30" t="inlineStr">
        <is>
          <t>POMDEPIK</t>
        </is>
      </c>
    </row>
    <row r="1289">
      <c r="A1289" s="35" t="inlineStr">
        <is>
          <t>Parmanie</t>
        </is>
      </c>
      <c r="B1289" s="35" t="inlineStr">
        <is>
          <t>FuchsiaCity_hns</t>
        </is>
      </c>
      <c r="C1289" s="33" t="inlineStr">
        <is>
          <t>Matin, jour, soir</t>
        </is>
      </c>
      <c r="D1289" s="36" t="inlineStr">
        <is>
          <t>Éclate-Roc</t>
        </is>
      </c>
      <c r="E1289" s="37" t="inlineStr">
        <is>
          <t>NOEUNOEUF</t>
        </is>
      </c>
      <c r="F1289" s="38" t="n">
        <v>0.3</v>
      </c>
      <c r="G1289" s="39" t="n">
        <v>41</v>
      </c>
      <c r="H1289" s="39" t="n">
        <v>43</v>
      </c>
      <c r="I1289" s="29">
        <f>IF(OR(COUNTIF('Suivi des rencontres'!$A:$A,$A1289)&gt;0,COUNTIF('Suivi des rencontres'!$C:$C,$J1289)&gt;0),"Non","Oui")</f>
        <v/>
      </c>
      <c r="J1289" s="30" t="inlineStr">
        <is>
          <t>NOEUNOEUF</t>
        </is>
      </c>
    </row>
    <row r="1290">
      <c r="A1290" s="35" t="inlineStr">
        <is>
          <t>Parmanie</t>
        </is>
      </c>
      <c r="B1290" s="35" t="inlineStr">
        <is>
          <t>FuchsiaCity_hns</t>
        </is>
      </c>
      <c r="C1290" s="33" t="inlineStr">
        <is>
          <t>Matin, jour, soir</t>
        </is>
      </c>
      <c r="D1290" s="36" t="inlineStr">
        <is>
          <t>Éclate-Roc</t>
        </is>
      </c>
      <c r="E1290" s="37" t="inlineStr">
        <is>
          <t>COXY</t>
        </is>
      </c>
      <c r="F1290" s="38" t="n">
        <v>0.05</v>
      </c>
      <c r="G1290" s="39" t="n">
        <v>41</v>
      </c>
      <c r="H1290" s="39" t="n">
        <v>43</v>
      </c>
      <c r="I1290" s="29">
        <f>IF(OR(COUNTIF('Suivi des rencontres'!$A:$A,$A1290)&gt;0,COUNTIF('Suivi des rencontres'!$C:$C,$J1290)&gt;0),"Non","Oui")</f>
        <v/>
      </c>
      <c r="J1290" s="30" t="inlineStr">
        <is>
          <t>COXY</t>
        </is>
      </c>
    </row>
    <row r="1291">
      <c r="A1291" s="35" t="inlineStr">
        <is>
          <t>Parmanie</t>
        </is>
      </c>
      <c r="B1291" s="35" t="inlineStr">
        <is>
          <t>FuchsiaCity_hns</t>
        </is>
      </c>
      <c r="C1291" s="33" t="inlineStr">
        <is>
          <t>Matin, jour, soir</t>
        </is>
      </c>
      <c r="D1291" s="36" t="inlineStr">
        <is>
          <t>Éclate-Roc</t>
        </is>
      </c>
      <c r="E1291" s="37" t="inlineStr">
        <is>
          <t>MIMIGAL</t>
        </is>
      </c>
      <c r="F1291" s="38" t="n">
        <v>0.05</v>
      </c>
      <c r="G1291" s="39" t="n">
        <v>41</v>
      </c>
      <c r="H1291" s="39" t="n">
        <v>43</v>
      </c>
      <c r="I1291" s="29">
        <f>IF(OR(COUNTIF('Suivi des rencontres'!$A:$A,$A1291)&gt;0,COUNTIF('Suivi des rencontres'!$C:$C,$J1291)&gt;0),"Non","Oui")</f>
        <v/>
      </c>
      <c r="J1291" s="30" t="inlineStr">
        <is>
          <t>MIMIGAL</t>
        </is>
      </c>
    </row>
    <row r="1292">
      <c r="A1292" s="35" t="inlineStr">
        <is>
          <t>Parmanie</t>
        </is>
      </c>
      <c r="B1292" s="35" t="inlineStr">
        <is>
          <t>FuchsiaCity_hns</t>
        </is>
      </c>
      <c r="C1292" s="62" t="inlineStr">
        <is>
          <t>Nuit</t>
        </is>
      </c>
      <c r="D1292" s="36" t="inlineStr">
        <is>
          <t>Éclate-Roc</t>
        </is>
      </c>
      <c r="E1292" s="37" t="inlineStr">
        <is>
          <t>POMDEPIK</t>
        </is>
      </c>
      <c r="F1292" s="38" t="n">
        <v>0.6</v>
      </c>
      <c r="G1292" s="39" t="n">
        <v>41</v>
      </c>
      <c r="H1292" s="39" t="n">
        <v>43</v>
      </c>
      <c r="I1292" s="29">
        <f>IF(OR(COUNTIF('Suivi des rencontres'!$A:$A,$A1292)&gt;0,COUNTIF('Suivi des rencontres'!$C:$C,$J1292)&gt;0),"Non","Oui")</f>
        <v/>
      </c>
      <c r="J1292" s="30" t="inlineStr">
        <is>
          <t>POMDEPIK</t>
        </is>
      </c>
    </row>
    <row r="1293">
      <c r="A1293" s="35" t="inlineStr">
        <is>
          <t>Parmanie</t>
        </is>
      </c>
      <c r="B1293" s="35" t="inlineStr">
        <is>
          <t>FuchsiaCity_hns</t>
        </is>
      </c>
      <c r="C1293" s="62" t="inlineStr">
        <is>
          <t>Nuit</t>
        </is>
      </c>
      <c r="D1293" s="36" t="inlineStr">
        <is>
          <t>Éclate-Roc</t>
        </is>
      </c>
      <c r="E1293" s="37" t="inlineStr">
        <is>
          <t>NOEUNOEUF</t>
        </is>
      </c>
      <c r="F1293" s="38" t="n">
        <v>0.3</v>
      </c>
      <c r="G1293" s="39" t="n">
        <v>41</v>
      </c>
      <c r="H1293" s="39" t="n">
        <v>43</v>
      </c>
      <c r="I1293" s="29">
        <f>IF(OR(COUNTIF('Suivi des rencontres'!$A:$A,$A1293)&gt;0,COUNTIF('Suivi des rencontres'!$C:$C,$J1293)&gt;0),"Non","Oui")</f>
        <v/>
      </c>
      <c r="J1293" s="30" t="inlineStr">
        <is>
          <t>NOEUNOEUF</t>
        </is>
      </c>
    </row>
    <row r="1294">
      <c r="A1294" s="35" t="inlineStr">
        <is>
          <t>Parmanie</t>
        </is>
      </c>
      <c r="B1294" s="35" t="inlineStr">
        <is>
          <t>FuchsiaCity_hns</t>
        </is>
      </c>
      <c r="C1294" s="62" t="inlineStr">
        <is>
          <t>Nuit</t>
        </is>
      </c>
      <c r="D1294" s="36" t="inlineStr">
        <is>
          <t>Éclate-Roc</t>
        </is>
      </c>
      <c r="E1294" s="37" t="inlineStr">
        <is>
          <t>COXY</t>
        </is>
      </c>
      <c r="F1294" s="38" t="n">
        <v>0.05</v>
      </c>
      <c r="G1294" s="39" t="n">
        <v>41</v>
      </c>
      <c r="H1294" s="39" t="n">
        <v>43</v>
      </c>
      <c r="I1294" s="29">
        <f>IF(OR(COUNTIF('Suivi des rencontres'!$A:$A,$A1294)&gt;0,COUNTIF('Suivi des rencontres'!$C:$C,$J1294)&gt;0),"Non","Oui")</f>
        <v/>
      </c>
      <c r="J1294" s="30" t="inlineStr">
        <is>
          <t>COXY</t>
        </is>
      </c>
    </row>
    <row r="1295">
      <c r="A1295" s="35" t="inlineStr">
        <is>
          <t>Parmanie</t>
        </is>
      </c>
      <c r="B1295" s="35" t="inlineStr">
        <is>
          <t>FuchsiaCity_hns</t>
        </is>
      </c>
      <c r="C1295" s="62" t="inlineStr">
        <is>
          <t>Nuit</t>
        </is>
      </c>
      <c r="D1295" s="36" t="inlineStr">
        <is>
          <t>Éclate-Roc</t>
        </is>
      </c>
      <c r="E1295" s="37" t="inlineStr">
        <is>
          <t>MIMIGAL</t>
        </is>
      </c>
      <c r="F1295" s="38" t="n">
        <v>0.05</v>
      </c>
      <c r="G1295" s="39" t="n">
        <v>41</v>
      </c>
      <c r="H1295" s="39" t="n">
        <v>43</v>
      </c>
      <c r="I1295" s="29">
        <f>IF(OR(COUNTIF('Suivi des rencontres'!$A:$A,$A1295)&gt;0,COUNTIF('Suivi des rencontres'!$C:$C,$J1295)&gt;0),"Non","Oui")</f>
        <v/>
      </c>
      <c r="J1295" s="30" t="inlineStr">
        <is>
          <t>MIMIGAL</t>
        </is>
      </c>
    </row>
    <row r="1296">
      <c r="A1296" s="35" t="inlineStr">
        <is>
          <t>Parmanie</t>
        </is>
      </c>
      <c r="B1296" s="35" t="inlineStr">
        <is>
          <t>FuchsiaCity_hns</t>
        </is>
      </c>
      <c r="C1296" s="33" t="inlineStr">
        <is>
          <t>Matin, jour, soir</t>
        </is>
      </c>
      <c r="D1296" s="54" t="inlineStr">
        <is>
          <t>Vieille Canne</t>
        </is>
      </c>
      <c r="E1296" s="37" t="inlineStr">
        <is>
          <t>MAGICARPE</t>
        </is>
      </c>
      <c r="F1296" s="38" t="n">
        <v>1</v>
      </c>
      <c r="G1296" s="39" t="n">
        <v>41</v>
      </c>
      <c r="H1296" s="39" t="n">
        <v>43</v>
      </c>
      <c r="I1296" s="29">
        <f>IF(OR(COUNTIF('Suivi des rencontres'!$A:$A,$A1296)&gt;0,COUNTIF('Suivi des rencontres'!$C:$C,$J1296)&gt;0),"Non","Oui")</f>
        <v/>
      </c>
      <c r="J1296" s="30" t="inlineStr">
        <is>
          <t>MAGICARPE</t>
        </is>
      </c>
    </row>
    <row r="1297">
      <c r="A1297" s="35" t="inlineStr">
        <is>
          <t>Parmanie</t>
        </is>
      </c>
      <c r="B1297" s="35" t="inlineStr">
        <is>
          <t>FuchsiaCity_hns</t>
        </is>
      </c>
      <c r="C1297" s="62" t="inlineStr">
        <is>
          <t>Nuit</t>
        </is>
      </c>
      <c r="D1297" s="54" t="inlineStr">
        <is>
          <t>Vieille Canne</t>
        </is>
      </c>
      <c r="E1297" s="37" t="inlineStr">
        <is>
          <t>MAGICARPE</t>
        </is>
      </c>
      <c r="F1297" s="38" t="n">
        <v>1</v>
      </c>
      <c r="G1297" s="39" t="n">
        <v>41</v>
      </c>
      <c r="H1297" s="39" t="n">
        <v>43</v>
      </c>
      <c r="I1297" s="29">
        <f>IF(OR(COUNTIF('Suivi des rencontres'!$A:$A,$A1297)&gt;0,COUNTIF('Suivi des rencontres'!$C:$C,$J1297)&gt;0),"Non","Oui")</f>
        <v/>
      </c>
      <c r="J1297" s="30" t="inlineStr">
        <is>
          <t>MAGICARPE</t>
        </is>
      </c>
    </row>
    <row r="1298">
      <c r="A1298" s="35" t="inlineStr">
        <is>
          <t>Parmanie</t>
        </is>
      </c>
      <c r="B1298" s="35" t="inlineStr">
        <is>
          <t>FuchsiaCity_hns</t>
        </is>
      </c>
      <c r="C1298" s="33" t="inlineStr">
        <is>
          <t>Matin, jour, soir</t>
        </is>
      </c>
      <c r="D1298" s="55" t="inlineStr">
        <is>
          <t>Bonne Canne</t>
        </is>
      </c>
      <c r="E1298" s="37" t="inlineStr">
        <is>
          <t>MAGICARPE</t>
        </is>
      </c>
      <c r="F1298" s="38" t="n">
        <v>0.8</v>
      </c>
      <c r="G1298" s="39" t="n">
        <v>42</v>
      </c>
      <c r="H1298" s="39" t="n">
        <v>44</v>
      </c>
      <c r="I1298" s="29">
        <f>IF(OR(COUNTIF('Suivi des rencontres'!$A:$A,$A1298)&gt;0,COUNTIF('Suivi des rencontres'!$C:$C,$J1298)&gt;0),"Non","Oui")</f>
        <v/>
      </c>
      <c r="J1298" s="30" t="inlineStr">
        <is>
          <t>MAGICARPE</t>
        </is>
      </c>
    </row>
    <row r="1299">
      <c r="A1299" s="35" t="inlineStr">
        <is>
          <t>Parmanie</t>
        </is>
      </c>
      <c r="B1299" s="35" t="inlineStr">
        <is>
          <t>FuchsiaCity_hns</t>
        </is>
      </c>
      <c r="C1299" s="33" t="inlineStr">
        <is>
          <t>Matin, jour, soir</t>
        </is>
      </c>
      <c r="D1299" s="55" t="inlineStr">
        <is>
          <t>Bonne Canne</t>
        </is>
      </c>
      <c r="E1299" s="37" t="inlineStr">
        <is>
          <t>LEVIATOR</t>
        </is>
      </c>
      <c r="F1299" s="38" t="n">
        <v>0.2</v>
      </c>
      <c r="G1299" s="39" t="n">
        <v>42</v>
      </c>
      <c r="H1299" s="39" t="n">
        <v>44</v>
      </c>
      <c r="I1299" s="29">
        <f>IF(OR(COUNTIF('Suivi des rencontres'!$A:$A,$A1299)&gt;0,COUNTIF('Suivi des rencontres'!$C:$C,$J1299)&gt;0),"Non","Oui")</f>
        <v/>
      </c>
      <c r="J1299" s="30" t="inlineStr">
        <is>
          <t>MAGICARPE</t>
        </is>
      </c>
    </row>
    <row r="1300">
      <c r="A1300" s="35" t="inlineStr">
        <is>
          <t>Parmanie</t>
        </is>
      </c>
      <c r="B1300" s="35" t="inlineStr">
        <is>
          <t>FuchsiaCity_hns</t>
        </is>
      </c>
      <c r="C1300" s="62" t="inlineStr">
        <is>
          <t>Nuit</t>
        </is>
      </c>
      <c r="D1300" s="55" t="inlineStr">
        <is>
          <t>Bonne Canne</t>
        </is>
      </c>
      <c r="E1300" s="37" t="inlineStr">
        <is>
          <t>MAGICARPE</t>
        </is>
      </c>
      <c r="F1300" s="38" t="n">
        <v>0.8</v>
      </c>
      <c r="G1300" s="39" t="n">
        <v>42</v>
      </c>
      <c r="H1300" s="39" t="n">
        <v>44</v>
      </c>
      <c r="I1300" s="29">
        <f>IF(OR(COUNTIF('Suivi des rencontres'!$A:$A,$A1300)&gt;0,COUNTIF('Suivi des rencontres'!$C:$C,$J1300)&gt;0),"Non","Oui")</f>
        <v/>
      </c>
      <c r="J1300" s="30" t="inlineStr">
        <is>
          <t>MAGICARPE</t>
        </is>
      </c>
    </row>
    <row r="1301">
      <c r="A1301" s="35" t="inlineStr">
        <is>
          <t>Parmanie</t>
        </is>
      </c>
      <c r="B1301" s="35" t="inlineStr">
        <is>
          <t>FuchsiaCity_hns</t>
        </is>
      </c>
      <c r="C1301" s="62" t="inlineStr">
        <is>
          <t>Nuit</t>
        </is>
      </c>
      <c r="D1301" s="55" t="inlineStr">
        <is>
          <t>Bonne Canne</t>
        </is>
      </c>
      <c r="E1301" s="37" t="inlineStr">
        <is>
          <t>LEVIATOR</t>
        </is>
      </c>
      <c r="F1301" s="38" t="n">
        <v>0.2</v>
      </c>
      <c r="G1301" s="39" t="n">
        <v>42</v>
      </c>
      <c r="H1301" s="39" t="n">
        <v>44</v>
      </c>
      <c r="I1301" s="29">
        <f>IF(OR(COUNTIF('Suivi des rencontres'!$A:$A,$A1301)&gt;0,COUNTIF('Suivi des rencontres'!$C:$C,$J1301)&gt;0),"Non","Oui")</f>
        <v/>
      </c>
      <c r="J1301" s="30" t="inlineStr">
        <is>
          <t>MAGICARPE</t>
        </is>
      </c>
    </row>
    <row r="1302">
      <c r="A1302" s="35" t="inlineStr">
        <is>
          <t>Parmanie</t>
        </is>
      </c>
      <c r="B1302" s="35" t="inlineStr">
        <is>
          <t>FuchsiaCity_hns</t>
        </is>
      </c>
      <c r="C1302" s="33" t="inlineStr">
        <is>
          <t>Matin, jour, soir</t>
        </is>
      </c>
      <c r="D1302" s="56" t="inlineStr">
        <is>
          <t>Super Canne</t>
        </is>
      </c>
      <c r="E1302" s="37" t="inlineStr">
        <is>
          <t>MAGICARPE</t>
        </is>
      </c>
      <c r="F1302" s="38" t="n">
        <v>0.59</v>
      </c>
      <c r="G1302" s="39" t="n">
        <v>40</v>
      </c>
      <c r="H1302" s="39" t="n">
        <v>40</v>
      </c>
      <c r="I1302" s="29">
        <f>IF(OR(COUNTIF('Suivi des rencontres'!$A:$A,$A1302)&gt;0,COUNTIF('Suivi des rencontres'!$C:$C,$J1302)&gt;0),"Non","Oui")</f>
        <v/>
      </c>
      <c r="J1302" s="30" t="inlineStr">
        <is>
          <t>MAGICARPE</t>
        </is>
      </c>
    </row>
    <row r="1303">
      <c r="A1303" s="35" t="inlineStr">
        <is>
          <t>Parmanie</t>
        </is>
      </c>
      <c r="B1303" s="35" t="inlineStr">
        <is>
          <t>FuchsiaCity_hns</t>
        </is>
      </c>
      <c r="C1303" s="33" t="inlineStr">
        <is>
          <t>Matin, jour, soir</t>
        </is>
      </c>
      <c r="D1303" s="56" t="inlineStr">
        <is>
          <t>Super Canne</t>
        </is>
      </c>
      <c r="E1303" s="37" t="inlineStr">
        <is>
          <t>LEVIATOR</t>
        </is>
      </c>
      <c r="F1303" s="38" t="n">
        <v>0.41</v>
      </c>
      <c r="G1303" s="39" t="n">
        <v>40</v>
      </c>
      <c r="H1303" s="39" t="n">
        <v>40</v>
      </c>
      <c r="I1303" s="29">
        <f>IF(OR(COUNTIF('Suivi des rencontres'!$A:$A,$A1303)&gt;0,COUNTIF('Suivi des rencontres'!$C:$C,$J1303)&gt;0),"Non","Oui")</f>
        <v/>
      </c>
      <c r="J1303" s="30" t="inlineStr">
        <is>
          <t>MAGICARPE</t>
        </is>
      </c>
    </row>
    <row r="1304">
      <c r="A1304" s="35" t="inlineStr">
        <is>
          <t>Parmanie</t>
        </is>
      </c>
      <c r="B1304" s="35" t="inlineStr">
        <is>
          <t>FuchsiaCity_hns</t>
        </is>
      </c>
      <c r="C1304" s="62" t="inlineStr">
        <is>
          <t>Nuit</t>
        </is>
      </c>
      <c r="D1304" s="56" t="inlineStr">
        <is>
          <t>Super Canne</t>
        </is>
      </c>
      <c r="E1304" s="37" t="inlineStr">
        <is>
          <t>MAGICARPE</t>
        </is>
      </c>
      <c r="F1304" s="38" t="n">
        <v>0.59</v>
      </c>
      <c r="G1304" s="39" t="n">
        <v>40</v>
      </c>
      <c r="H1304" s="39" t="n">
        <v>40</v>
      </c>
      <c r="I1304" s="29">
        <f>IF(OR(COUNTIF('Suivi des rencontres'!$A:$A,$A1304)&gt;0,COUNTIF('Suivi des rencontres'!$C:$C,$J1304)&gt;0),"Non","Oui")</f>
        <v/>
      </c>
      <c r="J1304" s="30" t="inlineStr">
        <is>
          <t>MAGICARPE</t>
        </is>
      </c>
    </row>
    <row r="1305">
      <c r="A1305" s="35" t="inlineStr">
        <is>
          <t>Parmanie</t>
        </is>
      </c>
      <c r="B1305" s="35" t="inlineStr">
        <is>
          <t>FuchsiaCity_hns</t>
        </is>
      </c>
      <c r="C1305" s="62" t="inlineStr">
        <is>
          <t>Nuit</t>
        </is>
      </c>
      <c r="D1305" s="56" t="inlineStr">
        <is>
          <t>Super Canne</t>
        </is>
      </c>
      <c r="E1305" s="37" t="inlineStr">
        <is>
          <t>LEVIATOR</t>
        </is>
      </c>
      <c r="F1305" s="38" t="n">
        <v>0.41</v>
      </c>
      <c r="G1305" s="39" t="n">
        <v>40</v>
      </c>
      <c r="H1305" s="39" t="n">
        <v>40</v>
      </c>
      <c r="I1305" s="29">
        <f>IF(OR(COUNTIF('Suivi des rencontres'!$A:$A,$A1305)&gt;0,COUNTIF('Suivi des rencontres'!$C:$C,$J1305)&gt;0),"Non","Oui")</f>
        <v/>
      </c>
      <c r="J1305" s="30" t="inlineStr">
        <is>
          <t>MAGICARPE</t>
        </is>
      </c>
    </row>
    <row r="1306">
      <c r="A1306" s="40" t="inlineStr">
        <is>
          <t>Poni</t>
        </is>
      </c>
      <c r="B1306" s="40" t="inlineStr">
        <is>
          <t>PoniIsle_hns</t>
        </is>
      </c>
      <c r="C1306" s="41" t="inlineStr">
        <is>
          <t>Toute la journée</t>
        </is>
      </c>
      <c r="D1306" s="42" t="inlineStr">
        <is>
          <t>Herbe</t>
        </is>
      </c>
      <c r="E1306" s="43" t="inlineStr">
        <is>
          <t>NOEUNOEUF</t>
        </is>
      </c>
      <c r="F1306" s="44" t="n">
        <v>0.25</v>
      </c>
      <c r="G1306" s="45" t="n">
        <v>43</v>
      </c>
      <c r="H1306" s="45" t="n">
        <v>45</v>
      </c>
      <c r="I1306" s="46">
        <f>IF(OR(COUNTIF('Suivi des rencontres'!$A:$A,$A1306)&gt;0,COUNTIF('Suivi des rencontres'!$C:$C,$J1306)&gt;0),"Non","Oui")</f>
        <v/>
      </c>
      <c r="J1306" s="30" t="inlineStr">
        <is>
          <t>NOEUNOEUF</t>
        </is>
      </c>
    </row>
    <row r="1307">
      <c r="A1307" s="47" t="inlineStr">
        <is>
          <t>Poni</t>
        </is>
      </c>
      <c r="B1307" s="47" t="inlineStr">
        <is>
          <t>PoniIsle_hns</t>
        </is>
      </c>
      <c r="C1307" s="48" t="inlineStr">
        <is>
          <t>Toute la journée</t>
        </is>
      </c>
      <c r="D1307" s="49" t="inlineStr">
        <is>
          <t>Herbe</t>
        </is>
      </c>
      <c r="E1307" s="50" t="inlineStr">
        <is>
          <t>ECREMEUH</t>
        </is>
      </c>
      <c r="F1307" s="51" t="n">
        <v>0.2</v>
      </c>
      <c r="G1307" s="52" t="n">
        <v>43</v>
      </c>
      <c r="H1307" s="52" t="n">
        <v>45</v>
      </c>
      <c r="I1307" s="29">
        <f>IF(OR(COUNTIF('Suivi des rencontres'!$A:$A,$A1307)&gt;0,COUNTIF('Suivi des rencontres'!$C:$C,$J1307)&gt;0),"Non","Oui")</f>
        <v/>
      </c>
      <c r="J1307" s="30" t="inlineStr">
        <is>
          <t>ECREMEUH</t>
        </is>
      </c>
    </row>
    <row r="1308">
      <c r="A1308" s="47" t="inlineStr">
        <is>
          <t>Poni</t>
        </is>
      </c>
      <c r="B1308" s="47" t="inlineStr">
        <is>
          <t>PoniIsle_hns</t>
        </is>
      </c>
      <c r="C1308" s="48" t="inlineStr">
        <is>
          <t>Toute la journée</t>
        </is>
      </c>
      <c r="D1308" s="49" t="inlineStr">
        <is>
          <t>Herbe</t>
        </is>
      </c>
      <c r="E1308" s="50" t="inlineStr">
        <is>
          <t>TAUROS</t>
        </is>
      </c>
      <c r="F1308" s="51" t="n">
        <v>0.2</v>
      </c>
      <c r="G1308" s="52" t="n">
        <v>43</v>
      </c>
      <c r="H1308" s="52" t="n">
        <v>45</v>
      </c>
      <c r="I1308" s="29">
        <f>IF(OR(COUNTIF('Suivi des rencontres'!$A:$A,$A1308)&gt;0,COUNTIF('Suivi des rencontres'!$C:$C,$J1308)&gt;0),"Non","Oui")</f>
        <v/>
      </c>
      <c r="J1308" s="30" t="inlineStr">
        <is>
          <t>TAUROS</t>
        </is>
      </c>
    </row>
    <row r="1309">
      <c r="A1309" s="47" t="inlineStr">
        <is>
          <t>Poni</t>
        </is>
      </c>
      <c r="B1309" s="47" t="inlineStr">
        <is>
          <t>PoniIsle_hns</t>
        </is>
      </c>
      <c r="C1309" s="48" t="inlineStr">
        <is>
          <t>Toute la journée</t>
        </is>
      </c>
      <c r="D1309" s="49" t="inlineStr">
        <is>
          <t>Herbe</t>
        </is>
      </c>
      <c r="E1309" s="50" t="inlineStr">
        <is>
          <t>AIRMURE</t>
        </is>
      </c>
      <c r="F1309" s="51" t="n">
        <v>0.15</v>
      </c>
      <c r="G1309" s="52" t="n">
        <v>43</v>
      </c>
      <c r="H1309" s="52" t="n">
        <v>45</v>
      </c>
      <c r="I1309" s="29">
        <f>IF(OR(COUNTIF('Suivi des rencontres'!$A:$A,$A1309)&gt;0,COUNTIF('Suivi des rencontres'!$C:$C,$J1309)&gt;0),"Non","Oui")</f>
        <v/>
      </c>
      <c r="J1309" s="30" t="inlineStr">
        <is>
          <t>AIRMURE</t>
        </is>
      </c>
    </row>
    <row r="1310">
      <c r="A1310" s="47" t="inlineStr">
        <is>
          <t>Poni</t>
        </is>
      </c>
      <c r="B1310" s="47" t="inlineStr">
        <is>
          <t>PoniIsle_hns</t>
        </is>
      </c>
      <c r="C1310" s="48" t="inlineStr">
        <is>
          <t>Toute la journée</t>
        </is>
      </c>
      <c r="D1310" s="49" t="inlineStr">
        <is>
          <t>Herbe</t>
        </is>
      </c>
      <c r="E1310" s="50" t="inlineStr">
        <is>
          <t>ARAKDO</t>
        </is>
      </c>
      <c r="F1310" s="51" t="n">
        <v>0.15</v>
      </c>
      <c r="G1310" s="52" t="n">
        <v>43</v>
      </c>
      <c r="H1310" s="52" t="n">
        <v>45</v>
      </c>
      <c r="I1310" s="29">
        <f>IF(OR(COUNTIF('Suivi des rencontres'!$A:$A,$A1310)&gt;0,COUNTIF('Suivi des rencontres'!$C:$C,$J1310)&gt;0),"Non","Oui")</f>
        <v/>
      </c>
      <c r="J1310" s="30" t="inlineStr">
        <is>
          <t>ARAKDO</t>
        </is>
      </c>
    </row>
    <row r="1311">
      <c r="A1311" s="47" t="inlineStr">
        <is>
          <t>Poni</t>
        </is>
      </c>
      <c r="B1311" s="47" t="inlineStr">
        <is>
          <t>PoniIsle_hns</t>
        </is>
      </c>
      <c r="C1311" s="48" t="inlineStr">
        <is>
          <t>Toute la journée</t>
        </is>
      </c>
      <c r="D1311" s="49" t="inlineStr">
        <is>
          <t>Herbe</t>
        </is>
      </c>
      <c r="E1311" s="50" t="inlineStr">
        <is>
          <t>SCARABRUTE</t>
        </is>
      </c>
      <c r="F1311" s="51" t="n">
        <v>0.05</v>
      </c>
      <c r="G1311" s="52" t="n">
        <v>43</v>
      </c>
      <c r="H1311" s="52" t="n">
        <v>45</v>
      </c>
      <c r="I1311" s="29">
        <f>IF(OR(COUNTIF('Suivi des rencontres'!$A:$A,$A1311)&gt;0,COUNTIF('Suivi des rencontres'!$C:$C,$J1311)&gt;0),"Non","Oui")</f>
        <v/>
      </c>
      <c r="J1311" s="30" t="inlineStr">
        <is>
          <t>SCARABRUTE</t>
        </is>
      </c>
    </row>
    <row r="1312">
      <c r="A1312" s="47" t="inlineStr">
        <is>
          <t>Poni</t>
        </is>
      </c>
      <c r="B1312" s="47" t="inlineStr">
        <is>
          <t>PoniIsle_hns</t>
        </is>
      </c>
      <c r="C1312" s="48" t="inlineStr">
        <is>
          <t>Toute la journée</t>
        </is>
      </c>
      <c r="D1312" s="53" t="inlineStr">
        <is>
          <t>Surf</t>
        </is>
      </c>
      <c r="E1312" s="50" t="inlineStr">
        <is>
          <t>PSYKOKWAK</t>
        </is>
      </c>
      <c r="F1312" s="51" t="n">
        <v>0.6</v>
      </c>
      <c r="G1312" s="52" t="n">
        <v>43</v>
      </c>
      <c r="H1312" s="52" t="n">
        <v>45</v>
      </c>
      <c r="I1312" s="29">
        <f>IF(OR(COUNTIF('Suivi des rencontres'!$A:$A,$A1312)&gt;0,COUNTIF('Suivi des rencontres'!$C:$C,$J1312)&gt;0),"Non","Oui")</f>
        <v/>
      </c>
      <c r="J1312" s="30" t="inlineStr">
        <is>
          <t>PSYKOKWAK</t>
        </is>
      </c>
    </row>
    <row r="1313">
      <c r="A1313" s="47" t="inlineStr">
        <is>
          <t>Poni</t>
        </is>
      </c>
      <c r="B1313" s="47" t="inlineStr">
        <is>
          <t>PoniIsle_hns</t>
        </is>
      </c>
      <c r="C1313" s="48" t="inlineStr">
        <is>
          <t>Toute la journée</t>
        </is>
      </c>
      <c r="D1313" s="53" t="inlineStr">
        <is>
          <t>Surf</t>
        </is>
      </c>
      <c r="E1313" s="50" t="inlineStr">
        <is>
          <t>AKWAKWAK</t>
        </is>
      </c>
      <c r="F1313" s="51" t="n">
        <v>0.3</v>
      </c>
      <c r="G1313" s="52" t="n">
        <v>43</v>
      </c>
      <c r="H1313" s="52" t="n">
        <v>45</v>
      </c>
      <c r="I1313" s="29">
        <f>IF(OR(COUNTIF('Suivi des rencontres'!$A:$A,$A1313)&gt;0,COUNTIF('Suivi des rencontres'!$C:$C,$J1313)&gt;0),"Non","Oui")</f>
        <v/>
      </c>
      <c r="J1313" s="30" t="inlineStr">
        <is>
          <t>PSYKOKWAK</t>
        </is>
      </c>
    </row>
    <row r="1314">
      <c r="A1314" s="47" t="inlineStr">
        <is>
          <t>Poni</t>
        </is>
      </c>
      <c r="B1314" s="47" t="inlineStr">
        <is>
          <t>PoniIsle_hns</t>
        </is>
      </c>
      <c r="C1314" s="48" t="inlineStr">
        <is>
          <t>Toute la journée</t>
        </is>
      </c>
      <c r="D1314" s="53" t="inlineStr">
        <is>
          <t>Surf</t>
        </is>
      </c>
      <c r="E1314" s="50" t="inlineStr">
        <is>
          <t>BEKIPAN</t>
        </is>
      </c>
      <c r="F1314" s="51" t="n">
        <v>0.05</v>
      </c>
      <c r="G1314" s="52" t="n">
        <v>43</v>
      </c>
      <c r="H1314" s="52" t="n">
        <v>45</v>
      </c>
      <c r="I1314" s="29">
        <f>IF(OR(COUNTIF('Suivi des rencontres'!$A:$A,$A1314)&gt;0,COUNTIF('Suivi des rencontres'!$C:$C,$J1314)&gt;0),"Non","Oui")</f>
        <v/>
      </c>
      <c r="J1314" s="30" t="inlineStr">
        <is>
          <t>GOELISE</t>
        </is>
      </c>
    </row>
    <row r="1315">
      <c r="A1315" s="47" t="inlineStr">
        <is>
          <t>Poni</t>
        </is>
      </c>
      <c r="B1315" s="47" t="inlineStr">
        <is>
          <t>PoniIsle_hns</t>
        </is>
      </c>
      <c r="C1315" s="48" t="inlineStr">
        <is>
          <t>Toute la journée</t>
        </is>
      </c>
      <c r="D1315" s="53" t="inlineStr">
        <is>
          <t>Surf</t>
        </is>
      </c>
      <c r="E1315" s="50" t="inlineStr">
        <is>
          <t>GOELISE</t>
        </is>
      </c>
      <c r="F1315" s="51" t="n">
        <v>0.05</v>
      </c>
      <c r="G1315" s="52" t="n">
        <v>43</v>
      </c>
      <c r="H1315" s="52" t="n">
        <v>45</v>
      </c>
      <c r="I1315" s="29">
        <f>IF(OR(COUNTIF('Suivi des rencontres'!$A:$A,$A1315)&gt;0,COUNTIF('Suivi des rencontres'!$C:$C,$J1315)&gt;0),"Non","Oui")</f>
        <v/>
      </c>
      <c r="J1315" s="30" t="inlineStr">
        <is>
          <t>GOELISE</t>
        </is>
      </c>
    </row>
    <row r="1316">
      <c r="A1316" s="47" t="inlineStr">
        <is>
          <t>Poni</t>
        </is>
      </c>
      <c r="B1316" s="47" t="inlineStr">
        <is>
          <t>PoniIsle_hns</t>
        </is>
      </c>
      <c r="C1316" s="48" t="inlineStr">
        <is>
          <t>Toute la journée</t>
        </is>
      </c>
      <c r="D1316" s="54" t="inlineStr">
        <is>
          <t>Vieille Canne</t>
        </is>
      </c>
      <c r="E1316" s="50" t="inlineStr">
        <is>
          <t>KRABBY</t>
        </is>
      </c>
      <c r="F1316" s="51" t="n">
        <v>0.7</v>
      </c>
      <c r="G1316" s="52" t="n">
        <v>43</v>
      </c>
      <c r="H1316" s="52" t="n">
        <v>45</v>
      </c>
      <c r="I1316" s="29">
        <f>IF(OR(COUNTIF('Suivi des rencontres'!$A:$A,$A1316)&gt;0,COUNTIF('Suivi des rencontres'!$C:$C,$J1316)&gt;0),"Non","Oui")</f>
        <v/>
      </c>
      <c r="J1316" s="30" t="inlineStr">
        <is>
          <t>KRABBY</t>
        </is>
      </c>
    </row>
    <row r="1317">
      <c r="A1317" s="47" t="inlineStr">
        <is>
          <t>Poni</t>
        </is>
      </c>
      <c r="B1317" s="47" t="inlineStr">
        <is>
          <t>PoniIsle_hns</t>
        </is>
      </c>
      <c r="C1317" s="48" t="inlineStr">
        <is>
          <t>Toute la journée</t>
        </is>
      </c>
      <c r="D1317" s="54" t="inlineStr">
        <is>
          <t>Vieille Canne</t>
        </is>
      </c>
      <c r="E1317" s="50" t="inlineStr">
        <is>
          <t>ECRAPINCE</t>
        </is>
      </c>
      <c r="F1317" s="51" t="n">
        <v>0.3</v>
      </c>
      <c r="G1317" s="52" t="n">
        <v>43</v>
      </c>
      <c r="H1317" s="52" t="n">
        <v>45</v>
      </c>
      <c r="I1317" s="29">
        <f>IF(OR(COUNTIF('Suivi des rencontres'!$A:$A,$A1317)&gt;0,COUNTIF('Suivi des rencontres'!$C:$C,$J1317)&gt;0),"Non","Oui")</f>
        <v/>
      </c>
      <c r="J1317" s="30" t="inlineStr">
        <is>
          <t>ECRAPINCE</t>
        </is>
      </c>
    </row>
    <row r="1318">
      <c r="A1318" s="47" t="inlineStr">
        <is>
          <t>Poni</t>
        </is>
      </c>
      <c r="B1318" s="47" t="inlineStr">
        <is>
          <t>PoniIsle_hns</t>
        </is>
      </c>
      <c r="C1318" s="48" t="inlineStr">
        <is>
          <t>Toute la journée</t>
        </is>
      </c>
      <c r="D1318" s="55" t="inlineStr">
        <is>
          <t>Bonne Canne</t>
        </is>
      </c>
      <c r="E1318" s="50" t="inlineStr">
        <is>
          <t>CORAYON</t>
        </is>
      </c>
      <c r="F1318" s="51" t="n">
        <v>1</v>
      </c>
      <c r="G1318" s="52" t="n">
        <v>43</v>
      </c>
      <c r="H1318" s="52" t="n">
        <v>45</v>
      </c>
      <c r="I1318" s="29">
        <f>IF(OR(COUNTIF('Suivi des rencontres'!$A:$A,$A1318)&gt;0,COUNTIF('Suivi des rencontres'!$C:$C,$J1318)&gt;0),"Non","Oui")</f>
        <v/>
      </c>
      <c r="J1318" s="30" t="inlineStr">
        <is>
          <t>CORAYON</t>
        </is>
      </c>
    </row>
    <row r="1319">
      <c r="A1319" s="47" t="inlineStr">
        <is>
          <t>Poni</t>
        </is>
      </c>
      <c r="B1319" s="47" t="inlineStr">
        <is>
          <t>PoniIsle_hns</t>
        </is>
      </c>
      <c r="C1319" s="48" t="inlineStr">
        <is>
          <t>Toute la journée</t>
        </is>
      </c>
      <c r="D1319" s="56" t="inlineStr">
        <is>
          <t>Super Canne</t>
        </is>
      </c>
      <c r="E1319" s="50" t="inlineStr">
        <is>
          <t>KRABBOSS</t>
        </is>
      </c>
      <c r="F1319" s="51" t="n">
        <v>0.95</v>
      </c>
      <c r="G1319" s="52" t="n">
        <v>43</v>
      </c>
      <c r="H1319" s="52" t="n">
        <v>45</v>
      </c>
      <c r="I1319" s="29">
        <f>IF(OR(COUNTIF('Suivi des rencontres'!$A:$A,$A1319)&gt;0,COUNTIF('Suivi des rencontres'!$C:$C,$J1319)&gt;0),"Non","Oui")</f>
        <v/>
      </c>
      <c r="J1319" s="30" t="inlineStr">
        <is>
          <t>KRABBY</t>
        </is>
      </c>
    </row>
    <row r="1320">
      <c r="A1320" s="47" t="inlineStr">
        <is>
          <t>Poni</t>
        </is>
      </c>
      <c r="B1320" s="47" t="inlineStr">
        <is>
          <t>PoniIsle_hns</t>
        </is>
      </c>
      <c r="C1320" s="48" t="inlineStr">
        <is>
          <t>Toute la journée</t>
        </is>
      </c>
      <c r="D1320" s="56" t="inlineStr">
        <is>
          <t>Super Canne</t>
        </is>
      </c>
      <c r="E1320" s="50" t="inlineStr">
        <is>
          <t>COLHOMARD</t>
        </is>
      </c>
      <c r="F1320" s="51" t="n">
        <v>0.05</v>
      </c>
      <c r="G1320" s="52" t="n">
        <v>43</v>
      </c>
      <c r="H1320" s="52" t="n">
        <v>45</v>
      </c>
      <c r="I1320" s="29">
        <f>IF(OR(COUNTIF('Suivi des rencontres'!$A:$A,$A1320)&gt;0,COUNTIF('Suivi des rencontres'!$C:$C,$J1320)&gt;0),"Non","Oui")</f>
        <v/>
      </c>
      <c r="J1320" s="30" t="inlineStr">
        <is>
          <t>ECRAPINCE</t>
        </is>
      </c>
    </row>
    <row r="1321">
      <c r="A1321" s="57" t="inlineStr">
        <is>
          <t>Portail Safari</t>
        </is>
      </c>
      <c r="B1321" s="57" t="inlineStr">
        <is>
          <t>SafariZoneGate_hns</t>
        </is>
      </c>
      <c r="C1321" s="58" t="inlineStr">
        <is>
          <t>Toute la journée</t>
        </is>
      </c>
      <c r="D1321" s="64" t="inlineStr">
        <is>
          <t>Éclate-Roc</t>
        </is>
      </c>
      <c r="E1321" s="59" t="inlineStr">
        <is>
          <t>POMDEPIK</t>
        </is>
      </c>
      <c r="F1321" s="60" t="n">
        <v>0.6</v>
      </c>
      <c r="G1321" s="61" t="n">
        <v>10</v>
      </c>
      <c r="H1321" s="61" t="n">
        <v>10</v>
      </c>
      <c r="I1321" s="46">
        <f>IF(OR(COUNTIF('Suivi des rencontres'!$A:$A,$A1321)&gt;0,COUNTIF('Suivi des rencontres'!$C:$C,$J1321)&gt;0),"Non","Oui")</f>
        <v/>
      </c>
      <c r="J1321" s="30" t="inlineStr">
        <is>
          <t>POMDEPIK</t>
        </is>
      </c>
    </row>
    <row r="1322">
      <c r="A1322" s="35" t="inlineStr">
        <is>
          <t>Portail Safari</t>
        </is>
      </c>
      <c r="B1322" s="35" t="inlineStr">
        <is>
          <t>SafariZoneGate_hns</t>
        </is>
      </c>
      <c r="C1322" s="33" t="inlineStr">
        <is>
          <t>Toute la journée</t>
        </is>
      </c>
      <c r="D1322" s="36" t="inlineStr">
        <is>
          <t>Éclate-Roc</t>
        </is>
      </c>
      <c r="E1322" s="37" t="inlineStr">
        <is>
          <t>NOEUNOEUF</t>
        </is>
      </c>
      <c r="F1322" s="38" t="n">
        <v>0.3</v>
      </c>
      <c r="G1322" s="39" t="n">
        <v>10</v>
      </c>
      <c r="H1322" s="39" t="n">
        <v>10</v>
      </c>
      <c r="I1322" s="29">
        <f>IF(OR(COUNTIF('Suivi des rencontres'!$A:$A,$A1322)&gt;0,COUNTIF('Suivi des rencontres'!$C:$C,$J1322)&gt;0),"Non","Oui")</f>
        <v/>
      </c>
      <c r="J1322" s="30" t="inlineStr">
        <is>
          <t>NOEUNOEUF</t>
        </is>
      </c>
    </row>
    <row r="1323">
      <c r="A1323" s="35" t="inlineStr">
        <is>
          <t>Portail Safari</t>
        </is>
      </c>
      <c r="B1323" s="35" t="inlineStr">
        <is>
          <t>SafariZoneGate_hns</t>
        </is>
      </c>
      <c r="C1323" s="33" t="inlineStr">
        <is>
          <t>Toute la journée</t>
        </is>
      </c>
      <c r="D1323" s="36" t="inlineStr">
        <is>
          <t>Éclate-Roc</t>
        </is>
      </c>
      <c r="E1323" s="37" t="inlineStr">
        <is>
          <t>COXY</t>
        </is>
      </c>
      <c r="F1323" s="38" t="n">
        <v>0.05</v>
      </c>
      <c r="G1323" s="39" t="n">
        <v>10</v>
      </c>
      <c r="H1323" s="39" t="n">
        <v>10</v>
      </c>
      <c r="I1323" s="29">
        <f>IF(OR(COUNTIF('Suivi des rencontres'!$A:$A,$A1323)&gt;0,COUNTIF('Suivi des rencontres'!$C:$C,$J1323)&gt;0),"Non","Oui")</f>
        <v/>
      </c>
      <c r="J1323" s="30" t="inlineStr">
        <is>
          <t>COXY</t>
        </is>
      </c>
    </row>
    <row r="1324">
      <c r="A1324" s="35" t="inlineStr">
        <is>
          <t>Portail Safari</t>
        </is>
      </c>
      <c r="B1324" s="35" t="inlineStr">
        <is>
          <t>SafariZoneGate_hns</t>
        </is>
      </c>
      <c r="C1324" s="33" t="inlineStr">
        <is>
          <t>Toute la journée</t>
        </is>
      </c>
      <c r="D1324" s="36" t="inlineStr">
        <is>
          <t>Éclate-Roc</t>
        </is>
      </c>
      <c r="E1324" s="37" t="inlineStr">
        <is>
          <t>MIMIGAL</t>
        </is>
      </c>
      <c r="F1324" s="38" t="n">
        <v>0.05</v>
      </c>
      <c r="G1324" s="39" t="n">
        <v>10</v>
      </c>
      <c r="H1324" s="39" t="n">
        <v>10</v>
      </c>
      <c r="I1324" s="29">
        <f>IF(OR(COUNTIF('Suivi des rencontres'!$A:$A,$A1324)&gt;0,COUNTIF('Suivi des rencontres'!$C:$C,$J1324)&gt;0),"Non","Oui")</f>
        <v/>
      </c>
      <c r="J1324" s="30" t="inlineStr">
        <is>
          <t>MIMIGAL</t>
        </is>
      </c>
    </row>
    <row r="1325">
      <c r="A1325" s="35" t="inlineStr">
        <is>
          <t>Portail Safari</t>
        </is>
      </c>
      <c r="B1325" s="35" t="inlineStr">
        <is>
          <t>SafariZone_Low_Left_hns</t>
        </is>
      </c>
      <c r="C1325" s="33" t="inlineStr">
        <is>
          <t>Toute la journée</t>
        </is>
      </c>
      <c r="D1325" s="49" t="inlineStr">
        <is>
          <t>Herbe</t>
        </is>
      </c>
      <c r="E1325" s="37" t="inlineStr">
        <is>
          <t>SABELETTE</t>
        </is>
      </c>
      <c r="F1325" s="38" t="n">
        <v>0.2</v>
      </c>
      <c r="G1325" s="39" t="n">
        <v>19</v>
      </c>
      <c r="H1325" s="39" t="n">
        <v>26</v>
      </c>
      <c r="I1325" s="29">
        <f>IF(OR(COUNTIF('Suivi des rencontres'!$A:$A,$A1325)&gt;0,COUNTIF('Suivi des rencontres'!$C:$C,$J1325)&gt;0),"Non","Oui")</f>
        <v/>
      </c>
      <c r="J1325" s="30" t="inlineStr">
        <is>
          <t>SABELETTE</t>
        </is>
      </c>
    </row>
    <row r="1326">
      <c r="A1326" s="35" t="inlineStr">
        <is>
          <t>Portail Safari</t>
        </is>
      </c>
      <c r="B1326" s="35" t="inlineStr">
        <is>
          <t>SafariZone_Low_Left_hns</t>
        </is>
      </c>
      <c r="C1326" s="33" t="inlineStr">
        <is>
          <t>Toute la journée</t>
        </is>
      </c>
      <c r="D1326" s="49" t="inlineStr">
        <is>
          <t>Herbe</t>
        </is>
      </c>
      <c r="E1326" s="37" t="inlineStr">
        <is>
          <t>SABLAIREAU</t>
        </is>
      </c>
      <c r="F1326" s="38" t="n">
        <v>0.2</v>
      </c>
      <c r="G1326" s="39" t="n">
        <v>19</v>
      </c>
      <c r="H1326" s="39" t="n">
        <v>26</v>
      </c>
      <c r="I1326" s="29">
        <f>IF(OR(COUNTIF('Suivi des rencontres'!$A:$A,$A1326)&gt;0,COUNTIF('Suivi des rencontres'!$C:$C,$J1326)&gt;0),"Non","Oui")</f>
        <v/>
      </c>
      <c r="J1326" s="30" t="inlineStr">
        <is>
          <t>SABELETTE</t>
        </is>
      </c>
    </row>
    <row r="1327">
      <c r="A1327" s="35" t="inlineStr">
        <is>
          <t>Portail Safari</t>
        </is>
      </c>
      <c r="B1327" s="35" t="inlineStr">
        <is>
          <t>SafariZone_Low_Left_hns</t>
        </is>
      </c>
      <c r="C1327" s="33" t="inlineStr">
        <is>
          <t>Toute la journée</t>
        </is>
      </c>
      <c r="D1327" s="49" t="inlineStr">
        <is>
          <t>Herbe</t>
        </is>
      </c>
      <c r="E1327" s="37" t="inlineStr">
        <is>
          <t>OSSELAIT</t>
        </is>
      </c>
      <c r="F1327" s="38" t="n">
        <v>0.15</v>
      </c>
      <c r="G1327" s="39" t="n">
        <v>19</v>
      </c>
      <c r="H1327" s="39" t="n">
        <v>26</v>
      </c>
      <c r="I1327" s="29">
        <f>IF(OR(COUNTIF('Suivi des rencontres'!$A:$A,$A1327)&gt;0,COUNTIF('Suivi des rencontres'!$C:$C,$J1327)&gt;0),"Non","Oui")</f>
        <v/>
      </c>
      <c r="J1327" s="30" t="inlineStr">
        <is>
          <t>OSSELAIT</t>
        </is>
      </c>
    </row>
    <row r="1328">
      <c r="A1328" s="35" t="inlineStr">
        <is>
          <t>Portail Safari</t>
        </is>
      </c>
      <c r="B1328" s="35" t="inlineStr">
        <is>
          <t>SafariZone_Low_Left_hns</t>
        </is>
      </c>
      <c r="C1328" s="33" t="inlineStr">
        <is>
          <t>Toute la journée</t>
        </is>
      </c>
      <c r="D1328" s="49" t="inlineStr">
        <is>
          <t>Herbe</t>
        </is>
      </c>
      <c r="E1328" s="37" t="inlineStr">
        <is>
          <t>RAPASDEPIC</t>
        </is>
      </c>
      <c r="F1328" s="38" t="n">
        <v>0.1</v>
      </c>
      <c r="G1328" s="39" t="n">
        <v>19</v>
      </c>
      <c r="H1328" s="39" t="n">
        <v>26</v>
      </c>
      <c r="I1328" s="29">
        <f>IF(OR(COUNTIF('Suivi des rencontres'!$A:$A,$A1328)&gt;0,COUNTIF('Suivi des rencontres'!$C:$C,$J1328)&gt;0),"Non","Oui")</f>
        <v/>
      </c>
      <c r="J1328" s="30" t="inlineStr">
        <is>
          <t>PIAFABEC</t>
        </is>
      </c>
    </row>
    <row r="1329">
      <c r="A1329" s="35" t="inlineStr">
        <is>
          <t>Portail Safari</t>
        </is>
      </c>
      <c r="B1329" s="35" t="inlineStr">
        <is>
          <t>SafariZone_Low_Left_hns</t>
        </is>
      </c>
      <c r="C1329" s="33" t="inlineStr">
        <is>
          <t>Toute la journée</t>
        </is>
      </c>
      <c r="D1329" s="49" t="inlineStr">
        <is>
          <t>Herbe</t>
        </is>
      </c>
      <c r="E1329" s="37" t="inlineStr">
        <is>
          <t>RHINOCORNE</t>
        </is>
      </c>
      <c r="F1329" s="38" t="n">
        <v>0.1</v>
      </c>
      <c r="G1329" s="39" t="n">
        <v>19</v>
      </c>
      <c r="H1329" s="39" t="n">
        <v>26</v>
      </c>
      <c r="I1329" s="29">
        <f>IF(OR(COUNTIF('Suivi des rencontres'!$A:$A,$A1329)&gt;0,COUNTIF('Suivi des rencontres'!$C:$C,$J1329)&gt;0),"Non","Oui")</f>
        <v/>
      </c>
      <c r="J1329" s="30" t="inlineStr">
        <is>
          <t>RHINOCORNE</t>
        </is>
      </c>
    </row>
    <row r="1330">
      <c r="A1330" s="35" t="inlineStr">
        <is>
          <t>Portail Safari</t>
        </is>
      </c>
      <c r="B1330" s="35" t="inlineStr">
        <is>
          <t>SafariZone_Low_Left_hns</t>
        </is>
      </c>
      <c r="C1330" s="33" t="inlineStr">
        <is>
          <t>Toute la journée</t>
        </is>
      </c>
      <c r="D1330" s="49" t="inlineStr">
        <is>
          <t>Herbe</t>
        </is>
      </c>
      <c r="E1330" s="37" t="inlineStr">
        <is>
          <t>SCORPLANE</t>
        </is>
      </c>
      <c r="F1330" s="38" t="n">
        <v>0.1</v>
      </c>
      <c r="G1330" s="39" t="n">
        <v>19</v>
      </c>
      <c r="H1330" s="39" t="n">
        <v>26</v>
      </c>
      <c r="I1330" s="29">
        <f>IF(OR(COUNTIF('Suivi des rencontres'!$A:$A,$A1330)&gt;0,COUNTIF('Suivi des rencontres'!$C:$C,$J1330)&gt;0),"Non","Oui")</f>
        <v/>
      </c>
      <c r="J1330" s="30" t="inlineStr">
        <is>
          <t>SCORPLANE</t>
        </is>
      </c>
    </row>
    <row r="1331">
      <c r="A1331" s="35" t="inlineStr">
        <is>
          <t>Portail Safari</t>
        </is>
      </c>
      <c r="B1331" s="35" t="inlineStr">
        <is>
          <t>SafariZone_Low_Left_hns</t>
        </is>
      </c>
      <c r="C1331" s="33" t="inlineStr">
        <is>
          <t>Toute la journée</t>
        </is>
      </c>
      <c r="D1331" s="49" t="inlineStr">
        <is>
          <t>Herbe</t>
        </is>
      </c>
      <c r="E1331" s="37" t="inlineStr">
        <is>
          <t>EMBRYLEX</t>
        </is>
      </c>
      <c r="F1331" s="38" t="n">
        <v>0.05</v>
      </c>
      <c r="G1331" s="39" t="n">
        <v>19</v>
      </c>
      <c r="H1331" s="39" t="n">
        <v>26</v>
      </c>
      <c r="I1331" s="29">
        <f>IF(OR(COUNTIF('Suivi des rencontres'!$A:$A,$A1331)&gt;0,COUNTIF('Suivi des rencontres'!$C:$C,$J1331)&gt;0),"Non","Oui")</f>
        <v/>
      </c>
      <c r="J1331" s="30" t="inlineStr">
        <is>
          <t>EMBRYLEX</t>
        </is>
      </c>
    </row>
    <row r="1332">
      <c r="A1332" s="35" t="inlineStr">
        <is>
          <t>Portail Safari</t>
        </is>
      </c>
      <c r="B1332" s="35" t="inlineStr">
        <is>
          <t>SafariZone_Low_Left_hns</t>
        </is>
      </c>
      <c r="C1332" s="33" t="inlineStr">
        <is>
          <t>Toute la journée</t>
        </is>
      </c>
      <c r="D1332" s="49" t="inlineStr">
        <is>
          <t>Herbe</t>
        </is>
      </c>
      <c r="E1332" s="37" t="inlineStr">
        <is>
          <t>ONIX</t>
        </is>
      </c>
      <c r="F1332" s="38" t="n">
        <v>0.05</v>
      </c>
      <c r="G1332" s="39" t="n">
        <v>19</v>
      </c>
      <c r="H1332" s="39" t="n">
        <v>26</v>
      </c>
      <c r="I1332" s="29">
        <f>IF(OR(COUNTIF('Suivi des rencontres'!$A:$A,$A1332)&gt;0,COUNTIF('Suivi des rencontres'!$C:$C,$J1332)&gt;0),"Non","Oui")</f>
        <v/>
      </c>
      <c r="J1332" s="30" t="inlineStr">
        <is>
          <t>ONIX</t>
        </is>
      </c>
    </row>
    <row r="1333">
      <c r="A1333" s="35" t="inlineStr">
        <is>
          <t>Portail Safari</t>
        </is>
      </c>
      <c r="B1333" s="35" t="inlineStr">
        <is>
          <t>SafariZone_Low_Left_hns</t>
        </is>
      </c>
      <c r="C1333" s="33" t="inlineStr">
        <is>
          <t>Toute la journée</t>
        </is>
      </c>
      <c r="D1333" s="49" t="inlineStr">
        <is>
          <t>Herbe</t>
        </is>
      </c>
      <c r="E1333" s="37" t="inlineStr">
        <is>
          <t>PHANPY</t>
        </is>
      </c>
      <c r="F1333" s="38" t="n">
        <v>0.05</v>
      </c>
      <c r="G1333" s="39" t="n">
        <v>19</v>
      </c>
      <c r="H1333" s="39" t="n">
        <v>26</v>
      </c>
      <c r="I1333" s="29">
        <f>IF(OR(COUNTIF('Suivi des rencontres'!$A:$A,$A1333)&gt;0,COUNTIF('Suivi des rencontres'!$C:$C,$J1333)&gt;0),"Non","Oui")</f>
        <v/>
      </c>
      <c r="J1333" s="30" t="inlineStr">
        <is>
          <t>PHANPY</t>
        </is>
      </c>
    </row>
    <row r="1334">
      <c r="A1334" s="35" t="inlineStr">
        <is>
          <t>Portail Safari</t>
        </is>
      </c>
      <c r="B1334" s="35" t="inlineStr">
        <is>
          <t>SafariZone_Low_Mid_hns</t>
        </is>
      </c>
      <c r="C1334" s="33" t="inlineStr">
        <is>
          <t>Toute la journée</t>
        </is>
      </c>
      <c r="D1334" s="49" t="inlineStr">
        <is>
          <t>Herbe</t>
        </is>
      </c>
      <c r="E1334" s="37" t="inlineStr">
        <is>
          <t>GRAVALANCH</t>
        </is>
      </c>
      <c r="F1334" s="38" t="n">
        <v>0.2</v>
      </c>
      <c r="G1334" s="39" t="n">
        <v>19</v>
      </c>
      <c r="H1334" s="39" t="n">
        <v>26</v>
      </c>
      <c r="I1334" s="29">
        <f>IF(OR(COUNTIF('Suivi des rencontres'!$A:$A,$A1334)&gt;0,COUNTIF('Suivi des rencontres'!$C:$C,$J1334)&gt;0),"Non","Oui")</f>
        <v/>
      </c>
      <c r="J1334" s="30" t="inlineStr">
        <is>
          <t>RACAILLOU</t>
        </is>
      </c>
    </row>
    <row r="1335">
      <c r="A1335" s="35" t="inlineStr">
        <is>
          <t>Portail Safari</t>
        </is>
      </c>
      <c r="B1335" s="35" t="inlineStr">
        <is>
          <t>SafariZone_Low_Mid_hns</t>
        </is>
      </c>
      <c r="C1335" s="33" t="inlineStr">
        <is>
          <t>Toute la journée</t>
        </is>
      </c>
      <c r="D1335" s="49" t="inlineStr">
        <is>
          <t>Herbe</t>
        </is>
      </c>
      <c r="E1335" s="37" t="inlineStr">
        <is>
          <t>RACAILLOU</t>
        </is>
      </c>
      <c r="F1335" s="38" t="n">
        <v>0.2</v>
      </c>
      <c r="G1335" s="39" t="n">
        <v>19</v>
      </c>
      <c r="H1335" s="39" t="n">
        <v>26</v>
      </c>
      <c r="I1335" s="29">
        <f>IF(OR(COUNTIF('Suivi des rencontres'!$A:$A,$A1335)&gt;0,COUNTIF('Suivi des rencontres'!$C:$C,$J1335)&gt;0),"Non","Oui")</f>
        <v/>
      </c>
      <c r="J1335" s="30" t="inlineStr">
        <is>
          <t>RACAILLOU</t>
        </is>
      </c>
    </row>
    <row r="1336">
      <c r="A1336" s="35" t="inlineStr">
        <is>
          <t>Portail Safari</t>
        </is>
      </c>
      <c r="B1336" s="35" t="inlineStr">
        <is>
          <t>SafariZone_Low_Mid_hns</t>
        </is>
      </c>
      <c r="C1336" s="33" t="inlineStr">
        <is>
          <t>Toute la journée</t>
        </is>
      </c>
      <c r="D1336" s="49" t="inlineStr">
        <is>
          <t>Herbe</t>
        </is>
      </c>
      <c r="E1336" s="37" t="inlineStr">
        <is>
          <t>MAGNETI</t>
        </is>
      </c>
      <c r="F1336" s="38" t="n">
        <v>0.1</v>
      </c>
      <c r="G1336" s="39" t="n">
        <v>19</v>
      </c>
      <c r="H1336" s="39" t="n">
        <v>26</v>
      </c>
      <c r="I1336" s="29">
        <f>IF(OR(COUNTIF('Suivi des rencontres'!$A:$A,$A1336)&gt;0,COUNTIF('Suivi des rencontres'!$C:$C,$J1336)&gt;0),"Non","Oui")</f>
        <v/>
      </c>
      <c r="J1336" s="30" t="inlineStr">
        <is>
          <t>MAGNETI</t>
        </is>
      </c>
    </row>
    <row r="1337">
      <c r="A1337" s="35" t="inlineStr">
        <is>
          <t>Portail Safari</t>
        </is>
      </c>
      <c r="B1337" s="35" t="inlineStr">
        <is>
          <t>SafariZone_Low_Mid_hns</t>
        </is>
      </c>
      <c r="C1337" s="33" t="inlineStr">
        <is>
          <t>Toute la journée</t>
        </is>
      </c>
      <c r="D1337" s="49" t="inlineStr">
        <is>
          <t>Herbe</t>
        </is>
      </c>
      <c r="E1337" s="37" t="inlineStr">
        <is>
          <t>MAGNETON</t>
        </is>
      </c>
      <c r="F1337" s="38" t="n">
        <v>0.1</v>
      </c>
      <c r="G1337" s="39" t="n">
        <v>19</v>
      </c>
      <c r="H1337" s="39" t="n">
        <v>26</v>
      </c>
      <c r="I1337" s="29">
        <f>IF(OR(COUNTIF('Suivi des rencontres'!$A:$A,$A1337)&gt;0,COUNTIF('Suivi des rencontres'!$C:$C,$J1337)&gt;0),"Non","Oui")</f>
        <v/>
      </c>
      <c r="J1337" s="30" t="inlineStr">
        <is>
          <t>MAGNETI</t>
        </is>
      </c>
    </row>
    <row r="1338">
      <c r="A1338" s="35" t="inlineStr">
        <is>
          <t>Portail Safari</t>
        </is>
      </c>
      <c r="B1338" s="35" t="inlineStr">
        <is>
          <t>SafariZone_Low_Mid_hns</t>
        </is>
      </c>
      <c r="C1338" s="33" t="inlineStr">
        <is>
          <t>Toute la journée</t>
        </is>
      </c>
      <c r="D1338" s="49" t="inlineStr">
        <is>
          <t>Herbe</t>
        </is>
      </c>
      <c r="E1338" s="37" t="inlineStr">
        <is>
          <t>RHINOCORNE</t>
        </is>
      </c>
      <c r="F1338" s="38" t="n">
        <v>0.1</v>
      </c>
      <c r="G1338" s="39" t="n">
        <v>19</v>
      </c>
      <c r="H1338" s="39" t="n">
        <v>26</v>
      </c>
      <c r="I1338" s="29">
        <f>IF(OR(COUNTIF('Suivi des rencontres'!$A:$A,$A1338)&gt;0,COUNTIF('Suivi des rencontres'!$C:$C,$J1338)&gt;0),"Non","Oui")</f>
        <v/>
      </c>
      <c r="J1338" s="30" t="inlineStr">
        <is>
          <t>RHINOCORNE</t>
        </is>
      </c>
    </row>
    <row r="1339">
      <c r="A1339" s="35" t="inlineStr">
        <is>
          <t>Portail Safari</t>
        </is>
      </c>
      <c r="B1339" s="35" t="inlineStr">
        <is>
          <t>SafariZone_Low_Mid_hns</t>
        </is>
      </c>
      <c r="C1339" s="33" t="inlineStr">
        <is>
          <t>Toute la journée</t>
        </is>
      </c>
      <c r="D1339" s="49" t="inlineStr">
        <is>
          <t>Herbe</t>
        </is>
      </c>
      <c r="E1339" s="37" t="inlineStr">
        <is>
          <t>TAUROS</t>
        </is>
      </c>
      <c r="F1339" s="38" t="n">
        <v>0.1</v>
      </c>
      <c r="G1339" s="39" t="n">
        <v>19</v>
      </c>
      <c r="H1339" s="39" t="n">
        <v>26</v>
      </c>
      <c r="I1339" s="29">
        <f>IF(OR(COUNTIF('Suivi des rencontres'!$A:$A,$A1339)&gt;0,COUNTIF('Suivi des rencontres'!$C:$C,$J1339)&gt;0),"Non","Oui")</f>
        <v/>
      </c>
      <c r="J1339" s="30" t="inlineStr">
        <is>
          <t>TAUROS</t>
        </is>
      </c>
    </row>
    <row r="1340">
      <c r="A1340" s="35" t="inlineStr">
        <is>
          <t>Portail Safari</t>
        </is>
      </c>
      <c r="B1340" s="35" t="inlineStr">
        <is>
          <t>SafariZone_Low_Mid_hns</t>
        </is>
      </c>
      <c r="C1340" s="33" t="inlineStr">
        <is>
          <t>Toute la journée</t>
        </is>
      </c>
      <c r="D1340" s="49" t="inlineStr">
        <is>
          <t>Herbe</t>
        </is>
      </c>
      <c r="E1340" s="37" t="inlineStr">
        <is>
          <t>TEDDIURSA</t>
        </is>
      </c>
      <c r="F1340" s="38" t="n">
        <v>0.1</v>
      </c>
      <c r="G1340" s="39" t="n">
        <v>19</v>
      </c>
      <c r="H1340" s="39" t="n">
        <v>26</v>
      </c>
      <c r="I1340" s="29">
        <f>IF(OR(COUNTIF('Suivi des rencontres'!$A:$A,$A1340)&gt;0,COUNTIF('Suivi des rencontres'!$C:$C,$J1340)&gt;0),"Non","Oui")</f>
        <v/>
      </c>
      <c r="J1340" s="30" t="inlineStr">
        <is>
          <t>TEDDIURSA</t>
        </is>
      </c>
    </row>
    <row r="1341">
      <c r="A1341" s="35" t="inlineStr">
        <is>
          <t>Portail Safari</t>
        </is>
      </c>
      <c r="B1341" s="35" t="inlineStr">
        <is>
          <t>SafariZone_Low_Mid_hns</t>
        </is>
      </c>
      <c r="C1341" s="33" t="inlineStr">
        <is>
          <t>Toute la journée</t>
        </is>
      </c>
      <c r="D1341" s="49" t="inlineStr">
        <is>
          <t>Herbe</t>
        </is>
      </c>
      <c r="E1341" s="37" t="inlineStr">
        <is>
          <t>AIRMURE</t>
        </is>
      </c>
      <c r="F1341" s="38" t="n">
        <v>0.05</v>
      </c>
      <c r="G1341" s="39" t="n">
        <v>19</v>
      </c>
      <c r="H1341" s="39" t="n">
        <v>26</v>
      </c>
      <c r="I1341" s="29">
        <f>IF(OR(COUNTIF('Suivi des rencontres'!$A:$A,$A1341)&gt;0,COUNTIF('Suivi des rencontres'!$C:$C,$J1341)&gt;0),"Non","Oui")</f>
        <v/>
      </c>
      <c r="J1341" s="30" t="inlineStr">
        <is>
          <t>AIRMURE</t>
        </is>
      </c>
    </row>
    <row r="1342">
      <c r="A1342" s="35" t="inlineStr">
        <is>
          <t>Portail Safari</t>
        </is>
      </c>
      <c r="B1342" s="35" t="inlineStr">
        <is>
          <t>SafariZone_Low_Mid_hns</t>
        </is>
      </c>
      <c r="C1342" s="33" t="inlineStr">
        <is>
          <t>Toute la journée</t>
        </is>
      </c>
      <c r="D1342" s="49" t="inlineStr">
        <is>
          <t>Herbe</t>
        </is>
      </c>
      <c r="E1342" s="37" t="inlineStr">
        <is>
          <t>CAPUMAIN</t>
        </is>
      </c>
      <c r="F1342" s="38" t="n">
        <v>0.05</v>
      </c>
      <c r="G1342" s="39" t="n">
        <v>19</v>
      </c>
      <c r="H1342" s="39" t="n">
        <v>26</v>
      </c>
      <c r="I1342" s="29">
        <f>IF(OR(COUNTIF('Suivi des rencontres'!$A:$A,$A1342)&gt;0,COUNTIF('Suivi des rencontres'!$C:$C,$J1342)&gt;0),"Non","Oui")</f>
        <v/>
      </c>
      <c r="J1342" s="30" t="inlineStr">
        <is>
          <t>CAPUMAIN</t>
        </is>
      </c>
    </row>
    <row r="1343">
      <c r="A1343" s="35" t="inlineStr">
        <is>
          <t>Portail Safari</t>
        </is>
      </c>
      <c r="B1343" s="35" t="inlineStr">
        <is>
          <t>SafariZone_Low_Mid_hns</t>
        </is>
      </c>
      <c r="C1343" s="33" t="inlineStr">
        <is>
          <t>Toute la journée</t>
        </is>
      </c>
      <c r="D1343" s="53" t="inlineStr">
        <is>
          <t>Surf</t>
        </is>
      </c>
      <c r="E1343" s="37" t="inlineStr">
        <is>
          <t>PTITARD</t>
        </is>
      </c>
      <c r="F1343" s="38" t="n">
        <v>0.6</v>
      </c>
      <c r="G1343" s="39" t="n">
        <v>19</v>
      </c>
      <c r="H1343" s="39" t="n">
        <v>26</v>
      </c>
      <c r="I1343" s="29">
        <f>IF(OR(COUNTIF('Suivi des rencontres'!$A:$A,$A1343)&gt;0,COUNTIF('Suivi des rencontres'!$C:$C,$J1343)&gt;0),"Non","Oui")</f>
        <v/>
      </c>
      <c r="J1343" s="30" t="inlineStr">
        <is>
          <t>PTITARD</t>
        </is>
      </c>
    </row>
    <row r="1344">
      <c r="A1344" s="35" t="inlineStr">
        <is>
          <t>Portail Safari</t>
        </is>
      </c>
      <c r="B1344" s="35" t="inlineStr">
        <is>
          <t>SafariZone_Low_Mid_hns</t>
        </is>
      </c>
      <c r="C1344" s="33" t="inlineStr">
        <is>
          <t>Toute la journée</t>
        </is>
      </c>
      <c r="D1344" s="53" t="inlineStr">
        <is>
          <t>Surf</t>
        </is>
      </c>
      <c r="E1344" s="37" t="inlineStr">
        <is>
          <t>REMORAID</t>
        </is>
      </c>
      <c r="F1344" s="38" t="n">
        <v>0.3</v>
      </c>
      <c r="G1344" s="39" t="n">
        <v>19</v>
      </c>
      <c r="H1344" s="39" t="n">
        <v>26</v>
      </c>
      <c r="I1344" s="29">
        <f>IF(OR(COUNTIF('Suivi des rencontres'!$A:$A,$A1344)&gt;0,COUNTIF('Suivi des rencontres'!$C:$C,$J1344)&gt;0),"Non","Oui")</f>
        <v/>
      </c>
      <c r="J1344" s="30" t="inlineStr">
        <is>
          <t>REMORAID</t>
        </is>
      </c>
    </row>
    <row r="1345">
      <c r="A1345" s="35" t="inlineStr">
        <is>
          <t>Portail Safari</t>
        </is>
      </c>
      <c r="B1345" s="35" t="inlineStr">
        <is>
          <t>SafariZone_Low_Mid_hns</t>
        </is>
      </c>
      <c r="C1345" s="33" t="inlineStr">
        <is>
          <t>Toute la journée</t>
        </is>
      </c>
      <c r="D1345" s="53" t="inlineStr">
        <is>
          <t>Surf</t>
        </is>
      </c>
      <c r="E1345" s="37" t="inlineStr">
        <is>
          <t>TETARTE</t>
        </is>
      </c>
      <c r="F1345" s="38" t="n">
        <v>0.1</v>
      </c>
      <c r="G1345" s="39" t="n">
        <v>19</v>
      </c>
      <c r="H1345" s="39" t="n">
        <v>26</v>
      </c>
      <c r="I1345" s="29">
        <f>IF(OR(COUNTIF('Suivi des rencontres'!$A:$A,$A1345)&gt;0,COUNTIF('Suivi des rencontres'!$C:$C,$J1345)&gt;0),"Non","Oui")</f>
        <v/>
      </c>
      <c r="J1345" s="30" t="inlineStr">
        <is>
          <t>PTITARD</t>
        </is>
      </c>
    </row>
    <row r="1346">
      <c r="A1346" s="35" t="inlineStr">
        <is>
          <t>Portail Safari</t>
        </is>
      </c>
      <c r="B1346" s="35" t="inlineStr">
        <is>
          <t>SafariZone_Low_Mid_hns</t>
        </is>
      </c>
      <c r="C1346" s="33" t="inlineStr">
        <is>
          <t>Toute la journée</t>
        </is>
      </c>
      <c r="D1346" s="54" t="inlineStr">
        <is>
          <t>Vieille Canne</t>
        </is>
      </c>
      <c r="E1346" s="37" t="inlineStr">
        <is>
          <t>MAGICARPE</t>
        </is>
      </c>
      <c r="F1346" s="38" t="n">
        <v>1</v>
      </c>
      <c r="G1346" s="39" t="n">
        <v>19</v>
      </c>
      <c r="H1346" s="39" t="n">
        <v>26</v>
      </c>
      <c r="I1346" s="29">
        <f>IF(OR(COUNTIF('Suivi des rencontres'!$A:$A,$A1346)&gt;0,COUNTIF('Suivi des rencontres'!$C:$C,$J1346)&gt;0),"Non","Oui")</f>
        <v/>
      </c>
      <c r="J1346" s="30" t="inlineStr">
        <is>
          <t>MAGICARPE</t>
        </is>
      </c>
    </row>
    <row r="1347">
      <c r="A1347" s="35" t="inlineStr">
        <is>
          <t>Portail Safari</t>
        </is>
      </c>
      <c r="B1347" s="35" t="inlineStr">
        <is>
          <t>SafariZone_Low_Mid_hns</t>
        </is>
      </c>
      <c r="C1347" s="33" t="inlineStr">
        <is>
          <t>Toute la journée</t>
        </is>
      </c>
      <c r="D1347" s="55" t="inlineStr">
        <is>
          <t>Bonne Canne</t>
        </is>
      </c>
      <c r="E1347" s="37" t="inlineStr">
        <is>
          <t>MAGICARPE</t>
        </is>
      </c>
      <c r="F1347" s="38" t="n">
        <v>0.6</v>
      </c>
      <c r="G1347" s="39" t="n">
        <v>19</v>
      </c>
      <c r="H1347" s="39" t="n">
        <v>26</v>
      </c>
      <c r="I1347" s="29">
        <f>IF(OR(COUNTIF('Suivi des rencontres'!$A:$A,$A1347)&gt;0,COUNTIF('Suivi des rencontres'!$C:$C,$J1347)&gt;0),"Non","Oui")</f>
        <v/>
      </c>
      <c r="J1347" s="30" t="inlineStr">
        <is>
          <t>MAGICARPE</t>
        </is>
      </c>
    </row>
    <row r="1348">
      <c r="A1348" s="35" t="inlineStr">
        <is>
          <t>Portail Safari</t>
        </is>
      </c>
      <c r="B1348" s="35" t="inlineStr">
        <is>
          <t>SafariZone_Low_Mid_hns</t>
        </is>
      </c>
      <c r="C1348" s="33" t="inlineStr">
        <is>
          <t>Toute la journée</t>
        </is>
      </c>
      <c r="D1348" s="55" t="inlineStr">
        <is>
          <t>Bonne Canne</t>
        </is>
      </c>
      <c r="E1348" s="37" t="inlineStr">
        <is>
          <t>KRABBY</t>
        </is>
      </c>
      <c r="F1348" s="38" t="n">
        <v>0.2</v>
      </c>
      <c r="G1348" s="39" t="n">
        <v>19</v>
      </c>
      <c r="H1348" s="39" t="n">
        <v>26</v>
      </c>
      <c r="I1348" s="29">
        <f>IF(OR(COUNTIF('Suivi des rencontres'!$A:$A,$A1348)&gt;0,COUNTIF('Suivi des rencontres'!$C:$C,$J1348)&gt;0),"Non","Oui")</f>
        <v/>
      </c>
      <c r="J1348" s="30" t="inlineStr">
        <is>
          <t>KRABBY</t>
        </is>
      </c>
    </row>
    <row r="1349">
      <c r="A1349" s="35" t="inlineStr">
        <is>
          <t>Portail Safari</t>
        </is>
      </c>
      <c r="B1349" s="35" t="inlineStr">
        <is>
          <t>SafariZone_Low_Mid_hns</t>
        </is>
      </c>
      <c r="C1349" s="33" t="inlineStr">
        <is>
          <t>Toute la journée</t>
        </is>
      </c>
      <c r="D1349" s="55" t="inlineStr">
        <is>
          <t>Bonne Canne</t>
        </is>
      </c>
      <c r="E1349" s="37" t="inlineStr">
        <is>
          <t>POISSIRENE</t>
        </is>
      </c>
      <c r="F1349" s="38" t="n">
        <v>0.2</v>
      </c>
      <c r="G1349" s="39" t="n">
        <v>19</v>
      </c>
      <c r="H1349" s="39" t="n">
        <v>26</v>
      </c>
      <c r="I1349" s="29">
        <f>IF(OR(COUNTIF('Suivi des rencontres'!$A:$A,$A1349)&gt;0,COUNTIF('Suivi des rencontres'!$C:$C,$J1349)&gt;0),"Non","Oui")</f>
        <v/>
      </c>
      <c r="J1349" s="30" t="inlineStr">
        <is>
          <t>POISSIRENE</t>
        </is>
      </c>
    </row>
    <row r="1350">
      <c r="A1350" s="35" t="inlineStr">
        <is>
          <t>Portail Safari</t>
        </is>
      </c>
      <c r="B1350" s="35" t="inlineStr">
        <is>
          <t>SafariZone_Low_Mid_hns</t>
        </is>
      </c>
      <c r="C1350" s="33" t="inlineStr">
        <is>
          <t>Toute la journée</t>
        </is>
      </c>
      <c r="D1350" s="56" t="inlineStr">
        <is>
          <t>Super Canne</t>
        </is>
      </c>
      <c r="E1350" s="37" t="inlineStr">
        <is>
          <t>KRABBOSS</t>
        </is>
      </c>
      <c r="F1350" s="38" t="n">
        <v>0.4</v>
      </c>
      <c r="G1350" s="39" t="n">
        <v>19</v>
      </c>
      <c r="H1350" s="39" t="n">
        <v>26</v>
      </c>
      <c r="I1350" s="29">
        <f>IF(OR(COUNTIF('Suivi des rencontres'!$A:$A,$A1350)&gt;0,COUNTIF('Suivi des rencontres'!$C:$C,$J1350)&gt;0),"Non","Oui")</f>
        <v/>
      </c>
      <c r="J1350" s="30" t="inlineStr">
        <is>
          <t>KRABBY</t>
        </is>
      </c>
    </row>
    <row r="1351">
      <c r="A1351" s="35" t="inlineStr">
        <is>
          <t>Portail Safari</t>
        </is>
      </c>
      <c r="B1351" s="35" t="inlineStr">
        <is>
          <t>SafariZone_Low_Mid_hns</t>
        </is>
      </c>
      <c r="C1351" s="33" t="inlineStr">
        <is>
          <t>Toute la journée</t>
        </is>
      </c>
      <c r="D1351" s="56" t="inlineStr">
        <is>
          <t>Super Canne</t>
        </is>
      </c>
      <c r="E1351" s="37" t="inlineStr">
        <is>
          <t>POISSOROY</t>
        </is>
      </c>
      <c r="F1351" s="38" t="n">
        <v>0.4</v>
      </c>
      <c r="G1351" s="39" t="n">
        <v>19</v>
      </c>
      <c r="H1351" s="39" t="n">
        <v>26</v>
      </c>
      <c r="I1351" s="29">
        <f>IF(OR(COUNTIF('Suivi des rencontres'!$A:$A,$A1351)&gt;0,COUNTIF('Suivi des rencontres'!$C:$C,$J1351)&gt;0),"Non","Oui")</f>
        <v/>
      </c>
      <c r="J1351" s="30" t="inlineStr">
        <is>
          <t>POISSIRENE</t>
        </is>
      </c>
    </row>
    <row r="1352">
      <c r="A1352" s="35" t="inlineStr">
        <is>
          <t>Portail Safari</t>
        </is>
      </c>
      <c r="B1352" s="35" t="inlineStr">
        <is>
          <t>SafariZone_Low_Mid_hns</t>
        </is>
      </c>
      <c r="C1352" s="33" t="inlineStr">
        <is>
          <t>Toute la journée</t>
        </is>
      </c>
      <c r="D1352" s="56" t="inlineStr">
        <is>
          <t>Super Canne</t>
        </is>
      </c>
      <c r="E1352" s="37" t="inlineStr">
        <is>
          <t>REMORAID</t>
        </is>
      </c>
      <c r="F1352" s="38" t="n">
        <v>0.2</v>
      </c>
      <c r="G1352" s="39" t="n">
        <v>19</v>
      </c>
      <c r="H1352" s="39" t="n">
        <v>26</v>
      </c>
      <c r="I1352" s="29">
        <f>IF(OR(COUNTIF('Suivi des rencontres'!$A:$A,$A1352)&gt;0,COUNTIF('Suivi des rencontres'!$C:$C,$J1352)&gt;0),"Non","Oui")</f>
        <v/>
      </c>
      <c r="J1352" s="30" t="inlineStr">
        <is>
          <t>REMORAID</t>
        </is>
      </c>
    </row>
    <row r="1353">
      <c r="A1353" s="35" t="inlineStr">
        <is>
          <t>Portail Safari</t>
        </is>
      </c>
      <c r="B1353" s="35" t="inlineStr">
        <is>
          <t>SafariZone_Low_Right_hns</t>
        </is>
      </c>
      <c r="C1353" s="33" t="inlineStr">
        <is>
          <t>Toute la journée</t>
        </is>
      </c>
      <c r="D1353" s="49" t="inlineStr">
        <is>
          <t>Herbe</t>
        </is>
      </c>
      <c r="E1353" s="37" t="inlineStr">
        <is>
          <t>AXOLOTO</t>
        </is>
      </c>
      <c r="F1353" s="38" t="n">
        <v>0.4</v>
      </c>
      <c r="G1353" s="39" t="n">
        <v>35</v>
      </c>
      <c r="H1353" s="39" t="n">
        <v>40</v>
      </c>
      <c r="I1353" s="29">
        <f>IF(OR(COUNTIF('Suivi des rencontres'!$A:$A,$A1353)&gt;0,COUNTIF('Suivi des rencontres'!$C:$C,$J1353)&gt;0),"Non","Oui")</f>
        <v/>
      </c>
      <c r="J1353" s="30" t="inlineStr">
        <is>
          <t>AXOLOTO</t>
        </is>
      </c>
    </row>
    <row r="1354">
      <c r="A1354" s="35" t="inlineStr">
        <is>
          <t>Portail Safari</t>
        </is>
      </c>
      <c r="B1354" s="35" t="inlineStr">
        <is>
          <t>SafariZone_Low_Right_hns</t>
        </is>
      </c>
      <c r="C1354" s="33" t="inlineStr">
        <is>
          <t>Toute la journée</t>
        </is>
      </c>
      <c r="D1354" s="49" t="inlineStr">
        <is>
          <t>Herbe</t>
        </is>
      </c>
      <c r="E1354" s="37" t="inlineStr">
        <is>
          <t>MINIDRACO</t>
        </is>
      </c>
      <c r="F1354" s="38" t="n">
        <v>0.15</v>
      </c>
      <c r="G1354" s="39" t="n">
        <v>35</v>
      </c>
      <c r="H1354" s="39" t="n">
        <v>40</v>
      </c>
      <c r="I1354" s="29">
        <f>IF(OR(COUNTIF('Suivi des rencontres'!$A:$A,$A1354)&gt;0,COUNTIF('Suivi des rencontres'!$C:$C,$J1354)&gt;0),"Non","Oui")</f>
        <v/>
      </c>
      <c r="J1354" s="30" t="inlineStr">
        <is>
          <t>MINIDRACO</t>
        </is>
      </c>
    </row>
    <row r="1355">
      <c r="A1355" s="35" t="inlineStr">
        <is>
          <t>Portail Safari</t>
        </is>
      </c>
      <c r="B1355" s="35" t="inlineStr">
        <is>
          <t>SafariZone_Low_Right_hns</t>
        </is>
      </c>
      <c r="C1355" s="33" t="inlineStr">
        <is>
          <t>Toute la journée</t>
        </is>
      </c>
      <c r="D1355" s="49" t="inlineStr">
        <is>
          <t>Herbe</t>
        </is>
      </c>
      <c r="E1355" s="37" t="inlineStr">
        <is>
          <t>INSOLOURDO</t>
        </is>
      </c>
      <c r="F1355" s="38" t="n">
        <v>0.14</v>
      </c>
      <c r="G1355" s="39" t="n">
        <v>35</v>
      </c>
      <c r="H1355" s="39" t="n">
        <v>40</v>
      </c>
      <c r="I1355" s="29">
        <f>IF(OR(COUNTIF('Suivi des rencontres'!$A:$A,$A1355)&gt;0,COUNTIF('Suivi des rencontres'!$C:$C,$J1355)&gt;0),"Non","Oui")</f>
        <v/>
      </c>
      <c r="J1355" s="30" t="inlineStr">
        <is>
          <t>INSOLOURDO</t>
        </is>
      </c>
    </row>
    <row r="1356">
      <c r="A1356" s="35" t="inlineStr">
        <is>
          <t>Portail Safari</t>
        </is>
      </c>
      <c r="B1356" s="35" t="inlineStr">
        <is>
          <t>SafariZone_Low_Right_hns</t>
        </is>
      </c>
      <c r="C1356" s="33" t="inlineStr">
        <is>
          <t>Toute la journée</t>
        </is>
      </c>
      <c r="D1356" s="49" t="inlineStr">
        <is>
          <t>Herbe</t>
        </is>
      </c>
      <c r="E1356" s="37" t="inlineStr">
        <is>
          <t>DRACO</t>
        </is>
      </c>
      <c r="F1356" s="38" t="n">
        <v>0.1</v>
      </c>
      <c r="G1356" s="39" t="n">
        <v>35</v>
      </c>
      <c r="H1356" s="39" t="n">
        <v>40</v>
      </c>
      <c r="I1356" s="29">
        <f>IF(OR(COUNTIF('Suivi des rencontres'!$A:$A,$A1356)&gt;0,COUNTIF('Suivi des rencontres'!$C:$C,$J1356)&gt;0),"Non","Oui")</f>
        <v/>
      </c>
      <c r="J1356" s="30" t="inlineStr">
        <is>
          <t>MINIDRACO</t>
        </is>
      </c>
    </row>
    <row r="1357">
      <c r="A1357" s="35" t="inlineStr">
        <is>
          <t>Portail Safari</t>
        </is>
      </c>
      <c r="B1357" s="35" t="inlineStr">
        <is>
          <t>SafariZone_Low_Right_hns</t>
        </is>
      </c>
      <c r="C1357" s="33" t="inlineStr">
        <is>
          <t>Toute la journée</t>
        </is>
      </c>
      <c r="D1357" s="49" t="inlineStr">
        <is>
          <t>Herbe</t>
        </is>
      </c>
      <c r="E1357" s="37" t="inlineStr">
        <is>
          <t>YMPHECT</t>
        </is>
      </c>
      <c r="F1357" s="38" t="n">
        <v>0.1</v>
      </c>
      <c r="G1357" s="39" t="n">
        <v>35</v>
      </c>
      <c r="H1357" s="39" t="n">
        <v>40</v>
      </c>
      <c r="I1357" s="29">
        <f>IF(OR(COUNTIF('Suivi des rencontres'!$A:$A,$A1357)&gt;0,COUNTIF('Suivi des rencontres'!$C:$C,$J1357)&gt;0),"Non","Oui")</f>
        <v/>
      </c>
      <c r="J1357" s="30" t="inlineStr">
        <is>
          <t>EMBRYLEX</t>
        </is>
      </c>
    </row>
    <row r="1358">
      <c r="A1358" s="35" t="inlineStr">
        <is>
          <t>Portail Safari</t>
        </is>
      </c>
      <c r="B1358" s="35" t="inlineStr">
        <is>
          <t>SafariZone_Low_Right_hns</t>
        </is>
      </c>
      <c r="C1358" s="33" t="inlineStr">
        <is>
          <t>Toute la journée</t>
        </is>
      </c>
      <c r="D1358" s="49" t="inlineStr">
        <is>
          <t>Herbe</t>
        </is>
      </c>
      <c r="E1358" s="37" t="inlineStr">
        <is>
          <t>COCHIGNON</t>
        </is>
      </c>
      <c r="F1358" s="38" t="n">
        <v>0.05</v>
      </c>
      <c r="G1358" s="39" t="n">
        <v>35</v>
      </c>
      <c r="H1358" s="39" t="n">
        <v>40</v>
      </c>
      <c r="I1358" s="29">
        <f>IF(OR(COUNTIF('Suivi des rencontres'!$A:$A,$A1358)&gt;0,COUNTIF('Suivi des rencontres'!$C:$C,$J1358)&gt;0),"Non","Oui")</f>
        <v/>
      </c>
      <c r="J1358" s="30" t="inlineStr">
        <is>
          <t>MARCACRIN</t>
        </is>
      </c>
    </row>
    <row r="1359">
      <c r="A1359" s="35" t="inlineStr">
        <is>
          <t>Portail Safari</t>
        </is>
      </c>
      <c r="B1359" s="35" t="inlineStr">
        <is>
          <t>SafariZone_Low_Right_hns</t>
        </is>
      </c>
      <c r="C1359" s="33" t="inlineStr">
        <is>
          <t>Toute la journée</t>
        </is>
      </c>
      <c r="D1359" s="49" t="inlineStr">
        <is>
          <t>Herbe</t>
        </is>
      </c>
      <c r="E1359" s="37" t="inlineStr">
        <is>
          <t>FARFURET</t>
        </is>
      </c>
      <c r="F1359" s="38" t="n">
        <v>0.05</v>
      </c>
      <c r="G1359" s="39" t="n">
        <v>35</v>
      </c>
      <c r="H1359" s="39" t="n">
        <v>40</v>
      </c>
      <c r="I1359" s="29">
        <f>IF(OR(COUNTIF('Suivi des rencontres'!$A:$A,$A1359)&gt;0,COUNTIF('Suivi des rencontres'!$C:$C,$J1359)&gt;0),"Non","Oui")</f>
        <v/>
      </c>
      <c r="J1359" s="30" t="inlineStr">
        <is>
          <t>FARFURET</t>
        </is>
      </c>
    </row>
    <row r="1360">
      <c r="A1360" s="35" t="inlineStr">
        <is>
          <t>Portail Safari</t>
        </is>
      </c>
      <c r="B1360" s="35" t="inlineStr">
        <is>
          <t>SafariZone_Low_Right_hns</t>
        </is>
      </c>
      <c r="C1360" s="33" t="inlineStr">
        <is>
          <t>Toute la journée</t>
        </is>
      </c>
      <c r="D1360" s="49" t="inlineStr">
        <is>
          <t>Herbe</t>
        </is>
      </c>
      <c r="E1360" s="37" t="inlineStr">
        <is>
          <t>DEUSOLOURDO</t>
        </is>
      </c>
      <c r="F1360" s="38" t="n">
        <v>0.01</v>
      </c>
      <c r="G1360" s="39" t="n">
        <v>35</v>
      </c>
      <c r="H1360" s="39" t="n">
        <v>40</v>
      </c>
      <c r="I1360" s="29">
        <f>IF(OR(COUNTIF('Suivi des rencontres'!$A:$A,$A1360)&gt;0,COUNTIF('Suivi des rencontres'!$C:$C,$J1360)&gt;0),"Non","Oui")</f>
        <v/>
      </c>
      <c r="J1360" s="30" t="inlineStr">
        <is>
          <t>INSOLOURDO</t>
        </is>
      </c>
    </row>
    <row r="1361">
      <c r="A1361" s="35" t="inlineStr">
        <is>
          <t>Portail Safari</t>
        </is>
      </c>
      <c r="B1361" s="35" t="inlineStr">
        <is>
          <t>SafariZone_Low_Right_hns</t>
        </is>
      </c>
      <c r="C1361" s="33" t="inlineStr">
        <is>
          <t>Toute la journée</t>
        </is>
      </c>
      <c r="D1361" s="53" t="inlineStr">
        <is>
          <t>Surf</t>
        </is>
      </c>
      <c r="E1361" s="37" t="inlineStr">
        <is>
          <t>AXOLOTO</t>
        </is>
      </c>
      <c r="F1361" s="38" t="n">
        <v>0.6</v>
      </c>
      <c r="G1361" s="39" t="n">
        <v>35</v>
      </c>
      <c r="H1361" s="39" t="n">
        <v>40</v>
      </c>
      <c r="I1361" s="29">
        <f>IF(OR(COUNTIF('Suivi des rencontres'!$A:$A,$A1361)&gt;0,COUNTIF('Suivi des rencontres'!$C:$C,$J1361)&gt;0),"Non","Oui")</f>
        <v/>
      </c>
      <c r="J1361" s="30" t="inlineStr">
        <is>
          <t>AXOLOTO</t>
        </is>
      </c>
    </row>
    <row r="1362">
      <c r="A1362" s="35" t="inlineStr">
        <is>
          <t>Portail Safari</t>
        </is>
      </c>
      <c r="B1362" s="35" t="inlineStr">
        <is>
          <t>SafariZone_Low_Right_hns</t>
        </is>
      </c>
      <c r="C1362" s="33" t="inlineStr">
        <is>
          <t>Toute la journée</t>
        </is>
      </c>
      <c r="D1362" s="53" t="inlineStr">
        <is>
          <t>Surf</t>
        </is>
      </c>
      <c r="E1362" s="37" t="inlineStr">
        <is>
          <t>AKWAKWAK</t>
        </is>
      </c>
      <c r="F1362" s="38" t="n">
        <v>0.35</v>
      </c>
      <c r="G1362" s="39" t="n">
        <v>35</v>
      </c>
      <c r="H1362" s="39" t="n">
        <v>40</v>
      </c>
      <c r="I1362" s="29">
        <f>IF(OR(COUNTIF('Suivi des rencontres'!$A:$A,$A1362)&gt;0,COUNTIF('Suivi des rencontres'!$C:$C,$J1362)&gt;0),"Non","Oui")</f>
        <v/>
      </c>
      <c r="J1362" s="30" t="inlineStr">
        <is>
          <t>PSYKOKWAK</t>
        </is>
      </c>
    </row>
    <row r="1363">
      <c r="A1363" s="35" t="inlineStr">
        <is>
          <t>Portail Safari</t>
        </is>
      </c>
      <c r="B1363" s="35" t="inlineStr">
        <is>
          <t>SafariZone_Low_Right_hns</t>
        </is>
      </c>
      <c r="C1363" s="33" t="inlineStr">
        <is>
          <t>Toute la journée</t>
        </is>
      </c>
      <c r="D1363" s="53" t="inlineStr">
        <is>
          <t>Surf</t>
        </is>
      </c>
      <c r="E1363" s="37" t="inlineStr">
        <is>
          <t>MARAISTE</t>
        </is>
      </c>
      <c r="F1363" s="38" t="n">
        <v>0.05</v>
      </c>
      <c r="G1363" s="39" t="n">
        <v>35</v>
      </c>
      <c r="H1363" s="39" t="n">
        <v>40</v>
      </c>
      <c r="I1363" s="29">
        <f>IF(OR(COUNTIF('Suivi des rencontres'!$A:$A,$A1363)&gt;0,COUNTIF('Suivi des rencontres'!$C:$C,$J1363)&gt;0),"Non","Oui")</f>
        <v/>
      </c>
      <c r="J1363" s="30" t="inlineStr">
        <is>
          <t>AXOLOTO</t>
        </is>
      </c>
    </row>
    <row r="1364">
      <c r="A1364" s="35" t="inlineStr">
        <is>
          <t>Portail Safari</t>
        </is>
      </c>
      <c r="B1364" s="35" t="inlineStr">
        <is>
          <t>SafariZone_Low_Right_hns</t>
        </is>
      </c>
      <c r="C1364" s="33" t="inlineStr">
        <is>
          <t>Toute la journée</t>
        </is>
      </c>
      <c r="D1364" s="54" t="inlineStr">
        <is>
          <t>Vieille Canne</t>
        </is>
      </c>
      <c r="E1364" s="37" t="inlineStr">
        <is>
          <t>MAGICARPE</t>
        </is>
      </c>
      <c r="F1364" s="38" t="n">
        <v>1</v>
      </c>
      <c r="G1364" s="39" t="n">
        <v>35</v>
      </c>
      <c r="H1364" s="39" t="n">
        <v>40</v>
      </c>
      <c r="I1364" s="29">
        <f>IF(OR(COUNTIF('Suivi des rencontres'!$A:$A,$A1364)&gt;0,COUNTIF('Suivi des rencontres'!$C:$C,$J1364)&gt;0),"Non","Oui")</f>
        <v/>
      </c>
      <c r="J1364" s="30" t="inlineStr">
        <is>
          <t>MAGICARPE</t>
        </is>
      </c>
    </row>
    <row r="1365">
      <c r="A1365" s="35" t="inlineStr">
        <is>
          <t>Portail Safari</t>
        </is>
      </c>
      <c r="B1365" s="35" t="inlineStr">
        <is>
          <t>SafariZone_Low_Right_hns</t>
        </is>
      </c>
      <c r="C1365" s="33" t="inlineStr">
        <is>
          <t>Toute la journée</t>
        </is>
      </c>
      <c r="D1365" s="55" t="inlineStr">
        <is>
          <t>Bonne Canne</t>
        </is>
      </c>
      <c r="E1365" s="37" t="inlineStr">
        <is>
          <t>MAGICARPE</t>
        </is>
      </c>
      <c r="F1365" s="38" t="n">
        <v>0.6</v>
      </c>
      <c r="G1365" s="39" t="n">
        <v>35</v>
      </c>
      <c r="H1365" s="39" t="n">
        <v>40</v>
      </c>
      <c r="I1365" s="29">
        <f>IF(OR(COUNTIF('Suivi des rencontres'!$A:$A,$A1365)&gt;0,COUNTIF('Suivi des rencontres'!$C:$C,$J1365)&gt;0),"Non","Oui")</f>
        <v/>
      </c>
      <c r="J1365" s="30" t="inlineStr">
        <is>
          <t>MAGICARPE</t>
        </is>
      </c>
    </row>
    <row r="1366">
      <c r="A1366" s="35" t="inlineStr">
        <is>
          <t>Portail Safari</t>
        </is>
      </c>
      <c r="B1366" s="35" t="inlineStr">
        <is>
          <t>SafariZone_Low_Right_hns</t>
        </is>
      </c>
      <c r="C1366" s="33" t="inlineStr">
        <is>
          <t>Toute la journée</t>
        </is>
      </c>
      <c r="D1366" s="55" t="inlineStr">
        <is>
          <t>Bonne Canne</t>
        </is>
      </c>
      <c r="E1366" s="37" t="inlineStr">
        <is>
          <t>MINIDRACO</t>
        </is>
      </c>
      <c r="F1366" s="38" t="n">
        <v>0.4</v>
      </c>
      <c r="G1366" s="39" t="n">
        <v>35</v>
      </c>
      <c r="H1366" s="39" t="n">
        <v>40</v>
      </c>
      <c r="I1366" s="29">
        <f>IF(OR(COUNTIF('Suivi des rencontres'!$A:$A,$A1366)&gt;0,COUNTIF('Suivi des rencontres'!$C:$C,$J1366)&gt;0),"Non","Oui")</f>
        <v/>
      </c>
      <c r="J1366" s="30" t="inlineStr">
        <is>
          <t>MINIDRACO</t>
        </is>
      </c>
    </row>
    <row r="1367">
      <c r="A1367" s="35" t="inlineStr">
        <is>
          <t>Portail Safari</t>
        </is>
      </c>
      <c r="B1367" s="35" t="inlineStr">
        <is>
          <t>SafariZone_Low_Right_hns</t>
        </is>
      </c>
      <c r="C1367" s="33" t="inlineStr">
        <is>
          <t>Toute la journée</t>
        </is>
      </c>
      <c r="D1367" s="56" t="inlineStr">
        <is>
          <t>Super Canne</t>
        </is>
      </c>
      <c r="E1367" s="37" t="inlineStr">
        <is>
          <t>MARAISTE</t>
        </is>
      </c>
      <c r="F1367" s="38" t="n">
        <v>0.8</v>
      </c>
      <c r="G1367" s="39" t="n">
        <v>35</v>
      </c>
      <c r="H1367" s="39" t="n">
        <v>40</v>
      </c>
      <c r="I1367" s="29">
        <f>IF(OR(COUNTIF('Suivi des rencontres'!$A:$A,$A1367)&gt;0,COUNTIF('Suivi des rencontres'!$C:$C,$J1367)&gt;0),"Non","Oui")</f>
        <v/>
      </c>
      <c r="J1367" s="30" t="inlineStr">
        <is>
          <t>AXOLOTO</t>
        </is>
      </c>
    </row>
    <row r="1368">
      <c r="A1368" s="35" t="inlineStr">
        <is>
          <t>Portail Safari</t>
        </is>
      </c>
      <c r="B1368" s="35" t="inlineStr">
        <is>
          <t>SafariZone_Low_Right_hns</t>
        </is>
      </c>
      <c r="C1368" s="33" t="inlineStr">
        <is>
          <t>Toute la journée</t>
        </is>
      </c>
      <c r="D1368" s="56" t="inlineStr">
        <is>
          <t>Super Canne</t>
        </is>
      </c>
      <c r="E1368" s="37" t="inlineStr">
        <is>
          <t>DRACO</t>
        </is>
      </c>
      <c r="F1368" s="38" t="n">
        <v>0.2</v>
      </c>
      <c r="G1368" s="39" t="n">
        <v>35</v>
      </c>
      <c r="H1368" s="39" t="n">
        <v>40</v>
      </c>
      <c r="I1368" s="29">
        <f>IF(OR(COUNTIF('Suivi des rencontres'!$A:$A,$A1368)&gt;0,COUNTIF('Suivi des rencontres'!$C:$C,$J1368)&gt;0),"Non","Oui")</f>
        <v/>
      </c>
      <c r="J1368" s="30" t="inlineStr">
        <is>
          <t>MINIDRACO</t>
        </is>
      </c>
    </row>
    <row r="1369">
      <c r="A1369" s="35" t="inlineStr">
        <is>
          <t>Portail Safari</t>
        </is>
      </c>
      <c r="B1369" s="35" t="inlineStr">
        <is>
          <t>SafariZone_Top_Left_hns</t>
        </is>
      </c>
      <c r="C1369" s="33" t="inlineStr">
        <is>
          <t>Toute la journée</t>
        </is>
      </c>
      <c r="D1369" s="49" t="inlineStr">
        <is>
          <t>Herbe</t>
        </is>
      </c>
      <c r="E1369" s="37" t="inlineStr">
        <is>
          <t>DODUO</t>
        </is>
      </c>
      <c r="F1369" s="38" t="n">
        <v>0.2</v>
      </c>
      <c r="G1369" s="39" t="n">
        <v>19</v>
      </c>
      <c r="H1369" s="39" t="n">
        <v>26</v>
      </c>
      <c r="I1369" s="29">
        <f>IF(OR(COUNTIF('Suivi des rencontres'!$A:$A,$A1369)&gt;0,COUNTIF('Suivi des rencontres'!$C:$C,$J1369)&gt;0),"Non","Oui")</f>
        <v/>
      </c>
      <c r="J1369" s="30" t="inlineStr">
        <is>
          <t>DODUO</t>
        </is>
      </c>
    </row>
    <row r="1370">
      <c r="A1370" s="35" t="inlineStr">
        <is>
          <t>Portail Safari</t>
        </is>
      </c>
      <c r="B1370" s="35" t="inlineStr">
        <is>
          <t>SafariZone_Top_Left_hns</t>
        </is>
      </c>
      <c r="C1370" s="33" t="inlineStr">
        <is>
          <t>Toute la journée</t>
        </is>
      </c>
      <c r="D1370" s="49" t="inlineStr">
        <is>
          <t>Herbe</t>
        </is>
      </c>
      <c r="E1370" s="37" t="inlineStr">
        <is>
          <t>ECREMEUH</t>
        </is>
      </c>
      <c r="F1370" s="38" t="n">
        <v>0.2</v>
      </c>
      <c r="G1370" s="39" t="n">
        <v>19</v>
      </c>
      <c r="H1370" s="39" t="n">
        <v>26</v>
      </c>
      <c r="I1370" s="29">
        <f>IF(OR(COUNTIF('Suivi des rencontres'!$A:$A,$A1370)&gt;0,COUNTIF('Suivi des rencontres'!$C:$C,$J1370)&gt;0),"Non","Oui")</f>
        <v/>
      </c>
      <c r="J1370" s="30" t="inlineStr">
        <is>
          <t>ECREMEUH</t>
        </is>
      </c>
    </row>
    <row r="1371">
      <c r="A1371" s="35" t="inlineStr">
        <is>
          <t>Portail Safari</t>
        </is>
      </c>
      <c r="B1371" s="35" t="inlineStr">
        <is>
          <t>SafariZone_Top_Left_hns</t>
        </is>
      </c>
      <c r="C1371" s="33" t="inlineStr">
        <is>
          <t>Toute la journée</t>
        </is>
      </c>
      <c r="D1371" s="49" t="inlineStr">
        <is>
          <t>Herbe</t>
        </is>
      </c>
      <c r="E1371" s="37" t="inlineStr">
        <is>
          <t>INSECATEUR</t>
        </is>
      </c>
      <c r="F1371" s="38" t="n">
        <v>0.1</v>
      </c>
      <c r="G1371" s="39" t="n">
        <v>19</v>
      </c>
      <c r="H1371" s="39" t="n">
        <v>26</v>
      </c>
      <c r="I1371" s="29">
        <f>IF(OR(COUNTIF('Suivi des rencontres'!$A:$A,$A1371)&gt;0,COUNTIF('Suivi des rencontres'!$C:$C,$J1371)&gt;0),"Non","Oui")</f>
        <v/>
      </c>
      <c r="J1371" s="30" t="inlineStr">
        <is>
          <t>INSECATEUR</t>
        </is>
      </c>
    </row>
    <row r="1372">
      <c r="A1372" s="35" t="inlineStr">
        <is>
          <t>Portail Safari</t>
        </is>
      </c>
      <c r="B1372" s="35" t="inlineStr">
        <is>
          <t>SafariZone_Top_Left_hns</t>
        </is>
      </c>
      <c r="C1372" s="33" t="inlineStr">
        <is>
          <t>Toute la journée</t>
        </is>
      </c>
      <c r="D1372" s="49" t="inlineStr">
        <is>
          <t>Herbe</t>
        </is>
      </c>
      <c r="E1372" s="37" t="inlineStr">
        <is>
          <t>KANGOUREX</t>
        </is>
      </c>
      <c r="F1372" s="38" t="n">
        <v>0.1</v>
      </c>
      <c r="G1372" s="39" t="n">
        <v>19</v>
      </c>
      <c r="H1372" s="39" t="n">
        <v>26</v>
      </c>
      <c r="I1372" s="29">
        <f>IF(OR(COUNTIF('Suivi des rencontres'!$A:$A,$A1372)&gt;0,COUNTIF('Suivi des rencontres'!$C:$C,$J1372)&gt;0),"Non","Oui")</f>
        <v/>
      </c>
      <c r="J1372" s="30" t="inlineStr">
        <is>
          <t>KANGOUREX</t>
        </is>
      </c>
    </row>
    <row r="1373">
      <c r="A1373" s="35" t="inlineStr">
        <is>
          <t>Portail Safari</t>
        </is>
      </c>
      <c r="B1373" s="35" t="inlineStr">
        <is>
          <t>SafariZone_Top_Left_hns</t>
        </is>
      </c>
      <c r="C1373" s="33" t="inlineStr">
        <is>
          <t>Toute la journée</t>
        </is>
      </c>
      <c r="D1373" s="49" t="inlineStr">
        <is>
          <t>Herbe</t>
        </is>
      </c>
      <c r="E1373" s="37" t="inlineStr">
        <is>
          <t>SCARABRUTE</t>
        </is>
      </c>
      <c r="F1373" s="38" t="n">
        <v>0.1</v>
      </c>
      <c r="G1373" s="39" t="n">
        <v>19</v>
      </c>
      <c r="H1373" s="39" t="n">
        <v>26</v>
      </c>
      <c r="I1373" s="29">
        <f>IF(OR(COUNTIF('Suivi des rencontres'!$A:$A,$A1373)&gt;0,COUNTIF('Suivi des rencontres'!$C:$C,$J1373)&gt;0),"Non","Oui")</f>
        <v/>
      </c>
      <c r="J1373" s="30" t="inlineStr">
        <is>
          <t>SCARABRUTE</t>
        </is>
      </c>
    </row>
    <row r="1374">
      <c r="A1374" s="35" t="inlineStr">
        <is>
          <t>Portail Safari</t>
        </is>
      </c>
      <c r="B1374" s="35" t="inlineStr">
        <is>
          <t>SafariZone_Top_Left_hns</t>
        </is>
      </c>
      <c r="C1374" s="33" t="inlineStr">
        <is>
          <t>Toute la journée</t>
        </is>
      </c>
      <c r="D1374" s="49" t="inlineStr">
        <is>
          <t>Herbe</t>
        </is>
      </c>
      <c r="E1374" s="37" t="inlineStr">
        <is>
          <t>YANMA</t>
        </is>
      </c>
      <c r="F1374" s="38" t="n">
        <v>0.1</v>
      </c>
      <c r="G1374" s="39" t="n">
        <v>19</v>
      </c>
      <c r="H1374" s="39" t="n">
        <v>26</v>
      </c>
      <c r="I1374" s="29">
        <f>IF(OR(COUNTIF('Suivi des rencontres'!$A:$A,$A1374)&gt;0,COUNTIF('Suivi des rencontres'!$C:$C,$J1374)&gt;0),"Non","Oui")</f>
        <v/>
      </c>
      <c r="J1374" s="30" t="inlineStr">
        <is>
          <t>YANMA</t>
        </is>
      </c>
    </row>
    <row r="1375">
      <c r="A1375" s="35" t="inlineStr">
        <is>
          <t>Portail Safari</t>
        </is>
      </c>
      <c r="B1375" s="35" t="inlineStr">
        <is>
          <t>SafariZone_Top_Left_hns</t>
        </is>
      </c>
      <c r="C1375" s="33" t="inlineStr">
        <is>
          <t>Toute la journée</t>
        </is>
      </c>
      <c r="D1375" s="49" t="inlineStr">
        <is>
          <t>Herbe</t>
        </is>
      </c>
      <c r="E1375" s="37" t="inlineStr">
        <is>
          <t>LEVEINARD</t>
        </is>
      </c>
      <c r="F1375" s="38" t="n">
        <v>0.05</v>
      </c>
      <c r="G1375" s="39" t="n">
        <v>19</v>
      </c>
      <c r="H1375" s="39" t="n">
        <v>26</v>
      </c>
      <c r="I1375" s="29">
        <f>IF(OR(COUNTIF('Suivi des rencontres'!$A:$A,$A1375)&gt;0,COUNTIF('Suivi des rencontres'!$C:$C,$J1375)&gt;0),"Non","Oui")</f>
        <v/>
      </c>
      <c r="J1375" s="30" t="inlineStr">
        <is>
          <t>PTIRAVI</t>
        </is>
      </c>
    </row>
    <row r="1376">
      <c r="A1376" s="35" t="inlineStr">
        <is>
          <t>Portail Safari</t>
        </is>
      </c>
      <c r="B1376" s="35" t="inlineStr">
        <is>
          <t>SafariZone_Top_Left_hns</t>
        </is>
      </c>
      <c r="C1376" s="33" t="inlineStr">
        <is>
          <t>Toute la journée</t>
        </is>
      </c>
      <c r="D1376" s="49" t="inlineStr">
        <is>
          <t>Herbe</t>
        </is>
      </c>
      <c r="E1376" s="37" t="inlineStr">
        <is>
          <t>METAMORPH</t>
        </is>
      </c>
      <c r="F1376" s="38" t="n">
        <v>0.05</v>
      </c>
      <c r="G1376" s="39" t="n">
        <v>19</v>
      </c>
      <c r="H1376" s="39" t="n">
        <v>26</v>
      </c>
      <c r="I1376" s="29">
        <f>IF(OR(COUNTIF('Suivi des rencontres'!$A:$A,$A1376)&gt;0,COUNTIF('Suivi des rencontres'!$C:$C,$J1376)&gt;0),"Non","Oui")</f>
        <v/>
      </c>
      <c r="J1376" s="30" t="inlineStr">
        <is>
          <t>METAMORPH</t>
        </is>
      </c>
    </row>
    <row r="1377">
      <c r="A1377" s="35" t="inlineStr">
        <is>
          <t>Portail Safari</t>
        </is>
      </c>
      <c r="B1377" s="35" t="inlineStr">
        <is>
          <t>SafariZone_Top_Left_hns</t>
        </is>
      </c>
      <c r="C1377" s="33" t="inlineStr">
        <is>
          <t>Toute la journée</t>
        </is>
      </c>
      <c r="D1377" s="49" t="inlineStr">
        <is>
          <t>Herbe</t>
        </is>
      </c>
      <c r="E1377" s="37" t="inlineStr">
        <is>
          <t>POMDEPIK</t>
        </is>
      </c>
      <c r="F1377" s="38" t="n">
        <v>0.05</v>
      </c>
      <c r="G1377" s="39" t="n">
        <v>19</v>
      </c>
      <c r="H1377" s="39" t="n">
        <v>26</v>
      </c>
      <c r="I1377" s="29">
        <f>IF(OR(COUNTIF('Suivi des rencontres'!$A:$A,$A1377)&gt;0,COUNTIF('Suivi des rencontres'!$C:$C,$J1377)&gt;0),"Non","Oui")</f>
        <v/>
      </c>
      <c r="J1377" s="30" t="inlineStr">
        <is>
          <t>POMDEPIK</t>
        </is>
      </c>
    </row>
    <row r="1378">
      <c r="A1378" s="35" t="inlineStr">
        <is>
          <t>Portail Safari</t>
        </is>
      </c>
      <c r="B1378" s="35" t="inlineStr">
        <is>
          <t>SafariZone_Top_Left_hns</t>
        </is>
      </c>
      <c r="C1378" s="33" t="inlineStr">
        <is>
          <t>Toute la journée</t>
        </is>
      </c>
      <c r="D1378" s="49" t="inlineStr">
        <is>
          <t>Herbe</t>
        </is>
      </c>
      <c r="E1378" s="37" t="inlineStr">
        <is>
          <t>SCARHINO</t>
        </is>
      </c>
      <c r="F1378" s="38" t="n">
        <v>0.05</v>
      </c>
      <c r="G1378" s="39" t="n">
        <v>19</v>
      </c>
      <c r="H1378" s="39" t="n">
        <v>26</v>
      </c>
      <c r="I1378" s="29">
        <f>IF(OR(COUNTIF('Suivi des rencontres'!$A:$A,$A1378)&gt;0,COUNTIF('Suivi des rencontres'!$C:$C,$J1378)&gt;0),"Non","Oui")</f>
        <v/>
      </c>
      <c r="J1378" s="30" t="inlineStr">
        <is>
          <t>SCARHINO</t>
        </is>
      </c>
    </row>
    <row r="1379">
      <c r="A1379" s="35" t="inlineStr">
        <is>
          <t>Portail Safari</t>
        </is>
      </c>
      <c r="B1379" s="35" t="inlineStr">
        <is>
          <t>SafariZone_Top_Mid_hns</t>
        </is>
      </c>
      <c r="C1379" s="33" t="inlineStr">
        <is>
          <t>Toute la journée</t>
        </is>
      </c>
      <c r="D1379" s="49" t="inlineStr">
        <is>
          <t>Herbe</t>
        </is>
      </c>
      <c r="E1379" s="37" t="inlineStr">
        <is>
          <t>PARAS</t>
        </is>
      </c>
      <c r="F1379" s="38" t="n">
        <v>0.2</v>
      </c>
      <c r="G1379" s="39" t="n">
        <v>19</v>
      </c>
      <c r="H1379" s="39" t="n">
        <v>26</v>
      </c>
      <c r="I1379" s="29">
        <f>IF(OR(COUNTIF('Suivi des rencontres'!$A:$A,$A1379)&gt;0,COUNTIF('Suivi des rencontres'!$C:$C,$J1379)&gt;0),"Non","Oui")</f>
        <v/>
      </c>
      <c r="J1379" s="30" t="inlineStr">
        <is>
          <t>PARAS</t>
        </is>
      </c>
    </row>
    <row r="1380">
      <c r="A1380" s="35" t="inlineStr">
        <is>
          <t>Portail Safari</t>
        </is>
      </c>
      <c r="B1380" s="35" t="inlineStr">
        <is>
          <t>SafariZone_Top_Mid_hns</t>
        </is>
      </c>
      <c r="C1380" s="33" t="inlineStr">
        <is>
          <t>Toute la journée</t>
        </is>
      </c>
      <c r="D1380" s="49" t="inlineStr">
        <is>
          <t>Herbe</t>
        </is>
      </c>
      <c r="E1380" s="37" t="inlineStr">
        <is>
          <t>SPECTRUM</t>
        </is>
      </c>
      <c r="F1380" s="38" t="n">
        <v>0.2</v>
      </c>
      <c r="G1380" s="39" t="n">
        <v>19</v>
      </c>
      <c r="H1380" s="39" t="n">
        <v>26</v>
      </c>
      <c r="I1380" s="29">
        <f>IF(OR(COUNTIF('Suivi des rencontres'!$A:$A,$A1380)&gt;0,COUNTIF('Suivi des rencontres'!$C:$C,$J1380)&gt;0),"Non","Oui")</f>
        <v/>
      </c>
      <c r="J1380" s="30" t="inlineStr">
        <is>
          <t>FANTOMINUS</t>
        </is>
      </c>
    </row>
    <row r="1381">
      <c r="A1381" s="35" t="inlineStr">
        <is>
          <t>Portail Safari</t>
        </is>
      </c>
      <c r="B1381" s="35" t="inlineStr">
        <is>
          <t>SafariZone_Top_Mid_hns</t>
        </is>
      </c>
      <c r="C1381" s="33" t="inlineStr">
        <is>
          <t>Toute la journée</t>
        </is>
      </c>
      <c r="D1381" s="49" t="inlineStr">
        <is>
          <t>Herbe</t>
        </is>
      </c>
      <c r="E1381" s="37" t="inlineStr">
        <is>
          <t>ABRA</t>
        </is>
      </c>
      <c r="F1381" s="38" t="n">
        <v>0.1</v>
      </c>
      <c r="G1381" s="39" t="n">
        <v>19</v>
      </c>
      <c r="H1381" s="39" t="n">
        <v>26</v>
      </c>
      <c r="I1381" s="29">
        <f>IF(OR(COUNTIF('Suivi des rencontres'!$A:$A,$A1381)&gt;0,COUNTIF('Suivi des rencontres'!$C:$C,$J1381)&gt;0),"Non","Oui")</f>
        <v/>
      </c>
      <c r="J1381" s="30" t="inlineStr">
        <is>
          <t>ABRA</t>
        </is>
      </c>
    </row>
    <row r="1382">
      <c r="A1382" s="35" t="inlineStr">
        <is>
          <t>Portail Safari</t>
        </is>
      </c>
      <c r="B1382" s="35" t="inlineStr">
        <is>
          <t>SafariZone_Top_Mid_hns</t>
        </is>
      </c>
      <c r="C1382" s="33" t="inlineStr">
        <is>
          <t>Toute la journée</t>
        </is>
      </c>
      <c r="D1382" s="49" t="inlineStr">
        <is>
          <t>Herbe</t>
        </is>
      </c>
      <c r="E1382" s="37" t="inlineStr">
        <is>
          <t>GIRAFARIG</t>
        </is>
      </c>
      <c r="F1382" s="38" t="n">
        <v>0.1</v>
      </c>
      <c r="G1382" s="39" t="n">
        <v>19</v>
      </c>
      <c r="H1382" s="39" t="n">
        <v>26</v>
      </c>
      <c r="I1382" s="29">
        <f>IF(OR(COUNTIF('Suivi des rencontres'!$A:$A,$A1382)&gt;0,COUNTIF('Suivi des rencontres'!$C:$C,$J1382)&gt;0),"Non","Oui")</f>
        <v/>
      </c>
      <c r="J1382" s="30" t="inlineStr">
        <is>
          <t>GIRAFARIG</t>
        </is>
      </c>
    </row>
    <row r="1383">
      <c r="A1383" s="35" t="inlineStr">
        <is>
          <t>Portail Safari</t>
        </is>
      </c>
      <c r="B1383" s="35" t="inlineStr">
        <is>
          <t>SafariZone_Top_Mid_hns</t>
        </is>
      </c>
      <c r="C1383" s="33" t="inlineStr">
        <is>
          <t>Toute la journée</t>
        </is>
      </c>
      <c r="D1383" s="49" t="inlineStr">
        <is>
          <t>Herbe</t>
        </is>
      </c>
      <c r="E1383" s="37" t="inlineStr">
        <is>
          <t>HOOTHOOT</t>
        </is>
      </c>
      <c r="F1383" s="38" t="n">
        <v>0.1</v>
      </c>
      <c r="G1383" s="39" t="n">
        <v>19</v>
      </c>
      <c r="H1383" s="39" t="n">
        <v>26</v>
      </c>
      <c r="I1383" s="29">
        <f>IF(OR(COUNTIF('Suivi des rencontres'!$A:$A,$A1383)&gt;0,COUNTIF('Suivi des rencontres'!$C:$C,$J1383)&gt;0),"Non","Oui")</f>
        <v/>
      </c>
      <c r="J1383" s="30" t="inlineStr">
        <is>
          <t>HOOTHOOT</t>
        </is>
      </c>
    </row>
    <row r="1384">
      <c r="A1384" s="35" t="inlineStr">
        <is>
          <t>Portail Safari</t>
        </is>
      </c>
      <c r="B1384" s="35" t="inlineStr">
        <is>
          <t>SafariZone_Top_Mid_hns</t>
        </is>
      </c>
      <c r="C1384" s="33" t="inlineStr">
        <is>
          <t>Toute la journée</t>
        </is>
      </c>
      <c r="D1384" s="49" t="inlineStr">
        <is>
          <t>Herbe</t>
        </is>
      </c>
      <c r="E1384" s="37" t="inlineStr">
        <is>
          <t>ROUCOUPS</t>
        </is>
      </c>
      <c r="F1384" s="38" t="n">
        <v>0.1</v>
      </c>
      <c r="G1384" s="39" t="n">
        <v>19</v>
      </c>
      <c r="H1384" s="39" t="n">
        <v>26</v>
      </c>
      <c r="I1384" s="29">
        <f>IF(OR(COUNTIF('Suivi des rencontres'!$A:$A,$A1384)&gt;0,COUNTIF('Suivi des rencontres'!$C:$C,$J1384)&gt;0),"Non","Oui")</f>
        <v/>
      </c>
      <c r="J1384" s="30" t="inlineStr">
        <is>
          <t>ROUCOOL</t>
        </is>
      </c>
    </row>
    <row r="1385">
      <c r="A1385" s="35" t="inlineStr">
        <is>
          <t>Portail Safari</t>
        </is>
      </c>
      <c r="B1385" s="35" t="inlineStr">
        <is>
          <t>SafariZone_Top_Mid_hns</t>
        </is>
      </c>
      <c r="C1385" s="33" t="inlineStr">
        <is>
          <t>Toute la journée</t>
        </is>
      </c>
      <c r="D1385" s="49" t="inlineStr">
        <is>
          <t>Herbe</t>
        </is>
      </c>
      <c r="E1385" s="37" t="inlineStr">
        <is>
          <t>CORNEBRE</t>
        </is>
      </c>
      <c r="F1385" s="38" t="n">
        <v>0.05</v>
      </c>
      <c r="G1385" s="39" t="n">
        <v>19</v>
      </c>
      <c r="H1385" s="39" t="n">
        <v>26</v>
      </c>
      <c r="I1385" s="29">
        <f>IF(OR(COUNTIF('Suivi des rencontres'!$A:$A,$A1385)&gt;0,COUNTIF('Suivi des rencontres'!$C:$C,$J1385)&gt;0),"Non","Oui")</f>
        <v/>
      </c>
      <c r="J1385" s="30" t="inlineStr">
        <is>
          <t>CORNEBRE</t>
        </is>
      </c>
    </row>
    <row r="1386">
      <c r="A1386" s="35" t="inlineStr">
        <is>
          <t>Portail Safari</t>
        </is>
      </c>
      <c r="B1386" s="35" t="inlineStr">
        <is>
          <t>SafariZone_Top_Mid_hns</t>
        </is>
      </c>
      <c r="C1386" s="33" t="inlineStr">
        <is>
          <t>Toute la journée</t>
        </is>
      </c>
      <c r="D1386" s="49" t="inlineStr">
        <is>
          <t>Herbe</t>
        </is>
      </c>
      <c r="E1386" s="37" t="inlineStr">
        <is>
          <t>EVOLI</t>
        </is>
      </c>
      <c r="F1386" s="38" t="n">
        <v>0.05</v>
      </c>
      <c r="G1386" s="39" t="n">
        <v>19</v>
      </c>
      <c r="H1386" s="39" t="n">
        <v>26</v>
      </c>
      <c r="I1386" s="29">
        <f>IF(OR(COUNTIF('Suivi des rencontres'!$A:$A,$A1386)&gt;0,COUNTIF('Suivi des rencontres'!$C:$C,$J1386)&gt;0),"Non","Oui")</f>
        <v/>
      </c>
      <c r="J1386" s="30" t="inlineStr">
        <is>
          <t>EVOLI</t>
        </is>
      </c>
    </row>
    <row r="1387">
      <c r="A1387" s="35" t="inlineStr">
        <is>
          <t>Portail Safari</t>
        </is>
      </c>
      <c r="B1387" s="35" t="inlineStr">
        <is>
          <t>SafariZone_Top_Mid_hns</t>
        </is>
      </c>
      <c r="C1387" s="33" t="inlineStr">
        <is>
          <t>Toute la journée</t>
        </is>
      </c>
      <c r="D1387" s="49" t="inlineStr">
        <is>
          <t>Herbe</t>
        </is>
      </c>
      <c r="E1387" s="37" t="inlineStr">
        <is>
          <t>M. MIME</t>
        </is>
      </c>
      <c r="F1387" s="38" t="n">
        <v>0.05</v>
      </c>
      <c r="G1387" s="39" t="n">
        <v>19</v>
      </c>
      <c r="H1387" s="39" t="n">
        <v>26</v>
      </c>
      <c r="I1387" s="29">
        <f>IF(OR(COUNTIF('Suivi des rencontres'!$A:$A,$A1387)&gt;0,COUNTIF('Suivi des rencontres'!$C:$C,$J1387)&gt;0),"Non","Oui")</f>
        <v/>
      </c>
      <c r="J1387" s="30" t="inlineStr">
        <is>
          <t>MIME JR.</t>
        </is>
      </c>
    </row>
    <row r="1388">
      <c r="A1388" s="35" t="inlineStr">
        <is>
          <t>Portail Safari</t>
        </is>
      </c>
      <c r="B1388" s="35" t="inlineStr">
        <is>
          <t>SafariZone_Top_Mid_hns</t>
        </is>
      </c>
      <c r="C1388" s="33" t="inlineStr">
        <is>
          <t>Toute la journée</t>
        </is>
      </c>
      <c r="D1388" s="49" t="inlineStr">
        <is>
          <t>Herbe</t>
        </is>
      </c>
      <c r="E1388" s="37" t="inlineStr">
        <is>
          <t>SAQUEDENEU</t>
        </is>
      </c>
      <c r="F1388" s="38" t="n">
        <v>0.05</v>
      </c>
      <c r="G1388" s="39" t="n">
        <v>19</v>
      </c>
      <c r="H1388" s="39" t="n">
        <v>26</v>
      </c>
      <c r="I1388" s="29">
        <f>IF(OR(COUNTIF('Suivi des rencontres'!$A:$A,$A1388)&gt;0,COUNTIF('Suivi des rencontres'!$C:$C,$J1388)&gt;0),"Non","Oui")</f>
        <v/>
      </c>
      <c r="J1388" s="30" t="inlineStr">
        <is>
          <t>SAQUEDENEU</t>
        </is>
      </c>
    </row>
    <row r="1389">
      <c r="A1389" s="35" t="inlineStr">
        <is>
          <t>Portail Safari</t>
        </is>
      </c>
      <c r="B1389" s="35" t="inlineStr">
        <is>
          <t>SafariZone_Top_Mid_hns</t>
        </is>
      </c>
      <c r="C1389" s="33" t="inlineStr">
        <is>
          <t>Toute la journée</t>
        </is>
      </c>
      <c r="D1389" s="53" t="inlineStr">
        <is>
          <t>Surf</t>
        </is>
      </c>
      <c r="E1389" s="37" t="inlineStr">
        <is>
          <t>PTITARD</t>
        </is>
      </c>
      <c r="F1389" s="38" t="n">
        <v>0.6</v>
      </c>
      <c r="G1389" s="39" t="n">
        <v>19</v>
      </c>
      <c r="H1389" s="39" t="n">
        <v>26</v>
      </c>
      <c r="I1389" s="29">
        <f>IF(OR(COUNTIF('Suivi des rencontres'!$A:$A,$A1389)&gt;0,COUNTIF('Suivi des rencontres'!$C:$C,$J1389)&gt;0),"Non","Oui")</f>
        <v/>
      </c>
      <c r="J1389" s="30" t="inlineStr">
        <is>
          <t>PTITARD</t>
        </is>
      </c>
    </row>
    <row r="1390">
      <c r="A1390" s="35" t="inlineStr">
        <is>
          <t>Portail Safari</t>
        </is>
      </c>
      <c r="B1390" s="35" t="inlineStr">
        <is>
          <t>SafariZone_Top_Mid_hns</t>
        </is>
      </c>
      <c r="C1390" s="33" t="inlineStr">
        <is>
          <t>Toute la journée</t>
        </is>
      </c>
      <c r="D1390" s="53" t="inlineStr">
        <is>
          <t>Surf</t>
        </is>
      </c>
      <c r="E1390" s="37" t="inlineStr">
        <is>
          <t>REMORAID</t>
        </is>
      </c>
      <c r="F1390" s="38" t="n">
        <v>0.3</v>
      </c>
      <c r="G1390" s="39" t="n">
        <v>19</v>
      </c>
      <c r="H1390" s="39" t="n">
        <v>26</v>
      </c>
      <c r="I1390" s="29">
        <f>IF(OR(COUNTIF('Suivi des rencontres'!$A:$A,$A1390)&gt;0,COUNTIF('Suivi des rencontres'!$C:$C,$J1390)&gt;0),"Non","Oui")</f>
        <v/>
      </c>
      <c r="J1390" s="30" t="inlineStr">
        <is>
          <t>REMORAID</t>
        </is>
      </c>
    </row>
    <row r="1391">
      <c r="A1391" s="35" t="inlineStr">
        <is>
          <t>Portail Safari</t>
        </is>
      </c>
      <c r="B1391" s="35" t="inlineStr">
        <is>
          <t>SafariZone_Top_Mid_hns</t>
        </is>
      </c>
      <c r="C1391" s="33" t="inlineStr">
        <is>
          <t>Toute la journée</t>
        </is>
      </c>
      <c r="D1391" s="53" t="inlineStr">
        <is>
          <t>Surf</t>
        </is>
      </c>
      <c r="E1391" s="37" t="inlineStr">
        <is>
          <t>TETARTE</t>
        </is>
      </c>
      <c r="F1391" s="38" t="n">
        <v>0.1</v>
      </c>
      <c r="G1391" s="39" t="n">
        <v>19</v>
      </c>
      <c r="H1391" s="39" t="n">
        <v>26</v>
      </c>
      <c r="I1391" s="29">
        <f>IF(OR(COUNTIF('Suivi des rencontres'!$A:$A,$A1391)&gt;0,COUNTIF('Suivi des rencontres'!$C:$C,$J1391)&gt;0),"Non","Oui")</f>
        <v/>
      </c>
      <c r="J1391" s="30" t="inlineStr">
        <is>
          <t>PTITARD</t>
        </is>
      </c>
    </row>
    <row r="1392">
      <c r="A1392" s="35" t="inlineStr">
        <is>
          <t>Portail Safari</t>
        </is>
      </c>
      <c r="B1392" s="35" t="inlineStr">
        <is>
          <t>SafariZone_Top_Mid_hns</t>
        </is>
      </c>
      <c r="C1392" s="33" t="inlineStr">
        <is>
          <t>Toute la journée</t>
        </is>
      </c>
      <c r="D1392" s="54" t="inlineStr">
        <is>
          <t>Vieille Canne</t>
        </is>
      </c>
      <c r="E1392" s="37" t="inlineStr">
        <is>
          <t>MAGICARPE</t>
        </is>
      </c>
      <c r="F1392" s="38" t="n">
        <v>1</v>
      </c>
      <c r="G1392" s="39" t="n">
        <v>19</v>
      </c>
      <c r="H1392" s="39" t="n">
        <v>26</v>
      </c>
      <c r="I1392" s="29">
        <f>IF(OR(COUNTIF('Suivi des rencontres'!$A:$A,$A1392)&gt;0,COUNTIF('Suivi des rencontres'!$C:$C,$J1392)&gt;0),"Non","Oui")</f>
        <v/>
      </c>
      <c r="J1392" s="30" t="inlineStr">
        <is>
          <t>MAGICARPE</t>
        </is>
      </c>
    </row>
    <row r="1393">
      <c r="A1393" s="35" t="inlineStr">
        <is>
          <t>Portail Safari</t>
        </is>
      </c>
      <c r="B1393" s="35" t="inlineStr">
        <is>
          <t>SafariZone_Top_Mid_hns</t>
        </is>
      </c>
      <c r="C1393" s="33" t="inlineStr">
        <is>
          <t>Toute la journée</t>
        </is>
      </c>
      <c r="D1393" s="55" t="inlineStr">
        <is>
          <t>Bonne Canne</t>
        </is>
      </c>
      <c r="E1393" s="37" t="inlineStr">
        <is>
          <t>MAGICARPE</t>
        </is>
      </c>
      <c r="F1393" s="38" t="n">
        <v>0.6</v>
      </c>
      <c r="G1393" s="39" t="n">
        <v>19</v>
      </c>
      <c r="H1393" s="39" t="n">
        <v>26</v>
      </c>
      <c r="I1393" s="29">
        <f>IF(OR(COUNTIF('Suivi des rencontres'!$A:$A,$A1393)&gt;0,COUNTIF('Suivi des rencontres'!$C:$C,$J1393)&gt;0),"Non","Oui")</f>
        <v/>
      </c>
      <c r="J1393" s="30" t="inlineStr">
        <is>
          <t>MAGICARPE</t>
        </is>
      </c>
    </row>
    <row r="1394">
      <c r="A1394" s="35" t="inlineStr">
        <is>
          <t>Portail Safari</t>
        </is>
      </c>
      <c r="B1394" s="35" t="inlineStr">
        <is>
          <t>SafariZone_Top_Mid_hns</t>
        </is>
      </c>
      <c r="C1394" s="33" t="inlineStr">
        <is>
          <t>Toute la journée</t>
        </is>
      </c>
      <c r="D1394" s="55" t="inlineStr">
        <is>
          <t>Bonne Canne</t>
        </is>
      </c>
      <c r="E1394" s="37" t="inlineStr">
        <is>
          <t>KRABBY</t>
        </is>
      </c>
      <c r="F1394" s="38" t="n">
        <v>0.2</v>
      </c>
      <c r="G1394" s="39" t="n">
        <v>19</v>
      </c>
      <c r="H1394" s="39" t="n">
        <v>26</v>
      </c>
      <c r="I1394" s="29">
        <f>IF(OR(COUNTIF('Suivi des rencontres'!$A:$A,$A1394)&gt;0,COUNTIF('Suivi des rencontres'!$C:$C,$J1394)&gt;0),"Non","Oui")</f>
        <v/>
      </c>
      <c r="J1394" s="30" t="inlineStr">
        <is>
          <t>KRABBY</t>
        </is>
      </c>
    </row>
    <row r="1395">
      <c r="A1395" s="35" t="inlineStr">
        <is>
          <t>Portail Safari</t>
        </is>
      </c>
      <c r="B1395" s="35" t="inlineStr">
        <is>
          <t>SafariZone_Top_Mid_hns</t>
        </is>
      </c>
      <c r="C1395" s="33" t="inlineStr">
        <is>
          <t>Toute la journée</t>
        </is>
      </c>
      <c r="D1395" s="55" t="inlineStr">
        <is>
          <t>Bonne Canne</t>
        </is>
      </c>
      <c r="E1395" s="37" t="inlineStr">
        <is>
          <t>POISSIRENE</t>
        </is>
      </c>
      <c r="F1395" s="38" t="n">
        <v>0.2</v>
      </c>
      <c r="G1395" s="39" t="n">
        <v>19</v>
      </c>
      <c r="H1395" s="39" t="n">
        <v>26</v>
      </c>
      <c r="I1395" s="29">
        <f>IF(OR(COUNTIF('Suivi des rencontres'!$A:$A,$A1395)&gt;0,COUNTIF('Suivi des rencontres'!$C:$C,$J1395)&gt;0),"Non","Oui")</f>
        <v/>
      </c>
      <c r="J1395" s="30" t="inlineStr">
        <is>
          <t>POISSIRENE</t>
        </is>
      </c>
    </row>
    <row r="1396">
      <c r="A1396" s="35" t="inlineStr">
        <is>
          <t>Portail Safari</t>
        </is>
      </c>
      <c r="B1396" s="35" t="inlineStr">
        <is>
          <t>SafariZone_Top_Mid_hns</t>
        </is>
      </c>
      <c r="C1396" s="33" t="inlineStr">
        <is>
          <t>Toute la journée</t>
        </is>
      </c>
      <c r="D1396" s="56" t="inlineStr">
        <is>
          <t>Super Canne</t>
        </is>
      </c>
      <c r="E1396" s="37" t="inlineStr">
        <is>
          <t>KRABBOSS</t>
        </is>
      </c>
      <c r="F1396" s="38" t="n">
        <v>0.4</v>
      </c>
      <c r="G1396" s="39" t="n">
        <v>19</v>
      </c>
      <c r="H1396" s="39" t="n">
        <v>26</v>
      </c>
      <c r="I1396" s="29">
        <f>IF(OR(COUNTIF('Suivi des rencontres'!$A:$A,$A1396)&gt;0,COUNTIF('Suivi des rencontres'!$C:$C,$J1396)&gt;0),"Non","Oui")</f>
        <v/>
      </c>
      <c r="J1396" s="30" t="inlineStr">
        <is>
          <t>KRABBY</t>
        </is>
      </c>
    </row>
    <row r="1397">
      <c r="A1397" s="35" t="inlineStr">
        <is>
          <t>Portail Safari</t>
        </is>
      </c>
      <c r="B1397" s="35" t="inlineStr">
        <is>
          <t>SafariZone_Top_Mid_hns</t>
        </is>
      </c>
      <c r="C1397" s="33" t="inlineStr">
        <is>
          <t>Toute la journée</t>
        </is>
      </c>
      <c r="D1397" s="56" t="inlineStr">
        <is>
          <t>Super Canne</t>
        </is>
      </c>
      <c r="E1397" s="37" t="inlineStr">
        <is>
          <t>POISSOROY</t>
        </is>
      </c>
      <c r="F1397" s="38" t="n">
        <v>0.4</v>
      </c>
      <c r="G1397" s="39" t="n">
        <v>19</v>
      </c>
      <c r="H1397" s="39" t="n">
        <v>26</v>
      </c>
      <c r="I1397" s="29">
        <f>IF(OR(COUNTIF('Suivi des rencontres'!$A:$A,$A1397)&gt;0,COUNTIF('Suivi des rencontres'!$C:$C,$J1397)&gt;0),"Non","Oui")</f>
        <v/>
      </c>
      <c r="J1397" s="30" t="inlineStr">
        <is>
          <t>POISSIRENE</t>
        </is>
      </c>
    </row>
    <row r="1398">
      <c r="A1398" s="35" t="inlineStr">
        <is>
          <t>Portail Safari</t>
        </is>
      </c>
      <c r="B1398" s="35" t="inlineStr">
        <is>
          <t>SafariZone_Top_Mid_hns</t>
        </is>
      </c>
      <c r="C1398" s="33" t="inlineStr">
        <is>
          <t>Toute la journée</t>
        </is>
      </c>
      <c r="D1398" s="56" t="inlineStr">
        <is>
          <t>Super Canne</t>
        </is>
      </c>
      <c r="E1398" s="37" t="inlineStr">
        <is>
          <t>REMORAID</t>
        </is>
      </c>
      <c r="F1398" s="38" t="n">
        <v>0.2</v>
      </c>
      <c r="G1398" s="39" t="n">
        <v>19</v>
      </c>
      <c r="H1398" s="39" t="n">
        <v>26</v>
      </c>
      <c r="I1398" s="29">
        <f>IF(OR(COUNTIF('Suivi des rencontres'!$A:$A,$A1398)&gt;0,COUNTIF('Suivi des rencontres'!$C:$C,$J1398)&gt;0),"Non","Oui")</f>
        <v/>
      </c>
      <c r="J1398" s="30" t="inlineStr">
        <is>
          <t>REMORAID</t>
        </is>
      </c>
    </row>
    <row r="1399">
      <c r="A1399" s="35" t="inlineStr">
        <is>
          <t>Portail Safari</t>
        </is>
      </c>
      <c r="B1399" s="35" t="inlineStr">
        <is>
          <t>SafariZone_Top_Right_hns</t>
        </is>
      </c>
      <c r="C1399" s="33" t="inlineStr">
        <is>
          <t>Toute la journée</t>
        </is>
      </c>
      <c r="D1399" s="49" t="inlineStr">
        <is>
          <t>Herbe</t>
        </is>
      </c>
      <c r="E1399" s="37" t="inlineStr">
        <is>
          <t>PSYKOKWAK</t>
        </is>
      </c>
      <c r="F1399" s="38" t="n">
        <v>0.25</v>
      </c>
      <c r="G1399" s="39" t="n">
        <v>19</v>
      </c>
      <c r="H1399" s="39" t="n">
        <v>26</v>
      </c>
      <c r="I1399" s="29">
        <f>IF(OR(COUNTIF('Suivi des rencontres'!$A:$A,$A1399)&gt;0,COUNTIF('Suivi des rencontres'!$C:$C,$J1399)&gt;0),"Non","Oui")</f>
        <v/>
      </c>
      <c r="J1399" s="30" t="inlineStr">
        <is>
          <t>PSYKOKWAK</t>
        </is>
      </c>
    </row>
    <row r="1400">
      <c r="A1400" s="35" t="inlineStr">
        <is>
          <t>Portail Safari</t>
        </is>
      </c>
      <c r="B1400" s="35" t="inlineStr">
        <is>
          <t>SafariZone_Top_Right_hns</t>
        </is>
      </c>
      <c r="C1400" s="33" t="inlineStr">
        <is>
          <t>Toute la journée</t>
        </is>
      </c>
      <c r="D1400" s="49" t="inlineStr">
        <is>
          <t>Herbe</t>
        </is>
      </c>
      <c r="E1400" s="37" t="inlineStr">
        <is>
          <t>AXOLOTO</t>
        </is>
      </c>
      <c r="F1400" s="38" t="n">
        <v>0.2</v>
      </c>
      <c r="G1400" s="39" t="n">
        <v>19</v>
      </c>
      <c r="H1400" s="39" t="n">
        <v>26</v>
      </c>
      <c r="I1400" s="29">
        <f>IF(OR(COUNTIF('Suivi des rencontres'!$A:$A,$A1400)&gt;0,COUNTIF('Suivi des rencontres'!$C:$C,$J1400)&gt;0),"Non","Oui")</f>
        <v/>
      </c>
      <c r="J1400" s="30" t="inlineStr">
        <is>
          <t>AXOLOTO</t>
        </is>
      </c>
    </row>
    <row r="1401">
      <c r="A1401" s="35" t="inlineStr">
        <is>
          <t>Portail Safari</t>
        </is>
      </c>
      <c r="B1401" s="35" t="inlineStr">
        <is>
          <t>SafariZone_Top_Right_hns</t>
        </is>
      </c>
      <c r="C1401" s="33" t="inlineStr">
        <is>
          <t>Toute la journée</t>
        </is>
      </c>
      <c r="D1401" s="49" t="inlineStr">
        <is>
          <t>Herbe</t>
        </is>
      </c>
      <c r="E1401" s="37" t="inlineStr">
        <is>
          <t>KRABBY</t>
        </is>
      </c>
      <c r="F1401" s="38" t="n">
        <v>0.2</v>
      </c>
      <c r="G1401" s="39" t="n">
        <v>19</v>
      </c>
      <c r="H1401" s="39" t="n">
        <v>26</v>
      </c>
      <c r="I1401" s="29">
        <f>IF(OR(COUNTIF('Suivi des rencontres'!$A:$A,$A1401)&gt;0,COUNTIF('Suivi des rencontres'!$C:$C,$J1401)&gt;0),"Non","Oui")</f>
        <v/>
      </c>
      <c r="J1401" s="30" t="inlineStr">
        <is>
          <t>KRABBY</t>
        </is>
      </c>
    </row>
    <row r="1402">
      <c r="A1402" s="35" t="inlineStr">
        <is>
          <t>Portail Safari</t>
        </is>
      </c>
      <c r="B1402" s="35" t="inlineStr">
        <is>
          <t>SafariZone_Top_Right_hns</t>
        </is>
      </c>
      <c r="C1402" s="33" t="inlineStr">
        <is>
          <t>Toute la journée</t>
        </is>
      </c>
      <c r="D1402" s="49" t="inlineStr">
        <is>
          <t>Herbe</t>
        </is>
      </c>
      <c r="E1402" s="37" t="inlineStr">
        <is>
          <t>NOEUNOEUF</t>
        </is>
      </c>
      <c r="F1402" s="38" t="n">
        <v>0.15</v>
      </c>
      <c r="G1402" s="39" t="n">
        <v>19</v>
      </c>
      <c r="H1402" s="39" t="n">
        <v>26</v>
      </c>
      <c r="I1402" s="29">
        <f>IF(OR(COUNTIF('Suivi des rencontres'!$A:$A,$A1402)&gt;0,COUNTIF('Suivi des rencontres'!$C:$C,$J1402)&gt;0),"Non","Oui")</f>
        <v/>
      </c>
      <c r="J1402" s="30" t="inlineStr">
        <is>
          <t>NOEUNOEUF</t>
        </is>
      </c>
    </row>
    <row r="1403">
      <c r="A1403" s="35" t="inlineStr">
        <is>
          <t>Portail Safari</t>
        </is>
      </c>
      <c r="B1403" s="35" t="inlineStr">
        <is>
          <t>SafariZone_Top_Right_hns</t>
        </is>
      </c>
      <c r="C1403" s="33" t="inlineStr">
        <is>
          <t>Toute la journée</t>
        </is>
      </c>
      <c r="D1403" s="49" t="inlineStr">
        <is>
          <t>Herbe</t>
        </is>
      </c>
      <c r="E1403" s="37" t="inlineStr">
        <is>
          <t>FLORAVOL</t>
        </is>
      </c>
      <c r="F1403" s="38" t="n">
        <v>0.1</v>
      </c>
      <c r="G1403" s="39" t="n">
        <v>19</v>
      </c>
      <c r="H1403" s="39" t="n">
        <v>26</v>
      </c>
      <c r="I1403" s="29">
        <f>IF(OR(COUNTIF('Suivi des rencontres'!$A:$A,$A1403)&gt;0,COUNTIF('Suivi des rencontres'!$C:$C,$J1403)&gt;0),"Non","Oui")</f>
        <v/>
      </c>
      <c r="J1403" s="30" t="inlineStr">
        <is>
          <t>GRANIVOL</t>
        </is>
      </c>
    </row>
    <row r="1404">
      <c r="A1404" s="35" t="inlineStr">
        <is>
          <t>Portail Safari</t>
        </is>
      </c>
      <c r="B1404" s="35" t="inlineStr">
        <is>
          <t>SafariZone_Top_Right_hns</t>
        </is>
      </c>
      <c r="C1404" s="33" t="inlineStr">
        <is>
          <t>Toute la journée</t>
        </is>
      </c>
      <c r="D1404" s="49" t="inlineStr">
        <is>
          <t>Herbe</t>
        </is>
      </c>
      <c r="E1404" s="37" t="inlineStr">
        <is>
          <t>CARATROC</t>
        </is>
      </c>
      <c r="F1404" s="38" t="n">
        <v>0.05</v>
      </c>
      <c r="G1404" s="39" t="n">
        <v>19</v>
      </c>
      <c r="H1404" s="39" t="n">
        <v>26</v>
      </c>
      <c r="I1404" s="29">
        <f>IF(OR(COUNTIF('Suivi des rencontres'!$A:$A,$A1404)&gt;0,COUNTIF('Suivi des rencontres'!$C:$C,$J1404)&gt;0),"Non","Oui")</f>
        <v/>
      </c>
      <c r="J1404" s="30" t="inlineStr">
        <is>
          <t>CARATROC</t>
        </is>
      </c>
    </row>
    <row r="1405">
      <c r="A1405" s="35" t="inlineStr">
        <is>
          <t>Portail Safari</t>
        </is>
      </c>
      <c r="B1405" s="35" t="inlineStr">
        <is>
          <t>SafariZone_Top_Right_hns</t>
        </is>
      </c>
      <c r="C1405" s="33" t="inlineStr">
        <is>
          <t>Toute la journée</t>
        </is>
      </c>
      <c r="D1405" s="49" t="inlineStr">
        <is>
          <t>Herbe</t>
        </is>
      </c>
      <c r="E1405" s="37" t="inlineStr">
        <is>
          <t>KRABBOSS</t>
        </is>
      </c>
      <c r="F1405" s="38" t="n">
        <v>0.05</v>
      </c>
      <c r="G1405" s="39" t="n">
        <v>19</v>
      </c>
      <c r="H1405" s="39" t="n">
        <v>26</v>
      </c>
      <c r="I1405" s="29">
        <f>IF(OR(COUNTIF('Suivi des rencontres'!$A:$A,$A1405)&gt;0,COUNTIF('Suivi des rencontres'!$C:$C,$J1405)&gt;0),"Non","Oui")</f>
        <v/>
      </c>
      <c r="J1405" s="30" t="inlineStr">
        <is>
          <t>KRABBY</t>
        </is>
      </c>
    </row>
    <row r="1406">
      <c r="A1406" s="35" t="inlineStr">
        <is>
          <t>Portail Safari</t>
        </is>
      </c>
      <c r="B1406" s="35" t="inlineStr">
        <is>
          <t>SafariZone_Top_Right_hns</t>
        </is>
      </c>
      <c r="C1406" s="33" t="inlineStr">
        <is>
          <t>Toute la journée</t>
        </is>
      </c>
      <c r="D1406" s="53" t="inlineStr">
        <is>
          <t>Surf</t>
        </is>
      </c>
      <c r="E1406" s="37" t="inlineStr">
        <is>
          <t>HYPOTREMPE</t>
        </is>
      </c>
      <c r="F1406" s="38" t="n">
        <v>0.6</v>
      </c>
      <c r="G1406" s="39" t="n">
        <v>19</v>
      </c>
      <c r="H1406" s="39" t="n">
        <v>26</v>
      </c>
      <c r="I1406" s="29">
        <f>IF(OR(COUNTIF('Suivi des rencontres'!$A:$A,$A1406)&gt;0,COUNTIF('Suivi des rencontres'!$C:$C,$J1406)&gt;0),"Non","Oui")</f>
        <v/>
      </c>
      <c r="J1406" s="30" t="inlineStr">
        <is>
          <t>HYPOTREMPE</t>
        </is>
      </c>
    </row>
    <row r="1407">
      <c r="A1407" s="35" t="inlineStr">
        <is>
          <t>Portail Safari</t>
        </is>
      </c>
      <c r="B1407" s="35" t="inlineStr">
        <is>
          <t>SafariZone_Top_Right_hns</t>
        </is>
      </c>
      <c r="C1407" s="33" t="inlineStr">
        <is>
          <t>Toute la journée</t>
        </is>
      </c>
      <c r="D1407" s="53" t="inlineStr">
        <is>
          <t>Surf</t>
        </is>
      </c>
      <c r="E1407" s="37" t="inlineStr">
        <is>
          <t>STARI</t>
        </is>
      </c>
      <c r="F1407" s="38" t="n">
        <v>0.3</v>
      </c>
      <c r="G1407" s="39" t="n">
        <v>19</v>
      </c>
      <c r="H1407" s="39" t="n">
        <v>26</v>
      </c>
      <c r="I1407" s="29">
        <f>IF(OR(COUNTIF('Suivi des rencontres'!$A:$A,$A1407)&gt;0,COUNTIF('Suivi des rencontres'!$C:$C,$J1407)&gt;0),"Non","Oui")</f>
        <v/>
      </c>
      <c r="J1407" s="30" t="inlineStr">
        <is>
          <t>STARI</t>
        </is>
      </c>
    </row>
    <row r="1408">
      <c r="A1408" s="35" t="inlineStr">
        <is>
          <t>Portail Safari</t>
        </is>
      </c>
      <c r="B1408" s="35" t="inlineStr">
        <is>
          <t>SafariZone_Top_Right_hns</t>
        </is>
      </c>
      <c r="C1408" s="33" t="inlineStr">
        <is>
          <t>Toute la journée</t>
        </is>
      </c>
      <c r="D1408" s="53" t="inlineStr">
        <is>
          <t>Surf</t>
        </is>
      </c>
      <c r="E1408" s="37" t="inlineStr">
        <is>
          <t>CORAYON</t>
        </is>
      </c>
      <c r="F1408" s="38" t="n">
        <v>0.05</v>
      </c>
      <c r="G1408" s="39" t="n">
        <v>19</v>
      </c>
      <c r="H1408" s="39" t="n">
        <v>26</v>
      </c>
      <c r="I1408" s="29">
        <f>IF(OR(COUNTIF('Suivi des rencontres'!$A:$A,$A1408)&gt;0,COUNTIF('Suivi des rencontres'!$C:$C,$J1408)&gt;0),"Non","Oui")</f>
        <v/>
      </c>
      <c r="J1408" s="30" t="inlineStr">
        <is>
          <t>CORAYON</t>
        </is>
      </c>
    </row>
    <row r="1409">
      <c r="A1409" s="35" t="inlineStr">
        <is>
          <t>Portail Safari</t>
        </is>
      </c>
      <c r="B1409" s="35" t="inlineStr">
        <is>
          <t>SafariZone_Top_Right_hns</t>
        </is>
      </c>
      <c r="C1409" s="33" t="inlineStr">
        <is>
          <t>Toute la journée</t>
        </is>
      </c>
      <c r="D1409" s="53" t="inlineStr">
        <is>
          <t>Surf</t>
        </is>
      </c>
      <c r="E1409" s="37" t="inlineStr">
        <is>
          <t>MINIDRACO</t>
        </is>
      </c>
      <c r="F1409" s="38" t="n">
        <v>0.05</v>
      </c>
      <c r="G1409" s="39" t="n">
        <v>19</v>
      </c>
      <c r="H1409" s="39" t="n">
        <v>26</v>
      </c>
      <c r="I1409" s="29">
        <f>IF(OR(COUNTIF('Suivi des rencontres'!$A:$A,$A1409)&gt;0,COUNTIF('Suivi des rencontres'!$C:$C,$J1409)&gt;0),"Non","Oui")</f>
        <v/>
      </c>
      <c r="J1409" s="30" t="inlineStr">
        <is>
          <t>MINIDRACO</t>
        </is>
      </c>
    </row>
    <row r="1410">
      <c r="A1410" s="35" t="inlineStr">
        <is>
          <t>Portail Safari</t>
        </is>
      </c>
      <c r="B1410" s="35" t="inlineStr">
        <is>
          <t>SafariZone_Top_Right_hns</t>
        </is>
      </c>
      <c r="C1410" s="33" t="inlineStr">
        <is>
          <t>Toute la journée</t>
        </is>
      </c>
      <c r="D1410" s="54" t="inlineStr">
        <is>
          <t>Vieille Canne</t>
        </is>
      </c>
      <c r="E1410" s="37" t="inlineStr">
        <is>
          <t>MAGICARPE</t>
        </is>
      </c>
      <c r="F1410" s="38" t="n">
        <v>1</v>
      </c>
      <c r="G1410" s="39" t="n">
        <v>19</v>
      </c>
      <c r="H1410" s="39" t="n">
        <v>26</v>
      </c>
      <c r="I1410" s="29">
        <f>IF(OR(COUNTIF('Suivi des rencontres'!$A:$A,$A1410)&gt;0,COUNTIF('Suivi des rencontres'!$C:$C,$J1410)&gt;0),"Non","Oui")</f>
        <v/>
      </c>
      <c r="J1410" s="30" t="inlineStr">
        <is>
          <t>MAGICARPE</t>
        </is>
      </c>
    </row>
    <row r="1411">
      <c r="A1411" s="35" t="inlineStr">
        <is>
          <t>Portail Safari</t>
        </is>
      </c>
      <c r="B1411" s="35" t="inlineStr">
        <is>
          <t>SafariZone_Top_Right_hns</t>
        </is>
      </c>
      <c r="C1411" s="33" t="inlineStr">
        <is>
          <t>Toute la journée</t>
        </is>
      </c>
      <c r="D1411" s="55" t="inlineStr">
        <is>
          <t>Bonne Canne</t>
        </is>
      </c>
      <c r="E1411" s="37" t="inlineStr">
        <is>
          <t>QWILFISH</t>
        </is>
      </c>
      <c r="F1411" s="38" t="n">
        <v>0.6</v>
      </c>
      <c r="G1411" s="39" t="n">
        <v>19</v>
      </c>
      <c r="H1411" s="39" t="n">
        <v>26</v>
      </c>
      <c r="I1411" s="29">
        <f>IF(OR(COUNTIF('Suivi des rencontres'!$A:$A,$A1411)&gt;0,COUNTIF('Suivi des rencontres'!$C:$C,$J1411)&gt;0),"Non","Oui")</f>
        <v/>
      </c>
      <c r="J1411" s="30" t="inlineStr">
        <is>
          <t>QWILFISH</t>
        </is>
      </c>
    </row>
    <row r="1412">
      <c r="A1412" s="35" t="inlineStr">
        <is>
          <t>Portail Safari</t>
        </is>
      </c>
      <c r="B1412" s="35" t="inlineStr">
        <is>
          <t>SafariZone_Top_Right_hns</t>
        </is>
      </c>
      <c r="C1412" s="33" t="inlineStr">
        <is>
          <t>Toute la journée</t>
        </is>
      </c>
      <c r="D1412" s="55" t="inlineStr">
        <is>
          <t>Bonne Canne</t>
        </is>
      </c>
      <c r="E1412" s="37" t="inlineStr">
        <is>
          <t>KOKIYAS</t>
        </is>
      </c>
      <c r="F1412" s="38" t="n">
        <v>0.2</v>
      </c>
      <c r="G1412" s="39" t="n">
        <v>19</v>
      </c>
      <c r="H1412" s="39" t="n">
        <v>26</v>
      </c>
      <c r="I1412" s="29">
        <f>IF(OR(COUNTIF('Suivi des rencontres'!$A:$A,$A1412)&gt;0,COUNTIF('Suivi des rencontres'!$C:$C,$J1412)&gt;0),"Non","Oui")</f>
        <v/>
      </c>
      <c r="J1412" s="30" t="inlineStr">
        <is>
          <t>KOKIYAS</t>
        </is>
      </c>
    </row>
    <row r="1413">
      <c r="A1413" s="35" t="inlineStr">
        <is>
          <t>Portail Safari</t>
        </is>
      </c>
      <c r="B1413" s="35" t="inlineStr">
        <is>
          <t>SafariZone_Top_Right_hns</t>
        </is>
      </c>
      <c r="C1413" s="33" t="inlineStr">
        <is>
          <t>Toute la journée</t>
        </is>
      </c>
      <c r="D1413" s="55" t="inlineStr">
        <is>
          <t>Bonne Canne</t>
        </is>
      </c>
      <c r="E1413" s="37" t="inlineStr">
        <is>
          <t>LOUPIO</t>
        </is>
      </c>
      <c r="F1413" s="38" t="n">
        <v>0.2</v>
      </c>
      <c r="G1413" s="39" t="n">
        <v>19</v>
      </c>
      <c r="H1413" s="39" t="n">
        <v>26</v>
      </c>
      <c r="I1413" s="29">
        <f>IF(OR(COUNTIF('Suivi des rencontres'!$A:$A,$A1413)&gt;0,COUNTIF('Suivi des rencontres'!$C:$C,$J1413)&gt;0),"Non","Oui")</f>
        <v/>
      </c>
      <c r="J1413" s="30" t="inlineStr">
        <is>
          <t>LOUPIO</t>
        </is>
      </c>
    </row>
    <row r="1414">
      <c r="A1414" s="35" t="inlineStr">
        <is>
          <t>Portail Safari</t>
        </is>
      </c>
      <c r="B1414" s="35" t="inlineStr">
        <is>
          <t>SafariZone_Top_Right_hns</t>
        </is>
      </c>
      <c r="C1414" s="33" t="inlineStr">
        <is>
          <t>Toute la journée</t>
        </is>
      </c>
      <c r="D1414" s="56" t="inlineStr">
        <is>
          <t>Super Canne</t>
        </is>
      </c>
      <c r="E1414" s="37" t="inlineStr">
        <is>
          <t>KRABBOSS</t>
        </is>
      </c>
      <c r="F1414" s="38" t="n">
        <v>0.4</v>
      </c>
      <c r="G1414" s="39" t="n">
        <v>19</v>
      </c>
      <c r="H1414" s="39" t="n">
        <v>26</v>
      </c>
      <c r="I1414" s="29">
        <f>IF(OR(COUNTIF('Suivi des rencontres'!$A:$A,$A1414)&gt;0,COUNTIF('Suivi des rencontres'!$C:$C,$J1414)&gt;0),"Non","Oui")</f>
        <v/>
      </c>
      <c r="J1414" s="30" t="inlineStr">
        <is>
          <t>KRABBY</t>
        </is>
      </c>
    </row>
    <row r="1415">
      <c r="A1415" s="35" t="inlineStr">
        <is>
          <t>Portail Safari</t>
        </is>
      </c>
      <c r="B1415" s="35" t="inlineStr">
        <is>
          <t>SafariZone_Top_Right_hns</t>
        </is>
      </c>
      <c r="C1415" s="33" t="inlineStr">
        <is>
          <t>Toute la journée</t>
        </is>
      </c>
      <c r="D1415" s="56" t="inlineStr">
        <is>
          <t>Super Canne</t>
        </is>
      </c>
      <c r="E1415" s="37" t="inlineStr">
        <is>
          <t>QWILFISH</t>
        </is>
      </c>
      <c r="F1415" s="38" t="n">
        <v>0.4</v>
      </c>
      <c r="G1415" s="39" t="n">
        <v>19</v>
      </c>
      <c r="H1415" s="39" t="n">
        <v>26</v>
      </c>
      <c r="I1415" s="29">
        <f>IF(OR(COUNTIF('Suivi des rencontres'!$A:$A,$A1415)&gt;0,COUNTIF('Suivi des rencontres'!$C:$C,$J1415)&gt;0),"Non","Oui")</f>
        <v/>
      </c>
      <c r="J1415" s="30" t="inlineStr">
        <is>
          <t>QWILFISH</t>
        </is>
      </c>
    </row>
    <row r="1416">
      <c r="A1416" s="35" t="inlineStr">
        <is>
          <t>Portail Safari</t>
        </is>
      </c>
      <c r="B1416" s="35" t="inlineStr">
        <is>
          <t>SafariZone_Top_Right_hns</t>
        </is>
      </c>
      <c r="C1416" s="33" t="inlineStr">
        <is>
          <t>Toute la journée</t>
        </is>
      </c>
      <c r="D1416" s="56" t="inlineStr">
        <is>
          <t>Super Canne</t>
        </is>
      </c>
      <c r="E1416" s="37" t="inlineStr">
        <is>
          <t>KOKIYAS</t>
        </is>
      </c>
      <c r="F1416" s="38" t="n">
        <v>0.15</v>
      </c>
      <c r="G1416" s="39" t="n">
        <v>19</v>
      </c>
      <c r="H1416" s="39" t="n">
        <v>26</v>
      </c>
      <c r="I1416" s="29">
        <f>IF(OR(COUNTIF('Suivi des rencontres'!$A:$A,$A1416)&gt;0,COUNTIF('Suivi des rencontres'!$C:$C,$J1416)&gt;0),"Non","Oui")</f>
        <v/>
      </c>
      <c r="J1416" s="30" t="inlineStr">
        <is>
          <t>KOKIYAS</t>
        </is>
      </c>
    </row>
    <row r="1417">
      <c r="A1417" s="35" t="inlineStr">
        <is>
          <t>Portail Safari</t>
        </is>
      </c>
      <c r="B1417" s="35" t="inlineStr">
        <is>
          <t>SafariZone_Top_Right_hns</t>
        </is>
      </c>
      <c r="C1417" s="33" t="inlineStr">
        <is>
          <t>Toute la journée</t>
        </is>
      </c>
      <c r="D1417" s="56" t="inlineStr">
        <is>
          <t>Super Canne</t>
        </is>
      </c>
      <c r="E1417" s="37" t="inlineStr">
        <is>
          <t>LOUPIO</t>
        </is>
      </c>
      <c r="F1417" s="38" t="n">
        <v>0.05</v>
      </c>
      <c r="G1417" s="39" t="n">
        <v>19</v>
      </c>
      <c r="H1417" s="39" t="n">
        <v>26</v>
      </c>
      <c r="I1417" s="29">
        <f>IF(OR(COUNTIF('Suivi des rencontres'!$A:$A,$A1417)&gt;0,COUNTIF('Suivi des rencontres'!$C:$C,$J1417)&gt;0),"Non","Oui")</f>
        <v/>
      </c>
      <c r="J1417" s="30" t="inlineStr">
        <is>
          <t>LOUPIO</t>
        </is>
      </c>
    </row>
    <row r="1418">
      <c r="A1418" s="40" t="inlineStr">
        <is>
          <t>Puits RAMOLOSS</t>
        </is>
      </c>
      <c r="B1418" s="40" t="inlineStr">
        <is>
          <t>SlowpokeWell_B1F_hns</t>
        </is>
      </c>
      <c r="C1418" s="41" t="inlineStr">
        <is>
          <t>Toute la journée</t>
        </is>
      </c>
      <c r="D1418" s="42" t="inlineStr">
        <is>
          <t>Herbe</t>
        </is>
      </c>
      <c r="E1418" s="43" t="inlineStr">
        <is>
          <t>NOSFERAPTI</t>
        </is>
      </c>
      <c r="F1418" s="44" t="n">
        <v>0.85</v>
      </c>
      <c r="G1418" s="45" t="n">
        <v>5</v>
      </c>
      <c r="H1418" s="45" t="n">
        <v>8</v>
      </c>
      <c r="I1418" s="46">
        <f>IF(OR(COUNTIF('Suivi des rencontres'!$A:$A,$A1418)&gt;0,COUNTIF('Suivi des rencontres'!$C:$C,$J1418)&gt;0),"Non","Oui")</f>
        <v/>
      </c>
      <c r="J1418" s="30" t="inlineStr">
        <is>
          <t>NOSFERAPTI</t>
        </is>
      </c>
    </row>
    <row r="1419">
      <c r="A1419" s="47" t="inlineStr">
        <is>
          <t>Puits RAMOLOSS</t>
        </is>
      </c>
      <c r="B1419" s="47" t="inlineStr">
        <is>
          <t>SlowpokeWell_B1F_hns</t>
        </is>
      </c>
      <c r="C1419" s="48" t="inlineStr">
        <is>
          <t>Toute la journée</t>
        </is>
      </c>
      <c r="D1419" s="49" t="inlineStr">
        <is>
          <t>Herbe</t>
        </is>
      </c>
      <c r="E1419" s="50" t="inlineStr">
        <is>
          <t>RAMOLOSS</t>
        </is>
      </c>
      <c r="F1419" s="51" t="n">
        <v>0.15</v>
      </c>
      <c r="G1419" s="52" t="n">
        <v>6</v>
      </c>
      <c r="H1419" s="52" t="n">
        <v>8</v>
      </c>
      <c r="I1419" s="29">
        <f>IF(OR(COUNTIF('Suivi des rencontres'!$A:$A,$A1419)&gt;0,COUNTIF('Suivi des rencontres'!$C:$C,$J1419)&gt;0),"Non","Oui")</f>
        <v/>
      </c>
      <c r="J1419" s="30" t="inlineStr">
        <is>
          <t>RAMOLOSS</t>
        </is>
      </c>
    </row>
    <row r="1420">
      <c r="A1420" s="47" t="inlineStr">
        <is>
          <t>Puits RAMOLOSS</t>
        </is>
      </c>
      <c r="B1420" s="47" t="inlineStr">
        <is>
          <t>SlowpokeWell_B1F_hns</t>
        </is>
      </c>
      <c r="C1420" s="48" t="inlineStr">
        <is>
          <t>Toute la journée</t>
        </is>
      </c>
      <c r="D1420" s="53" t="inlineStr">
        <is>
          <t>Surf</t>
        </is>
      </c>
      <c r="E1420" s="50" t="inlineStr">
        <is>
          <t>RAMOLOSS</t>
        </is>
      </c>
      <c r="F1420" s="51" t="n">
        <v>0.99</v>
      </c>
      <c r="G1420" s="52" t="n">
        <v>10</v>
      </c>
      <c r="H1420" s="52" t="n">
        <v>24</v>
      </c>
      <c r="I1420" s="29">
        <f>IF(OR(COUNTIF('Suivi des rencontres'!$A:$A,$A1420)&gt;0,COUNTIF('Suivi des rencontres'!$C:$C,$J1420)&gt;0),"Non","Oui")</f>
        <v/>
      </c>
      <c r="J1420" s="30" t="inlineStr">
        <is>
          <t>RAMOLOSS</t>
        </is>
      </c>
    </row>
    <row r="1421">
      <c r="A1421" s="47" t="inlineStr">
        <is>
          <t>Puits RAMOLOSS</t>
        </is>
      </c>
      <c r="B1421" s="47" t="inlineStr">
        <is>
          <t>SlowpokeWell_B1F_hns</t>
        </is>
      </c>
      <c r="C1421" s="48" t="inlineStr">
        <is>
          <t>Toute la journée</t>
        </is>
      </c>
      <c r="D1421" s="53" t="inlineStr">
        <is>
          <t>Surf</t>
        </is>
      </c>
      <c r="E1421" s="50" t="inlineStr">
        <is>
          <t>FLAGADOSS</t>
        </is>
      </c>
      <c r="F1421" s="51" t="n">
        <v>0.01</v>
      </c>
      <c r="G1421" s="52" t="n">
        <v>10</v>
      </c>
      <c r="H1421" s="52" t="n">
        <v>24</v>
      </c>
      <c r="I1421" s="29">
        <f>IF(OR(COUNTIF('Suivi des rencontres'!$A:$A,$A1421)&gt;0,COUNTIF('Suivi des rencontres'!$C:$C,$J1421)&gt;0),"Non","Oui")</f>
        <v/>
      </c>
      <c r="J1421" s="30" t="inlineStr">
        <is>
          <t>RAMOLOSS</t>
        </is>
      </c>
    </row>
    <row r="1422">
      <c r="A1422" s="47" t="inlineStr">
        <is>
          <t>Puits RAMOLOSS</t>
        </is>
      </c>
      <c r="B1422" s="47" t="inlineStr">
        <is>
          <t>SlowpokeWell_B1F_hns</t>
        </is>
      </c>
      <c r="C1422" s="48" t="inlineStr">
        <is>
          <t>Toute la journée</t>
        </is>
      </c>
      <c r="D1422" s="54" t="inlineStr">
        <is>
          <t>Vieille Canne</t>
        </is>
      </c>
      <c r="E1422" s="50" t="inlineStr">
        <is>
          <t>MAGICARPE</t>
        </is>
      </c>
      <c r="F1422" s="51" t="n">
        <v>0.7</v>
      </c>
      <c r="G1422" s="52" t="n">
        <v>10</v>
      </c>
      <c r="H1422" s="52" t="n">
        <v>10</v>
      </c>
      <c r="I1422" s="29">
        <f>IF(OR(COUNTIF('Suivi des rencontres'!$A:$A,$A1422)&gt;0,COUNTIF('Suivi des rencontres'!$C:$C,$J1422)&gt;0),"Non","Oui")</f>
        <v/>
      </c>
      <c r="J1422" s="30" t="inlineStr">
        <is>
          <t>MAGICARPE</t>
        </is>
      </c>
    </row>
    <row r="1423">
      <c r="A1423" s="47" t="inlineStr">
        <is>
          <t>Puits RAMOLOSS</t>
        </is>
      </c>
      <c r="B1423" s="47" t="inlineStr">
        <is>
          <t>SlowpokeWell_B1F_hns</t>
        </is>
      </c>
      <c r="C1423" s="48" t="inlineStr">
        <is>
          <t>Toute la journée</t>
        </is>
      </c>
      <c r="D1423" s="54" t="inlineStr">
        <is>
          <t>Vieille Canne</t>
        </is>
      </c>
      <c r="E1423" s="50" t="inlineStr">
        <is>
          <t>POISSIRENE</t>
        </is>
      </c>
      <c r="F1423" s="51" t="n">
        <v>0.3</v>
      </c>
      <c r="G1423" s="52" t="n">
        <v>10</v>
      </c>
      <c r="H1423" s="52" t="n">
        <v>10</v>
      </c>
      <c r="I1423" s="29">
        <f>IF(OR(COUNTIF('Suivi des rencontres'!$A:$A,$A1423)&gt;0,COUNTIF('Suivi des rencontres'!$C:$C,$J1423)&gt;0),"Non","Oui")</f>
        <v/>
      </c>
      <c r="J1423" s="30" t="inlineStr">
        <is>
          <t>POISSIRENE</t>
        </is>
      </c>
    </row>
    <row r="1424">
      <c r="A1424" s="47" t="inlineStr">
        <is>
          <t>Puits RAMOLOSS</t>
        </is>
      </c>
      <c r="B1424" s="47" t="inlineStr">
        <is>
          <t>SlowpokeWell_B1F_hns</t>
        </is>
      </c>
      <c r="C1424" s="48" t="inlineStr">
        <is>
          <t>Toute la journée</t>
        </is>
      </c>
      <c r="D1424" s="55" t="inlineStr">
        <is>
          <t>Bonne Canne</t>
        </is>
      </c>
      <c r="E1424" s="50" t="inlineStr">
        <is>
          <t>POISSIRENE</t>
        </is>
      </c>
      <c r="F1424" s="51" t="n">
        <v>0.8</v>
      </c>
      <c r="G1424" s="52" t="n">
        <v>20</v>
      </c>
      <c r="H1424" s="52" t="n">
        <v>40</v>
      </c>
      <c r="I1424" s="29">
        <f>IF(OR(COUNTIF('Suivi des rencontres'!$A:$A,$A1424)&gt;0,COUNTIF('Suivi des rencontres'!$C:$C,$J1424)&gt;0),"Non","Oui")</f>
        <v/>
      </c>
      <c r="J1424" s="30" t="inlineStr">
        <is>
          <t>POISSIRENE</t>
        </is>
      </c>
    </row>
    <row r="1425">
      <c r="A1425" s="47" t="inlineStr">
        <is>
          <t>Puits RAMOLOSS</t>
        </is>
      </c>
      <c r="B1425" s="47" t="inlineStr">
        <is>
          <t>SlowpokeWell_B1F_hns</t>
        </is>
      </c>
      <c r="C1425" s="48" t="inlineStr">
        <is>
          <t>Toute la journée</t>
        </is>
      </c>
      <c r="D1425" s="55" t="inlineStr">
        <is>
          <t>Bonne Canne</t>
        </is>
      </c>
      <c r="E1425" s="50" t="inlineStr">
        <is>
          <t>MAGICARPE</t>
        </is>
      </c>
      <c r="F1425" s="51" t="n">
        <v>0.2</v>
      </c>
      <c r="G1425" s="52" t="n">
        <v>20</v>
      </c>
      <c r="H1425" s="52" t="n">
        <v>20</v>
      </c>
      <c r="I1425" s="29">
        <f>IF(OR(COUNTIF('Suivi des rencontres'!$A:$A,$A1425)&gt;0,COUNTIF('Suivi des rencontres'!$C:$C,$J1425)&gt;0),"Non","Oui")</f>
        <v/>
      </c>
      <c r="J1425" s="30" t="inlineStr">
        <is>
          <t>MAGICARPE</t>
        </is>
      </c>
    </row>
    <row r="1426">
      <c r="A1426" s="47" t="inlineStr">
        <is>
          <t>Puits RAMOLOSS</t>
        </is>
      </c>
      <c r="B1426" s="47" t="inlineStr">
        <is>
          <t>SlowpokeWell_B1F_hns</t>
        </is>
      </c>
      <c r="C1426" s="48" t="inlineStr">
        <is>
          <t>Toute la journée</t>
        </is>
      </c>
      <c r="D1426" s="56" t="inlineStr">
        <is>
          <t>Super Canne</t>
        </is>
      </c>
      <c r="E1426" s="50" t="inlineStr">
        <is>
          <t>MAGICARPE</t>
        </is>
      </c>
      <c r="F1426" s="51" t="n">
        <v>0.44</v>
      </c>
      <c r="G1426" s="52" t="n">
        <v>10</v>
      </c>
      <c r="H1426" s="52" t="n">
        <v>40</v>
      </c>
      <c r="I1426" s="29">
        <f>IF(OR(COUNTIF('Suivi des rencontres'!$A:$A,$A1426)&gt;0,COUNTIF('Suivi des rencontres'!$C:$C,$J1426)&gt;0),"Non","Oui")</f>
        <v/>
      </c>
      <c r="J1426" s="30" t="inlineStr">
        <is>
          <t>MAGICARPE</t>
        </is>
      </c>
    </row>
    <row r="1427">
      <c r="A1427" s="47" t="inlineStr">
        <is>
          <t>Puits RAMOLOSS</t>
        </is>
      </c>
      <c r="B1427" s="47" t="inlineStr">
        <is>
          <t>SlowpokeWell_B1F_hns</t>
        </is>
      </c>
      <c r="C1427" s="48" t="inlineStr">
        <is>
          <t>Toute la journée</t>
        </is>
      </c>
      <c r="D1427" s="56" t="inlineStr">
        <is>
          <t>Super Canne</t>
        </is>
      </c>
      <c r="E1427" s="50" t="inlineStr">
        <is>
          <t>POISSOROY</t>
        </is>
      </c>
      <c r="F1427" s="51" t="n">
        <v>0.4</v>
      </c>
      <c r="G1427" s="52" t="n">
        <v>40</v>
      </c>
      <c r="H1427" s="52" t="n">
        <v>40</v>
      </c>
      <c r="I1427" s="29">
        <f>IF(OR(COUNTIF('Suivi des rencontres'!$A:$A,$A1427)&gt;0,COUNTIF('Suivi des rencontres'!$C:$C,$J1427)&gt;0),"Non","Oui")</f>
        <v/>
      </c>
      <c r="J1427" s="30" t="inlineStr">
        <is>
          <t>POISSIRENE</t>
        </is>
      </c>
    </row>
    <row r="1428">
      <c r="A1428" s="47" t="inlineStr">
        <is>
          <t>Puits RAMOLOSS</t>
        </is>
      </c>
      <c r="B1428" s="47" t="inlineStr">
        <is>
          <t>SlowpokeWell_B1F_hns</t>
        </is>
      </c>
      <c r="C1428" s="48" t="inlineStr">
        <is>
          <t>Toute la journée</t>
        </is>
      </c>
      <c r="D1428" s="56" t="inlineStr">
        <is>
          <t>Super Canne</t>
        </is>
      </c>
      <c r="E1428" s="50" t="inlineStr">
        <is>
          <t>POISSIRENE</t>
        </is>
      </c>
      <c r="F1428" s="51" t="n">
        <v>0.16</v>
      </c>
      <c r="G1428" s="52" t="n">
        <v>20</v>
      </c>
      <c r="H1428" s="52" t="n">
        <v>40</v>
      </c>
      <c r="I1428" s="29">
        <f>IF(OR(COUNTIF('Suivi des rencontres'!$A:$A,$A1428)&gt;0,COUNTIF('Suivi des rencontres'!$C:$C,$J1428)&gt;0),"Non","Oui")</f>
        <v/>
      </c>
      <c r="J1428" s="30" t="inlineStr">
        <is>
          <t>POISSIRENE</t>
        </is>
      </c>
    </row>
    <row r="1429">
      <c r="A1429" s="47" t="inlineStr">
        <is>
          <t>Puits RAMOLOSS</t>
        </is>
      </c>
      <c r="B1429" s="47" t="inlineStr">
        <is>
          <t>SlowpokeWell_B2F_hns</t>
        </is>
      </c>
      <c r="C1429" s="48" t="inlineStr">
        <is>
          <t>Toute la journée</t>
        </is>
      </c>
      <c r="D1429" s="49" t="inlineStr">
        <is>
          <t>Herbe</t>
        </is>
      </c>
      <c r="E1429" s="50" t="inlineStr">
        <is>
          <t>NOSFERAPTI</t>
        </is>
      </c>
      <c r="F1429" s="51" t="n">
        <v>0.8</v>
      </c>
      <c r="G1429" s="52" t="n">
        <v>19</v>
      </c>
      <c r="H1429" s="52" t="n">
        <v>23</v>
      </c>
      <c r="I1429" s="29">
        <f>IF(OR(COUNTIF('Suivi des rencontres'!$A:$A,$A1429)&gt;0,COUNTIF('Suivi des rencontres'!$C:$C,$J1429)&gt;0),"Non","Oui")</f>
        <v/>
      </c>
      <c r="J1429" s="30" t="inlineStr">
        <is>
          <t>NOSFERAPTI</t>
        </is>
      </c>
    </row>
    <row r="1430">
      <c r="A1430" s="47" t="inlineStr">
        <is>
          <t>Puits RAMOLOSS</t>
        </is>
      </c>
      <c r="B1430" s="47" t="inlineStr">
        <is>
          <t>SlowpokeWell_B2F_hns</t>
        </is>
      </c>
      <c r="C1430" s="48" t="inlineStr">
        <is>
          <t>Toute la journée</t>
        </is>
      </c>
      <c r="D1430" s="49" t="inlineStr">
        <is>
          <t>Herbe</t>
        </is>
      </c>
      <c r="E1430" s="50" t="inlineStr">
        <is>
          <t>RAMOLOSS</t>
        </is>
      </c>
      <c r="F1430" s="51" t="n">
        <v>0.14</v>
      </c>
      <c r="G1430" s="52" t="n">
        <v>21</v>
      </c>
      <c r="H1430" s="52" t="n">
        <v>23</v>
      </c>
      <c r="I1430" s="29">
        <f>IF(OR(COUNTIF('Suivi des rencontres'!$A:$A,$A1430)&gt;0,COUNTIF('Suivi des rencontres'!$C:$C,$J1430)&gt;0),"Non","Oui")</f>
        <v/>
      </c>
      <c r="J1430" s="30" t="inlineStr">
        <is>
          <t>RAMOLOSS</t>
        </is>
      </c>
    </row>
    <row r="1431">
      <c r="A1431" s="47" t="inlineStr">
        <is>
          <t>Puits RAMOLOSS</t>
        </is>
      </c>
      <c r="B1431" s="47" t="inlineStr">
        <is>
          <t>SlowpokeWell_B2F_hns</t>
        </is>
      </c>
      <c r="C1431" s="48" t="inlineStr">
        <is>
          <t>Toute la journée</t>
        </is>
      </c>
      <c r="D1431" s="49" t="inlineStr">
        <is>
          <t>Herbe</t>
        </is>
      </c>
      <c r="E1431" s="50" t="inlineStr">
        <is>
          <t>NOSFERALTO</t>
        </is>
      </c>
      <c r="F1431" s="51" t="n">
        <v>0.06</v>
      </c>
      <c r="G1431" s="52" t="n">
        <v>23</v>
      </c>
      <c r="H1431" s="52" t="n">
        <v>23</v>
      </c>
      <c r="I1431" s="29">
        <f>IF(OR(COUNTIF('Suivi des rencontres'!$A:$A,$A1431)&gt;0,COUNTIF('Suivi des rencontres'!$C:$C,$J1431)&gt;0),"Non","Oui")</f>
        <v/>
      </c>
      <c r="J1431" s="30" t="inlineStr">
        <is>
          <t>NOSFERAPTI</t>
        </is>
      </c>
    </row>
    <row r="1432">
      <c r="A1432" s="47" t="inlineStr">
        <is>
          <t>Puits RAMOLOSS</t>
        </is>
      </c>
      <c r="B1432" s="47" t="inlineStr">
        <is>
          <t>SlowpokeWell_B2F_hns</t>
        </is>
      </c>
      <c r="C1432" s="48" t="inlineStr">
        <is>
          <t>Toute la journée</t>
        </is>
      </c>
      <c r="D1432" s="53" t="inlineStr">
        <is>
          <t>Surf</t>
        </is>
      </c>
      <c r="E1432" s="50" t="inlineStr">
        <is>
          <t>RAMOLOSS</t>
        </is>
      </c>
      <c r="F1432" s="51" t="n">
        <v>0.95</v>
      </c>
      <c r="G1432" s="52" t="n">
        <v>15</v>
      </c>
      <c r="H1432" s="52" t="n">
        <v>24</v>
      </c>
      <c r="I1432" s="29">
        <f>IF(OR(COUNTIF('Suivi des rencontres'!$A:$A,$A1432)&gt;0,COUNTIF('Suivi des rencontres'!$C:$C,$J1432)&gt;0),"Non","Oui")</f>
        <v/>
      </c>
      <c r="J1432" s="30" t="inlineStr">
        <is>
          <t>RAMOLOSS</t>
        </is>
      </c>
    </row>
    <row r="1433">
      <c r="A1433" s="47" t="inlineStr">
        <is>
          <t>Puits RAMOLOSS</t>
        </is>
      </c>
      <c r="B1433" s="47" t="inlineStr">
        <is>
          <t>SlowpokeWell_B2F_hns</t>
        </is>
      </c>
      <c r="C1433" s="48" t="inlineStr">
        <is>
          <t>Toute la journée</t>
        </is>
      </c>
      <c r="D1433" s="53" t="inlineStr">
        <is>
          <t>Surf</t>
        </is>
      </c>
      <c r="E1433" s="50" t="inlineStr">
        <is>
          <t>FLAGADOSS</t>
        </is>
      </c>
      <c r="F1433" s="51" t="n">
        <v>0.05</v>
      </c>
      <c r="G1433" s="52" t="n">
        <v>20</v>
      </c>
      <c r="H1433" s="52" t="n">
        <v>24</v>
      </c>
      <c r="I1433" s="29">
        <f>IF(OR(COUNTIF('Suivi des rencontres'!$A:$A,$A1433)&gt;0,COUNTIF('Suivi des rencontres'!$C:$C,$J1433)&gt;0),"Non","Oui")</f>
        <v/>
      </c>
      <c r="J1433" s="30" t="inlineStr">
        <is>
          <t>RAMOLOSS</t>
        </is>
      </c>
    </row>
    <row r="1434">
      <c r="A1434" s="47" t="inlineStr">
        <is>
          <t>Puits RAMOLOSS</t>
        </is>
      </c>
      <c r="B1434" s="47" t="inlineStr">
        <is>
          <t>SlowpokeWell_B2F_hns</t>
        </is>
      </c>
      <c r="C1434" s="48" t="inlineStr">
        <is>
          <t>Toute la journée</t>
        </is>
      </c>
      <c r="D1434" s="54" t="inlineStr">
        <is>
          <t>Vieille Canne</t>
        </is>
      </c>
      <c r="E1434" s="50" t="inlineStr">
        <is>
          <t>MAGICARPE</t>
        </is>
      </c>
      <c r="F1434" s="51" t="n">
        <v>0.7</v>
      </c>
      <c r="G1434" s="52" t="n">
        <v>10</v>
      </c>
      <c r="H1434" s="52" t="n">
        <v>10</v>
      </c>
      <c r="I1434" s="29">
        <f>IF(OR(COUNTIF('Suivi des rencontres'!$A:$A,$A1434)&gt;0,COUNTIF('Suivi des rencontres'!$C:$C,$J1434)&gt;0),"Non","Oui")</f>
        <v/>
      </c>
      <c r="J1434" s="30" t="inlineStr">
        <is>
          <t>MAGICARPE</t>
        </is>
      </c>
    </row>
    <row r="1435">
      <c r="A1435" s="47" t="inlineStr">
        <is>
          <t>Puits RAMOLOSS</t>
        </is>
      </c>
      <c r="B1435" s="47" t="inlineStr">
        <is>
          <t>SlowpokeWell_B2F_hns</t>
        </is>
      </c>
      <c r="C1435" s="48" t="inlineStr">
        <is>
          <t>Toute la journée</t>
        </is>
      </c>
      <c r="D1435" s="54" t="inlineStr">
        <is>
          <t>Vieille Canne</t>
        </is>
      </c>
      <c r="E1435" s="50" t="inlineStr">
        <is>
          <t>POISSIRENE</t>
        </is>
      </c>
      <c r="F1435" s="51" t="n">
        <v>0.3</v>
      </c>
      <c r="G1435" s="52" t="n">
        <v>10</v>
      </c>
      <c r="H1435" s="52" t="n">
        <v>10</v>
      </c>
      <c r="I1435" s="29">
        <f>IF(OR(COUNTIF('Suivi des rencontres'!$A:$A,$A1435)&gt;0,COUNTIF('Suivi des rencontres'!$C:$C,$J1435)&gt;0),"Non","Oui")</f>
        <v/>
      </c>
      <c r="J1435" s="30" t="inlineStr">
        <is>
          <t>POISSIRENE</t>
        </is>
      </c>
    </row>
    <row r="1436">
      <c r="A1436" s="47" t="inlineStr">
        <is>
          <t>Puits RAMOLOSS</t>
        </is>
      </c>
      <c r="B1436" s="47" t="inlineStr">
        <is>
          <t>SlowpokeWell_B2F_hns</t>
        </is>
      </c>
      <c r="C1436" s="48" t="inlineStr">
        <is>
          <t>Toute la journée</t>
        </is>
      </c>
      <c r="D1436" s="55" t="inlineStr">
        <is>
          <t>Bonne Canne</t>
        </is>
      </c>
      <c r="E1436" s="50" t="inlineStr">
        <is>
          <t>POISSIRENE</t>
        </is>
      </c>
      <c r="F1436" s="51" t="n">
        <v>0.8</v>
      </c>
      <c r="G1436" s="52" t="n">
        <v>20</v>
      </c>
      <c r="H1436" s="52" t="n">
        <v>40</v>
      </c>
      <c r="I1436" s="29">
        <f>IF(OR(COUNTIF('Suivi des rencontres'!$A:$A,$A1436)&gt;0,COUNTIF('Suivi des rencontres'!$C:$C,$J1436)&gt;0),"Non","Oui")</f>
        <v/>
      </c>
      <c r="J1436" s="30" t="inlineStr">
        <is>
          <t>POISSIRENE</t>
        </is>
      </c>
    </row>
    <row r="1437">
      <c r="A1437" s="47" t="inlineStr">
        <is>
          <t>Puits RAMOLOSS</t>
        </is>
      </c>
      <c r="B1437" s="47" t="inlineStr">
        <is>
          <t>SlowpokeWell_B2F_hns</t>
        </is>
      </c>
      <c r="C1437" s="48" t="inlineStr">
        <is>
          <t>Toute la journée</t>
        </is>
      </c>
      <c r="D1437" s="55" t="inlineStr">
        <is>
          <t>Bonne Canne</t>
        </is>
      </c>
      <c r="E1437" s="50" t="inlineStr">
        <is>
          <t>MAGICARPE</t>
        </is>
      </c>
      <c r="F1437" s="51" t="n">
        <v>0.2</v>
      </c>
      <c r="G1437" s="52" t="n">
        <v>20</v>
      </c>
      <c r="H1437" s="52" t="n">
        <v>20</v>
      </c>
      <c r="I1437" s="29">
        <f>IF(OR(COUNTIF('Suivi des rencontres'!$A:$A,$A1437)&gt;0,COUNTIF('Suivi des rencontres'!$C:$C,$J1437)&gt;0),"Non","Oui")</f>
        <v/>
      </c>
      <c r="J1437" s="30" t="inlineStr">
        <is>
          <t>MAGICARPE</t>
        </is>
      </c>
    </row>
    <row r="1438">
      <c r="A1438" s="47" t="inlineStr">
        <is>
          <t>Puits RAMOLOSS</t>
        </is>
      </c>
      <c r="B1438" s="47" t="inlineStr">
        <is>
          <t>SlowpokeWell_B2F_hns</t>
        </is>
      </c>
      <c r="C1438" s="48" t="inlineStr">
        <is>
          <t>Toute la journée</t>
        </is>
      </c>
      <c r="D1438" s="56" t="inlineStr">
        <is>
          <t>Super Canne</t>
        </is>
      </c>
      <c r="E1438" s="50" t="inlineStr">
        <is>
          <t>MAGICARPE</t>
        </is>
      </c>
      <c r="F1438" s="51" t="n">
        <v>0.44</v>
      </c>
      <c r="G1438" s="52" t="n">
        <v>10</v>
      </c>
      <c r="H1438" s="52" t="n">
        <v>40</v>
      </c>
      <c r="I1438" s="29">
        <f>IF(OR(COUNTIF('Suivi des rencontres'!$A:$A,$A1438)&gt;0,COUNTIF('Suivi des rencontres'!$C:$C,$J1438)&gt;0),"Non","Oui")</f>
        <v/>
      </c>
      <c r="J1438" s="30" t="inlineStr">
        <is>
          <t>MAGICARPE</t>
        </is>
      </c>
    </row>
    <row r="1439">
      <c r="A1439" s="47" t="inlineStr">
        <is>
          <t>Puits RAMOLOSS</t>
        </is>
      </c>
      <c r="B1439" s="47" t="inlineStr">
        <is>
          <t>SlowpokeWell_B2F_hns</t>
        </is>
      </c>
      <c r="C1439" s="48" t="inlineStr">
        <is>
          <t>Toute la journée</t>
        </is>
      </c>
      <c r="D1439" s="56" t="inlineStr">
        <is>
          <t>Super Canne</t>
        </is>
      </c>
      <c r="E1439" s="50" t="inlineStr">
        <is>
          <t>POISSOROY</t>
        </is>
      </c>
      <c r="F1439" s="51" t="n">
        <v>0.4</v>
      </c>
      <c r="G1439" s="52" t="n">
        <v>40</v>
      </c>
      <c r="H1439" s="52" t="n">
        <v>40</v>
      </c>
      <c r="I1439" s="29">
        <f>IF(OR(COUNTIF('Suivi des rencontres'!$A:$A,$A1439)&gt;0,COUNTIF('Suivi des rencontres'!$C:$C,$J1439)&gt;0),"Non","Oui")</f>
        <v/>
      </c>
      <c r="J1439" s="30" t="inlineStr">
        <is>
          <t>POISSIRENE</t>
        </is>
      </c>
    </row>
    <row r="1440">
      <c r="A1440" s="47" t="inlineStr">
        <is>
          <t>Puits RAMOLOSS</t>
        </is>
      </c>
      <c r="B1440" s="47" t="inlineStr">
        <is>
          <t>SlowpokeWell_B2F_hns</t>
        </is>
      </c>
      <c r="C1440" s="48" t="inlineStr">
        <is>
          <t>Toute la journée</t>
        </is>
      </c>
      <c r="D1440" s="56" t="inlineStr">
        <is>
          <t>Super Canne</t>
        </is>
      </c>
      <c r="E1440" s="50" t="inlineStr">
        <is>
          <t>POISSIRENE</t>
        </is>
      </c>
      <c r="F1440" s="51" t="n">
        <v>0.16</v>
      </c>
      <c r="G1440" s="52" t="n">
        <v>20</v>
      </c>
      <c r="H1440" s="52" t="n">
        <v>40</v>
      </c>
      <c r="I1440" s="29">
        <f>IF(OR(COUNTIF('Suivi des rencontres'!$A:$A,$A1440)&gt;0,COUNTIF('Suivi des rencontres'!$C:$C,$J1440)&gt;0),"Non","Oui")</f>
        <v/>
      </c>
      <c r="J1440" s="30" t="inlineStr">
        <is>
          <t>POISSIRENE</t>
        </is>
      </c>
    </row>
    <row r="1441">
      <c r="A1441" s="57" t="inlineStr">
        <is>
          <t>Repaire Rocket</t>
        </is>
      </c>
      <c r="B1441" s="57" t="inlineStr">
        <is>
          <t>RocketHideout_B1F_hns</t>
        </is>
      </c>
      <c r="C1441" s="58" t="inlineStr">
        <is>
          <t>Toute la journée</t>
        </is>
      </c>
      <c r="D1441" s="42" t="inlineStr">
        <is>
          <t>Herbe</t>
        </is>
      </c>
      <c r="E1441" s="59" t="inlineStr">
        <is>
          <t>VOLTORBE</t>
        </is>
      </c>
      <c r="F1441" s="60" t="n">
        <v>0.4</v>
      </c>
      <c r="G1441" s="61" t="n">
        <v>21</v>
      </c>
      <c r="H1441" s="61" t="n">
        <v>21</v>
      </c>
      <c r="I1441" s="46">
        <f>IF(OR(COUNTIF('Suivi des rencontres'!$A:$A,$A1441)&gt;0,COUNTIF('Suivi des rencontres'!$C:$C,$J1441)&gt;0),"Non","Oui")</f>
        <v/>
      </c>
      <c r="J1441" s="30" t="inlineStr">
        <is>
          <t>VOLTORBE</t>
        </is>
      </c>
    </row>
    <row r="1442">
      <c r="A1442" s="35" t="inlineStr">
        <is>
          <t>Repaire Rocket</t>
        </is>
      </c>
      <c r="B1442" s="35" t="inlineStr">
        <is>
          <t>RocketHideout_B1F_hns</t>
        </is>
      </c>
      <c r="C1442" s="33" t="inlineStr">
        <is>
          <t>Toute la journée</t>
        </is>
      </c>
      <c r="D1442" s="49" t="inlineStr">
        <is>
          <t>Herbe</t>
        </is>
      </c>
      <c r="E1442" s="37" t="inlineStr">
        <is>
          <t>RACAILLOU</t>
        </is>
      </c>
      <c r="F1442" s="38" t="n">
        <v>0.3</v>
      </c>
      <c r="G1442" s="39" t="n">
        <v>21</v>
      </c>
      <c r="H1442" s="39" t="n">
        <v>21</v>
      </c>
      <c r="I1442" s="29">
        <f>IF(OR(COUNTIF('Suivi des rencontres'!$A:$A,$A1442)&gt;0,COUNTIF('Suivi des rencontres'!$C:$C,$J1442)&gt;0),"Non","Oui")</f>
        <v/>
      </c>
      <c r="J1442" s="30" t="inlineStr">
        <is>
          <t>RACAILLOU</t>
        </is>
      </c>
    </row>
    <row r="1443">
      <c r="A1443" s="35" t="inlineStr">
        <is>
          <t>Repaire Rocket</t>
        </is>
      </c>
      <c r="B1443" s="35" t="inlineStr">
        <is>
          <t>RocketHideout_B1F_hns</t>
        </is>
      </c>
      <c r="C1443" s="33" t="inlineStr">
        <is>
          <t>Toute la journée</t>
        </is>
      </c>
      <c r="D1443" s="49" t="inlineStr">
        <is>
          <t>Herbe</t>
        </is>
      </c>
      <c r="E1443" s="37" t="inlineStr">
        <is>
          <t>SMOGO</t>
        </is>
      </c>
      <c r="F1443" s="38" t="n">
        <v>0.3</v>
      </c>
      <c r="G1443" s="39" t="n">
        <v>21</v>
      </c>
      <c r="H1443" s="39" t="n">
        <v>21</v>
      </c>
      <c r="I1443" s="29">
        <f>IF(OR(COUNTIF('Suivi des rencontres'!$A:$A,$A1443)&gt;0,COUNTIF('Suivi des rencontres'!$C:$C,$J1443)&gt;0),"Non","Oui")</f>
        <v/>
      </c>
      <c r="J1443" s="30" t="inlineStr">
        <is>
          <t>SMOGO</t>
        </is>
      </c>
    </row>
    <row r="1444">
      <c r="A1444" s="40" t="inlineStr">
        <is>
          <t>Rosalia</t>
        </is>
      </c>
      <c r="B1444" s="40" t="inlineStr">
        <is>
          <t>EcruteakCity_hns</t>
        </is>
      </c>
      <c r="C1444" s="41" t="inlineStr">
        <is>
          <t>Matin, jour, soir</t>
        </is>
      </c>
      <c r="D1444" s="63" t="inlineStr">
        <is>
          <t>Surf</t>
        </is>
      </c>
      <c r="E1444" s="43" t="inlineStr">
        <is>
          <t>PTITARD</t>
        </is>
      </c>
      <c r="F1444" s="44" t="n">
        <v>0.96</v>
      </c>
      <c r="G1444" s="45" t="n">
        <v>15</v>
      </c>
      <c r="H1444" s="45" t="n">
        <v>24</v>
      </c>
      <c r="I1444" s="46">
        <f>IF(OR(COUNTIF('Suivi des rencontres'!$A:$A,$A1444)&gt;0,COUNTIF('Suivi des rencontres'!$C:$C,$J1444)&gt;0),"Non","Oui")</f>
        <v/>
      </c>
      <c r="J1444" s="30" t="inlineStr">
        <is>
          <t>PTITARD</t>
        </is>
      </c>
    </row>
    <row r="1445">
      <c r="A1445" s="47" t="inlineStr">
        <is>
          <t>Rosalia</t>
        </is>
      </c>
      <c r="B1445" s="47" t="inlineStr">
        <is>
          <t>EcruteakCity_hns</t>
        </is>
      </c>
      <c r="C1445" s="48" t="inlineStr">
        <is>
          <t>Matin, jour, soir</t>
        </is>
      </c>
      <c r="D1445" s="53" t="inlineStr">
        <is>
          <t>Surf</t>
        </is>
      </c>
      <c r="E1445" s="50" t="inlineStr">
        <is>
          <t>TETARTE</t>
        </is>
      </c>
      <c r="F1445" s="51" t="n">
        <v>0.04</v>
      </c>
      <c r="G1445" s="52" t="n">
        <v>20</v>
      </c>
      <c r="H1445" s="52" t="n">
        <v>24</v>
      </c>
      <c r="I1445" s="29">
        <f>IF(OR(COUNTIF('Suivi des rencontres'!$A:$A,$A1445)&gt;0,COUNTIF('Suivi des rencontres'!$C:$C,$J1445)&gt;0),"Non","Oui")</f>
        <v/>
      </c>
      <c r="J1445" s="30" t="inlineStr">
        <is>
          <t>PTITARD</t>
        </is>
      </c>
    </row>
    <row r="1446">
      <c r="A1446" s="47" t="inlineStr">
        <is>
          <t>Rosalia</t>
        </is>
      </c>
      <c r="B1446" s="47" t="inlineStr">
        <is>
          <t>EcruteakCity_hns</t>
        </is>
      </c>
      <c r="C1446" s="62" t="inlineStr">
        <is>
          <t>Nuit</t>
        </is>
      </c>
      <c r="D1446" s="53" t="inlineStr">
        <is>
          <t>Surf</t>
        </is>
      </c>
      <c r="E1446" s="50" t="inlineStr">
        <is>
          <t>PTITARD</t>
        </is>
      </c>
      <c r="F1446" s="51" t="n">
        <v>0.96</v>
      </c>
      <c r="G1446" s="52" t="n">
        <v>15</v>
      </c>
      <c r="H1446" s="52" t="n">
        <v>24</v>
      </c>
      <c r="I1446" s="29">
        <f>IF(OR(COUNTIF('Suivi des rencontres'!$A:$A,$A1446)&gt;0,COUNTIF('Suivi des rencontres'!$C:$C,$J1446)&gt;0),"Non","Oui")</f>
        <v/>
      </c>
      <c r="J1446" s="30" t="inlineStr">
        <is>
          <t>PTITARD</t>
        </is>
      </c>
    </row>
    <row r="1447">
      <c r="A1447" s="47" t="inlineStr">
        <is>
          <t>Rosalia</t>
        </is>
      </c>
      <c r="B1447" s="47" t="inlineStr">
        <is>
          <t>EcruteakCity_hns</t>
        </is>
      </c>
      <c r="C1447" s="62" t="inlineStr">
        <is>
          <t>Nuit</t>
        </is>
      </c>
      <c r="D1447" s="53" t="inlineStr">
        <is>
          <t>Surf</t>
        </is>
      </c>
      <c r="E1447" s="50" t="inlineStr">
        <is>
          <t>TETARTE</t>
        </is>
      </c>
      <c r="F1447" s="51" t="n">
        <v>0.04</v>
      </c>
      <c r="G1447" s="52" t="n">
        <v>20</v>
      </c>
      <c r="H1447" s="52" t="n">
        <v>24</v>
      </c>
      <c r="I1447" s="29">
        <f>IF(OR(COUNTIF('Suivi des rencontres'!$A:$A,$A1447)&gt;0,COUNTIF('Suivi des rencontres'!$C:$C,$J1447)&gt;0),"Non","Oui")</f>
        <v/>
      </c>
      <c r="J1447" s="30" t="inlineStr">
        <is>
          <t>PTITARD</t>
        </is>
      </c>
    </row>
    <row r="1448">
      <c r="A1448" s="47" t="inlineStr">
        <is>
          <t>Rosalia</t>
        </is>
      </c>
      <c r="B1448" s="47" t="inlineStr">
        <is>
          <t>EcruteakCity_hns</t>
        </is>
      </c>
      <c r="C1448" s="48" t="inlineStr">
        <is>
          <t>Matin, jour, soir</t>
        </is>
      </c>
      <c r="D1448" s="36" t="inlineStr">
        <is>
          <t>Éclate-Roc</t>
        </is>
      </c>
      <c r="E1448" s="50" t="inlineStr">
        <is>
          <t>POMDEPIK</t>
        </is>
      </c>
      <c r="F1448" s="51" t="n">
        <v>0.6</v>
      </c>
      <c r="G1448" s="52" t="n">
        <v>10</v>
      </c>
      <c r="H1448" s="52" t="n">
        <v>10</v>
      </c>
      <c r="I1448" s="29">
        <f>IF(OR(COUNTIF('Suivi des rencontres'!$A:$A,$A1448)&gt;0,COUNTIF('Suivi des rencontres'!$C:$C,$J1448)&gt;0),"Non","Oui")</f>
        <v/>
      </c>
      <c r="J1448" s="30" t="inlineStr">
        <is>
          <t>POMDEPIK</t>
        </is>
      </c>
    </row>
    <row r="1449">
      <c r="A1449" s="47" t="inlineStr">
        <is>
          <t>Rosalia</t>
        </is>
      </c>
      <c r="B1449" s="47" t="inlineStr">
        <is>
          <t>EcruteakCity_hns</t>
        </is>
      </c>
      <c r="C1449" s="48" t="inlineStr">
        <is>
          <t>Matin, jour, soir</t>
        </is>
      </c>
      <c r="D1449" s="36" t="inlineStr">
        <is>
          <t>Éclate-Roc</t>
        </is>
      </c>
      <c r="E1449" s="50" t="inlineStr">
        <is>
          <t>NOEUNOEUF</t>
        </is>
      </c>
      <c r="F1449" s="51" t="n">
        <v>0.3</v>
      </c>
      <c r="G1449" s="52" t="n">
        <v>10</v>
      </c>
      <c r="H1449" s="52" t="n">
        <v>10</v>
      </c>
      <c r="I1449" s="29">
        <f>IF(OR(COUNTIF('Suivi des rencontres'!$A:$A,$A1449)&gt;0,COUNTIF('Suivi des rencontres'!$C:$C,$J1449)&gt;0),"Non","Oui")</f>
        <v/>
      </c>
      <c r="J1449" s="30" t="inlineStr">
        <is>
          <t>NOEUNOEUF</t>
        </is>
      </c>
    </row>
    <row r="1450">
      <c r="A1450" s="47" t="inlineStr">
        <is>
          <t>Rosalia</t>
        </is>
      </c>
      <c r="B1450" s="47" t="inlineStr">
        <is>
          <t>EcruteakCity_hns</t>
        </is>
      </c>
      <c r="C1450" s="48" t="inlineStr">
        <is>
          <t>Matin, jour, soir</t>
        </is>
      </c>
      <c r="D1450" s="36" t="inlineStr">
        <is>
          <t>Éclate-Roc</t>
        </is>
      </c>
      <c r="E1450" s="50" t="inlineStr">
        <is>
          <t>COXY</t>
        </is>
      </c>
      <c r="F1450" s="51" t="n">
        <v>0.05</v>
      </c>
      <c r="G1450" s="52" t="n">
        <v>10</v>
      </c>
      <c r="H1450" s="52" t="n">
        <v>10</v>
      </c>
      <c r="I1450" s="29">
        <f>IF(OR(COUNTIF('Suivi des rencontres'!$A:$A,$A1450)&gt;0,COUNTIF('Suivi des rencontres'!$C:$C,$J1450)&gt;0),"Non","Oui")</f>
        <v/>
      </c>
      <c r="J1450" s="30" t="inlineStr">
        <is>
          <t>COXY</t>
        </is>
      </c>
    </row>
    <row r="1451">
      <c r="A1451" s="47" t="inlineStr">
        <is>
          <t>Rosalia</t>
        </is>
      </c>
      <c r="B1451" s="47" t="inlineStr">
        <is>
          <t>EcruteakCity_hns</t>
        </is>
      </c>
      <c r="C1451" s="48" t="inlineStr">
        <is>
          <t>Matin, jour, soir</t>
        </is>
      </c>
      <c r="D1451" s="36" t="inlineStr">
        <is>
          <t>Éclate-Roc</t>
        </is>
      </c>
      <c r="E1451" s="50" t="inlineStr">
        <is>
          <t>MIMIGAL</t>
        </is>
      </c>
      <c r="F1451" s="51" t="n">
        <v>0.05</v>
      </c>
      <c r="G1451" s="52" t="n">
        <v>10</v>
      </c>
      <c r="H1451" s="52" t="n">
        <v>10</v>
      </c>
      <c r="I1451" s="29">
        <f>IF(OR(COUNTIF('Suivi des rencontres'!$A:$A,$A1451)&gt;0,COUNTIF('Suivi des rencontres'!$C:$C,$J1451)&gt;0),"Non","Oui")</f>
        <v/>
      </c>
      <c r="J1451" s="30" t="inlineStr">
        <is>
          <t>MIMIGAL</t>
        </is>
      </c>
    </row>
    <row r="1452">
      <c r="A1452" s="47" t="inlineStr">
        <is>
          <t>Rosalia</t>
        </is>
      </c>
      <c r="B1452" s="47" t="inlineStr">
        <is>
          <t>EcruteakCity_hns</t>
        </is>
      </c>
      <c r="C1452" s="62" t="inlineStr">
        <is>
          <t>Nuit</t>
        </is>
      </c>
      <c r="D1452" s="36" t="inlineStr">
        <is>
          <t>Éclate-Roc</t>
        </is>
      </c>
      <c r="E1452" s="50" t="inlineStr">
        <is>
          <t>POMDEPIK</t>
        </is>
      </c>
      <c r="F1452" s="51" t="n">
        <v>0.6</v>
      </c>
      <c r="G1452" s="52" t="n">
        <v>10</v>
      </c>
      <c r="H1452" s="52" t="n">
        <v>10</v>
      </c>
      <c r="I1452" s="29">
        <f>IF(OR(COUNTIF('Suivi des rencontres'!$A:$A,$A1452)&gt;0,COUNTIF('Suivi des rencontres'!$C:$C,$J1452)&gt;0),"Non","Oui")</f>
        <v/>
      </c>
      <c r="J1452" s="30" t="inlineStr">
        <is>
          <t>POMDEPIK</t>
        </is>
      </c>
    </row>
    <row r="1453">
      <c r="A1453" s="47" t="inlineStr">
        <is>
          <t>Rosalia</t>
        </is>
      </c>
      <c r="B1453" s="47" t="inlineStr">
        <is>
          <t>EcruteakCity_hns</t>
        </is>
      </c>
      <c r="C1453" s="62" t="inlineStr">
        <is>
          <t>Nuit</t>
        </is>
      </c>
      <c r="D1453" s="36" t="inlineStr">
        <is>
          <t>Éclate-Roc</t>
        </is>
      </c>
      <c r="E1453" s="50" t="inlineStr">
        <is>
          <t>NOEUNOEUF</t>
        </is>
      </c>
      <c r="F1453" s="51" t="n">
        <v>0.3</v>
      </c>
      <c r="G1453" s="52" t="n">
        <v>10</v>
      </c>
      <c r="H1453" s="52" t="n">
        <v>10</v>
      </c>
      <c r="I1453" s="29">
        <f>IF(OR(COUNTIF('Suivi des rencontres'!$A:$A,$A1453)&gt;0,COUNTIF('Suivi des rencontres'!$C:$C,$J1453)&gt;0),"Non","Oui")</f>
        <v/>
      </c>
      <c r="J1453" s="30" t="inlineStr">
        <is>
          <t>NOEUNOEUF</t>
        </is>
      </c>
    </row>
    <row r="1454">
      <c r="A1454" s="47" t="inlineStr">
        <is>
          <t>Rosalia</t>
        </is>
      </c>
      <c r="B1454" s="47" t="inlineStr">
        <is>
          <t>EcruteakCity_hns</t>
        </is>
      </c>
      <c r="C1454" s="62" t="inlineStr">
        <is>
          <t>Nuit</t>
        </is>
      </c>
      <c r="D1454" s="36" t="inlineStr">
        <is>
          <t>Éclate-Roc</t>
        </is>
      </c>
      <c r="E1454" s="50" t="inlineStr">
        <is>
          <t>COXY</t>
        </is>
      </c>
      <c r="F1454" s="51" t="n">
        <v>0.05</v>
      </c>
      <c r="G1454" s="52" t="n">
        <v>10</v>
      </c>
      <c r="H1454" s="52" t="n">
        <v>10</v>
      </c>
      <c r="I1454" s="29">
        <f>IF(OR(COUNTIF('Suivi des rencontres'!$A:$A,$A1454)&gt;0,COUNTIF('Suivi des rencontres'!$C:$C,$J1454)&gt;0),"Non","Oui")</f>
        <v/>
      </c>
      <c r="J1454" s="30" t="inlineStr">
        <is>
          <t>COXY</t>
        </is>
      </c>
    </row>
    <row r="1455">
      <c r="A1455" s="47" t="inlineStr">
        <is>
          <t>Rosalia</t>
        </is>
      </c>
      <c r="B1455" s="47" t="inlineStr">
        <is>
          <t>EcruteakCity_hns</t>
        </is>
      </c>
      <c r="C1455" s="62" t="inlineStr">
        <is>
          <t>Nuit</t>
        </is>
      </c>
      <c r="D1455" s="36" t="inlineStr">
        <is>
          <t>Éclate-Roc</t>
        </is>
      </c>
      <c r="E1455" s="50" t="inlineStr">
        <is>
          <t>MIMIGAL</t>
        </is>
      </c>
      <c r="F1455" s="51" t="n">
        <v>0.05</v>
      </c>
      <c r="G1455" s="52" t="n">
        <v>10</v>
      </c>
      <c r="H1455" s="52" t="n">
        <v>10</v>
      </c>
      <c r="I1455" s="29">
        <f>IF(OR(COUNTIF('Suivi des rencontres'!$A:$A,$A1455)&gt;0,COUNTIF('Suivi des rencontres'!$C:$C,$J1455)&gt;0),"Non","Oui")</f>
        <v/>
      </c>
      <c r="J1455" s="30" t="inlineStr">
        <is>
          <t>MIMIGAL</t>
        </is>
      </c>
    </row>
    <row r="1456">
      <c r="A1456" s="47" t="inlineStr">
        <is>
          <t>Rosalia</t>
        </is>
      </c>
      <c r="B1456" s="47" t="inlineStr">
        <is>
          <t>EcruteakCity_hns</t>
        </is>
      </c>
      <c r="C1456" s="48" t="inlineStr">
        <is>
          <t>Matin, jour, soir</t>
        </is>
      </c>
      <c r="D1456" s="54" t="inlineStr">
        <is>
          <t>Vieille Canne</t>
        </is>
      </c>
      <c r="E1456" s="50" t="inlineStr">
        <is>
          <t>MAGICARPE</t>
        </is>
      </c>
      <c r="F1456" s="51" t="n">
        <v>0.7</v>
      </c>
      <c r="G1456" s="52" t="n">
        <v>10</v>
      </c>
      <c r="H1456" s="52" t="n">
        <v>10</v>
      </c>
      <c r="I1456" s="29">
        <f>IF(OR(COUNTIF('Suivi des rencontres'!$A:$A,$A1456)&gt;0,COUNTIF('Suivi des rencontres'!$C:$C,$J1456)&gt;0),"Non","Oui")</f>
        <v/>
      </c>
      <c r="J1456" s="30" t="inlineStr">
        <is>
          <t>MAGICARPE</t>
        </is>
      </c>
    </row>
    <row r="1457">
      <c r="A1457" s="47" t="inlineStr">
        <is>
          <t>Rosalia</t>
        </is>
      </c>
      <c r="B1457" s="47" t="inlineStr">
        <is>
          <t>EcruteakCity_hns</t>
        </is>
      </c>
      <c r="C1457" s="48" t="inlineStr">
        <is>
          <t>Matin, jour, soir</t>
        </is>
      </c>
      <c r="D1457" s="54" t="inlineStr">
        <is>
          <t>Vieille Canne</t>
        </is>
      </c>
      <c r="E1457" s="50" t="inlineStr">
        <is>
          <t>PTITARD</t>
        </is>
      </c>
      <c r="F1457" s="51" t="n">
        <v>0.3</v>
      </c>
      <c r="G1457" s="52" t="n">
        <v>10</v>
      </c>
      <c r="H1457" s="52" t="n">
        <v>10</v>
      </c>
      <c r="I1457" s="29">
        <f>IF(OR(COUNTIF('Suivi des rencontres'!$A:$A,$A1457)&gt;0,COUNTIF('Suivi des rencontres'!$C:$C,$J1457)&gt;0),"Non","Oui")</f>
        <v/>
      </c>
      <c r="J1457" s="30" t="inlineStr">
        <is>
          <t>PTITARD</t>
        </is>
      </c>
    </row>
    <row r="1458">
      <c r="A1458" s="47" t="inlineStr">
        <is>
          <t>Rosalia</t>
        </is>
      </c>
      <c r="B1458" s="47" t="inlineStr">
        <is>
          <t>EcruteakCity_hns</t>
        </is>
      </c>
      <c r="C1458" s="62" t="inlineStr">
        <is>
          <t>Nuit</t>
        </is>
      </c>
      <c r="D1458" s="54" t="inlineStr">
        <is>
          <t>Vieille Canne</t>
        </is>
      </c>
      <c r="E1458" s="50" t="inlineStr">
        <is>
          <t>MAGICARPE</t>
        </is>
      </c>
      <c r="F1458" s="51" t="n">
        <v>0.7</v>
      </c>
      <c r="G1458" s="52" t="n">
        <v>10</v>
      </c>
      <c r="H1458" s="52" t="n">
        <v>10</v>
      </c>
      <c r="I1458" s="29">
        <f>IF(OR(COUNTIF('Suivi des rencontres'!$A:$A,$A1458)&gt;0,COUNTIF('Suivi des rencontres'!$C:$C,$J1458)&gt;0),"Non","Oui")</f>
        <v/>
      </c>
      <c r="J1458" s="30" t="inlineStr">
        <is>
          <t>MAGICARPE</t>
        </is>
      </c>
    </row>
    <row r="1459">
      <c r="A1459" s="47" t="inlineStr">
        <is>
          <t>Rosalia</t>
        </is>
      </c>
      <c r="B1459" s="47" t="inlineStr">
        <is>
          <t>EcruteakCity_hns</t>
        </is>
      </c>
      <c r="C1459" s="62" t="inlineStr">
        <is>
          <t>Nuit</t>
        </is>
      </c>
      <c r="D1459" s="54" t="inlineStr">
        <is>
          <t>Vieille Canne</t>
        </is>
      </c>
      <c r="E1459" s="50" t="inlineStr">
        <is>
          <t>PTITARD</t>
        </is>
      </c>
      <c r="F1459" s="51" t="n">
        <v>0.3</v>
      </c>
      <c r="G1459" s="52" t="n">
        <v>10</v>
      </c>
      <c r="H1459" s="52" t="n">
        <v>10</v>
      </c>
      <c r="I1459" s="29">
        <f>IF(OR(COUNTIF('Suivi des rencontres'!$A:$A,$A1459)&gt;0,COUNTIF('Suivi des rencontres'!$C:$C,$J1459)&gt;0),"Non","Oui")</f>
        <v/>
      </c>
      <c r="J1459" s="30" t="inlineStr">
        <is>
          <t>PTITARD</t>
        </is>
      </c>
    </row>
    <row r="1460">
      <c r="A1460" s="47" t="inlineStr">
        <is>
          <t>Rosalia</t>
        </is>
      </c>
      <c r="B1460" s="47" t="inlineStr">
        <is>
          <t>EcruteakCity_hns</t>
        </is>
      </c>
      <c r="C1460" s="48" t="inlineStr">
        <is>
          <t>Matin, jour, soir</t>
        </is>
      </c>
      <c r="D1460" s="55" t="inlineStr">
        <is>
          <t>Bonne Canne</t>
        </is>
      </c>
      <c r="E1460" s="50" t="inlineStr">
        <is>
          <t>PTITARD</t>
        </is>
      </c>
      <c r="F1460" s="51" t="n">
        <v>0.8</v>
      </c>
      <c r="G1460" s="52" t="n">
        <v>20</v>
      </c>
      <c r="H1460" s="52" t="n">
        <v>20</v>
      </c>
      <c r="I1460" s="29">
        <f>IF(OR(COUNTIF('Suivi des rencontres'!$A:$A,$A1460)&gt;0,COUNTIF('Suivi des rencontres'!$C:$C,$J1460)&gt;0),"Non","Oui")</f>
        <v/>
      </c>
      <c r="J1460" s="30" t="inlineStr">
        <is>
          <t>PTITARD</t>
        </is>
      </c>
    </row>
    <row r="1461">
      <c r="A1461" s="47" t="inlineStr">
        <is>
          <t>Rosalia</t>
        </is>
      </c>
      <c r="B1461" s="47" t="inlineStr">
        <is>
          <t>EcruteakCity_hns</t>
        </is>
      </c>
      <c r="C1461" s="48" t="inlineStr">
        <is>
          <t>Matin, jour, soir</t>
        </is>
      </c>
      <c r="D1461" s="55" t="inlineStr">
        <is>
          <t>Bonne Canne</t>
        </is>
      </c>
      <c r="E1461" s="50" t="inlineStr">
        <is>
          <t>MAGICARPE</t>
        </is>
      </c>
      <c r="F1461" s="51" t="n">
        <v>0.2</v>
      </c>
      <c r="G1461" s="52" t="n">
        <v>20</v>
      </c>
      <c r="H1461" s="52" t="n">
        <v>20</v>
      </c>
      <c r="I1461" s="29">
        <f>IF(OR(COUNTIF('Suivi des rencontres'!$A:$A,$A1461)&gt;0,COUNTIF('Suivi des rencontres'!$C:$C,$J1461)&gt;0),"Non","Oui")</f>
        <v/>
      </c>
      <c r="J1461" s="30" t="inlineStr">
        <is>
          <t>MAGICARPE</t>
        </is>
      </c>
    </row>
    <row r="1462">
      <c r="A1462" s="47" t="inlineStr">
        <is>
          <t>Rosalia</t>
        </is>
      </c>
      <c r="B1462" s="47" t="inlineStr">
        <is>
          <t>EcruteakCity_hns</t>
        </is>
      </c>
      <c r="C1462" s="62" t="inlineStr">
        <is>
          <t>Nuit</t>
        </is>
      </c>
      <c r="D1462" s="55" t="inlineStr">
        <is>
          <t>Bonne Canne</t>
        </is>
      </c>
      <c r="E1462" s="50" t="inlineStr">
        <is>
          <t>PTITARD</t>
        </is>
      </c>
      <c r="F1462" s="51" t="n">
        <v>0.8</v>
      </c>
      <c r="G1462" s="52" t="n">
        <v>20</v>
      </c>
      <c r="H1462" s="52" t="n">
        <v>20</v>
      </c>
      <c r="I1462" s="29">
        <f>IF(OR(COUNTIF('Suivi des rencontres'!$A:$A,$A1462)&gt;0,COUNTIF('Suivi des rencontres'!$C:$C,$J1462)&gt;0),"Non","Oui")</f>
        <v/>
      </c>
      <c r="J1462" s="30" t="inlineStr">
        <is>
          <t>PTITARD</t>
        </is>
      </c>
    </row>
    <row r="1463">
      <c r="A1463" s="47" t="inlineStr">
        <is>
          <t>Rosalia</t>
        </is>
      </c>
      <c r="B1463" s="47" t="inlineStr">
        <is>
          <t>EcruteakCity_hns</t>
        </is>
      </c>
      <c r="C1463" s="62" t="inlineStr">
        <is>
          <t>Nuit</t>
        </is>
      </c>
      <c r="D1463" s="55" t="inlineStr">
        <is>
          <t>Bonne Canne</t>
        </is>
      </c>
      <c r="E1463" s="50" t="inlineStr">
        <is>
          <t>MAGICARPE</t>
        </is>
      </c>
      <c r="F1463" s="51" t="n">
        <v>0.2</v>
      </c>
      <c r="G1463" s="52" t="n">
        <v>20</v>
      </c>
      <c r="H1463" s="52" t="n">
        <v>20</v>
      </c>
      <c r="I1463" s="29">
        <f>IF(OR(COUNTIF('Suivi des rencontres'!$A:$A,$A1463)&gt;0,COUNTIF('Suivi des rencontres'!$C:$C,$J1463)&gt;0),"Non","Oui")</f>
        <v/>
      </c>
      <c r="J1463" s="30" t="inlineStr">
        <is>
          <t>MAGICARPE</t>
        </is>
      </c>
    </row>
    <row r="1464">
      <c r="A1464" s="47" t="inlineStr">
        <is>
          <t>Rosalia</t>
        </is>
      </c>
      <c r="B1464" s="47" t="inlineStr">
        <is>
          <t>EcruteakCity_hns</t>
        </is>
      </c>
      <c r="C1464" s="48" t="inlineStr">
        <is>
          <t>Matin, jour, soir</t>
        </is>
      </c>
      <c r="D1464" s="56" t="inlineStr">
        <is>
          <t>Super Canne</t>
        </is>
      </c>
      <c r="E1464" s="50" t="inlineStr">
        <is>
          <t>PTITARD</t>
        </is>
      </c>
      <c r="F1464" s="51" t="n">
        <v>0.8100000000000001</v>
      </c>
      <c r="G1464" s="52" t="n">
        <v>40</v>
      </c>
      <c r="H1464" s="52" t="n">
        <v>40</v>
      </c>
      <c r="I1464" s="29">
        <f>IF(OR(COUNTIF('Suivi des rencontres'!$A:$A,$A1464)&gt;0,COUNTIF('Suivi des rencontres'!$C:$C,$J1464)&gt;0),"Non","Oui")</f>
        <v/>
      </c>
      <c r="J1464" s="30" t="inlineStr">
        <is>
          <t>PTITARD</t>
        </is>
      </c>
    </row>
    <row r="1465">
      <c r="A1465" s="47" t="inlineStr">
        <is>
          <t>Rosalia</t>
        </is>
      </c>
      <c r="B1465" s="47" t="inlineStr">
        <is>
          <t>EcruteakCity_hns</t>
        </is>
      </c>
      <c r="C1465" s="48" t="inlineStr">
        <is>
          <t>Matin, jour, soir</t>
        </is>
      </c>
      <c r="D1465" s="56" t="inlineStr">
        <is>
          <t>Super Canne</t>
        </is>
      </c>
      <c r="E1465" s="50" t="inlineStr">
        <is>
          <t>MAGICARPE</t>
        </is>
      </c>
      <c r="F1465" s="51" t="n">
        <v>0.15</v>
      </c>
      <c r="G1465" s="52" t="n">
        <v>40</v>
      </c>
      <c r="H1465" s="52" t="n">
        <v>40</v>
      </c>
      <c r="I1465" s="29">
        <f>IF(OR(COUNTIF('Suivi des rencontres'!$A:$A,$A1465)&gt;0,COUNTIF('Suivi des rencontres'!$C:$C,$J1465)&gt;0),"Non","Oui")</f>
        <v/>
      </c>
      <c r="J1465" s="30" t="inlineStr">
        <is>
          <t>MAGICARPE</t>
        </is>
      </c>
    </row>
    <row r="1466">
      <c r="A1466" s="47" t="inlineStr">
        <is>
          <t>Rosalia</t>
        </is>
      </c>
      <c r="B1466" s="47" t="inlineStr">
        <is>
          <t>EcruteakCity_hns</t>
        </is>
      </c>
      <c r="C1466" s="48" t="inlineStr">
        <is>
          <t>Matin, jour, soir</t>
        </is>
      </c>
      <c r="D1466" s="56" t="inlineStr">
        <is>
          <t>Super Canne</t>
        </is>
      </c>
      <c r="E1466" s="50" t="inlineStr">
        <is>
          <t>TETARTE</t>
        </is>
      </c>
      <c r="F1466" s="51" t="n">
        <v>0.04</v>
      </c>
      <c r="G1466" s="52" t="n">
        <v>40</v>
      </c>
      <c r="H1466" s="52" t="n">
        <v>40</v>
      </c>
      <c r="I1466" s="29">
        <f>IF(OR(COUNTIF('Suivi des rencontres'!$A:$A,$A1466)&gt;0,COUNTIF('Suivi des rencontres'!$C:$C,$J1466)&gt;0),"Non","Oui")</f>
        <v/>
      </c>
      <c r="J1466" s="30" t="inlineStr">
        <is>
          <t>PTITARD</t>
        </is>
      </c>
    </row>
    <row r="1467">
      <c r="A1467" s="47" t="inlineStr">
        <is>
          <t>Rosalia</t>
        </is>
      </c>
      <c r="B1467" s="47" t="inlineStr">
        <is>
          <t>EcruteakCity_hns</t>
        </is>
      </c>
      <c r="C1467" s="62" t="inlineStr">
        <is>
          <t>Nuit</t>
        </is>
      </c>
      <c r="D1467" s="56" t="inlineStr">
        <is>
          <t>Super Canne</t>
        </is>
      </c>
      <c r="E1467" s="50" t="inlineStr">
        <is>
          <t>PTITARD</t>
        </is>
      </c>
      <c r="F1467" s="51" t="n">
        <v>0.8100000000000001</v>
      </c>
      <c r="G1467" s="52" t="n">
        <v>40</v>
      </c>
      <c r="H1467" s="52" t="n">
        <v>40</v>
      </c>
      <c r="I1467" s="29">
        <f>IF(OR(COUNTIF('Suivi des rencontres'!$A:$A,$A1467)&gt;0,COUNTIF('Suivi des rencontres'!$C:$C,$J1467)&gt;0),"Non","Oui")</f>
        <v/>
      </c>
      <c r="J1467" s="30" t="inlineStr">
        <is>
          <t>PTITARD</t>
        </is>
      </c>
    </row>
    <row r="1468">
      <c r="A1468" s="47" t="inlineStr">
        <is>
          <t>Rosalia</t>
        </is>
      </c>
      <c r="B1468" s="47" t="inlineStr">
        <is>
          <t>EcruteakCity_hns</t>
        </is>
      </c>
      <c r="C1468" s="62" t="inlineStr">
        <is>
          <t>Nuit</t>
        </is>
      </c>
      <c r="D1468" s="56" t="inlineStr">
        <is>
          <t>Super Canne</t>
        </is>
      </c>
      <c r="E1468" s="50" t="inlineStr">
        <is>
          <t>MAGICARPE</t>
        </is>
      </c>
      <c r="F1468" s="51" t="n">
        <v>0.15</v>
      </c>
      <c r="G1468" s="52" t="n">
        <v>40</v>
      </c>
      <c r="H1468" s="52" t="n">
        <v>40</v>
      </c>
      <c r="I1468" s="29">
        <f>IF(OR(COUNTIF('Suivi des rencontres'!$A:$A,$A1468)&gt;0,COUNTIF('Suivi des rencontres'!$C:$C,$J1468)&gt;0),"Non","Oui")</f>
        <v/>
      </c>
      <c r="J1468" s="30" t="inlineStr">
        <is>
          <t>MAGICARPE</t>
        </is>
      </c>
    </row>
    <row r="1469">
      <c r="A1469" s="47" t="inlineStr">
        <is>
          <t>Rosalia</t>
        </is>
      </c>
      <c r="B1469" s="47" t="inlineStr">
        <is>
          <t>EcruteakCity_hns</t>
        </is>
      </c>
      <c r="C1469" s="62" t="inlineStr">
        <is>
          <t>Nuit</t>
        </is>
      </c>
      <c r="D1469" s="56" t="inlineStr">
        <is>
          <t>Super Canne</t>
        </is>
      </c>
      <c r="E1469" s="50" t="inlineStr">
        <is>
          <t>TETARTE</t>
        </is>
      </c>
      <c r="F1469" s="51" t="n">
        <v>0.04</v>
      </c>
      <c r="G1469" s="52" t="n">
        <v>40</v>
      </c>
      <c r="H1469" s="52" t="n">
        <v>40</v>
      </c>
      <c r="I1469" s="29">
        <f>IF(OR(COUNTIF('Suivi des rencontres'!$A:$A,$A1469)&gt;0,COUNTIF('Suivi des rencontres'!$C:$C,$J1469)&gt;0),"Non","Oui")</f>
        <v/>
      </c>
      <c r="J1469" s="30" t="inlineStr">
        <is>
          <t>PTITARD</t>
        </is>
      </c>
    </row>
    <row r="1470">
      <c r="A1470" s="57" t="inlineStr">
        <is>
          <t>Route 1</t>
        </is>
      </c>
      <c r="B1470" s="57" t="inlineStr">
        <is>
          <t>Route1_hns</t>
        </is>
      </c>
      <c r="C1470" s="58" t="inlineStr">
        <is>
          <t>Matin, jour, soir</t>
        </is>
      </c>
      <c r="D1470" s="42" t="inlineStr">
        <is>
          <t>Herbe</t>
        </is>
      </c>
      <c r="E1470" s="59" t="inlineStr">
        <is>
          <t>ROUCOOL</t>
        </is>
      </c>
      <c r="F1470" s="60" t="n">
        <v>0.34</v>
      </c>
      <c r="G1470" s="61" t="n">
        <v>42</v>
      </c>
      <c r="H1470" s="61" t="n">
        <v>46</v>
      </c>
      <c r="I1470" s="46">
        <f>IF(OR(COUNTIF('Suivi des rencontres'!$A:$A,$A1470)&gt;0,COUNTIF('Suivi des rencontres'!$C:$C,$J1470)&gt;0),"Non","Oui")</f>
        <v/>
      </c>
      <c r="J1470" s="30" t="inlineStr">
        <is>
          <t>ROUCOOL</t>
        </is>
      </c>
    </row>
    <row r="1471">
      <c r="A1471" s="35" t="inlineStr">
        <is>
          <t>Route 1</t>
        </is>
      </c>
      <c r="B1471" s="35" t="inlineStr">
        <is>
          <t>Route1_hns</t>
        </is>
      </c>
      <c r="C1471" s="33" t="inlineStr">
        <is>
          <t>Matin, jour, soir</t>
        </is>
      </c>
      <c r="D1471" s="49" t="inlineStr">
        <is>
          <t>Herbe</t>
        </is>
      </c>
      <c r="E1471" s="37" t="inlineStr">
        <is>
          <t>RATTATA</t>
        </is>
      </c>
      <c r="F1471" s="38" t="n">
        <v>0.3</v>
      </c>
      <c r="G1471" s="39" t="n">
        <v>42</v>
      </c>
      <c r="H1471" s="39" t="n">
        <v>44</v>
      </c>
      <c r="I1471" s="29">
        <f>IF(OR(COUNTIF('Suivi des rencontres'!$A:$A,$A1471)&gt;0,COUNTIF('Suivi des rencontres'!$C:$C,$J1471)&gt;0),"Non","Oui")</f>
        <v/>
      </c>
      <c r="J1471" s="30" t="inlineStr">
        <is>
          <t>RATTATA</t>
        </is>
      </c>
    </row>
    <row r="1472">
      <c r="A1472" s="35" t="inlineStr">
        <is>
          <t>Route 1</t>
        </is>
      </c>
      <c r="B1472" s="35" t="inlineStr">
        <is>
          <t>Route1_hns</t>
        </is>
      </c>
      <c r="C1472" s="33" t="inlineStr">
        <is>
          <t>Matin, jour, soir</t>
        </is>
      </c>
      <c r="D1472" s="49" t="inlineStr">
        <is>
          <t>Herbe</t>
        </is>
      </c>
      <c r="E1472" s="37" t="inlineStr">
        <is>
          <t>FOUINAR</t>
        </is>
      </c>
      <c r="F1472" s="38" t="n">
        <v>0.16</v>
      </c>
      <c r="G1472" s="39" t="n">
        <v>46</v>
      </c>
      <c r="H1472" s="39" t="n">
        <v>48</v>
      </c>
      <c r="I1472" s="29">
        <f>IF(OR(COUNTIF('Suivi des rencontres'!$A:$A,$A1472)&gt;0,COUNTIF('Suivi des rencontres'!$C:$C,$J1472)&gt;0),"Non","Oui")</f>
        <v/>
      </c>
      <c r="J1472" s="30" t="inlineStr">
        <is>
          <t>FOUINETTE</t>
        </is>
      </c>
    </row>
    <row r="1473">
      <c r="A1473" s="35" t="inlineStr">
        <is>
          <t>Route 1</t>
        </is>
      </c>
      <c r="B1473" s="35" t="inlineStr">
        <is>
          <t>Route1_hns</t>
        </is>
      </c>
      <c r="C1473" s="33" t="inlineStr">
        <is>
          <t>Matin, jour, soir</t>
        </is>
      </c>
      <c r="D1473" s="49" t="inlineStr">
        <is>
          <t>Herbe</t>
        </is>
      </c>
      <c r="E1473" s="37" t="inlineStr">
        <is>
          <t>FOUINETTE</t>
        </is>
      </c>
      <c r="F1473" s="38" t="n">
        <v>0.15</v>
      </c>
      <c r="G1473" s="39" t="n">
        <v>42</v>
      </c>
      <c r="H1473" s="39" t="n">
        <v>45</v>
      </c>
      <c r="I1473" s="29">
        <f>IF(OR(COUNTIF('Suivi des rencontres'!$A:$A,$A1473)&gt;0,COUNTIF('Suivi des rencontres'!$C:$C,$J1473)&gt;0),"Non","Oui")</f>
        <v/>
      </c>
      <c r="J1473" s="30" t="inlineStr">
        <is>
          <t>FOUINETTE</t>
        </is>
      </c>
    </row>
    <row r="1474">
      <c r="A1474" s="35" t="inlineStr">
        <is>
          <t>Route 1</t>
        </is>
      </c>
      <c r="B1474" s="35" t="inlineStr">
        <is>
          <t>Route1_hns</t>
        </is>
      </c>
      <c r="C1474" s="33" t="inlineStr">
        <is>
          <t>Matin, jour, soir</t>
        </is>
      </c>
      <c r="D1474" s="49" t="inlineStr">
        <is>
          <t>Herbe</t>
        </is>
      </c>
      <c r="E1474" s="37" t="inlineStr">
        <is>
          <t>MEDHYENA</t>
        </is>
      </c>
      <c r="F1474" s="38" t="n">
        <v>0.05</v>
      </c>
      <c r="G1474" s="39" t="n">
        <v>43</v>
      </c>
      <c r="H1474" s="39" t="n">
        <v>45</v>
      </c>
      <c r="I1474" s="29">
        <f>IF(OR(COUNTIF('Suivi des rencontres'!$A:$A,$A1474)&gt;0,COUNTIF('Suivi des rencontres'!$C:$C,$J1474)&gt;0),"Non","Oui")</f>
        <v/>
      </c>
      <c r="J1474" s="30" t="inlineStr">
        <is>
          <t>MEDHYENA</t>
        </is>
      </c>
    </row>
    <row r="1475">
      <c r="A1475" s="35" t="inlineStr">
        <is>
          <t>Route 1</t>
        </is>
      </c>
      <c r="B1475" s="35" t="inlineStr">
        <is>
          <t>Route1_hns</t>
        </is>
      </c>
      <c r="C1475" s="62" t="inlineStr">
        <is>
          <t>Nuit</t>
        </is>
      </c>
      <c r="D1475" s="49" t="inlineStr">
        <is>
          <t>Herbe</t>
        </is>
      </c>
      <c r="E1475" s="37" t="inlineStr">
        <is>
          <t>HOOTHOOT</t>
        </is>
      </c>
      <c r="F1475" s="38" t="n">
        <v>0.44</v>
      </c>
      <c r="G1475" s="39" t="n">
        <v>42</v>
      </c>
      <c r="H1475" s="39" t="n">
        <v>46</v>
      </c>
      <c r="I1475" s="29">
        <f>IF(OR(COUNTIF('Suivi des rencontres'!$A:$A,$A1475)&gt;0,COUNTIF('Suivi des rencontres'!$C:$C,$J1475)&gt;0),"Non","Oui")</f>
        <v/>
      </c>
      <c r="J1475" s="30" t="inlineStr">
        <is>
          <t>HOOTHOOT</t>
        </is>
      </c>
    </row>
    <row r="1476">
      <c r="A1476" s="35" t="inlineStr">
        <is>
          <t>Route 1</t>
        </is>
      </c>
      <c r="B1476" s="35" t="inlineStr">
        <is>
          <t>Route1_hns</t>
        </is>
      </c>
      <c r="C1476" s="62" t="inlineStr">
        <is>
          <t>Nuit</t>
        </is>
      </c>
      <c r="D1476" s="49" t="inlineStr">
        <is>
          <t>Herbe</t>
        </is>
      </c>
      <c r="E1476" s="37" t="inlineStr">
        <is>
          <t>RATTATA</t>
        </is>
      </c>
      <c r="F1476" s="38" t="n">
        <v>0.4</v>
      </c>
      <c r="G1476" s="39" t="n">
        <v>42</v>
      </c>
      <c r="H1476" s="39" t="n">
        <v>45</v>
      </c>
      <c r="I1476" s="29">
        <f>IF(OR(COUNTIF('Suivi des rencontres'!$A:$A,$A1476)&gt;0,COUNTIF('Suivi des rencontres'!$C:$C,$J1476)&gt;0),"Non","Oui")</f>
        <v/>
      </c>
      <c r="J1476" s="30" t="inlineStr">
        <is>
          <t>RATTATA</t>
        </is>
      </c>
    </row>
    <row r="1477">
      <c r="A1477" s="35" t="inlineStr">
        <is>
          <t>Route 1</t>
        </is>
      </c>
      <c r="B1477" s="35" t="inlineStr">
        <is>
          <t>Route1_hns</t>
        </is>
      </c>
      <c r="C1477" s="62" t="inlineStr">
        <is>
          <t>Nuit</t>
        </is>
      </c>
      <c r="D1477" s="49" t="inlineStr">
        <is>
          <t>Herbe</t>
        </is>
      </c>
      <c r="E1477" s="37" t="inlineStr">
        <is>
          <t>RATTATAC</t>
        </is>
      </c>
      <c r="F1477" s="38" t="n">
        <v>0.06</v>
      </c>
      <c r="G1477" s="39" t="n">
        <v>46</v>
      </c>
      <c r="H1477" s="39" t="n">
        <v>48</v>
      </c>
      <c r="I1477" s="29">
        <f>IF(OR(COUNTIF('Suivi des rencontres'!$A:$A,$A1477)&gt;0,COUNTIF('Suivi des rencontres'!$C:$C,$J1477)&gt;0),"Non","Oui")</f>
        <v/>
      </c>
      <c r="J1477" s="30" t="inlineStr">
        <is>
          <t>RATTATA</t>
        </is>
      </c>
    </row>
    <row r="1478">
      <c r="A1478" s="35" t="inlineStr">
        <is>
          <t>Route 1</t>
        </is>
      </c>
      <c r="B1478" s="35" t="inlineStr">
        <is>
          <t>Route1_hns</t>
        </is>
      </c>
      <c r="C1478" s="62" t="inlineStr">
        <is>
          <t>Nuit</t>
        </is>
      </c>
      <c r="D1478" s="49" t="inlineStr">
        <is>
          <t>Herbe</t>
        </is>
      </c>
      <c r="E1478" s="37" t="inlineStr">
        <is>
          <t>FOUINETTE</t>
        </is>
      </c>
      <c r="F1478" s="38" t="n">
        <v>0.05</v>
      </c>
      <c r="G1478" s="39" t="n">
        <v>46</v>
      </c>
      <c r="H1478" s="39" t="n">
        <v>48</v>
      </c>
      <c r="I1478" s="29">
        <f>IF(OR(COUNTIF('Suivi des rencontres'!$A:$A,$A1478)&gt;0,COUNTIF('Suivi des rencontres'!$C:$C,$J1478)&gt;0),"Non","Oui")</f>
        <v/>
      </c>
      <c r="J1478" s="30" t="inlineStr">
        <is>
          <t>FOUINETTE</t>
        </is>
      </c>
    </row>
    <row r="1479">
      <c r="A1479" s="35" t="inlineStr">
        <is>
          <t>Route 1</t>
        </is>
      </c>
      <c r="B1479" s="35" t="inlineStr">
        <is>
          <t>Route1_hns</t>
        </is>
      </c>
      <c r="C1479" s="62" t="inlineStr">
        <is>
          <t>Nuit</t>
        </is>
      </c>
      <c r="D1479" s="49" t="inlineStr">
        <is>
          <t>Herbe</t>
        </is>
      </c>
      <c r="E1479" s="37" t="inlineStr">
        <is>
          <t>MEDHYENA</t>
        </is>
      </c>
      <c r="F1479" s="38" t="n">
        <v>0.05</v>
      </c>
      <c r="G1479" s="39" t="n">
        <v>42</v>
      </c>
      <c r="H1479" s="39" t="n">
        <v>46</v>
      </c>
      <c r="I1479" s="29">
        <f>IF(OR(COUNTIF('Suivi des rencontres'!$A:$A,$A1479)&gt;0,COUNTIF('Suivi des rencontres'!$C:$C,$J1479)&gt;0),"Non","Oui")</f>
        <v/>
      </c>
      <c r="J1479" s="30" t="inlineStr">
        <is>
          <t>MEDHYENA</t>
        </is>
      </c>
    </row>
    <row r="1480">
      <c r="A1480" s="35" t="inlineStr">
        <is>
          <t>Route 1</t>
        </is>
      </c>
      <c r="B1480" s="35" t="inlineStr">
        <is>
          <t>Route1_hns</t>
        </is>
      </c>
      <c r="C1480" s="33" t="inlineStr">
        <is>
          <t>Matin, jour, soir</t>
        </is>
      </c>
      <c r="D1480" s="53" t="inlineStr">
        <is>
          <t>Surf</t>
        </is>
      </c>
      <c r="E1480" s="37" t="inlineStr">
        <is>
          <t>PTITARD</t>
        </is>
      </c>
      <c r="F1480" s="38" t="n">
        <v>0.96</v>
      </c>
      <c r="G1480" s="39" t="n">
        <v>45</v>
      </c>
      <c r="H1480" s="39" t="n">
        <v>47</v>
      </c>
      <c r="I1480" s="29">
        <f>IF(OR(COUNTIF('Suivi des rencontres'!$A:$A,$A1480)&gt;0,COUNTIF('Suivi des rencontres'!$C:$C,$J1480)&gt;0),"Non","Oui")</f>
        <v/>
      </c>
      <c r="J1480" s="30" t="inlineStr">
        <is>
          <t>PTITARD</t>
        </is>
      </c>
    </row>
    <row r="1481">
      <c r="A1481" s="35" t="inlineStr">
        <is>
          <t>Route 1</t>
        </is>
      </c>
      <c r="B1481" s="35" t="inlineStr">
        <is>
          <t>Route1_hns</t>
        </is>
      </c>
      <c r="C1481" s="33" t="inlineStr">
        <is>
          <t>Matin, jour, soir</t>
        </is>
      </c>
      <c r="D1481" s="53" t="inlineStr">
        <is>
          <t>Surf</t>
        </is>
      </c>
      <c r="E1481" s="37" t="inlineStr">
        <is>
          <t>TETARTE</t>
        </is>
      </c>
      <c r="F1481" s="38" t="n">
        <v>0.04</v>
      </c>
      <c r="G1481" s="39" t="n">
        <v>41</v>
      </c>
      <c r="H1481" s="39" t="n">
        <v>47</v>
      </c>
      <c r="I1481" s="29">
        <f>IF(OR(COUNTIF('Suivi des rencontres'!$A:$A,$A1481)&gt;0,COUNTIF('Suivi des rencontres'!$C:$C,$J1481)&gt;0),"Non","Oui")</f>
        <v/>
      </c>
      <c r="J1481" s="30" t="inlineStr">
        <is>
          <t>PTITARD</t>
        </is>
      </c>
    </row>
    <row r="1482">
      <c r="A1482" s="35" t="inlineStr">
        <is>
          <t>Route 1</t>
        </is>
      </c>
      <c r="B1482" s="35" t="inlineStr">
        <is>
          <t>Route1_hns</t>
        </is>
      </c>
      <c r="C1482" s="62" t="inlineStr">
        <is>
          <t>Nuit</t>
        </is>
      </c>
      <c r="D1482" s="53" t="inlineStr">
        <is>
          <t>Surf</t>
        </is>
      </c>
      <c r="E1482" s="37" t="inlineStr">
        <is>
          <t>PTITARD</t>
        </is>
      </c>
      <c r="F1482" s="38" t="n">
        <v>0.96</v>
      </c>
      <c r="G1482" s="39" t="n">
        <v>45</v>
      </c>
      <c r="H1482" s="39" t="n">
        <v>47</v>
      </c>
      <c r="I1482" s="29">
        <f>IF(OR(COUNTIF('Suivi des rencontres'!$A:$A,$A1482)&gt;0,COUNTIF('Suivi des rencontres'!$C:$C,$J1482)&gt;0),"Non","Oui")</f>
        <v/>
      </c>
      <c r="J1482" s="30" t="inlineStr">
        <is>
          <t>PTITARD</t>
        </is>
      </c>
    </row>
    <row r="1483">
      <c r="A1483" s="35" t="inlineStr">
        <is>
          <t>Route 1</t>
        </is>
      </c>
      <c r="B1483" s="35" t="inlineStr">
        <is>
          <t>Route1_hns</t>
        </is>
      </c>
      <c r="C1483" s="62" t="inlineStr">
        <is>
          <t>Nuit</t>
        </is>
      </c>
      <c r="D1483" s="53" t="inlineStr">
        <is>
          <t>Surf</t>
        </is>
      </c>
      <c r="E1483" s="37" t="inlineStr">
        <is>
          <t>TETARTE</t>
        </is>
      </c>
      <c r="F1483" s="38" t="n">
        <v>0.04</v>
      </c>
      <c r="G1483" s="39" t="n">
        <v>41</v>
      </c>
      <c r="H1483" s="39" t="n">
        <v>47</v>
      </c>
      <c r="I1483" s="29">
        <f>IF(OR(COUNTIF('Suivi des rencontres'!$A:$A,$A1483)&gt;0,COUNTIF('Suivi des rencontres'!$C:$C,$J1483)&gt;0),"Non","Oui")</f>
        <v/>
      </c>
      <c r="J1483" s="30" t="inlineStr">
        <is>
          <t>PTITARD</t>
        </is>
      </c>
    </row>
    <row r="1484">
      <c r="A1484" s="35" t="inlineStr">
        <is>
          <t>Route 1</t>
        </is>
      </c>
      <c r="B1484" s="35" t="inlineStr">
        <is>
          <t>Route1_hns</t>
        </is>
      </c>
      <c r="C1484" s="33" t="inlineStr">
        <is>
          <t>Matin, jour, soir</t>
        </is>
      </c>
      <c r="D1484" s="36" t="inlineStr">
        <is>
          <t>Éclate-Roc</t>
        </is>
      </c>
      <c r="E1484" s="37" t="inlineStr">
        <is>
          <t>POMDEPIK</t>
        </is>
      </c>
      <c r="F1484" s="38" t="n">
        <v>0.6</v>
      </c>
      <c r="G1484" s="39" t="n">
        <v>41</v>
      </c>
      <c r="H1484" s="39" t="n">
        <v>43</v>
      </c>
      <c r="I1484" s="29">
        <f>IF(OR(COUNTIF('Suivi des rencontres'!$A:$A,$A1484)&gt;0,COUNTIF('Suivi des rencontres'!$C:$C,$J1484)&gt;0),"Non","Oui")</f>
        <v/>
      </c>
      <c r="J1484" s="30" t="inlineStr">
        <is>
          <t>POMDEPIK</t>
        </is>
      </c>
    </row>
    <row r="1485">
      <c r="A1485" s="35" t="inlineStr">
        <is>
          <t>Route 1</t>
        </is>
      </c>
      <c r="B1485" s="35" t="inlineStr">
        <is>
          <t>Route1_hns</t>
        </is>
      </c>
      <c r="C1485" s="33" t="inlineStr">
        <is>
          <t>Matin, jour, soir</t>
        </is>
      </c>
      <c r="D1485" s="36" t="inlineStr">
        <is>
          <t>Éclate-Roc</t>
        </is>
      </c>
      <c r="E1485" s="37" t="inlineStr">
        <is>
          <t>NOEUNOEUF</t>
        </is>
      </c>
      <c r="F1485" s="38" t="n">
        <v>0.3</v>
      </c>
      <c r="G1485" s="39" t="n">
        <v>41</v>
      </c>
      <c r="H1485" s="39" t="n">
        <v>43</v>
      </c>
      <c r="I1485" s="29">
        <f>IF(OR(COUNTIF('Suivi des rencontres'!$A:$A,$A1485)&gt;0,COUNTIF('Suivi des rencontres'!$C:$C,$J1485)&gt;0),"Non","Oui")</f>
        <v/>
      </c>
      <c r="J1485" s="30" t="inlineStr">
        <is>
          <t>NOEUNOEUF</t>
        </is>
      </c>
    </row>
    <row r="1486">
      <c r="A1486" s="35" t="inlineStr">
        <is>
          <t>Route 1</t>
        </is>
      </c>
      <c r="B1486" s="35" t="inlineStr">
        <is>
          <t>Route1_hns</t>
        </is>
      </c>
      <c r="C1486" s="33" t="inlineStr">
        <is>
          <t>Matin, jour, soir</t>
        </is>
      </c>
      <c r="D1486" s="36" t="inlineStr">
        <is>
          <t>Éclate-Roc</t>
        </is>
      </c>
      <c r="E1486" s="37" t="inlineStr">
        <is>
          <t>COXY</t>
        </is>
      </c>
      <c r="F1486" s="38" t="n">
        <v>0.05</v>
      </c>
      <c r="G1486" s="39" t="n">
        <v>41</v>
      </c>
      <c r="H1486" s="39" t="n">
        <v>43</v>
      </c>
      <c r="I1486" s="29">
        <f>IF(OR(COUNTIF('Suivi des rencontres'!$A:$A,$A1486)&gt;0,COUNTIF('Suivi des rencontres'!$C:$C,$J1486)&gt;0),"Non","Oui")</f>
        <v/>
      </c>
      <c r="J1486" s="30" t="inlineStr">
        <is>
          <t>COXY</t>
        </is>
      </c>
    </row>
    <row r="1487">
      <c r="A1487" s="35" t="inlineStr">
        <is>
          <t>Route 1</t>
        </is>
      </c>
      <c r="B1487" s="35" t="inlineStr">
        <is>
          <t>Route1_hns</t>
        </is>
      </c>
      <c r="C1487" s="33" t="inlineStr">
        <is>
          <t>Matin, jour, soir</t>
        </is>
      </c>
      <c r="D1487" s="36" t="inlineStr">
        <is>
          <t>Éclate-Roc</t>
        </is>
      </c>
      <c r="E1487" s="37" t="inlineStr">
        <is>
          <t>MIMIGAL</t>
        </is>
      </c>
      <c r="F1487" s="38" t="n">
        <v>0.05</v>
      </c>
      <c r="G1487" s="39" t="n">
        <v>41</v>
      </c>
      <c r="H1487" s="39" t="n">
        <v>43</v>
      </c>
      <c r="I1487" s="29">
        <f>IF(OR(COUNTIF('Suivi des rencontres'!$A:$A,$A1487)&gt;0,COUNTIF('Suivi des rencontres'!$C:$C,$J1487)&gt;0),"Non","Oui")</f>
        <v/>
      </c>
      <c r="J1487" s="30" t="inlineStr">
        <is>
          <t>MIMIGAL</t>
        </is>
      </c>
    </row>
    <row r="1488">
      <c r="A1488" s="35" t="inlineStr">
        <is>
          <t>Route 1</t>
        </is>
      </c>
      <c r="B1488" s="35" t="inlineStr">
        <is>
          <t>Route1_hns</t>
        </is>
      </c>
      <c r="C1488" s="62" t="inlineStr">
        <is>
          <t>Nuit</t>
        </is>
      </c>
      <c r="D1488" s="36" t="inlineStr">
        <is>
          <t>Éclate-Roc</t>
        </is>
      </c>
      <c r="E1488" s="37" t="inlineStr">
        <is>
          <t>POMDEPIK</t>
        </is>
      </c>
      <c r="F1488" s="38" t="n">
        <v>0.6</v>
      </c>
      <c r="G1488" s="39" t="n">
        <v>41</v>
      </c>
      <c r="H1488" s="39" t="n">
        <v>43</v>
      </c>
      <c r="I1488" s="29">
        <f>IF(OR(COUNTIF('Suivi des rencontres'!$A:$A,$A1488)&gt;0,COUNTIF('Suivi des rencontres'!$C:$C,$J1488)&gt;0),"Non","Oui")</f>
        <v/>
      </c>
      <c r="J1488" s="30" t="inlineStr">
        <is>
          <t>POMDEPIK</t>
        </is>
      </c>
    </row>
    <row r="1489">
      <c r="A1489" s="35" t="inlineStr">
        <is>
          <t>Route 1</t>
        </is>
      </c>
      <c r="B1489" s="35" t="inlineStr">
        <is>
          <t>Route1_hns</t>
        </is>
      </c>
      <c r="C1489" s="62" t="inlineStr">
        <is>
          <t>Nuit</t>
        </is>
      </c>
      <c r="D1489" s="36" t="inlineStr">
        <is>
          <t>Éclate-Roc</t>
        </is>
      </c>
      <c r="E1489" s="37" t="inlineStr">
        <is>
          <t>NOEUNOEUF</t>
        </is>
      </c>
      <c r="F1489" s="38" t="n">
        <v>0.3</v>
      </c>
      <c r="G1489" s="39" t="n">
        <v>41</v>
      </c>
      <c r="H1489" s="39" t="n">
        <v>43</v>
      </c>
      <c r="I1489" s="29">
        <f>IF(OR(COUNTIF('Suivi des rencontres'!$A:$A,$A1489)&gt;0,COUNTIF('Suivi des rencontres'!$C:$C,$J1489)&gt;0),"Non","Oui")</f>
        <v/>
      </c>
      <c r="J1489" s="30" t="inlineStr">
        <is>
          <t>NOEUNOEUF</t>
        </is>
      </c>
    </row>
    <row r="1490">
      <c r="A1490" s="35" t="inlineStr">
        <is>
          <t>Route 1</t>
        </is>
      </c>
      <c r="B1490" s="35" t="inlineStr">
        <is>
          <t>Route1_hns</t>
        </is>
      </c>
      <c r="C1490" s="62" t="inlineStr">
        <is>
          <t>Nuit</t>
        </is>
      </c>
      <c r="D1490" s="36" t="inlineStr">
        <is>
          <t>Éclate-Roc</t>
        </is>
      </c>
      <c r="E1490" s="37" t="inlineStr">
        <is>
          <t>COXY</t>
        </is>
      </c>
      <c r="F1490" s="38" t="n">
        <v>0.05</v>
      </c>
      <c r="G1490" s="39" t="n">
        <v>41</v>
      </c>
      <c r="H1490" s="39" t="n">
        <v>43</v>
      </c>
      <c r="I1490" s="29">
        <f>IF(OR(COUNTIF('Suivi des rencontres'!$A:$A,$A1490)&gt;0,COUNTIF('Suivi des rencontres'!$C:$C,$J1490)&gt;0),"Non","Oui")</f>
        <v/>
      </c>
      <c r="J1490" s="30" t="inlineStr">
        <is>
          <t>COXY</t>
        </is>
      </c>
    </row>
    <row r="1491">
      <c r="A1491" s="35" t="inlineStr">
        <is>
          <t>Route 1</t>
        </is>
      </c>
      <c r="B1491" s="35" t="inlineStr">
        <is>
          <t>Route1_hns</t>
        </is>
      </c>
      <c r="C1491" s="62" t="inlineStr">
        <is>
          <t>Nuit</t>
        </is>
      </c>
      <c r="D1491" s="36" t="inlineStr">
        <is>
          <t>Éclate-Roc</t>
        </is>
      </c>
      <c r="E1491" s="37" t="inlineStr">
        <is>
          <t>MIMIGAL</t>
        </is>
      </c>
      <c r="F1491" s="38" t="n">
        <v>0.05</v>
      </c>
      <c r="G1491" s="39" t="n">
        <v>41</v>
      </c>
      <c r="H1491" s="39" t="n">
        <v>43</v>
      </c>
      <c r="I1491" s="29">
        <f>IF(OR(COUNTIF('Suivi des rencontres'!$A:$A,$A1491)&gt;0,COUNTIF('Suivi des rencontres'!$C:$C,$J1491)&gt;0),"Non","Oui")</f>
        <v/>
      </c>
      <c r="J1491" s="30" t="inlineStr">
        <is>
          <t>MIMIGAL</t>
        </is>
      </c>
    </row>
    <row r="1492">
      <c r="A1492" s="35" t="inlineStr">
        <is>
          <t>Route 1</t>
        </is>
      </c>
      <c r="B1492" s="35" t="inlineStr">
        <is>
          <t>Route1_hns</t>
        </is>
      </c>
      <c r="C1492" s="33" t="inlineStr">
        <is>
          <t>Matin, jour, soir</t>
        </is>
      </c>
      <c r="D1492" s="54" t="inlineStr">
        <is>
          <t>Vieille Canne</t>
        </is>
      </c>
      <c r="E1492" s="37" t="inlineStr">
        <is>
          <t>MAGICARPE</t>
        </is>
      </c>
      <c r="F1492" s="38" t="n">
        <v>0.7</v>
      </c>
      <c r="G1492" s="39" t="n">
        <v>41</v>
      </c>
      <c r="H1492" s="39" t="n">
        <v>43</v>
      </c>
      <c r="I1492" s="29">
        <f>IF(OR(COUNTIF('Suivi des rencontres'!$A:$A,$A1492)&gt;0,COUNTIF('Suivi des rencontres'!$C:$C,$J1492)&gt;0),"Non","Oui")</f>
        <v/>
      </c>
      <c r="J1492" s="30" t="inlineStr">
        <is>
          <t>MAGICARPE</t>
        </is>
      </c>
    </row>
    <row r="1493">
      <c r="A1493" s="35" t="inlineStr">
        <is>
          <t>Route 1</t>
        </is>
      </c>
      <c r="B1493" s="35" t="inlineStr">
        <is>
          <t>Route1_hns</t>
        </is>
      </c>
      <c r="C1493" s="33" t="inlineStr">
        <is>
          <t>Matin, jour, soir</t>
        </is>
      </c>
      <c r="D1493" s="54" t="inlineStr">
        <is>
          <t>Vieille Canne</t>
        </is>
      </c>
      <c r="E1493" s="37" t="inlineStr">
        <is>
          <t>PTITARD</t>
        </is>
      </c>
      <c r="F1493" s="38" t="n">
        <v>0.3</v>
      </c>
      <c r="G1493" s="39" t="n">
        <v>41</v>
      </c>
      <c r="H1493" s="39" t="n">
        <v>43</v>
      </c>
      <c r="I1493" s="29">
        <f>IF(OR(COUNTIF('Suivi des rencontres'!$A:$A,$A1493)&gt;0,COUNTIF('Suivi des rencontres'!$C:$C,$J1493)&gt;0),"Non","Oui")</f>
        <v/>
      </c>
      <c r="J1493" s="30" t="inlineStr">
        <is>
          <t>PTITARD</t>
        </is>
      </c>
    </row>
    <row r="1494">
      <c r="A1494" s="35" t="inlineStr">
        <is>
          <t>Route 1</t>
        </is>
      </c>
      <c r="B1494" s="35" t="inlineStr">
        <is>
          <t>Route1_hns</t>
        </is>
      </c>
      <c r="C1494" s="62" t="inlineStr">
        <is>
          <t>Nuit</t>
        </is>
      </c>
      <c r="D1494" s="54" t="inlineStr">
        <is>
          <t>Vieille Canne</t>
        </is>
      </c>
      <c r="E1494" s="37" t="inlineStr">
        <is>
          <t>MAGICARPE</t>
        </is>
      </c>
      <c r="F1494" s="38" t="n">
        <v>0.7</v>
      </c>
      <c r="G1494" s="39" t="n">
        <v>41</v>
      </c>
      <c r="H1494" s="39" t="n">
        <v>43</v>
      </c>
      <c r="I1494" s="29">
        <f>IF(OR(COUNTIF('Suivi des rencontres'!$A:$A,$A1494)&gt;0,COUNTIF('Suivi des rencontres'!$C:$C,$J1494)&gt;0),"Non","Oui")</f>
        <v/>
      </c>
      <c r="J1494" s="30" t="inlineStr">
        <is>
          <t>MAGICARPE</t>
        </is>
      </c>
    </row>
    <row r="1495">
      <c r="A1495" s="35" t="inlineStr">
        <is>
          <t>Route 1</t>
        </is>
      </c>
      <c r="B1495" s="35" t="inlineStr">
        <is>
          <t>Route1_hns</t>
        </is>
      </c>
      <c r="C1495" s="62" t="inlineStr">
        <is>
          <t>Nuit</t>
        </is>
      </c>
      <c r="D1495" s="54" t="inlineStr">
        <is>
          <t>Vieille Canne</t>
        </is>
      </c>
      <c r="E1495" s="37" t="inlineStr">
        <is>
          <t>PTITARD</t>
        </is>
      </c>
      <c r="F1495" s="38" t="n">
        <v>0.3</v>
      </c>
      <c r="G1495" s="39" t="n">
        <v>41</v>
      </c>
      <c r="H1495" s="39" t="n">
        <v>43</v>
      </c>
      <c r="I1495" s="29">
        <f>IF(OR(COUNTIF('Suivi des rencontres'!$A:$A,$A1495)&gt;0,COUNTIF('Suivi des rencontres'!$C:$C,$J1495)&gt;0),"Non","Oui")</f>
        <v/>
      </c>
      <c r="J1495" s="30" t="inlineStr">
        <is>
          <t>PTITARD</t>
        </is>
      </c>
    </row>
    <row r="1496">
      <c r="A1496" s="35" t="inlineStr">
        <is>
          <t>Route 1</t>
        </is>
      </c>
      <c r="B1496" s="35" t="inlineStr">
        <is>
          <t>Route1_hns</t>
        </is>
      </c>
      <c r="C1496" s="33" t="inlineStr">
        <is>
          <t>Matin, jour, soir</t>
        </is>
      </c>
      <c r="D1496" s="55" t="inlineStr">
        <is>
          <t>Bonne Canne</t>
        </is>
      </c>
      <c r="E1496" s="37" t="inlineStr">
        <is>
          <t>PTITARD</t>
        </is>
      </c>
      <c r="F1496" s="38" t="n">
        <v>0.8</v>
      </c>
      <c r="G1496" s="39" t="n">
        <v>42</v>
      </c>
      <c r="H1496" s="39" t="n">
        <v>44</v>
      </c>
      <c r="I1496" s="29">
        <f>IF(OR(COUNTIF('Suivi des rencontres'!$A:$A,$A1496)&gt;0,COUNTIF('Suivi des rencontres'!$C:$C,$J1496)&gt;0),"Non","Oui")</f>
        <v/>
      </c>
      <c r="J1496" s="30" t="inlineStr">
        <is>
          <t>PTITARD</t>
        </is>
      </c>
    </row>
    <row r="1497">
      <c r="A1497" s="35" t="inlineStr">
        <is>
          <t>Route 1</t>
        </is>
      </c>
      <c r="B1497" s="35" t="inlineStr">
        <is>
          <t>Route1_hns</t>
        </is>
      </c>
      <c r="C1497" s="33" t="inlineStr">
        <is>
          <t>Matin, jour, soir</t>
        </is>
      </c>
      <c r="D1497" s="55" t="inlineStr">
        <is>
          <t>Bonne Canne</t>
        </is>
      </c>
      <c r="E1497" s="37" t="inlineStr">
        <is>
          <t>MAGICARPE</t>
        </is>
      </c>
      <c r="F1497" s="38" t="n">
        <v>0.2</v>
      </c>
      <c r="G1497" s="39" t="n">
        <v>42</v>
      </c>
      <c r="H1497" s="39" t="n">
        <v>44</v>
      </c>
      <c r="I1497" s="29">
        <f>IF(OR(COUNTIF('Suivi des rencontres'!$A:$A,$A1497)&gt;0,COUNTIF('Suivi des rencontres'!$C:$C,$J1497)&gt;0),"Non","Oui")</f>
        <v/>
      </c>
      <c r="J1497" s="30" t="inlineStr">
        <is>
          <t>MAGICARPE</t>
        </is>
      </c>
    </row>
    <row r="1498">
      <c r="A1498" s="35" t="inlineStr">
        <is>
          <t>Route 1</t>
        </is>
      </c>
      <c r="B1498" s="35" t="inlineStr">
        <is>
          <t>Route1_hns</t>
        </is>
      </c>
      <c r="C1498" s="62" t="inlineStr">
        <is>
          <t>Nuit</t>
        </is>
      </c>
      <c r="D1498" s="55" t="inlineStr">
        <is>
          <t>Bonne Canne</t>
        </is>
      </c>
      <c r="E1498" s="37" t="inlineStr">
        <is>
          <t>PTITARD</t>
        </is>
      </c>
      <c r="F1498" s="38" t="n">
        <v>0.8</v>
      </c>
      <c r="G1498" s="39" t="n">
        <v>42</v>
      </c>
      <c r="H1498" s="39" t="n">
        <v>44</v>
      </c>
      <c r="I1498" s="29">
        <f>IF(OR(COUNTIF('Suivi des rencontres'!$A:$A,$A1498)&gt;0,COUNTIF('Suivi des rencontres'!$C:$C,$J1498)&gt;0),"Non","Oui")</f>
        <v/>
      </c>
      <c r="J1498" s="30" t="inlineStr">
        <is>
          <t>PTITARD</t>
        </is>
      </c>
    </row>
    <row r="1499">
      <c r="A1499" s="35" t="inlineStr">
        <is>
          <t>Route 1</t>
        </is>
      </c>
      <c r="B1499" s="35" t="inlineStr">
        <is>
          <t>Route1_hns</t>
        </is>
      </c>
      <c r="C1499" s="62" t="inlineStr">
        <is>
          <t>Nuit</t>
        </is>
      </c>
      <c r="D1499" s="55" t="inlineStr">
        <is>
          <t>Bonne Canne</t>
        </is>
      </c>
      <c r="E1499" s="37" t="inlineStr">
        <is>
          <t>MAGICARPE</t>
        </is>
      </c>
      <c r="F1499" s="38" t="n">
        <v>0.2</v>
      </c>
      <c r="G1499" s="39" t="n">
        <v>42</v>
      </c>
      <c r="H1499" s="39" t="n">
        <v>44</v>
      </c>
      <c r="I1499" s="29">
        <f>IF(OR(COUNTIF('Suivi des rencontres'!$A:$A,$A1499)&gt;0,COUNTIF('Suivi des rencontres'!$C:$C,$J1499)&gt;0),"Non","Oui")</f>
        <v/>
      </c>
      <c r="J1499" s="30" t="inlineStr">
        <is>
          <t>MAGICARPE</t>
        </is>
      </c>
    </row>
    <row r="1500">
      <c r="A1500" s="35" t="inlineStr">
        <is>
          <t>Route 1</t>
        </is>
      </c>
      <c r="B1500" s="35" t="inlineStr">
        <is>
          <t>Route1_hns</t>
        </is>
      </c>
      <c r="C1500" s="33" t="inlineStr">
        <is>
          <t>Matin, jour, soir</t>
        </is>
      </c>
      <c r="D1500" s="56" t="inlineStr">
        <is>
          <t>Super Canne</t>
        </is>
      </c>
      <c r="E1500" s="37" t="inlineStr">
        <is>
          <t>PTITARD</t>
        </is>
      </c>
      <c r="F1500" s="38" t="n">
        <v>0.55</v>
      </c>
      <c r="G1500" s="39" t="n">
        <v>40</v>
      </c>
      <c r="H1500" s="39" t="n">
        <v>40</v>
      </c>
      <c r="I1500" s="29">
        <f>IF(OR(COUNTIF('Suivi des rencontres'!$A:$A,$A1500)&gt;0,COUNTIF('Suivi des rencontres'!$C:$C,$J1500)&gt;0),"Non","Oui")</f>
        <v/>
      </c>
      <c r="J1500" s="30" t="inlineStr">
        <is>
          <t>PTITARD</t>
        </is>
      </c>
    </row>
    <row r="1501">
      <c r="A1501" s="35" t="inlineStr">
        <is>
          <t>Route 1</t>
        </is>
      </c>
      <c r="B1501" s="35" t="inlineStr">
        <is>
          <t>Route1_hns</t>
        </is>
      </c>
      <c r="C1501" s="33" t="inlineStr">
        <is>
          <t>Matin, jour, soir</t>
        </is>
      </c>
      <c r="D1501" s="56" t="inlineStr">
        <is>
          <t>Super Canne</t>
        </is>
      </c>
      <c r="E1501" s="37" t="inlineStr">
        <is>
          <t>MAGICARPE</t>
        </is>
      </c>
      <c r="F1501" s="38" t="n">
        <v>0.44</v>
      </c>
      <c r="G1501" s="39" t="n">
        <v>40</v>
      </c>
      <c r="H1501" s="39" t="n">
        <v>44</v>
      </c>
      <c r="I1501" s="29">
        <f>IF(OR(COUNTIF('Suivi des rencontres'!$A:$A,$A1501)&gt;0,COUNTIF('Suivi des rencontres'!$C:$C,$J1501)&gt;0),"Non","Oui")</f>
        <v/>
      </c>
      <c r="J1501" s="30" t="inlineStr">
        <is>
          <t>MAGICARPE</t>
        </is>
      </c>
    </row>
    <row r="1502">
      <c r="A1502" s="35" t="inlineStr">
        <is>
          <t>Route 1</t>
        </is>
      </c>
      <c r="B1502" s="35" t="inlineStr">
        <is>
          <t>Route1_hns</t>
        </is>
      </c>
      <c r="C1502" s="33" t="inlineStr">
        <is>
          <t>Matin, jour, soir</t>
        </is>
      </c>
      <c r="D1502" s="56" t="inlineStr">
        <is>
          <t>Super Canne</t>
        </is>
      </c>
      <c r="E1502" s="37" t="inlineStr">
        <is>
          <t>TETARTE</t>
        </is>
      </c>
      <c r="F1502" s="38" t="n">
        <v>0.01</v>
      </c>
      <c r="G1502" s="39" t="n">
        <v>40</v>
      </c>
      <c r="H1502" s="39" t="n">
        <v>40</v>
      </c>
      <c r="I1502" s="29">
        <f>IF(OR(COUNTIF('Suivi des rencontres'!$A:$A,$A1502)&gt;0,COUNTIF('Suivi des rencontres'!$C:$C,$J1502)&gt;0),"Non","Oui")</f>
        <v/>
      </c>
      <c r="J1502" s="30" t="inlineStr">
        <is>
          <t>PTITARD</t>
        </is>
      </c>
    </row>
    <row r="1503">
      <c r="A1503" s="35" t="inlineStr">
        <is>
          <t>Route 1</t>
        </is>
      </c>
      <c r="B1503" s="35" t="inlineStr">
        <is>
          <t>Route1_hns</t>
        </is>
      </c>
      <c r="C1503" s="62" t="inlineStr">
        <is>
          <t>Nuit</t>
        </is>
      </c>
      <c r="D1503" s="56" t="inlineStr">
        <is>
          <t>Super Canne</t>
        </is>
      </c>
      <c r="E1503" s="37" t="inlineStr">
        <is>
          <t>PTITARD</t>
        </is>
      </c>
      <c r="F1503" s="38" t="n">
        <v>0.55</v>
      </c>
      <c r="G1503" s="39" t="n">
        <v>40</v>
      </c>
      <c r="H1503" s="39" t="n">
        <v>40</v>
      </c>
      <c r="I1503" s="29">
        <f>IF(OR(COUNTIF('Suivi des rencontres'!$A:$A,$A1503)&gt;0,COUNTIF('Suivi des rencontres'!$C:$C,$J1503)&gt;0),"Non","Oui")</f>
        <v/>
      </c>
      <c r="J1503" s="30" t="inlineStr">
        <is>
          <t>PTITARD</t>
        </is>
      </c>
    </row>
    <row r="1504">
      <c r="A1504" s="35" t="inlineStr">
        <is>
          <t>Route 1</t>
        </is>
      </c>
      <c r="B1504" s="35" t="inlineStr">
        <is>
          <t>Route1_hns</t>
        </is>
      </c>
      <c r="C1504" s="62" t="inlineStr">
        <is>
          <t>Nuit</t>
        </is>
      </c>
      <c r="D1504" s="56" t="inlineStr">
        <is>
          <t>Super Canne</t>
        </is>
      </c>
      <c r="E1504" s="37" t="inlineStr">
        <is>
          <t>MAGICARPE</t>
        </is>
      </c>
      <c r="F1504" s="38" t="n">
        <v>0.44</v>
      </c>
      <c r="G1504" s="39" t="n">
        <v>40</v>
      </c>
      <c r="H1504" s="39" t="n">
        <v>44</v>
      </c>
      <c r="I1504" s="29">
        <f>IF(OR(COUNTIF('Suivi des rencontres'!$A:$A,$A1504)&gt;0,COUNTIF('Suivi des rencontres'!$C:$C,$J1504)&gt;0),"Non","Oui")</f>
        <v/>
      </c>
      <c r="J1504" s="30" t="inlineStr">
        <is>
          <t>MAGICARPE</t>
        </is>
      </c>
    </row>
    <row r="1505">
      <c r="A1505" s="35" t="inlineStr">
        <is>
          <t>Route 1</t>
        </is>
      </c>
      <c r="B1505" s="35" t="inlineStr">
        <is>
          <t>Route1_hns</t>
        </is>
      </c>
      <c r="C1505" s="62" t="inlineStr">
        <is>
          <t>Nuit</t>
        </is>
      </c>
      <c r="D1505" s="56" t="inlineStr">
        <is>
          <t>Super Canne</t>
        </is>
      </c>
      <c r="E1505" s="37" t="inlineStr">
        <is>
          <t>TETARTE</t>
        </is>
      </c>
      <c r="F1505" s="38" t="n">
        <v>0.01</v>
      </c>
      <c r="G1505" s="39" t="n">
        <v>40</v>
      </c>
      <c r="H1505" s="39" t="n">
        <v>40</v>
      </c>
      <c r="I1505" s="29">
        <f>IF(OR(COUNTIF('Suivi des rencontres'!$A:$A,$A1505)&gt;0,COUNTIF('Suivi des rencontres'!$C:$C,$J1505)&gt;0),"Non","Oui")</f>
        <v/>
      </c>
      <c r="J1505" s="30" t="inlineStr">
        <is>
          <t>PTITARD</t>
        </is>
      </c>
    </row>
    <row r="1506">
      <c r="A1506" s="40" t="inlineStr">
        <is>
          <t>Route 10</t>
        </is>
      </c>
      <c r="B1506" s="40" t="inlineStr">
        <is>
          <t>Route10_hns</t>
        </is>
      </c>
      <c r="C1506" s="41" t="inlineStr">
        <is>
          <t>Matin, jour, soir</t>
        </is>
      </c>
      <c r="D1506" s="42" t="inlineStr">
        <is>
          <t>Herbe</t>
        </is>
      </c>
      <c r="E1506" s="43" t="inlineStr">
        <is>
          <t>VOLTORBE</t>
        </is>
      </c>
      <c r="F1506" s="44" t="n">
        <v>0.3</v>
      </c>
      <c r="G1506" s="45" t="n">
        <v>41</v>
      </c>
      <c r="H1506" s="45" t="n">
        <v>43</v>
      </c>
      <c r="I1506" s="46">
        <f>IF(OR(COUNTIF('Suivi des rencontres'!$A:$A,$A1506)&gt;0,COUNTIF('Suivi des rencontres'!$C:$C,$J1506)&gt;0),"Non","Oui")</f>
        <v/>
      </c>
      <c r="J1506" s="30" t="inlineStr">
        <is>
          <t>VOLTORBE</t>
        </is>
      </c>
    </row>
    <row r="1507">
      <c r="A1507" s="47" t="inlineStr">
        <is>
          <t>Route 10</t>
        </is>
      </c>
      <c r="B1507" s="47" t="inlineStr">
        <is>
          <t>Route10_hns</t>
        </is>
      </c>
      <c r="C1507" s="48" t="inlineStr">
        <is>
          <t>Matin, jour, soir</t>
        </is>
      </c>
      <c r="D1507" s="49" t="inlineStr">
        <is>
          <t>Herbe</t>
        </is>
      </c>
      <c r="E1507" s="50" t="inlineStr">
        <is>
          <t>PIAFABEC</t>
        </is>
      </c>
      <c r="F1507" s="51" t="n">
        <v>0.2</v>
      </c>
      <c r="G1507" s="52" t="n">
        <v>48</v>
      </c>
      <c r="H1507" s="52" t="n">
        <v>50</v>
      </c>
      <c r="I1507" s="29">
        <f>IF(OR(COUNTIF('Suivi des rencontres'!$A:$A,$A1507)&gt;0,COUNTIF('Suivi des rencontres'!$C:$C,$J1507)&gt;0),"Non","Oui")</f>
        <v/>
      </c>
      <c r="J1507" s="30" t="inlineStr">
        <is>
          <t>PIAFABEC</t>
        </is>
      </c>
    </row>
    <row r="1508">
      <c r="A1508" s="47" t="inlineStr">
        <is>
          <t>Route 10</t>
        </is>
      </c>
      <c r="B1508" s="47" t="inlineStr">
        <is>
          <t>Route10_hns</t>
        </is>
      </c>
      <c r="C1508" s="48" t="inlineStr">
        <is>
          <t>Matin, jour, soir</t>
        </is>
      </c>
      <c r="D1508" s="49" t="inlineStr">
        <is>
          <t>Herbe</t>
        </is>
      </c>
      <c r="E1508" s="50" t="inlineStr">
        <is>
          <t>RATTATAC</t>
        </is>
      </c>
      <c r="F1508" s="51" t="n">
        <v>0.2</v>
      </c>
      <c r="G1508" s="52" t="n">
        <v>48</v>
      </c>
      <c r="H1508" s="52" t="n">
        <v>50</v>
      </c>
      <c r="I1508" s="29">
        <f>IF(OR(COUNTIF('Suivi des rencontres'!$A:$A,$A1508)&gt;0,COUNTIF('Suivi des rencontres'!$C:$C,$J1508)&gt;0),"Non","Oui")</f>
        <v/>
      </c>
      <c r="J1508" s="30" t="inlineStr">
        <is>
          <t>RATTATA</t>
        </is>
      </c>
    </row>
    <row r="1509">
      <c r="A1509" s="47" t="inlineStr">
        <is>
          <t>Route 10</t>
        </is>
      </c>
      <c r="B1509" s="47" t="inlineStr">
        <is>
          <t>Route10_hns</t>
        </is>
      </c>
      <c r="C1509" s="48" t="inlineStr">
        <is>
          <t>Matin, jour, soir</t>
        </is>
      </c>
      <c r="D1509" s="49" t="inlineStr">
        <is>
          <t>Herbe</t>
        </is>
      </c>
      <c r="E1509" s="50" t="inlineStr">
        <is>
          <t>RAPASDEPIC</t>
        </is>
      </c>
      <c r="F1509" s="51" t="n">
        <v>0.1</v>
      </c>
      <c r="G1509" s="52" t="n">
        <v>45</v>
      </c>
      <c r="H1509" s="52" t="n">
        <v>45</v>
      </c>
      <c r="I1509" s="29">
        <f>IF(OR(COUNTIF('Suivi des rencontres'!$A:$A,$A1509)&gt;0,COUNTIF('Suivi des rencontres'!$C:$C,$J1509)&gt;0),"Non","Oui")</f>
        <v/>
      </c>
      <c r="J1509" s="30" t="inlineStr">
        <is>
          <t>PIAFABEC</t>
        </is>
      </c>
    </row>
    <row r="1510">
      <c r="A1510" s="47" t="inlineStr">
        <is>
          <t>Route 10</t>
        </is>
      </c>
      <c r="B1510" s="47" t="inlineStr">
        <is>
          <t>Route10_hns</t>
        </is>
      </c>
      <c r="C1510" s="48" t="inlineStr">
        <is>
          <t>Matin, jour, soir</t>
        </is>
      </c>
      <c r="D1510" s="49" t="inlineStr">
        <is>
          <t>Herbe</t>
        </is>
      </c>
      <c r="E1510" s="50" t="inlineStr">
        <is>
          <t>OSSATUEUR</t>
        </is>
      </c>
      <c r="F1510" s="51" t="n">
        <v>0.09</v>
      </c>
      <c r="G1510" s="52" t="n">
        <v>45</v>
      </c>
      <c r="H1510" s="52" t="n">
        <v>45</v>
      </c>
      <c r="I1510" s="29">
        <f>IF(OR(COUNTIF('Suivi des rencontres'!$A:$A,$A1510)&gt;0,COUNTIF('Suivi des rencontres'!$C:$C,$J1510)&gt;0),"Non","Oui")</f>
        <v/>
      </c>
      <c r="J1510" s="30" t="inlineStr">
        <is>
          <t>OSSELAIT</t>
        </is>
      </c>
    </row>
    <row r="1511">
      <c r="A1511" s="47" t="inlineStr">
        <is>
          <t>Route 10</t>
        </is>
      </c>
      <c r="B1511" s="47" t="inlineStr">
        <is>
          <t>Route10_hns</t>
        </is>
      </c>
      <c r="C1511" s="48" t="inlineStr">
        <is>
          <t>Matin, jour, soir</t>
        </is>
      </c>
      <c r="D1511" s="49" t="inlineStr">
        <is>
          <t>Herbe</t>
        </is>
      </c>
      <c r="E1511" s="50" t="inlineStr">
        <is>
          <t>ELEKTEK</t>
        </is>
      </c>
      <c r="F1511" s="51" t="n">
        <v>0.06</v>
      </c>
      <c r="G1511" s="52" t="n">
        <v>46</v>
      </c>
      <c r="H1511" s="52" t="n">
        <v>46</v>
      </c>
      <c r="I1511" s="29">
        <f>IF(OR(COUNTIF('Suivi des rencontres'!$A:$A,$A1511)&gt;0,COUNTIF('Suivi des rencontres'!$C:$C,$J1511)&gt;0),"Non","Oui")</f>
        <v/>
      </c>
      <c r="J1511" s="30" t="inlineStr">
        <is>
          <t>ELEKID</t>
        </is>
      </c>
    </row>
    <row r="1512">
      <c r="A1512" s="47" t="inlineStr">
        <is>
          <t>Route 10</t>
        </is>
      </c>
      <c r="B1512" s="47" t="inlineStr">
        <is>
          <t>Route10_hns</t>
        </is>
      </c>
      <c r="C1512" s="48" t="inlineStr">
        <is>
          <t>Matin, jour, soir</t>
        </is>
      </c>
      <c r="D1512" s="49" t="inlineStr">
        <is>
          <t>Herbe</t>
        </is>
      </c>
      <c r="E1512" s="50" t="inlineStr">
        <is>
          <t>DYNAVOLT</t>
        </is>
      </c>
      <c r="F1512" s="51" t="n">
        <v>0.05</v>
      </c>
      <c r="G1512" s="52" t="n">
        <v>48</v>
      </c>
      <c r="H1512" s="52" t="n">
        <v>50</v>
      </c>
      <c r="I1512" s="29">
        <f>IF(OR(COUNTIF('Suivi des rencontres'!$A:$A,$A1512)&gt;0,COUNTIF('Suivi des rencontres'!$C:$C,$J1512)&gt;0),"Non","Oui")</f>
        <v/>
      </c>
      <c r="J1512" s="30" t="inlineStr">
        <is>
          <t>DYNAVOLT</t>
        </is>
      </c>
    </row>
    <row r="1513">
      <c r="A1513" s="47" t="inlineStr">
        <is>
          <t>Route 10</t>
        </is>
      </c>
      <c r="B1513" s="47" t="inlineStr">
        <is>
          <t>Route10_hns</t>
        </is>
      </c>
      <c r="C1513" s="62" t="inlineStr">
        <is>
          <t>Nuit</t>
        </is>
      </c>
      <c r="D1513" s="49" t="inlineStr">
        <is>
          <t>Herbe</t>
        </is>
      </c>
      <c r="E1513" s="50" t="inlineStr">
        <is>
          <t>VOLTORBE</t>
        </is>
      </c>
      <c r="F1513" s="51" t="n">
        <v>0.3</v>
      </c>
      <c r="G1513" s="52" t="n">
        <v>41</v>
      </c>
      <c r="H1513" s="52" t="n">
        <v>43</v>
      </c>
      <c r="I1513" s="29">
        <f>IF(OR(COUNTIF('Suivi des rencontres'!$A:$A,$A1513)&gt;0,COUNTIF('Suivi des rencontres'!$C:$C,$J1513)&gt;0),"Non","Oui")</f>
        <v/>
      </c>
      <c r="J1513" s="30" t="inlineStr">
        <is>
          <t>VOLTORBE</t>
        </is>
      </c>
    </row>
    <row r="1514">
      <c r="A1514" s="47" t="inlineStr">
        <is>
          <t>Route 10</t>
        </is>
      </c>
      <c r="B1514" s="47" t="inlineStr">
        <is>
          <t>Route10_hns</t>
        </is>
      </c>
      <c r="C1514" s="62" t="inlineStr">
        <is>
          <t>Nuit</t>
        </is>
      </c>
      <c r="D1514" s="49" t="inlineStr">
        <is>
          <t>Herbe</t>
        </is>
      </c>
      <c r="E1514" s="50" t="inlineStr">
        <is>
          <t>MIMITOSS</t>
        </is>
      </c>
      <c r="F1514" s="51" t="n">
        <v>0.2</v>
      </c>
      <c r="G1514" s="52" t="n">
        <v>48</v>
      </c>
      <c r="H1514" s="52" t="n">
        <v>50</v>
      </c>
      <c r="I1514" s="29">
        <f>IF(OR(COUNTIF('Suivi des rencontres'!$A:$A,$A1514)&gt;0,COUNTIF('Suivi des rencontres'!$C:$C,$J1514)&gt;0),"Non","Oui")</f>
        <v/>
      </c>
      <c r="J1514" s="30" t="inlineStr">
        <is>
          <t>MIMITOSS</t>
        </is>
      </c>
    </row>
    <row r="1515">
      <c r="A1515" s="47" t="inlineStr">
        <is>
          <t>Route 10</t>
        </is>
      </c>
      <c r="B1515" s="47" t="inlineStr">
        <is>
          <t>Route10_hns</t>
        </is>
      </c>
      <c r="C1515" s="62" t="inlineStr">
        <is>
          <t>Nuit</t>
        </is>
      </c>
      <c r="D1515" s="49" t="inlineStr">
        <is>
          <t>Herbe</t>
        </is>
      </c>
      <c r="E1515" s="50" t="inlineStr">
        <is>
          <t>RATTATAC</t>
        </is>
      </c>
      <c r="F1515" s="51" t="n">
        <v>0.2</v>
      </c>
      <c r="G1515" s="52" t="n">
        <v>48</v>
      </c>
      <c r="H1515" s="52" t="n">
        <v>50</v>
      </c>
      <c r="I1515" s="29">
        <f>IF(OR(COUNTIF('Suivi des rencontres'!$A:$A,$A1515)&gt;0,COUNTIF('Suivi des rencontres'!$C:$C,$J1515)&gt;0),"Non","Oui")</f>
        <v/>
      </c>
      <c r="J1515" s="30" t="inlineStr">
        <is>
          <t>RATTATA</t>
        </is>
      </c>
    </row>
    <row r="1516">
      <c r="A1516" s="47" t="inlineStr">
        <is>
          <t>Route 10</t>
        </is>
      </c>
      <c r="B1516" s="47" t="inlineStr">
        <is>
          <t>Route10_hns</t>
        </is>
      </c>
      <c r="C1516" s="62" t="inlineStr">
        <is>
          <t>Nuit</t>
        </is>
      </c>
      <c r="D1516" s="49" t="inlineStr">
        <is>
          <t>Herbe</t>
        </is>
      </c>
      <c r="E1516" s="50" t="inlineStr">
        <is>
          <t>AEROMITE</t>
        </is>
      </c>
      <c r="F1516" s="51" t="n">
        <v>0.1</v>
      </c>
      <c r="G1516" s="52" t="n">
        <v>45</v>
      </c>
      <c r="H1516" s="52" t="n">
        <v>45</v>
      </c>
      <c r="I1516" s="29">
        <f>IF(OR(COUNTIF('Suivi des rencontres'!$A:$A,$A1516)&gt;0,COUNTIF('Suivi des rencontres'!$C:$C,$J1516)&gt;0),"Non","Oui")</f>
        <v/>
      </c>
      <c r="J1516" s="30" t="inlineStr">
        <is>
          <t>MIMITOSS</t>
        </is>
      </c>
    </row>
    <row r="1517">
      <c r="A1517" s="47" t="inlineStr">
        <is>
          <t>Route 10</t>
        </is>
      </c>
      <c r="B1517" s="47" t="inlineStr">
        <is>
          <t>Route10_hns</t>
        </is>
      </c>
      <c r="C1517" s="62" t="inlineStr">
        <is>
          <t>Nuit</t>
        </is>
      </c>
      <c r="D1517" s="49" t="inlineStr">
        <is>
          <t>Herbe</t>
        </is>
      </c>
      <c r="E1517" s="50" t="inlineStr">
        <is>
          <t>NOSFERAPTI</t>
        </is>
      </c>
      <c r="F1517" s="51" t="n">
        <v>0.09</v>
      </c>
      <c r="G1517" s="52" t="n">
        <v>48</v>
      </c>
      <c r="H1517" s="52" t="n">
        <v>50</v>
      </c>
      <c r="I1517" s="29">
        <f>IF(OR(COUNTIF('Suivi des rencontres'!$A:$A,$A1517)&gt;0,COUNTIF('Suivi des rencontres'!$C:$C,$J1517)&gt;0),"Non","Oui")</f>
        <v/>
      </c>
      <c r="J1517" s="30" t="inlineStr">
        <is>
          <t>NOSFERAPTI</t>
        </is>
      </c>
    </row>
    <row r="1518">
      <c r="A1518" s="47" t="inlineStr">
        <is>
          <t>Route 10</t>
        </is>
      </c>
      <c r="B1518" s="47" t="inlineStr">
        <is>
          <t>Route10_hns</t>
        </is>
      </c>
      <c r="C1518" s="62" t="inlineStr">
        <is>
          <t>Nuit</t>
        </is>
      </c>
      <c r="D1518" s="49" t="inlineStr">
        <is>
          <t>Herbe</t>
        </is>
      </c>
      <c r="E1518" s="50" t="inlineStr">
        <is>
          <t>ELEKTEK</t>
        </is>
      </c>
      <c r="F1518" s="51" t="n">
        <v>0.06</v>
      </c>
      <c r="G1518" s="52" t="n">
        <v>46</v>
      </c>
      <c r="H1518" s="52" t="n">
        <v>46</v>
      </c>
      <c r="I1518" s="29">
        <f>IF(OR(COUNTIF('Suivi des rencontres'!$A:$A,$A1518)&gt;0,COUNTIF('Suivi des rencontres'!$C:$C,$J1518)&gt;0),"Non","Oui")</f>
        <v/>
      </c>
      <c r="J1518" s="30" t="inlineStr">
        <is>
          <t>ELEKID</t>
        </is>
      </c>
    </row>
    <row r="1519">
      <c r="A1519" s="47" t="inlineStr">
        <is>
          <t>Route 10</t>
        </is>
      </c>
      <c r="B1519" s="47" t="inlineStr">
        <is>
          <t>Route10_hns</t>
        </is>
      </c>
      <c r="C1519" s="62" t="inlineStr">
        <is>
          <t>Nuit</t>
        </is>
      </c>
      <c r="D1519" s="49" t="inlineStr">
        <is>
          <t>Herbe</t>
        </is>
      </c>
      <c r="E1519" s="50" t="inlineStr">
        <is>
          <t>DYNAVOLT</t>
        </is>
      </c>
      <c r="F1519" s="51" t="n">
        <v>0.05</v>
      </c>
      <c r="G1519" s="52" t="n">
        <v>48</v>
      </c>
      <c r="H1519" s="52" t="n">
        <v>50</v>
      </c>
      <c r="I1519" s="29">
        <f>IF(OR(COUNTIF('Suivi des rencontres'!$A:$A,$A1519)&gt;0,COUNTIF('Suivi des rencontres'!$C:$C,$J1519)&gt;0),"Non","Oui")</f>
        <v/>
      </c>
      <c r="J1519" s="30" t="inlineStr">
        <is>
          <t>DYNAVOLT</t>
        </is>
      </c>
    </row>
    <row r="1520">
      <c r="A1520" s="47" t="inlineStr">
        <is>
          <t>Route 10</t>
        </is>
      </c>
      <c r="B1520" s="47" t="inlineStr">
        <is>
          <t>Route10_hns</t>
        </is>
      </c>
      <c r="C1520" s="48" t="inlineStr">
        <is>
          <t>Matin, jour, soir</t>
        </is>
      </c>
      <c r="D1520" s="53" t="inlineStr">
        <is>
          <t>Surf</t>
        </is>
      </c>
      <c r="E1520" s="50" t="inlineStr">
        <is>
          <t>POISSIRENE</t>
        </is>
      </c>
      <c r="F1520" s="51" t="n">
        <v>0.99</v>
      </c>
      <c r="G1520" s="52" t="n">
        <v>41</v>
      </c>
      <c r="H1520" s="52" t="n">
        <v>43</v>
      </c>
      <c r="I1520" s="29">
        <f>IF(OR(COUNTIF('Suivi des rencontres'!$A:$A,$A1520)&gt;0,COUNTIF('Suivi des rencontres'!$C:$C,$J1520)&gt;0),"Non","Oui")</f>
        <v/>
      </c>
      <c r="J1520" s="30" t="inlineStr">
        <is>
          <t>POISSIRENE</t>
        </is>
      </c>
    </row>
    <row r="1521">
      <c r="A1521" s="47" t="inlineStr">
        <is>
          <t>Route 10</t>
        </is>
      </c>
      <c r="B1521" s="47" t="inlineStr">
        <is>
          <t>Route10_hns</t>
        </is>
      </c>
      <c r="C1521" s="48" t="inlineStr">
        <is>
          <t>Matin, jour, soir</t>
        </is>
      </c>
      <c r="D1521" s="53" t="inlineStr">
        <is>
          <t>Surf</t>
        </is>
      </c>
      <c r="E1521" s="50" t="inlineStr">
        <is>
          <t>POISSOROY</t>
        </is>
      </c>
      <c r="F1521" s="51" t="n">
        <v>0.01</v>
      </c>
      <c r="G1521" s="52" t="n">
        <v>46</v>
      </c>
      <c r="H1521" s="52" t="n">
        <v>46</v>
      </c>
      <c r="I1521" s="29">
        <f>IF(OR(COUNTIF('Suivi des rencontres'!$A:$A,$A1521)&gt;0,COUNTIF('Suivi des rencontres'!$C:$C,$J1521)&gt;0),"Non","Oui")</f>
        <v/>
      </c>
      <c r="J1521" s="30" t="inlineStr">
        <is>
          <t>POISSIRENE</t>
        </is>
      </c>
    </row>
    <row r="1522">
      <c r="A1522" s="47" t="inlineStr">
        <is>
          <t>Route 10</t>
        </is>
      </c>
      <c r="B1522" s="47" t="inlineStr">
        <is>
          <t>Route10_hns</t>
        </is>
      </c>
      <c r="C1522" s="62" t="inlineStr">
        <is>
          <t>Nuit</t>
        </is>
      </c>
      <c r="D1522" s="53" t="inlineStr">
        <is>
          <t>Surf</t>
        </is>
      </c>
      <c r="E1522" s="50" t="inlineStr">
        <is>
          <t>POISSIRENE</t>
        </is>
      </c>
      <c r="F1522" s="51" t="n">
        <v>0.99</v>
      </c>
      <c r="G1522" s="52" t="n">
        <v>41</v>
      </c>
      <c r="H1522" s="52" t="n">
        <v>43</v>
      </c>
      <c r="I1522" s="29">
        <f>IF(OR(COUNTIF('Suivi des rencontres'!$A:$A,$A1522)&gt;0,COUNTIF('Suivi des rencontres'!$C:$C,$J1522)&gt;0),"Non","Oui")</f>
        <v/>
      </c>
      <c r="J1522" s="30" t="inlineStr">
        <is>
          <t>POISSIRENE</t>
        </is>
      </c>
    </row>
    <row r="1523">
      <c r="A1523" s="47" t="inlineStr">
        <is>
          <t>Route 10</t>
        </is>
      </c>
      <c r="B1523" s="47" t="inlineStr">
        <is>
          <t>Route10_hns</t>
        </is>
      </c>
      <c r="C1523" s="62" t="inlineStr">
        <is>
          <t>Nuit</t>
        </is>
      </c>
      <c r="D1523" s="53" t="inlineStr">
        <is>
          <t>Surf</t>
        </is>
      </c>
      <c r="E1523" s="50" t="inlineStr">
        <is>
          <t>POISSOROY</t>
        </is>
      </c>
      <c r="F1523" s="51" t="n">
        <v>0.01</v>
      </c>
      <c r="G1523" s="52" t="n">
        <v>46</v>
      </c>
      <c r="H1523" s="52" t="n">
        <v>46</v>
      </c>
      <c r="I1523" s="29">
        <f>IF(OR(COUNTIF('Suivi des rencontres'!$A:$A,$A1523)&gt;0,COUNTIF('Suivi des rencontres'!$C:$C,$J1523)&gt;0),"Non","Oui")</f>
        <v/>
      </c>
      <c r="J1523" s="30" t="inlineStr">
        <is>
          <t>POISSIRENE</t>
        </is>
      </c>
    </row>
    <row r="1524">
      <c r="A1524" s="47" t="inlineStr">
        <is>
          <t>Route 10</t>
        </is>
      </c>
      <c r="B1524" s="47" t="inlineStr">
        <is>
          <t>Route10_hns</t>
        </is>
      </c>
      <c r="C1524" s="48" t="inlineStr">
        <is>
          <t>Matin, jour, soir</t>
        </is>
      </c>
      <c r="D1524" s="36" t="inlineStr">
        <is>
          <t>Éclate-Roc</t>
        </is>
      </c>
      <c r="E1524" s="50" t="inlineStr">
        <is>
          <t>POMDEPIK</t>
        </is>
      </c>
      <c r="F1524" s="51" t="n">
        <v>0.6</v>
      </c>
      <c r="G1524" s="52" t="n">
        <v>41</v>
      </c>
      <c r="H1524" s="52" t="n">
        <v>43</v>
      </c>
      <c r="I1524" s="29">
        <f>IF(OR(COUNTIF('Suivi des rencontres'!$A:$A,$A1524)&gt;0,COUNTIF('Suivi des rencontres'!$C:$C,$J1524)&gt;0),"Non","Oui")</f>
        <v/>
      </c>
      <c r="J1524" s="30" t="inlineStr">
        <is>
          <t>POMDEPIK</t>
        </is>
      </c>
    </row>
    <row r="1525">
      <c r="A1525" s="47" t="inlineStr">
        <is>
          <t>Route 10</t>
        </is>
      </c>
      <c r="B1525" s="47" t="inlineStr">
        <is>
          <t>Route10_hns</t>
        </is>
      </c>
      <c r="C1525" s="48" t="inlineStr">
        <is>
          <t>Matin, jour, soir</t>
        </is>
      </c>
      <c r="D1525" s="36" t="inlineStr">
        <is>
          <t>Éclate-Roc</t>
        </is>
      </c>
      <c r="E1525" s="50" t="inlineStr">
        <is>
          <t>NOEUNOEUF</t>
        </is>
      </c>
      <c r="F1525" s="51" t="n">
        <v>0.3</v>
      </c>
      <c r="G1525" s="52" t="n">
        <v>41</v>
      </c>
      <c r="H1525" s="52" t="n">
        <v>43</v>
      </c>
      <c r="I1525" s="29">
        <f>IF(OR(COUNTIF('Suivi des rencontres'!$A:$A,$A1525)&gt;0,COUNTIF('Suivi des rencontres'!$C:$C,$J1525)&gt;0),"Non","Oui")</f>
        <v/>
      </c>
      <c r="J1525" s="30" t="inlineStr">
        <is>
          <t>NOEUNOEUF</t>
        </is>
      </c>
    </row>
    <row r="1526">
      <c r="A1526" s="47" t="inlineStr">
        <is>
          <t>Route 10</t>
        </is>
      </c>
      <c r="B1526" s="47" t="inlineStr">
        <is>
          <t>Route10_hns</t>
        </is>
      </c>
      <c r="C1526" s="48" t="inlineStr">
        <is>
          <t>Matin, jour, soir</t>
        </is>
      </c>
      <c r="D1526" s="36" t="inlineStr">
        <is>
          <t>Éclate-Roc</t>
        </is>
      </c>
      <c r="E1526" s="50" t="inlineStr">
        <is>
          <t>COXY</t>
        </is>
      </c>
      <c r="F1526" s="51" t="n">
        <v>0.05</v>
      </c>
      <c r="G1526" s="52" t="n">
        <v>41</v>
      </c>
      <c r="H1526" s="52" t="n">
        <v>43</v>
      </c>
      <c r="I1526" s="29">
        <f>IF(OR(COUNTIF('Suivi des rencontres'!$A:$A,$A1526)&gt;0,COUNTIF('Suivi des rencontres'!$C:$C,$J1526)&gt;0),"Non","Oui")</f>
        <v/>
      </c>
      <c r="J1526" s="30" t="inlineStr">
        <is>
          <t>COXY</t>
        </is>
      </c>
    </row>
    <row r="1527">
      <c r="A1527" s="47" t="inlineStr">
        <is>
          <t>Route 10</t>
        </is>
      </c>
      <c r="B1527" s="47" t="inlineStr">
        <is>
          <t>Route10_hns</t>
        </is>
      </c>
      <c r="C1527" s="48" t="inlineStr">
        <is>
          <t>Matin, jour, soir</t>
        </is>
      </c>
      <c r="D1527" s="36" t="inlineStr">
        <is>
          <t>Éclate-Roc</t>
        </is>
      </c>
      <c r="E1527" s="50" t="inlineStr">
        <is>
          <t>MIMIGAL</t>
        </is>
      </c>
      <c r="F1527" s="51" t="n">
        <v>0.05</v>
      </c>
      <c r="G1527" s="52" t="n">
        <v>41</v>
      </c>
      <c r="H1527" s="52" t="n">
        <v>43</v>
      </c>
      <c r="I1527" s="29">
        <f>IF(OR(COUNTIF('Suivi des rencontres'!$A:$A,$A1527)&gt;0,COUNTIF('Suivi des rencontres'!$C:$C,$J1527)&gt;0),"Non","Oui")</f>
        <v/>
      </c>
      <c r="J1527" s="30" t="inlineStr">
        <is>
          <t>MIMIGAL</t>
        </is>
      </c>
    </row>
    <row r="1528">
      <c r="A1528" s="47" t="inlineStr">
        <is>
          <t>Route 10</t>
        </is>
      </c>
      <c r="B1528" s="47" t="inlineStr">
        <is>
          <t>Route10_hns</t>
        </is>
      </c>
      <c r="C1528" s="62" t="inlineStr">
        <is>
          <t>Nuit</t>
        </is>
      </c>
      <c r="D1528" s="36" t="inlineStr">
        <is>
          <t>Éclate-Roc</t>
        </is>
      </c>
      <c r="E1528" s="50" t="inlineStr">
        <is>
          <t>POMDEPIK</t>
        </is>
      </c>
      <c r="F1528" s="51" t="n">
        <v>0.6</v>
      </c>
      <c r="G1528" s="52" t="n">
        <v>41</v>
      </c>
      <c r="H1528" s="52" t="n">
        <v>43</v>
      </c>
      <c r="I1528" s="29">
        <f>IF(OR(COUNTIF('Suivi des rencontres'!$A:$A,$A1528)&gt;0,COUNTIF('Suivi des rencontres'!$C:$C,$J1528)&gt;0),"Non","Oui")</f>
        <v/>
      </c>
      <c r="J1528" s="30" t="inlineStr">
        <is>
          <t>POMDEPIK</t>
        </is>
      </c>
    </row>
    <row r="1529">
      <c r="A1529" s="47" t="inlineStr">
        <is>
          <t>Route 10</t>
        </is>
      </c>
      <c r="B1529" s="47" t="inlineStr">
        <is>
          <t>Route10_hns</t>
        </is>
      </c>
      <c r="C1529" s="62" t="inlineStr">
        <is>
          <t>Nuit</t>
        </is>
      </c>
      <c r="D1529" s="36" t="inlineStr">
        <is>
          <t>Éclate-Roc</t>
        </is>
      </c>
      <c r="E1529" s="50" t="inlineStr">
        <is>
          <t>NOEUNOEUF</t>
        </is>
      </c>
      <c r="F1529" s="51" t="n">
        <v>0.3</v>
      </c>
      <c r="G1529" s="52" t="n">
        <v>41</v>
      </c>
      <c r="H1529" s="52" t="n">
        <v>43</v>
      </c>
      <c r="I1529" s="29">
        <f>IF(OR(COUNTIF('Suivi des rencontres'!$A:$A,$A1529)&gt;0,COUNTIF('Suivi des rencontres'!$C:$C,$J1529)&gt;0),"Non","Oui")</f>
        <v/>
      </c>
      <c r="J1529" s="30" t="inlineStr">
        <is>
          <t>NOEUNOEUF</t>
        </is>
      </c>
    </row>
    <row r="1530">
      <c r="A1530" s="47" t="inlineStr">
        <is>
          <t>Route 10</t>
        </is>
      </c>
      <c r="B1530" s="47" t="inlineStr">
        <is>
          <t>Route10_hns</t>
        </is>
      </c>
      <c r="C1530" s="62" t="inlineStr">
        <is>
          <t>Nuit</t>
        </is>
      </c>
      <c r="D1530" s="36" t="inlineStr">
        <is>
          <t>Éclate-Roc</t>
        </is>
      </c>
      <c r="E1530" s="50" t="inlineStr">
        <is>
          <t>COXY</t>
        </is>
      </c>
      <c r="F1530" s="51" t="n">
        <v>0.05</v>
      </c>
      <c r="G1530" s="52" t="n">
        <v>41</v>
      </c>
      <c r="H1530" s="52" t="n">
        <v>43</v>
      </c>
      <c r="I1530" s="29">
        <f>IF(OR(COUNTIF('Suivi des rencontres'!$A:$A,$A1530)&gt;0,COUNTIF('Suivi des rencontres'!$C:$C,$J1530)&gt;0),"Non","Oui")</f>
        <v/>
      </c>
      <c r="J1530" s="30" t="inlineStr">
        <is>
          <t>COXY</t>
        </is>
      </c>
    </row>
    <row r="1531">
      <c r="A1531" s="47" t="inlineStr">
        <is>
          <t>Route 10</t>
        </is>
      </c>
      <c r="B1531" s="47" t="inlineStr">
        <is>
          <t>Route10_hns</t>
        </is>
      </c>
      <c r="C1531" s="62" t="inlineStr">
        <is>
          <t>Nuit</t>
        </is>
      </c>
      <c r="D1531" s="36" t="inlineStr">
        <is>
          <t>Éclate-Roc</t>
        </is>
      </c>
      <c r="E1531" s="50" t="inlineStr">
        <is>
          <t>MIMIGAL</t>
        </is>
      </c>
      <c r="F1531" s="51" t="n">
        <v>0.05</v>
      </c>
      <c r="G1531" s="52" t="n">
        <v>41</v>
      </c>
      <c r="H1531" s="52" t="n">
        <v>43</v>
      </c>
      <c r="I1531" s="29">
        <f>IF(OR(COUNTIF('Suivi des rencontres'!$A:$A,$A1531)&gt;0,COUNTIF('Suivi des rencontres'!$C:$C,$J1531)&gt;0),"Non","Oui")</f>
        <v/>
      </c>
      <c r="J1531" s="30" t="inlineStr">
        <is>
          <t>MIMIGAL</t>
        </is>
      </c>
    </row>
    <row r="1532">
      <c r="A1532" s="47" t="inlineStr">
        <is>
          <t>Route 10</t>
        </is>
      </c>
      <c r="B1532" s="47" t="inlineStr">
        <is>
          <t>Route10_hns</t>
        </is>
      </c>
      <c r="C1532" s="48" t="inlineStr">
        <is>
          <t>Matin, jour, soir</t>
        </is>
      </c>
      <c r="D1532" s="54" t="inlineStr">
        <is>
          <t>Vieille Canne</t>
        </is>
      </c>
      <c r="E1532" s="50" t="inlineStr">
        <is>
          <t>MAGICARPE</t>
        </is>
      </c>
      <c r="F1532" s="51" t="n">
        <v>0.7</v>
      </c>
      <c r="G1532" s="52" t="n">
        <v>41</v>
      </c>
      <c r="H1532" s="52" t="n">
        <v>43</v>
      </c>
      <c r="I1532" s="29">
        <f>IF(OR(COUNTIF('Suivi des rencontres'!$A:$A,$A1532)&gt;0,COUNTIF('Suivi des rencontres'!$C:$C,$J1532)&gt;0),"Non","Oui")</f>
        <v/>
      </c>
      <c r="J1532" s="30" t="inlineStr">
        <is>
          <t>MAGICARPE</t>
        </is>
      </c>
    </row>
    <row r="1533">
      <c r="A1533" s="47" t="inlineStr">
        <is>
          <t>Route 10</t>
        </is>
      </c>
      <c r="B1533" s="47" t="inlineStr">
        <is>
          <t>Route10_hns</t>
        </is>
      </c>
      <c r="C1533" s="48" t="inlineStr">
        <is>
          <t>Matin, jour, soir</t>
        </is>
      </c>
      <c r="D1533" s="54" t="inlineStr">
        <is>
          <t>Vieille Canne</t>
        </is>
      </c>
      <c r="E1533" s="50" t="inlineStr">
        <is>
          <t>POISSIRENE</t>
        </is>
      </c>
      <c r="F1533" s="51" t="n">
        <v>0.3</v>
      </c>
      <c r="G1533" s="52" t="n">
        <v>41</v>
      </c>
      <c r="H1533" s="52" t="n">
        <v>43</v>
      </c>
      <c r="I1533" s="29">
        <f>IF(OR(COUNTIF('Suivi des rencontres'!$A:$A,$A1533)&gt;0,COUNTIF('Suivi des rencontres'!$C:$C,$J1533)&gt;0),"Non","Oui")</f>
        <v/>
      </c>
      <c r="J1533" s="30" t="inlineStr">
        <is>
          <t>POISSIRENE</t>
        </is>
      </c>
    </row>
    <row r="1534">
      <c r="A1534" s="47" t="inlineStr">
        <is>
          <t>Route 10</t>
        </is>
      </c>
      <c r="B1534" s="47" t="inlineStr">
        <is>
          <t>Route10_hns</t>
        </is>
      </c>
      <c r="C1534" s="62" t="inlineStr">
        <is>
          <t>Nuit</t>
        </is>
      </c>
      <c r="D1534" s="54" t="inlineStr">
        <is>
          <t>Vieille Canne</t>
        </is>
      </c>
      <c r="E1534" s="50" t="inlineStr">
        <is>
          <t>MAGICARPE</t>
        </is>
      </c>
      <c r="F1534" s="51" t="n">
        <v>0.7</v>
      </c>
      <c r="G1534" s="52" t="n">
        <v>41</v>
      </c>
      <c r="H1534" s="52" t="n">
        <v>43</v>
      </c>
      <c r="I1534" s="29">
        <f>IF(OR(COUNTIF('Suivi des rencontres'!$A:$A,$A1534)&gt;0,COUNTIF('Suivi des rencontres'!$C:$C,$J1534)&gt;0),"Non","Oui")</f>
        <v/>
      </c>
      <c r="J1534" s="30" t="inlineStr">
        <is>
          <t>MAGICARPE</t>
        </is>
      </c>
    </row>
    <row r="1535">
      <c r="A1535" s="47" t="inlineStr">
        <is>
          <t>Route 10</t>
        </is>
      </c>
      <c r="B1535" s="47" t="inlineStr">
        <is>
          <t>Route10_hns</t>
        </is>
      </c>
      <c r="C1535" s="62" t="inlineStr">
        <is>
          <t>Nuit</t>
        </is>
      </c>
      <c r="D1535" s="54" t="inlineStr">
        <is>
          <t>Vieille Canne</t>
        </is>
      </c>
      <c r="E1535" s="50" t="inlineStr">
        <is>
          <t>POISSIRENE</t>
        </is>
      </c>
      <c r="F1535" s="51" t="n">
        <v>0.3</v>
      </c>
      <c r="G1535" s="52" t="n">
        <v>41</v>
      </c>
      <c r="H1535" s="52" t="n">
        <v>43</v>
      </c>
      <c r="I1535" s="29">
        <f>IF(OR(COUNTIF('Suivi des rencontres'!$A:$A,$A1535)&gt;0,COUNTIF('Suivi des rencontres'!$C:$C,$J1535)&gt;0),"Non","Oui")</f>
        <v/>
      </c>
      <c r="J1535" s="30" t="inlineStr">
        <is>
          <t>POISSIRENE</t>
        </is>
      </c>
    </row>
    <row r="1536">
      <c r="A1536" s="47" t="inlineStr">
        <is>
          <t>Route 10</t>
        </is>
      </c>
      <c r="B1536" s="47" t="inlineStr">
        <is>
          <t>Route10_hns</t>
        </is>
      </c>
      <c r="C1536" s="48" t="inlineStr">
        <is>
          <t>Matin, jour, soir</t>
        </is>
      </c>
      <c r="D1536" s="55" t="inlineStr">
        <is>
          <t>Bonne Canne</t>
        </is>
      </c>
      <c r="E1536" s="50" t="inlineStr">
        <is>
          <t>MAGICARPE</t>
        </is>
      </c>
      <c r="F1536" s="51" t="n">
        <v>0.6</v>
      </c>
      <c r="G1536" s="52" t="n">
        <v>42</v>
      </c>
      <c r="H1536" s="52" t="n">
        <v>44</v>
      </c>
      <c r="I1536" s="29">
        <f>IF(OR(COUNTIF('Suivi des rencontres'!$A:$A,$A1536)&gt;0,COUNTIF('Suivi des rencontres'!$C:$C,$J1536)&gt;0),"Non","Oui")</f>
        <v/>
      </c>
      <c r="J1536" s="30" t="inlineStr">
        <is>
          <t>MAGICARPE</t>
        </is>
      </c>
    </row>
    <row r="1537">
      <c r="A1537" s="47" t="inlineStr">
        <is>
          <t>Route 10</t>
        </is>
      </c>
      <c r="B1537" s="47" t="inlineStr">
        <is>
          <t>Route10_hns</t>
        </is>
      </c>
      <c r="C1537" s="48" t="inlineStr">
        <is>
          <t>Matin, jour, soir</t>
        </is>
      </c>
      <c r="D1537" s="55" t="inlineStr">
        <is>
          <t>Bonne Canne</t>
        </is>
      </c>
      <c r="E1537" s="50" t="inlineStr">
        <is>
          <t>POISSIRENE</t>
        </is>
      </c>
      <c r="F1537" s="51" t="n">
        <v>0.4</v>
      </c>
      <c r="G1537" s="52" t="n">
        <v>40</v>
      </c>
      <c r="H1537" s="52" t="n">
        <v>44</v>
      </c>
      <c r="I1537" s="29">
        <f>IF(OR(COUNTIF('Suivi des rencontres'!$A:$A,$A1537)&gt;0,COUNTIF('Suivi des rencontres'!$C:$C,$J1537)&gt;0),"Non","Oui")</f>
        <v/>
      </c>
      <c r="J1537" s="30" t="inlineStr">
        <is>
          <t>POISSIRENE</t>
        </is>
      </c>
    </row>
    <row r="1538">
      <c r="A1538" s="47" t="inlineStr">
        <is>
          <t>Route 10</t>
        </is>
      </c>
      <c r="B1538" s="47" t="inlineStr">
        <is>
          <t>Route10_hns</t>
        </is>
      </c>
      <c r="C1538" s="62" t="inlineStr">
        <is>
          <t>Nuit</t>
        </is>
      </c>
      <c r="D1538" s="55" t="inlineStr">
        <is>
          <t>Bonne Canne</t>
        </is>
      </c>
      <c r="E1538" s="50" t="inlineStr">
        <is>
          <t>MAGICARPE</t>
        </is>
      </c>
      <c r="F1538" s="51" t="n">
        <v>0.6</v>
      </c>
      <c r="G1538" s="52" t="n">
        <v>42</v>
      </c>
      <c r="H1538" s="52" t="n">
        <v>44</v>
      </c>
      <c r="I1538" s="29">
        <f>IF(OR(COUNTIF('Suivi des rencontres'!$A:$A,$A1538)&gt;0,COUNTIF('Suivi des rencontres'!$C:$C,$J1538)&gt;0),"Non","Oui")</f>
        <v/>
      </c>
      <c r="J1538" s="30" t="inlineStr">
        <is>
          <t>MAGICARPE</t>
        </is>
      </c>
    </row>
    <row r="1539">
      <c r="A1539" s="47" t="inlineStr">
        <is>
          <t>Route 10</t>
        </is>
      </c>
      <c r="B1539" s="47" t="inlineStr">
        <is>
          <t>Route10_hns</t>
        </is>
      </c>
      <c r="C1539" s="62" t="inlineStr">
        <is>
          <t>Nuit</t>
        </is>
      </c>
      <c r="D1539" s="55" t="inlineStr">
        <is>
          <t>Bonne Canne</t>
        </is>
      </c>
      <c r="E1539" s="50" t="inlineStr">
        <is>
          <t>POISSIRENE</t>
        </is>
      </c>
      <c r="F1539" s="51" t="n">
        <v>0.4</v>
      </c>
      <c r="G1539" s="52" t="n">
        <v>40</v>
      </c>
      <c r="H1539" s="52" t="n">
        <v>44</v>
      </c>
      <c r="I1539" s="29">
        <f>IF(OR(COUNTIF('Suivi des rencontres'!$A:$A,$A1539)&gt;0,COUNTIF('Suivi des rencontres'!$C:$C,$J1539)&gt;0),"Non","Oui")</f>
        <v/>
      </c>
      <c r="J1539" s="30" t="inlineStr">
        <is>
          <t>POISSIRENE</t>
        </is>
      </c>
    </row>
    <row r="1540">
      <c r="A1540" s="47" t="inlineStr">
        <is>
          <t>Route 10</t>
        </is>
      </c>
      <c r="B1540" s="47" t="inlineStr">
        <is>
          <t>Route10_hns</t>
        </is>
      </c>
      <c r="C1540" s="48" t="inlineStr">
        <is>
          <t>Matin, jour, soir</t>
        </is>
      </c>
      <c r="D1540" s="56" t="inlineStr">
        <is>
          <t>Super Canne</t>
        </is>
      </c>
      <c r="E1540" s="50" t="inlineStr">
        <is>
          <t>MAGICARPE</t>
        </is>
      </c>
      <c r="F1540" s="51" t="n">
        <v>0.45</v>
      </c>
      <c r="G1540" s="52" t="n">
        <v>40</v>
      </c>
      <c r="H1540" s="52" t="n">
        <v>44</v>
      </c>
      <c r="I1540" s="29">
        <f>IF(OR(COUNTIF('Suivi des rencontres'!$A:$A,$A1540)&gt;0,COUNTIF('Suivi des rencontres'!$C:$C,$J1540)&gt;0),"Non","Oui")</f>
        <v/>
      </c>
      <c r="J1540" s="30" t="inlineStr">
        <is>
          <t>MAGICARPE</t>
        </is>
      </c>
    </row>
    <row r="1541">
      <c r="A1541" s="47" t="inlineStr">
        <is>
          <t>Route 10</t>
        </is>
      </c>
      <c r="B1541" s="47" t="inlineStr">
        <is>
          <t>Route10_hns</t>
        </is>
      </c>
      <c r="C1541" s="48" t="inlineStr">
        <is>
          <t>Matin, jour, soir</t>
        </is>
      </c>
      <c r="D1541" s="56" t="inlineStr">
        <is>
          <t>Super Canne</t>
        </is>
      </c>
      <c r="E1541" s="50" t="inlineStr">
        <is>
          <t>POISSOROY</t>
        </is>
      </c>
      <c r="F1541" s="51" t="n">
        <v>0.4</v>
      </c>
      <c r="G1541" s="52" t="n">
        <v>40</v>
      </c>
      <c r="H1541" s="52" t="n">
        <v>40</v>
      </c>
      <c r="I1541" s="29">
        <f>IF(OR(COUNTIF('Suivi des rencontres'!$A:$A,$A1541)&gt;0,COUNTIF('Suivi des rencontres'!$C:$C,$J1541)&gt;0),"Non","Oui")</f>
        <v/>
      </c>
      <c r="J1541" s="30" t="inlineStr">
        <is>
          <t>POISSIRENE</t>
        </is>
      </c>
    </row>
    <row r="1542">
      <c r="A1542" s="47" t="inlineStr">
        <is>
          <t>Route 10</t>
        </is>
      </c>
      <c r="B1542" s="47" t="inlineStr">
        <is>
          <t>Route10_hns</t>
        </is>
      </c>
      <c r="C1542" s="48" t="inlineStr">
        <is>
          <t>Matin, jour, soir</t>
        </is>
      </c>
      <c r="D1542" s="56" t="inlineStr">
        <is>
          <t>Super Canne</t>
        </is>
      </c>
      <c r="E1542" s="50" t="inlineStr">
        <is>
          <t>POISSIRENE</t>
        </is>
      </c>
      <c r="F1542" s="51" t="n">
        <v>0.15</v>
      </c>
      <c r="G1542" s="52" t="n">
        <v>42</v>
      </c>
      <c r="H1542" s="52" t="n">
        <v>44</v>
      </c>
      <c r="I1542" s="29">
        <f>IF(OR(COUNTIF('Suivi des rencontres'!$A:$A,$A1542)&gt;0,COUNTIF('Suivi des rencontres'!$C:$C,$J1542)&gt;0),"Non","Oui")</f>
        <v/>
      </c>
      <c r="J1542" s="30" t="inlineStr">
        <is>
          <t>POISSIRENE</t>
        </is>
      </c>
    </row>
    <row r="1543">
      <c r="A1543" s="47" t="inlineStr">
        <is>
          <t>Route 10</t>
        </is>
      </c>
      <c r="B1543" s="47" t="inlineStr">
        <is>
          <t>Route10_hns</t>
        </is>
      </c>
      <c r="C1543" s="62" t="inlineStr">
        <is>
          <t>Nuit</t>
        </is>
      </c>
      <c r="D1543" s="56" t="inlineStr">
        <is>
          <t>Super Canne</t>
        </is>
      </c>
      <c r="E1543" s="50" t="inlineStr">
        <is>
          <t>MAGICARPE</t>
        </is>
      </c>
      <c r="F1543" s="51" t="n">
        <v>0.45</v>
      </c>
      <c r="G1543" s="52" t="n">
        <v>40</v>
      </c>
      <c r="H1543" s="52" t="n">
        <v>44</v>
      </c>
      <c r="I1543" s="29">
        <f>IF(OR(COUNTIF('Suivi des rencontres'!$A:$A,$A1543)&gt;0,COUNTIF('Suivi des rencontres'!$C:$C,$J1543)&gt;0),"Non","Oui")</f>
        <v/>
      </c>
      <c r="J1543" s="30" t="inlineStr">
        <is>
          <t>MAGICARPE</t>
        </is>
      </c>
    </row>
    <row r="1544">
      <c r="A1544" s="47" t="inlineStr">
        <is>
          <t>Route 10</t>
        </is>
      </c>
      <c r="B1544" s="47" t="inlineStr">
        <is>
          <t>Route10_hns</t>
        </is>
      </c>
      <c r="C1544" s="62" t="inlineStr">
        <is>
          <t>Nuit</t>
        </is>
      </c>
      <c r="D1544" s="56" t="inlineStr">
        <is>
          <t>Super Canne</t>
        </is>
      </c>
      <c r="E1544" s="50" t="inlineStr">
        <is>
          <t>POISSOROY</t>
        </is>
      </c>
      <c r="F1544" s="51" t="n">
        <v>0.4</v>
      </c>
      <c r="G1544" s="52" t="n">
        <v>40</v>
      </c>
      <c r="H1544" s="52" t="n">
        <v>40</v>
      </c>
      <c r="I1544" s="29">
        <f>IF(OR(COUNTIF('Suivi des rencontres'!$A:$A,$A1544)&gt;0,COUNTIF('Suivi des rencontres'!$C:$C,$J1544)&gt;0),"Non","Oui")</f>
        <v/>
      </c>
      <c r="J1544" s="30" t="inlineStr">
        <is>
          <t>POISSIRENE</t>
        </is>
      </c>
    </row>
    <row r="1545">
      <c r="A1545" s="47" t="inlineStr">
        <is>
          <t>Route 10</t>
        </is>
      </c>
      <c r="B1545" s="47" t="inlineStr">
        <is>
          <t>Route10_hns</t>
        </is>
      </c>
      <c r="C1545" s="62" t="inlineStr">
        <is>
          <t>Nuit</t>
        </is>
      </c>
      <c r="D1545" s="56" t="inlineStr">
        <is>
          <t>Super Canne</t>
        </is>
      </c>
      <c r="E1545" s="50" t="inlineStr">
        <is>
          <t>POISSIRENE</t>
        </is>
      </c>
      <c r="F1545" s="51" t="n">
        <v>0.15</v>
      </c>
      <c r="G1545" s="52" t="n">
        <v>42</v>
      </c>
      <c r="H1545" s="52" t="n">
        <v>44</v>
      </c>
      <c r="I1545" s="29">
        <f>IF(OR(COUNTIF('Suivi des rencontres'!$A:$A,$A1545)&gt;0,COUNTIF('Suivi des rencontres'!$C:$C,$J1545)&gt;0),"Non","Oui")</f>
        <v/>
      </c>
      <c r="J1545" s="30" t="inlineStr">
        <is>
          <t>POISSIRENE</t>
        </is>
      </c>
    </row>
    <row r="1546">
      <c r="A1546" s="57" t="inlineStr">
        <is>
          <t>Route 11</t>
        </is>
      </c>
      <c r="B1546" s="57" t="inlineStr">
        <is>
          <t>Route11_hns</t>
        </is>
      </c>
      <c r="C1546" s="58" t="inlineStr">
        <is>
          <t>Matin, jour, soir</t>
        </is>
      </c>
      <c r="D1546" s="42" t="inlineStr">
        <is>
          <t>Herbe</t>
        </is>
      </c>
      <c r="E1546" s="59" t="inlineStr">
        <is>
          <t>RATTATAC</t>
        </is>
      </c>
      <c r="F1546" s="60" t="n">
        <v>0.3</v>
      </c>
      <c r="G1546" s="61" t="n">
        <v>44</v>
      </c>
      <c r="H1546" s="61" t="n">
        <v>46</v>
      </c>
      <c r="I1546" s="46">
        <f>IF(OR(COUNTIF('Suivi des rencontres'!$A:$A,$A1546)&gt;0,COUNTIF('Suivi des rencontres'!$C:$C,$J1546)&gt;0),"Non","Oui")</f>
        <v/>
      </c>
      <c r="J1546" s="30" t="inlineStr">
        <is>
          <t>RATTATA</t>
        </is>
      </c>
    </row>
    <row r="1547">
      <c r="A1547" s="35" t="inlineStr">
        <is>
          <t>Route 11</t>
        </is>
      </c>
      <c r="B1547" s="35" t="inlineStr">
        <is>
          <t>Route11_hns</t>
        </is>
      </c>
      <c r="C1547" s="33" t="inlineStr">
        <is>
          <t>Matin, jour, soir</t>
        </is>
      </c>
      <c r="D1547" s="49" t="inlineStr">
        <is>
          <t>Herbe</t>
        </is>
      </c>
      <c r="E1547" s="37" t="inlineStr">
        <is>
          <t>GRANIVOL</t>
        </is>
      </c>
      <c r="F1547" s="38" t="n">
        <v>0.21</v>
      </c>
      <c r="G1547" s="39" t="n">
        <v>45</v>
      </c>
      <c r="H1547" s="39" t="n">
        <v>49</v>
      </c>
      <c r="I1547" s="29">
        <f>IF(OR(COUNTIF('Suivi des rencontres'!$A:$A,$A1547)&gt;0,COUNTIF('Suivi des rencontres'!$C:$C,$J1547)&gt;0),"Non","Oui")</f>
        <v/>
      </c>
      <c r="J1547" s="30" t="inlineStr">
        <is>
          <t>GRANIVOL</t>
        </is>
      </c>
    </row>
    <row r="1548">
      <c r="A1548" s="35" t="inlineStr">
        <is>
          <t>Route 11</t>
        </is>
      </c>
      <c r="B1548" s="35" t="inlineStr">
        <is>
          <t>Route11_hns</t>
        </is>
      </c>
      <c r="C1548" s="33" t="inlineStr">
        <is>
          <t>Matin, jour, soir</t>
        </is>
      </c>
      <c r="D1548" s="49" t="inlineStr">
        <is>
          <t>Herbe</t>
        </is>
      </c>
      <c r="E1548" s="37" t="inlineStr">
        <is>
          <t>MAGNETI</t>
        </is>
      </c>
      <c r="F1548" s="38" t="n">
        <v>0.16</v>
      </c>
      <c r="G1548" s="39" t="n">
        <v>46</v>
      </c>
      <c r="H1548" s="39" t="n">
        <v>48</v>
      </c>
      <c r="I1548" s="29">
        <f>IF(OR(COUNTIF('Suivi des rencontres'!$A:$A,$A1548)&gt;0,COUNTIF('Suivi des rencontres'!$C:$C,$J1548)&gt;0),"Non","Oui")</f>
        <v/>
      </c>
      <c r="J1548" s="30" t="inlineStr">
        <is>
          <t>MAGNETI</t>
        </is>
      </c>
    </row>
    <row r="1549">
      <c r="A1549" s="35" t="inlineStr">
        <is>
          <t>Route 11</t>
        </is>
      </c>
      <c r="B1549" s="35" t="inlineStr">
        <is>
          <t>Route11_hns</t>
        </is>
      </c>
      <c r="C1549" s="33" t="inlineStr">
        <is>
          <t>Matin, jour, soir</t>
        </is>
      </c>
      <c r="D1549" s="49" t="inlineStr">
        <is>
          <t>Herbe</t>
        </is>
      </c>
      <c r="E1549" s="37" t="inlineStr">
        <is>
          <t>RATTATA</t>
        </is>
      </c>
      <c r="F1549" s="38" t="n">
        <v>0.14</v>
      </c>
      <c r="G1549" s="39" t="n">
        <v>45</v>
      </c>
      <c r="H1549" s="39" t="n">
        <v>49</v>
      </c>
      <c r="I1549" s="29">
        <f>IF(OR(COUNTIF('Suivi des rencontres'!$A:$A,$A1549)&gt;0,COUNTIF('Suivi des rencontres'!$C:$C,$J1549)&gt;0),"Non","Oui")</f>
        <v/>
      </c>
      <c r="J1549" s="30" t="inlineStr">
        <is>
          <t>RATTATA</t>
        </is>
      </c>
    </row>
    <row r="1550">
      <c r="A1550" s="35" t="inlineStr">
        <is>
          <t>Route 11</t>
        </is>
      </c>
      <c r="B1550" s="35" t="inlineStr">
        <is>
          <t>Route11_hns</t>
        </is>
      </c>
      <c r="C1550" s="33" t="inlineStr">
        <is>
          <t>Matin, jour, soir</t>
        </is>
      </c>
      <c r="D1550" s="49" t="inlineStr">
        <is>
          <t>Herbe</t>
        </is>
      </c>
      <c r="E1550" s="37" t="inlineStr">
        <is>
          <t>ROUCOUPS</t>
        </is>
      </c>
      <c r="F1550" s="38" t="n">
        <v>0.14</v>
      </c>
      <c r="G1550" s="39" t="n">
        <v>47</v>
      </c>
      <c r="H1550" s="39" t="n">
        <v>49</v>
      </c>
      <c r="I1550" s="29">
        <f>IF(OR(COUNTIF('Suivi des rencontres'!$A:$A,$A1550)&gt;0,COUNTIF('Suivi des rencontres'!$C:$C,$J1550)&gt;0),"Non","Oui")</f>
        <v/>
      </c>
      <c r="J1550" s="30" t="inlineStr">
        <is>
          <t>ROUCOOL</t>
        </is>
      </c>
    </row>
    <row r="1551">
      <c r="A1551" s="35" t="inlineStr">
        <is>
          <t>Route 11</t>
        </is>
      </c>
      <c r="B1551" s="35" t="inlineStr">
        <is>
          <t>Route11_hns</t>
        </is>
      </c>
      <c r="C1551" s="33" t="inlineStr">
        <is>
          <t>Matin, jour, soir</t>
        </is>
      </c>
      <c r="D1551" s="49" t="inlineStr">
        <is>
          <t>Herbe</t>
        </is>
      </c>
      <c r="E1551" s="37" t="inlineStr">
        <is>
          <t>PARECOOL</t>
        </is>
      </c>
      <c r="F1551" s="38" t="n">
        <v>0.05</v>
      </c>
      <c r="G1551" s="39" t="n">
        <v>47</v>
      </c>
      <c r="H1551" s="39" t="n">
        <v>49</v>
      </c>
      <c r="I1551" s="29">
        <f>IF(OR(COUNTIF('Suivi des rencontres'!$A:$A,$A1551)&gt;0,COUNTIF('Suivi des rencontres'!$C:$C,$J1551)&gt;0),"Non","Oui")</f>
        <v/>
      </c>
      <c r="J1551" s="30" t="inlineStr">
        <is>
          <t>PARECOOL</t>
        </is>
      </c>
    </row>
    <row r="1552">
      <c r="A1552" s="35" t="inlineStr">
        <is>
          <t>Route 11</t>
        </is>
      </c>
      <c r="B1552" s="35" t="inlineStr">
        <is>
          <t>Route11_hns</t>
        </is>
      </c>
      <c r="C1552" s="62" t="inlineStr">
        <is>
          <t>Nuit</t>
        </is>
      </c>
      <c r="D1552" s="49" t="inlineStr">
        <is>
          <t>Herbe</t>
        </is>
      </c>
      <c r="E1552" s="37" t="inlineStr">
        <is>
          <t>MIAOUSS</t>
        </is>
      </c>
      <c r="F1552" s="38" t="n">
        <v>0.3</v>
      </c>
      <c r="G1552" s="39" t="n">
        <v>44</v>
      </c>
      <c r="H1552" s="39" t="n">
        <v>46</v>
      </c>
      <c r="I1552" s="29">
        <f>IF(OR(COUNTIF('Suivi des rencontres'!$A:$A,$A1552)&gt;0,COUNTIF('Suivi des rencontres'!$C:$C,$J1552)&gt;0),"Non","Oui")</f>
        <v/>
      </c>
      <c r="J1552" s="30" t="inlineStr">
        <is>
          <t>MIAOUSS</t>
        </is>
      </c>
    </row>
    <row r="1553">
      <c r="A1553" s="35" t="inlineStr">
        <is>
          <t>Route 11</t>
        </is>
      </c>
      <c r="B1553" s="35" t="inlineStr">
        <is>
          <t>Route11_hns</t>
        </is>
      </c>
      <c r="C1553" s="62" t="inlineStr">
        <is>
          <t>Nuit</t>
        </is>
      </c>
      <c r="D1553" s="49" t="inlineStr">
        <is>
          <t>Herbe</t>
        </is>
      </c>
      <c r="E1553" s="37" t="inlineStr">
        <is>
          <t>SOPORIFIK</t>
        </is>
      </c>
      <c r="F1553" s="38" t="n">
        <v>0.3</v>
      </c>
      <c r="G1553" s="39" t="n">
        <v>45</v>
      </c>
      <c r="H1553" s="39" t="n">
        <v>47</v>
      </c>
      <c r="I1553" s="29">
        <f>IF(OR(COUNTIF('Suivi des rencontres'!$A:$A,$A1553)&gt;0,COUNTIF('Suivi des rencontres'!$C:$C,$J1553)&gt;0),"Non","Oui")</f>
        <v/>
      </c>
      <c r="J1553" s="30" t="inlineStr">
        <is>
          <t>SOPORIFIK</t>
        </is>
      </c>
    </row>
    <row r="1554">
      <c r="A1554" s="35" t="inlineStr">
        <is>
          <t>Route 11</t>
        </is>
      </c>
      <c r="B1554" s="35" t="inlineStr">
        <is>
          <t>Route11_hns</t>
        </is>
      </c>
      <c r="C1554" s="62" t="inlineStr">
        <is>
          <t>Nuit</t>
        </is>
      </c>
      <c r="D1554" s="49" t="inlineStr">
        <is>
          <t>Herbe</t>
        </is>
      </c>
      <c r="E1554" s="37" t="inlineStr">
        <is>
          <t>MAGNETI</t>
        </is>
      </c>
      <c r="F1554" s="38" t="n">
        <v>0.15</v>
      </c>
      <c r="G1554" s="39" t="n">
        <v>46</v>
      </c>
      <c r="H1554" s="39" t="n">
        <v>48</v>
      </c>
      <c r="I1554" s="29">
        <f>IF(OR(COUNTIF('Suivi des rencontres'!$A:$A,$A1554)&gt;0,COUNTIF('Suivi des rencontres'!$C:$C,$J1554)&gt;0),"Non","Oui")</f>
        <v/>
      </c>
      <c r="J1554" s="30" t="inlineStr">
        <is>
          <t>MAGNETI</t>
        </is>
      </c>
    </row>
    <row r="1555">
      <c r="A1555" s="35" t="inlineStr">
        <is>
          <t>Route 11</t>
        </is>
      </c>
      <c r="B1555" s="35" t="inlineStr">
        <is>
          <t>Route11_hns</t>
        </is>
      </c>
      <c r="C1555" s="62" t="inlineStr">
        <is>
          <t>Nuit</t>
        </is>
      </c>
      <c r="D1555" s="49" t="inlineStr">
        <is>
          <t>Herbe</t>
        </is>
      </c>
      <c r="E1555" s="37" t="inlineStr">
        <is>
          <t>RATTATAC</t>
        </is>
      </c>
      <c r="F1555" s="38" t="n">
        <v>0.14</v>
      </c>
      <c r="G1555" s="39" t="n">
        <v>47</v>
      </c>
      <c r="H1555" s="39" t="n">
        <v>49</v>
      </c>
      <c r="I1555" s="29">
        <f>IF(OR(COUNTIF('Suivi des rencontres'!$A:$A,$A1555)&gt;0,COUNTIF('Suivi des rencontres'!$C:$C,$J1555)&gt;0),"Non","Oui")</f>
        <v/>
      </c>
      <c r="J1555" s="30" t="inlineStr">
        <is>
          <t>RATTATA</t>
        </is>
      </c>
    </row>
    <row r="1556">
      <c r="A1556" s="35" t="inlineStr">
        <is>
          <t>Route 11</t>
        </is>
      </c>
      <c r="B1556" s="35" t="inlineStr">
        <is>
          <t>Route11_hns</t>
        </is>
      </c>
      <c r="C1556" s="62" t="inlineStr">
        <is>
          <t>Nuit</t>
        </is>
      </c>
      <c r="D1556" s="49" t="inlineStr">
        <is>
          <t>Herbe</t>
        </is>
      </c>
      <c r="E1556" s="37" t="inlineStr">
        <is>
          <t>PARECOOL</t>
        </is>
      </c>
      <c r="F1556" s="38" t="n">
        <v>0.05</v>
      </c>
      <c r="G1556" s="39" t="n">
        <v>47</v>
      </c>
      <c r="H1556" s="39" t="n">
        <v>49</v>
      </c>
      <c r="I1556" s="29">
        <f>IF(OR(COUNTIF('Suivi des rencontres'!$A:$A,$A1556)&gt;0,COUNTIF('Suivi des rencontres'!$C:$C,$J1556)&gt;0),"Non","Oui")</f>
        <v/>
      </c>
      <c r="J1556" s="30" t="inlineStr">
        <is>
          <t>PARECOOL</t>
        </is>
      </c>
    </row>
    <row r="1557">
      <c r="A1557" s="35" t="inlineStr">
        <is>
          <t>Route 11</t>
        </is>
      </c>
      <c r="B1557" s="35" t="inlineStr">
        <is>
          <t>Route11_hns</t>
        </is>
      </c>
      <c r="C1557" s="62" t="inlineStr">
        <is>
          <t>Nuit</t>
        </is>
      </c>
      <c r="D1557" s="49" t="inlineStr">
        <is>
          <t>Herbe</t>
        </is>
      </c>
      <c r="E1557" s="37" t="inlineStr">
        <is>
          <t>NOARFANG</t>
        </is>
      </c>
      <c r="F1557" s="38" t="n">
        <v>0.04</v>
      </c>
      <c r="G1557" s="39" t="n">
        <v>47</v>
      </c>
      <c r="H1557" s="39" t="n">
        <v>49</v>
      </c>
      <c r="I1557" s="29">
        <f>IF(OR(COUNTIF('Suivi des rencontres'!$A:$A,$A1557)&gt;0,COUNTIF('Suivi des rencontres'!$C:$C,$J1557)&gt;0),"Non","Oui")</f>
        <v/>
      </c>
      <c r="J1557" s="30" t="inlineStr">
        <is>
          <t>HOOTHOOT</t>
        </is>
      </c>
    </row>
    <row r="1558">
      <c r="A1558" s="35" t="inlineStr">
        <is>
          <t>Route 11</t>
        </is>
      </c>
      <c r="B1558" s="35" t="inlineStr">
        <is>
          <t>Route11_hns</t>
        </is>
      </c>
      <c r="C1558" s="62" t="inlineStr">
        <is>
          <t>Nuit</t>
        </is>
      </c>
      <c r="D1558" s="49" t="inlineStr">
        <is>
          <t>Herbe</t>
        </is>
      </c>
      <c r="E1558" s="37" t="inlineStr">
        <is>
          <t>HYPNOMADE</t>
        </is>
      </c>
      <c r="F1558" s="38" t="n">
        <v>0.02</v>
      </c>
      <c r="G1558" s="39" t="n">
        <v>47</v>
      </c>
      <c r="H1558" s="39" t="n">
        <v>49</v>
      </c>
      <c r="I1558" s="29">
        <f>IF(OR(COUNTIF('Suivi des rencontres'!$A:$A,$A1558)&gt;0,COUNTIF('Suivi des rencontres'!$C:$C,$J1558)&gt;0),"Non","Oui")</f>
        <v/>
      </c>
      <c r="J1558" s="30" t="inlineStr">
        <is>
          <t>SOPORIFIK</t>
        </is>
      </c>
    </row>
    <row r="1559">
      <c r="A1559" s="35" t="inlineStr">
        <is>
          <t>Route 11</t>
        </is>
      </c>
      <c r="B1559" s="35" t="inlineStr">
        <is>
          <t>Route11_hns</t>
        </is>
      </c>
      <c r="C1559" s="33" t="inlineStr">
        <is>
          <t>Matin, jour, soir</t>
        </is>
      </c>
      <c r="D1559" s="36" t="inlineStr">
        <is>
          <t>Éclate-Roc</t>
        </is>
      </c>
      <c r="E1559" s="37" t="inlineStr">
        <is>
          <t>POMDEPIK</t>
        </is>
      </c>
      <c r="F1559" s="38" t="n">
        <v>0.6</v>
      </c>
      <c r="G1559" s="39" t="n">
        <v>41</v>
      </c>
      <c r="H1559" s="39" t="n">
        <v>43</v>
      </c>
      <c r="I1559" s="29">
        <f>IF(OR(COUNTIF('Suivi des rencontres'!$A:$A,$A1559)&gt;0,COUNTIF('Suivi des rencontres'!$C:$C,$J1559)&gt;0),"Non","Oui")</f>
        <v/>
      </c>
      <c r="J1559" s="30" t="inlineStr">
        <is>
          <t>POMDEPIK</t>
        </is>
      </c>
    </row>
    <row r="1560">
      <c r="A1560" s="35" t="inlineStr">
        <is>
          <t>Route 11</t>
        </is>
      </c>
      <c r="B1560" s="35" t="inlineStr">
        <is>
          <t>Route11_hns</t>
        </is>
      </c>
      <c r="C1560" s="33" t="inlineStr">
        <is>
          <t>Matin, jour, soir</t>
        </is>
      </c>
      <c r="D1560" s="36" t="inlineStr">
        <is>
          <t>Éclate-Roc</t>
        </is>
      </c>
      <c r="E1560" s="37" t="inlineStr">
        <is>
          <t>NOEUNOEUF</t>
        </is>
      </c>
      <c r="F1560" s="38" t="n">
        <v>0.3</v>
      </c>
      <c r="G1560" s="39" t="n">
        <v>41</v>
      </c>
      <c r="H1560" s="39" t="n">
        <v>43</v>
      </c>
      <c r="I1560" s="29">
        <f>IF(OR(COUNTIF('Suivi des rencontres'!$A:$A,$A1560)&gt;0,COUNTIF('Suivi des rencontres'!$C:$C,$J1560)&gt;0),"Non","Oui")</f>
        <v/>
      </c>
      <c r="J1560" s="30" t="inlineStr">
        <is>
          <t>NOEUNOEUF</t>
        </is>
      </c>
    </row>
    <row r="1561">
      <c r="A1561" s="35" t="inlineStr">
        <is>
          <t>Route 11</t>
        </is>
      </c>
      <c r="B1561" s="35" t="inlineStr">
        <is>
          <t>Route11_hns</t>
        </is>
      </c>
      <c r="C1561" s="33" t="inlineStr">
        <is>
          <t>Matin, jour, soir</t>
        </is>
      </c>
      <c r="D1561" s="36" t="inlineStr">
        <is>
          <t>Éclate-Roc</t>
        </is>
      </c>
      <c r="E1561" s="37" t="inlineStr">
        <is>
          <t>COXY</t>
        </is>
      </c>
      <c r="F1561" s="38" t="n">
        <v>0.05</v>
      </c>
      <c r="G1561" s="39" t="n">
        <v>41</v>
      </c>
      <c r="H1561" s="39" t="n">
        <v>43</v>
      </c>
      <c r="I1561" s="29">
        <f>IF(OR(COUNTIF('Suivi des rencontres'!$A:$A,$A1561)&gt;0,COUNTIF('Suivi des rencontres'!$C:$C,$J1561)&gt;0),"Non","Oui")</f>
        <v/>
      </c>
      <c r="J1561" s="30" t="inlineStr">
        <is>
          <t>COXY</t>
        </is>
      </c>
    </row>
    <row r="1562">
      <c r="A1562" s="35" t="inlineStr">
        <is>
          <t>Route 11</t>
        </is>
      </c>
      <c r="B1562" s="35" t="inlineStr">
        <is>
          <t>Route11_hns</t>
        </is>
      </c>
      <c r="C1562" s="33" t="inlineStr">
        <is>
          <t>Matin, jour, soir</t>
        </is>
      </c>
      <c r="D1562" s="36" t="inlineStr">
        <is>
          <t>Éclate-Roc</t>
        </is>
      </c>
      <c r="E1562" s="37" t="inlineStr">
        <is>
          <t>MIMIGAL</t>
        </is>
      </c>
      <c r="F1562" s="38" t="n">
        <v>0.05</v>
      </c>
      <c r="G1562" s="39" t="n">
        <v>41</v>
      </c>
      <c r="H1562" s="39" t="n">
        <v>43</v>
      </c>
      <c r="I1562" s="29">
        <f>IF(OR(COUNTIF('Suivi des rencontres'!$A:$A,$A1562)&gt;0,COUNTIF('Suivi des rencontres'!$C:$C,$J1562)&gt;0),"Non","Oui")</f>
        <v/>
      </c>
      <c r="J1562" s="30" t="inlineStr">
        <is>
          <t>MIMIGAL</t>
        </is>
      </c>
    </row>
    <row r="1563">
      <c r="A1563" s="35" t="inlineStr">
        <is>
          <t>Route 11</t>
        </is>
      </c>
      <c r="B1563" s="35" t="inlineStr">
        <is>
          <t>Route11_hns</t>
        </is>
      </c>
      <c r="C1563" s="62" t="inlineStr">
        <is>
          <t>Nuit</t>
        </is>
      </c>
      <c r="D1563" s="36" t="inlineStr">
        <is>
          <t>Éclate-Roc</t>
        </is>
      </c>
      <c r="E1563" s="37" t="inlineStr">
        <is>
          <t>POMDEPIK</t>
        </is>
      </c>
      <c r="F1563" s="38" t="n">
        <v>0.6</v>
      </c>
      <c r="G1563" s="39" t="n">
        <v>41</v>
      </c>
      <c r="H1563" s="39" t="n">
        <v>43</v>
      </c>
      <c r="I1563" s="29">
        <f>IF(OR(COUNTIF('Suivi des rencontres'!$A:$A,$A1563)&gt;0,COUNTIF('Suivi des rencontres'!$C:$C,$J1563)&gt;0),"Non","Oui")</f>
        <v/>
      </c>
      <c r="J1563" s="30" t="inlineStr">
        <is>
          <t>POMDEPIK</t>
        </is>
      </c>
    </row>
    <row r="1564">
      <c r="A1564" s="35" t="inlineStr">
        <is>
          <t>Route 11</t>
        </is>
      </c>
      <c r="B1564" s="35" t="inlineStr">
        <is>
          <t>Route11_hns</t>
        </is>
      </c>
      <c r="C1564" s="62" t="inlineStr">
        <is>
          <t>Nuit</t>
        </is>
      </c>
      <c r="D1564" s="36" t="inlineStr">
        <is>
          <t>Éclate-Roc</t>
        </is>
      </c>
      <c r="E1564" s="37" t="inlineStr">
        <is>
          <t>NOEUNOEUF</t>
        </is>
      </c>
      <c r="F1564" s="38" t="n">
        <v>0.3</v>
      </c>
      <c r="G1564" s="39" t="n">
        <v>41</v>
      </c>
      <c r="H1564" s="39" t="n">
        <v>43</v>
      </c>
      <c r="I1564" s="29">
        <f>IF(OR(COUNTIF('Suivi des rencontres'!$A:$A,$A1564)&gt;0,COUNTIF('Suivi des rencontres'!$C:$C,$J1564)&gt;0),"Non","Oui")</f>
        <v/>
      </c>
      <c r="J1564" s="30" t="inlineStr">
        <is>
          <t>NOEUNOEUF</t>
        </is>
      </c>
    </row>
    <row r="1565">
      <c r="A1565" s="35" t="inlineStr">
        <is>
          <t>Route 11</t>
        </is>
      </c>
      <c r="B1565" s="35" t="inlineStr">
        <is>
          <t>Route11_hns</t>
        </is>
      </c>
      <c r="C1565" s="62" t="inlineStr">
        <is>
          <t>Nuit</t>
        </is>
      </c>
      <c r="D1565" s="36" t="inlineStr">
        <is>
          <t>Éclate-Roc</t>
        </is>
      </c>
      <c r="E1565" s="37" t="inlineStr">
        <is>
          <t>COXY</t>
        </is>
      </c>
      <c r="F1565" s="38" t="n">
        <v>0.05</v>
      </c>
      <c r="G1565" s="39" t="n">
        <v>41</v>
      </c>
      <c r="H1565" s="39" t="n">
        <v>43</v>
      </c>
      <c r="I1565" s="29">
        <f>IF(OR(COUNTIF('Suivi des rencontres'!$A:$A,$A1565)&gt;0,COUNTIF('Suivi des rencontres'!$C:$C,$J1565)&gt;0),"Non","Oui")</f>
        <v/>
      </c>
      <c r="J1565" s="30" t="inlineStr">
        <is>
          <t>COXY</t>
        </is>
      </c>
    </row>
    <row r="1566">
      <c r="A1566" s="35" t="inlineStr">
        <is>
          <t>Route 11</t>
        </is>
      </c>
      <c r="B1566" s="35" t="inlineStr">
        <is>
          <t>Route11_hns</t>
        </is>
      </c>
      <c r="C1566" s="62" t="inlineStr">
        <is>
          <t>Nuit</t>
        </is>
      </c>
      <c r="D1566" s="36" t="inlineStr">
        <is>
          <t>Éclate-Roc</t>
        </is>
      </c>
      <c r="E1566" s="37" t="inlineStr">
        <is>
          <t>MIMIGAL</t>
        </is>
      </c>
      <c r="F1566" s="38" t="n">
        <v>0.05</v>
      </c>
      <c r="G1566" s="39" t="n">
        <v>41</v>
      </c>
      <c r="H1566" s="39" t="n">
        <v>43</v>
      </c>
      <c r="I1566" s="29">
        <f>IF(OR(COUNTIF('Suivi des rencontres'!$A:$A,$A1566)&gt;0,COUNTIF('Suivi des rencontres'!$C:$C,$J1566)&gt;0),"Non","Oui")</f>
        <v/>
      </c>
      <c r="J1566" s="30" t="inlineStr">
        <is>
          <t>MIMIGAL</t>
        </is>
      </c>
    </row>
    <row r="1567">
      <c r="A1567" s="40" t="inlineStr">
        <is>
          <t>Route 12</t>
        </is>
      </c>
      <c r="B1567" s="40" t="inlineStr">
        <is>
          <t>Route12_hns</t>
        </is>
      </c>
      <c r="C1567" s="41" t="inlineStr">
        <is>
          <t>Matin, jour, soir</t>
        </is>
      </c>
      <c r="D1567" s="42" t="inlineStr">
        <is>
          <t>Herbe</t>
        </is>
      </c>
      <c r="E1567" s="43" t="inlineStr">
        <is>
          <t>NIDORINA</t>
        </is>
      </c>
      <c r="F1567" s="44" t="n">
        <v>0.3</v>
      </c>
      <c r="G1567" s="45" t="n">
        <v>45</v>
      </c>
      <c r="H1567" s="45" t="n">
        <v>47</v>
      </c>
      <c r="I1567" s="46">
        <f>IF(OR(COUNTIF('Suivi des rencontres'!$A:$A,$A1567)&gt;0,COUNTIF('Suivi des rencontres'!$C:$C,$J1567)&gt;0),"Non","Oui")</f>
        <v/>
      </c>
      <c r="J1567" s="30" t="inlineStr">
        <is>
          <t>NIDORAN♀</t>
        </is>
      </c>
    </row>
    <row r="1568">
      <c r="A1568" s="47" t="inlineStr">
        <is>
          <t>Route 12</t>
        </is>
      </c>
      <c r="B1568" s="47" t="inlineStr">
        <is>
          <t>Route12_hns</t>
        </is>
      </c>
      <c r="C1568" s="48" t="inlineStr">
        <is>
          <t>Matin, jour, soir</t>
        </is>
      </c>
      <c r="D1568" s="49" t="inlineStr">
        <is>
          <t>Herbe</t>
        </is>
      </c>
      <c r="E1568" s="50" t="inlineStr">
        <is>
          <t>NIDORINO</t>
        </is>
      </c>
      <c r="F1568" s="51" t="n">
        <v>0.3</v>
      </c>
      <c r="G1568" s="52" t="n">
        <v>45</v>
      </c>
      <c r="H1568" s="52" t="n">
        <v>47</v>
      </c>
      <c r="I1568" s="29">
        <f>IF(OR(COUNTIF('Suivi des rencontres'!$A:$A,$A1568)&gt;0,COUNTIF('Suivi des rencontres'!$C:$C,$J1568)&gt;0),"Non","Oui")</f>
        <v/>
      </c>
      <c r="J1568" s="30" t="inlineStr">
        <is>
          <t>NIDORAN♂</t>
        </is>
      </c>
    </row>
    <row r="1569">
      <c r="A1569" s="47" t="inlineStr">
        <is>
          <t>Route 12</t>
        </is>
      </c>
      <c r="B1569" s="47" t="inlineStr">
        <is>
          <t>Route12_hns</t>
        </is>
      </c>
      <c r="C1569" s="48" t="inlineStr">
        <is>
          <t>Matin, jour, soir</t>
        </is>
      </c>
      <c r="D1569" s="49" t="inlineStr">
        <is>
          <t>Herbe</t>
        </is>
      </c>
      <c r="E1569" s="50" t="inlineStr">
        <is>
          <t>GRANIVOL</t>
        </is>
      </c>
      <c r="F1569" s="51" t="n">
        <v>0.18</v>
      </c>
      <c r="G1569" s="52" t="n">
        <v>47</v>
      </c>
      <c r="H1569" s="52" t="n">
        <v>47</v>
      </c>
      <c r="I1569" s="29">
        <f>IF(OR(COUNTIF('Suivi des rencontres'!$A:$A,$A1569)&gt;0,COUNTIF('Suivi des rencontres'!$C:$C,$J1569)&gt;0),"Non","Oui")</f>
        <v/>
      </c>
      <c r="J1569" s="30" t="inlineStr">
        <is>
          <t>GRANIVOL</t>
        </is>
      </c>
    </row>
    <row r="1570">
      <c r="A1570" s="47" t="inlineStr">
        <is>
          <t>Route 12</t>
        </is>
      </c>
      <c r="B1570" s="47" t="inlineStr">
        <is>
          <t>Route12_hns</t>
        </is>
      </c>
      <c r="C1570" s="48" t="inlineStr">
        <is>
          <t>Matin, jour, soir</t>
        </is>
      </c>
      <c r="D1570" s="49" t="inlineStr">
        <is>
          <t>Herbe</t>
        </is>
      </c>
      <c r="E1570" s="50" t="inlineStr">
        <is>
          <t>ROUCOUPS</t>
        </is>
      </c>
      <c r="F1570" s="51" t="n">
        <v>0.15</v>
      </c>
      <c r="G1570" s="52" t="n">
        <v>47</v>
      </c>
      <c r="H1570" s="52" t="n">
        <v>49</v>
      </c>
      <c r="I1570" s="29">
        <f>IF(OR(COUNTIF('Suivi des rencontres'!$A:$A,$A1570)&gt;0,COUNTIF('Suivi des rencontres'!$C:$C,$J1570)&gt;0),"Non","Oui")</f>
        <v/>
      </c>
      <c r="J1570" s="30" t="inlineStr">
        <is>
          <t>ROUCOOL</t>
        </is>
      </c>
    </row>
    <row r="1571">
      <c r="A1571" s="47" t="inlineStr">
        <is>
          <t>Route 12</t>
        </is>
      </c>
      <c r="B1571" s="47" t="inlineStr">
        <is>
          <t>Route12_hns</t>
        </is>
      </c>
      <c r="C1571" s="48" t="inlineStr">
        <is>
          <t>Matin, jour, soir</t>
        </is>
      </c>
      <c r="D1571" s="49" t="inlineStr">
        <is>
          <t>Herbe</t>
        </is>
      </c>
      <c r="E1571" s="50" t="inlineStr">
        <is>
          <t>GRAINIPIOT</t>
        </is>
      </c>
      <c r="F1571" s="51" t="n">
        <v>0.05</v>
      </c>
      <c r="G1571" s="52" t="n">
        <v>47</v>
      </c>
      <c r="H1571" s="52" t="n">
        <v>47</v>
      </c>
      <c r="I1571" s="29">
        <f>IF(OR(COUNTIF('Suivi des rencontres'!$A:$A,$A1571)&gt;0,COUNTIF('Suivi des rencontres'!$C:$C,$J1571)&gt;0),"Non","Oui")</f>
        <v/>
      </c>
      <c r="J1571" s="30" t="inlineStr">
        <is>
          <t>GRAINIPIOT</t>
        </is>
      </c>
    </row>
    <row r="1572">
      <c r="A1572" s="47" t="inlineStr">
        <is>
          <t>Route 12</t>
        </is>
      </c>
      <c r="B1572" s="47" t="inlineStr">
        <is>
          <t>Route12_hns</t>
        </is>
      </c>
      <c r="C1572" s="48" t="inlineStr">
        <is>
          <t>Matin, jour, soir</t>
        </is>
      </c>
      <c r="D1572" s="49" t="inlineStr">
        <is>
          <t>Herbe</t>
        </is>
      </c>
      <c r="E1572" s="50" t="inlineStr">
        <is>
          <t>LEVEINARD</t>
        </is>
      </c>
      <c r="F1572" s="51" t="n">
        <v>0.02</v>
      </c>
      <c r="G1572" s="52" t="n">
        <v>47</v>
      </c>
      <c r="H1572" s="52" t="n">
        <v>49</v>
      </c>
      <c r="I1572" s="29">
        <f>IF(OR(COUNTIF('Suivi des rencontres'!$A:$A,$A1572)&gt;0,COUNTIF('Suivi des rencontres'!$C:$C,$J1572)&gt;0),"Non","Oui")</f>
        <v/>
      </c>
      <c r="J1572" s="30" t="inlineStr">
        <is>
          <t>PTIRAVI</t>
        </is>
      </c>
    </row>
    <row r="1573">
      <c r="A1573" s="47" t="inlineStr">
        <is>
          <t>Route 12</t>
        </is>
      </c>
      <c r="B1573" s="47" t="inlineStr">
        <is>
          <t>Route12_hns</t>
        </is>
      </c>
      <c r="C1573" s="62" t="inlineStr">
        <is>
          <t>Nuit</t>
        </is>
      </c>
      <c r="D1573" s="49" t="inlineStr">
        <is>
          <t>Herbe</t>
        </is>
      </c>
      <c r="E1573" s="50" t="inlineStr">
        <is>
          <t>MARAISTE</t>
        </is>
      </c>
      <c r="F1573" s="51" t="n">
        <v>0.34</v>
      </c>
      <c r="G1573" s="52" t="n">
        <v>45</v>
      </c>
      <c r="H1573" s="52" t="n">
        <v>49</v>
      </c>
      <c r="I1573" s="29">
        <f>IF(OR(COUNTIF('Suivi des rencontres'!$A:$A,$A1573)&gt;0,COUNTIF('Suivi des rencontres'!$C:$C,$J1573)&gt;0),"Non","Oui")</f>
        <v/>
      </c>
      <c r="J1573" s="30" t="inlineStr">
        <is>
          <t>AXOLOTO</t>
        </is>
      </c>
    </row>
    <row r="1574">
      <c r="A1574" s="47" t="inlineStr">
        <is>
          <t>Route 12</t>
        </is>
      </c>
      <c r="B1574" s="47" t="inlineStr">
        <is>
          <t>Route12_hns</t>
        </is>
      </c>
      <c r="C1574" s="62" t="inlineStr">
        <is>
          <t>Nuit</t>
        </is>
      </c>
      <c r="D1574" s="49" t="inlineStr">
        <is>
          <t>Herbe</t>
        </is>
      </c>
      <c r="E1574" s="50" t="inlineStr">
        <is>
          <t>MIMITOSS</t>
        </is>
      </c>
      <c r="F1574" s="51" t="n">
        <v>0.3</v>
      </c>
      <c r="G1574" s="52" t="n">
        <v>45</v>
      </c>
      <c r="H1574" s="52" t="n">
        <v>47</v>
      </c>
      <c r="I1574" s="29">
        <f>IF(OR(COUNTIF('Suivi des rencontres'!$A:$A,$A1574)&gt;0,COUNTIF('Suivi des rencontres'!$C:$C,$J1574)&gt;0),"Non","Oui")</f>
        <v/>
      </c>
      <c r="J1574" s="30" t="inlineStr">
        <is>
          <t>MIMITOSS</t>
        </is>
      </c>
    </row>
    <row r="1575">
      <c r="A1575" s="47" t="inlineStr">
        <is>
          <t>Route 12</t>
        </is>
      </c>
      <c r="B1575" s="47" t="inlineStr">
        <is>
          <t>Route12_hns</t>
        </is>
      </c>
      <c r="C1575" s="62" t="inlineStr">
        <is>
          <t>Nuit</t>
        </is>
      </c>
      <c r="D1575" s="49" t="inlineStr">
        <is>
          <t>Herbe</t>
        </is>
      </c>
      <c r="E1575" s="50" t="inlineStr">
        <is>
          <t>NOARFANG</t>
        </is>
      </c>
      <c r="F1575" s="51" t="n">
        <v>0.15</v>
      </c>
      <c r="G1575" s="52" t="n">
        <v>47</v>
      </c>
      <c r="H1575" s="52" t="n">
        <v>49</v>
      </c>
      <c r="I1575" s="29">
        <f>IF(OR(COUNTIF('Suivi des rencontres'!$A:$A,$A1575)&gt;0,COUNTIF('Suivi des rencontres'!$C:$C,$J1575)&gt;0),"Non","Oui")</f>
        <v/>
      </c>
      <c r="J1575" s="30" t="inlineStr">
        <is>
          <t>HOOTHOOT</t>
        </is>
      </c>
    </row>
    <row r="1576">
      <c r="A1576" s="47" t="inlineStr">
        <is>
          <t>Route 12</t>
        </is>
      </c>
      <c r="B1576" s="47" t="inlineStr">
        <is>
          <t>Route12_hns</t>
        </is>
      </c>
      <c r="C1576" s="62" t="inlineStr">
        <is>
          <t>Nuit</t>
        </is>
      </c>
      <c r="D1576" s="49" t="inlineStr">
        <is>
          <t>Herbe</t>
        </is>
      </c>
      <c r="E1576" s="50" t="inlineStr">
        <is>
          <t>AEROMITE</t>
        </is>
      </c>
      <c r="F1576" s="51" t="n">
        <v>0.14</v>
      </c>
      <c r="G1576" s="52" t="n">
        <v>47</v>
      </c>
      <c r="H1576" s="52" t="n">
        <v>49</v>
      </c>
      <c r="I1576" s="29">
        <f>IF(OR(COUNTIF('Suivi des rencontres'!$A:$A,$A1576)&gt;0,COUNTIF('Suivi des rencontres'!$C:$C,$J1576)&gt;0),"Non","Oui")</f>
        <v/>
      </c>
      <c r="J1576" s="30" t="inlineStr">
        <is>
          <t>MIMITOSS</t>
        </is>
      </c>
    </row>
    <row r="1577">
      <c r="A1577" s="47" t="inlineStr">
        <is>
          <t>Route 12</t>
        </is>
      </c>
      <c r="B1577" s="47" t="inlineStr">
        <is>
          <t>Route12_hns</t>
        </is>
      </c>
      <c r="C1577" s="62" t="inlineStr">
        <is>
          <t>Nuit</t>
        </is>
      </c>
      <c r="D1577" s="49" t="inlineStr">
        <is>
          <t>Herbe</t>
        </is>
      </c>
      <c r="E1577" s="50" t="inlineStr">
        <is>
          <t>GRAINIPIOT</t>
        </is>
      </c>
      <c r="F1577" s="51" t="n">
        <v>0.05</v>
      </c>
      <c r="G1577" s="52" t="n">
        <v>45</v>
      </c>
      <c r="H1577" s="52" t="n">
        <v>49</v>
      </c>
      <c r="I1577" s="29">
        <f>IF(OR(COUNTIF('Suivi des rencontres'!$A:$A,$A1577)&gt;0,COUNTIF('Suivi des rencontres'!$C:$C,$J1577)&gt;0),"Non","Oui")</f>
        <v/>
      </c>
      <c r="J1577" s="30" t="inlineStr">
        <is>
          <t>GRAINIPIOT</t>
        </is>
      </c>
    </row>
    <row r="1578">
      <c r="A1578" s="47" t="inlineStr">
        <is>
          <t>Route 12</t>
        </is>
      </c>
      <c r="B1578" s="47" t="inlineStr">
        <is>
          <t>Route12_hns</t>
        </is>
      </c>
      <c r="C1578" s="62" t="inlineStr">
        <is>
          <t>Nuit</t>
        </is>
      </c>
      <c r="D1578" s="49" t="inlineStr">
        <is>
          <t>Herbe</t>
        </is>
      </c>
      <c r="E1578" s="50" t="inlineStr">
        <is>
          <t>LEVEINARD</t>
        </is>
      </c>
      <c r="F1578" s="51" t="n">
        <v>0.02</v>
      </c>
      <c r="G1578" s="52" t="n">
        <v>47</v>
      </c>
      <c r="H1578" s="52" t="n">
        <v>49</v>
      </c>
      <c r="I1578" s="29">
        <f>IF(OR(COUNTIF('Suivi des rencontres'!$A:$A,$A1578)&gt;0,COUNTIF('Suivi des rencontres'!$C:$C,$J1578)&gt;0),"Non","Oui")</f>
        <v/>
      </c>
      <c r="J1578" s="30" t="inlineStr">
        <is>
          <t>PTIRAVI</t>
        </is>
      </c>
    </row>
    <row r="1579">
      <c r="A1579" s="47" t="inlineStr">
        <is>
          <t>Route 12</t>
        </is>
      </c>
      <c r="B1579" s="47" t="inlineStr">
        <is>
          <t>Route12_hns</t>
        </is>
      </c>
      <c r="C1579" s="48" t="inlineStr">
        <is>
          <t>Matin, jour, soir</t>
        </is>
      </c>
      <c r="D1579" s="53" t="inlineStr">
        <is>
          <t>Surf</t>
        </is>
      </c>
      <c r="E1579" s="50" t="inlineStr">
        <is>
          <t>TENTACOOL</t>
        </is>
      </c>
      <c r="F1579" s="51" t="n">
        <v>0.95</v>
      </c>
      <c r="G1579" s="52" t="n">
        <v>47</v>
      </c>
      <c r="H1579" s="52" t="n">
        <v>47</v>
      </c>
      <c r="I1579" s="29">
        <f>IF(OR(COUNTIF('Suivi des rencontres'!$A:$A,$A1579)&gt;0,COUNTIF('Suivi des rencontres'!$C:$C,$J1579)&gt;0),"Non","Oui")</f>
        <v/>
      </c>
      <c r="J1579" s="30" t="inlineStr">
        <is>
          <t>TENTACOOL</t>
        </is>
      </c>
    </row>
    <row r="1580">
      <c r="A1580" s="47" t="inlineStr">
        <is>
          <t>Route 12</t>
        </is>
      </c>
      <c r="B1580" s="47" t="inlineStr">
        <is>
          <t>Route12_hns</t>
        </is>
      </c>
      <c r="C1580" s="48" t="inlineStr">
        <is>
          <t>Matin, jour, soir</t>
        </is>
      </c>
      <c r="D1580" s="53" t="inlineStr">
        <is>
          <t>Surf</t>
        </is>
      </c>
      <c r="E1580" s="50" t="inlineStr">
        <is>
          <t>CARVANHA</t>
        </is>
      </c>
      <c r="F1580" s="51" t="n">
        <v>0.05</v>
      </c>
      <c r="G1580" s="52" t="n">
        <v>47</v>
      </c>
      <c r="H1580" s="52" t="n">
        <v>47</v>
      </c>
      <c r="I1580" s="29">
        <f>IF(OR(COUNTIF('Suivi des rencontres'!$A:$A,$A1580)&gt;0,COUNTIF('Suivi des rencontres'!$C:$C,$J1580)&gt;0),"Non","Oui")</f>
        <v/>
      </c>
      <c r="J1580" s="30" t="inlineStr">
        <is>
          <t>CARVANHA</t>
        </is>
      </c>
    </row>
    <row r="1581">
      <c r="A1581" s="47" t="inlineStr">
        <is>
          <t>Route 12</t>
        </is>
      </c>
      <c r="B1581" s="47" t="inlineStr">
        <is>
          <t>Route12_hns</t>
        </is>
      </c>
      <c r="C1581" s="62" t="inlineStr">
        <is>
          <t>Nuit</t>
        </is>
      </c>
      <c r="D1581" s="53" t="inlineStr">
        <is>
          <t>Surf</t>
        </is>
      </c>
      <c r="E1581" s="50" t="inlineStr">
        <is>
          <t>TENTACOOL</t>
        </is>
      </c>
      <c r="F1581" s="51" t="n">
        <v>0.9</v>
      </c>
      <c r="G1581" s="52" t="n">
        <v>47</v>
      </c>
      <c r="H1581" s="52" t="n">
        <v>47</v>
      </c>
      <c r="I1581" s="29">
        <f>IF(OR(COUNTIF('Suivi des rencontres'!$A:$A,$A1581)&gt;0,COUNTIF('Suivi des rencontres'!$C:$C,$J1581)&gt;0),"Non","Oui")</f>
        <v/>
      </c>
      <c r="J1581" s="30" t="inlineStr">
        <is>
          <t>TENTACOOL</t>
        </is>
      </c>
    </row>
    <row r="1582">
      <c r="A1582" s="47" t="inlineStr">
        <is>
          <t>Route 12</t>
        </is>
      </c>
      <c r="B1582" s="47" t="inlineStr">
        <is>
          <t>Route12_hns</t>
        </is>
      </c>
      <c r="C1582" s="62" t="inlineStr">
        <is>
          <t>Nuit</t>
        </is>
      </c>
      <c r="D1582" s="53" t="inlineStr">
        <is>
          <t>Surf</t>
        </is>
      </c>
      <c r="E1582" s="50" t="inlineStr">
        <is>
          <t>CARVANHA</t>
        </is>
      </c>
      <c r="F1582" s="51" t="n">
        <v>0.1</v>
      </c>
      <c r="G1582" s="52" t="n">
        <v>47</v>
      </c>
      <c r="H1582" s="52" t="n">
        <v>47</v>
      </c>
      <c r="I1582" s="29">
        <f>IF(OR(COUNTIF('Suivi des rencontres'!$A:$A,$A1582)&gt;0,COUNTIF('Suivi des rencontres'!$C:$C,$J1582)&gt;0),"Non","Oui")</f>
        <v/>
      </c>
      <c r="J1582" s="30" t="inlineStr">
        <is>
          <t>CARVANHA</t>
        </is>
      </c>
    </row>
    <row r="1583">
      <c r="A1583" s="47" t="inlineStr">
        <is>
          <t>Route 12</t>
        </is>
      </c>
      <c r="B1583" s="47" t="inlineStr">
        <is>
          <t>Route12_hns</t>
        </is>
      </c>
      <c r="C1583" s="48" t="inlineStr">
        <is>
          <t>Matin, jour, soir</t>
        </is>
      </c>
      <c r="D1583" s="36" t="inlineStr">
        <is>
          <t>Éclate-Roc</t>
        </is>
      </c>
      <c r="E1583" s="50" t="inlineStr">
        <is>
          <t>POMDEPIK</t>
        </is>
      </c>
      <c r="F1583" s="51" t="n">
        <v>0.6</v>
      </c>
      <c r="G1583" s="52" t="n">
        <v>41</v>
      </c>
      <c r="H1583" s="52" t="n">
        <v>43</v>
      </c>
      <c r="I1583" s="29">
        <f>IF(OR(COUNTIF('Suivi des rencontres'!$A:$A,$A1583)&gt;0,COUNTIF('Suivi des rencontres'!$C:$C,$J1583)&gt;0),"Non","Oui")</f>
        <v/>
      </c>
      <c r="J1583" s="30" t="inlineStr">
        <is>
          <t>POMDEPIK</t>
        </is>
      </c>
    </row>
    <row r="1584">
      <c r="A1584" s="47" t="inlineStr">
        <is>
          <t>Route 12</t>
        </is>
      </c>
      <c r="B1584" s="47" t="inlineStr">
        <is>
          <t>Route12_hns</t>
        </is>
      </c>
      <c r="C1584" s="48" t="inlineStr">
        <is>
          <t>Matin, jour, soir</t>
        </is>
      </c>
      <c r="D1584" s="36" t="inlineStr">
        <is>
          <t>Éclate-Roc</t>
        </is>
      </c>
      <c r="E1584" s="50" t="inlineStr">
        <is>
          <t>NOEUNOEUF</t>
        </is>
      </c>
      <c r="F1584" s="51" t="n">
        <v>0.3</v>
      </c>
      <c r="G1584" s="52" t="n">
        <v>41</v>
      </c>
      <c r="H1584" s="52" t="n">
        <v>43</v>
      </c>
      <c r="I1584" s="29">
        <f>IF(OR(COUNTIF('Suivi des rencontres'!$A:$A,$A1584)&gt;0,COUNTIF('Suivi des rencontres'!$C:$C,$J1584)&gt;0),"Non","Oui")</f>
        <v/>
      </c>
      <c r="J1584" s="30" t="inlineStr">
        <is>
          <t>NOEUNOEUF</t>
        </is>
      </c>
    </row>
    <row r="1585">
      <c r="A1585" s="47" t="inlineStr">
        <is>
          <t>Route 12</t>
        </is>
      </c>
      <c r="B1585" s="47" t="inlineStr">
        <is>
          <t>Route12_hns</t>
        </is>
      </c>
      <c r="C1585" s="48" t="inlineStr">
        <is>
          <t>Matin, jour, soir</t>
        </is>
      </c>
      <c r="D1585" s="36" t="inlineStr">
        <is>
          <t>Éclate-Roc</t>
        </is>
      </c>
      <c r="E1585" s="50" t="inlineStr">
        <is>
          <t>COXY</t>
        </is>
      </c>
      <c r="F1585" s="51" t="n">
        <v>0.05</v>
      </c>
      <c r="G1585" s="52" t="n">
        <v>41</v>
      </c>
      <c r="H1585" s="52" t="n">
        <v>43</v>
      </c>
      <c r="I1585" s="29">
        <f>IF(OR(COUNTIF('Suivi des rencontres'!$A:$A,$A1585)&gt;0,COUNTIF('Suivi des rencontres'!$C:$C,$J1585)&gt;0),"Non","Oui")</f>
        <v/>
      </c>
      <c r="J1585" s="30" t="inlineStr">
        <is>
          <t>COXY</t>
        </is>
      </c>
    </row>
    <row r="1586">
      <c r="A1586" s="47" t="inlineStr">
        <is>
          <t>Route 12</t>
        </is>
      </c>
      <c r="B1586" s="47" t="inlineStr">
        <is>
          <t>Route12_hns</t>
        </is>
      </c>
      <c r="C1586" s="48" t="inlineStr">
        <is>
          <t>Matin, jour, soir</t>
        </is>
      </c>
      <c r="D1586" s="36" t="inlineStr">
        <is>
          <t>Éclate-Roc</t>
        </is>
      </c>
      <c r="E1586" s="50" t="inlineStr">
        <is>
          <t>MIMIGAL</t>
        </is>
      </c>
      <c r="F1586" s="51" t="n">
        <v>0.05</v>
      </c>
      <c r="G1586" s="52" t="n">
        <v>41</v>
      </c>
      <c r="H1586" s="52" t="n">
        <v>43</v>
      </c>
      <c r="I1586" s="29">
        <f>IF(OR(COUNTIF('Suivi des rencontres'!$A:$A,$A1586)&gt;0,COUNTIF('Suivi des rencontres'!$C:$C,$J1586)&gt;0),"Non","Oui")</f>
        <v/>
      </c>
      <c r="J1586" s="30" t="inlineStr">
        <is>
          <t>MIMIGAL</t>
        </is>
      </c>
    </row>
    <row r="1587">
      <c r="A1587" s="47" t="inlineStr">
        <is>
          <t>Route 12</t>
        </is>
      </c>
      <c r="B1587" s="47" t="inlineStr">
        <is>
          <t>Route12_hns</t>
        </is>
      </c>
      <c r="C1587" s="62" t="inlineStr">
        <is>
          <t>Nuit</t>
        </is>
      </c>
      <c r="D1587" s="36" t="inlineStr">
        <is>
          <t>Éclate-Roc</t>
        </is>
      </c>
      <c r="E1587" s="50" t="inlineStr">
        <is>
          <t>POMDEPIK</t>
        </is>
      </c>
      <c r="F1587" s="51" t="n">
        <v>0.6</v>
      </c>
      <c r="G1587" s="52" t="n">
        <v>41</v>
      </c>
      <c r="H1587" s="52" t="n">
        <v>43</v>
      </c>
      <c r="I1587" s="29">
        <f>IF(OR(COUNTIF('Suivi des rencontres'!$A:$A,$A1587)&gt;0,COUNTIF('Suivi des rencontres'!$C:$C,$J1587)&gt;0),"Non","Oui")</f>
        <v/>
      </c>
      <c r="J1587" s="30" t="inlineStr">
        <is>
          <t>POMDEPIK</t>
        </is>
      </c>
    </row>
    <row r="1588">
      <c r="A1588" s="47" t="inlineStr">
        <is>
          <t>Route 12</t>
        </is>
      </c>
      <c r="B1588" s="47" t="inlineStr">
        <is>
          <t>Route12_hns</t>
        </is>
      </c>
      <c r="C1588" s="62" t="inlineStr">
        <is>
          <t>Nuit</t>
        </is>
      </c>
      <c r="D1588" s="36" t="inlineStr">
        <is>
          <t>Éclate-Roc</t>
        </is>
      </c>
      <c r="E1588" s="50" t="inlineStr">
        <is>
          <t>NOEUNOEUF</t>
        </is>
      </c>
      <c r="F1588" s="51" t="n">
        <v>0.3</v>
      </c>
      <c r="G1588" s="52" t="n">
        <v>41</v>
      </c>
      <c r="H1588" s="52" t="n">
        <v>43</v>
      </c>
      <c r="I1588" s="29">
        <f>IF(OR(COUNTIF('Suivi des rencontres'!$A:$A,$A1588)&gt;0,COUNTIF('Suivi des rencontres'!$C:$C,$J1588)&gt;0),"Non","Oui")</f>
        <v/>
      </c>
      <c r="J1588" s="30" t="inlineStr">
        <is>
          <t>NOEUNOEUF</t>
        </is>
      </c>
    </row>
    <row r="1589">
      <c r="A1589" s="47" t="inlineStr">
        <is>
          <t>Route 12</t>
        </is>
      </c>
      <c r="B1589" s="47" t="inlineStr">
        <is>
          <t>Route12_hns</t>
        </is>
      </c>
      <c r="C1589" s="62" t="inlineStr">
        <is>
          <t>Nuit</t>
        </is>
      </c>
      <c r="D1589" s="36" t="inlineStr">
        <is>
          <t>Éclate-Roc</t>
        </is>
      </c>
      <c r="E1589" s="50" t="inlineStr">
        <is>
          <t>COXY</t>
        </is>
      </c>
      <c r="F1589" s="51" t="n">
        <v>0.05</v>
      </c>
      <c r="G1589" s="52" t="n">
        <v>41</v>
      </c>
      <c r="H1589" s="52" t="n">
        <v>43</v>
      </c>
      <c r="I1589" s="29">
        <f>IF(OR(COUNTIF('Suivi des rencontres'!$A:$A,$A1589)&gt;0,COUNTIF('Suivi des rencontres'!$C:$C,$J1589)&gt;0),"Non","Oui")</f>
        <v/>
      </c>
      <c r="J1589" s="30" t="inlineStr">
        <is>
          <t>COXY</t>
        </is>
      </c>
    </row>
    <row r="1590">
      <c r="A1590" s="47" t="inlineStr">
        <is>
          <t>Route 12</t>
        </is>
      </c>
      <c r="B1590" s="47" t="inlineStr">
        <is>
          <t>Route12_hns</t>
        </is>
      </c>
      <c r="C1590" s="62" t="inlineStr">
        <is>
          <t>Nuit</t>
        </is>
      </c>
      <c r="D1590" s="36" t="inlineStr">
        <is>
          <t>Éclate-Roc</t>
        </is>
      </c>
      <c r="E1590" s="50" t="inlineStr">
        <is>
          <t>MIMIGAL</t>
        </is>
      </c>
      <c r="F1590" s="51" t="n">
        <v>0.05</v>
      </c>
      <c r="G1590" s="52" t="n">
        <v>41</v>
      </c>
      <c r="H1590" s="52" t="n">
        <v>43</v>
      </c>
      <c r="I1590" s="29">
        <f>IF(OR(COUNTIF('Suivi des rencontres'!$A:$A,$A1590)&gt;0,COUNTIF('Suivi des rencontres'!$C:$C,$J1590)&gt;0),"Non","Oui")</f>
        <v/>
      </c>
      <c r="J1590" s="30" t="inlineStr">
        <is>
          <t>MIMIGAL</t>
        </is>
      </c>
    </row>
    <row r="1591">
      <c r="A1591" s="47" t="inlineStr">
        <is>
          <t>Route 12</t>
        </is>
      </c>
      <c r="B1591" s="47" t="inlineStr">
        <is>
          <t>Route12_hns</t>
        </is>
      </c>
      <c r="C1591" s="48" t="inlineStr">
        <is>
          <t>Matin, jour, soir</t>
        </is>
      </c>
      <c r="D1591" s="54" t="inlineStr">
        <is>
          <t>Vieille Canne</t>
        </is>
      </c>
      <c r="E1591" s="50" t="inlineStr">
        <is>
          <t>MAGICARPE</t>
        </is>
      </c>
      <c r="F1591" s="51" t="n">
        <v>0.7</v>
      </c>
      <c r="G1591" s="52" t="n">
        <v>41</v>
      </c>
      <c r="H1591" s="52" t="n">
        <v>43</v>
      </c>
      <c r="I1591" s="29">
        <f>IF(OR(COUNTIF('Suivi des rencontres'!$A:$A,$A1591)&gt;0,COUNTIF('Suivi des rencontres'!$C:$C,$J1591)&gt;0),"Non","Oui")</f>
        <v/>
      </c>
      <c r="J1591" s="30" t="inlineStr">
        <is>
          <t>MAGICARPE</t>
        </is>
      </c>
    </row>
    <row r="1592">
      <c r="A1592" s="47" t="inlineStr">
        <is>
          <t>Route 12</t>
        </is>
      </c>
      <c r="B1592" s="47" t="inlineStr">
        <is>
          <t>Route12_hns</t>
        </is>
      </c>
      <c r="C1592" s="48" t="inlineStr">
        <is>
          <t>Matin, jour, soir</t>
        </is>
      </c>
      <c r="D1592" s="54" t="inlineStr">
        <is>
          <t>Vieille Canne</t>
        </is>
      </c>
      <c r="E1592" s="50" t="inlineStr">
        <is>
          <t>TENTACOOL</t>
        </is>
      </c>
      <c r="F1592" s="51" t="n">
        <v>0.3</v>
      </c>
      <c r="G1592" s="52" t="n">
        <v>41</v>
      </c>
      <c r="H1592" s="52" t="n">
        <v>43</v>
      </c>
      <c r="I1592" s="29">
        <f>IF(OR(COUNTIF('Suivi des rencontres'!$A:$A,$A1592)&gt;0,COUNTIF('Suivi des rencontres'!$C:$C,$J1592)&gt;0),"Non","Oui")</f>
        <v/>
      </c>
      <c r="J1592" s="30" t="inlineStr">
        <is>
          <t>TENTACOOL</t>
        </is>
      </c>
    </row>
    <row r="1593">
      <c r="A1593" s="47" t="inlineStr">
        <is>
          <t>Route 12</t>
        </is>
      </c>
      <c r="B1593" s="47" t="inlineStr">
        <is>
          <t>Route12_hns</t>
        </is>
      </c>
      <c r="C1593" s="62" t="inlineStr">
        <is>
          <t>Nuit</t>
        </is>
      </c>
      <c r="D1593" s="54" t="inlineStr">
        <is>
          <t>Vieille Canne</t>
        </is>
      </c>
      <c r="E1593" s="50" t="inlineStr">
        <is>
          <t>MAGICARPE</t>
        </is>
      </c>
      <c r="F1593" s="51" t="n">
        <v>0.7</v>
      </c>
      <c r="G1593" s="52" t="n">
        <v>41</v>
      </c>
      <c r="H1593" s="52" t="n">
        <v>43</v>
      </c>
      <c r="I1593" s="29">
        <f>IF(OR(COUNTIF('Suivi des rencontres'!$A:$A,$A1593)&gt;0,COUNTIF('Suivi des rencontres'!$C:$C,$J1593)&gt;0),"Non","Oui")</f>
        <v/>
      </c>
      <c r="J1593" s="30" t="inlineStr">
        <is>
          <t>MAGICARPE</t>
        </is>
      </c>
    </row>
    <row r="1594">
      <c r="A1594" s="47" t="inlineStr">
        <is>
          <t>Route 12</t>
        </is>
      </c>
      <c r="B1594" s="47" t="inlineStr">
        <is>
          <t>Route12_hns</t>
        </is>
      </c>
      <c r="C1594" s="62" t="inlineStr">
        <is>
          <t>Nuit</t>
        </is>
      </c>
      <c r="D1594" s="54" t="inlineStr">
        <is>
          <t>Vieille Canne</t>
        </is>
      </c>
      <c r="E1594" s="50" t="inlineStr">
        <is>
          <t>TENTACOOL</t>
        </is>
      </c>
      <c r="F1594" s="51" t="n">
        <v>0.3</v>
      </c>
      <c r="G1594" s="52" t="n">
        <v>41</v>
      </c>
      <c r="H1594" s="52" t="n">
        <v>43</v>
      </c>
      <c r="I1594" s="29">
        <f>IF(OR(COUNTIF('Suivi des rencontres'!$A:$A,$A1594)&gt;0,COUNTIF('Suivi des rencontres'!$C:$C,$J1594)&gt;0),"Non","Oui")</f>
        <v/>
      </c>
      <c r="J1594" s="30" t="inlineStr">
        <is>
          <t>TENTACOOL</t>
        </is>
      </c>
    </row>
    <row r="1595">
      <c r="A1595" s="47" t="inlineStr">
        <is>
          <t>Route 12</t>
        </is>
      </c>
      <c r="B1595" s="47" t="inlineStr">
        <is>
          <t>Route12_hns</t>
        </is>
      </c>
      <c r="C1595" s="48" t="inlineStr">
        <is>
          <t>Matin, jour, soir</t>
        </is>
      </c>
      <c r="D1595" s="55" t="inlineStr">
        <is>
          <t>Bonne Canne</t>
        </is>
      </c>
      <c r="E1595" s="50" t="inlineStr">
        <is>
          <t>MAGICARPE</t>
        </is>
      </c>
      <c r="F1595" s="51" t="n">
        <v>0.6</v>
      </c>
      <c r="G1595" s="52" t="n">
        <v>42</v>
      </c>
      <c r="H1595" s="52" t="n">
        <v>44</v>
      </c>
      <c r="I1595" s="29">
        <f>IF(OR(COUNTIF('Suivi des rencontres'!$A:$A,$A1595)&gt;0,COUNTIF('Suivi des rencontres'!$C:$C,$J1595)&gt;0),"Non","Oui")</f>
        <v/>
      </c>
      <c r="J1595" s="30" t="inlineStr">
        <is>
          <t>MAGICARPE</t>
        </is>
      </c>
    </row>
    <row r="1596">
      <c r="A1596" s="47" t="inlineStr">
        <is>
          <t>Route 12</t>
        </is>
      </c>
      <c r="B1596" s="47" t="inlineStr">
        <is>
          <t>Route12_hns</t>
        </is>
      </c>
      <c r="C1596" s="48" t="inlineStr">
        <is>
          <t>Matin, jour, soir</t>
        </is>
      </c>
      <c r="D1596" s="55" t="inlineStr">
        <is>
          <t>Bonne Canne</t>
        </is>
      </c>
      <c r="E1596" s="50" t="inlineStr">
        <is>
          <t>MARAISTE</t>
        </is>
      </c>
      <c r="F1596" s="51" t="n">
        <v>0.2</v>
      </c>
      <c r="G1596" s="52" t="n">
        <v>42</v>
      </c>
      <c r="H1596" s="52" t="n">
        <v>44</v>
      </c>
      <c r="I1596" s="29">
        <f>IF(OR(COUNTIF('Suivi des rencontres'!$A:$A,$A1596)&gt;0,COUNTIF('Suivi des rencontres'!$C:$C,$J1596)&gt;0),"Non","Oui")</f>
        <v/>
      </c>
      <c r="J1596" s="30" t="inlineStr">
        <is>
          <t>AXOLOTO</t>
        </is>
      </c>
    </row>
    <row r="1597">
      <c r="A1597" s="47" t="inlineStr">
        <is>
          <t>Route 12</t>
        </is>
      </c>
      <c r="B1597" s="47" t="inlineStr">
        <is>
          <t>Route12_hns</t>
        </is>
      </c>
      <c r="C1597" s="48" t="inlineStr">
        <is>
          <t>Matin, jour, soir</t>
        </is>
      </c>
      <c r="D1597" s="55" t="inlineStr">
        <is>
          <t>Bonne Canne</t>
        </is>
      </c>
      <c r="E1597" s="50" t="inlineStr">
        <is>
          <t>TENTACOOL</t>
        </is>
      </c>
      <c r="F1597" s="51" t="n">
        <v>0.2</v>
      </c>
      <c r="G1597" s="52" t="n">
        <v>42</v>
      </c>
      <c r="H1597" s="52" t="n">
        <v>44</v>
      </c>
      <c r="I1597" s="29">
        <f>IF(OR(COUNTIF('Suivi des rencontres'!$A:$A,$A1597)&gt;0,COUNTIF('Suivi des rencontres'!$C:$C,$J1597)&gt;0),"Non","Oui")</f>
        <v/>
      </c>
      <c r="J1597" s="30" t="inlineStr">
        <is>
          <t>TENTACOOL</t>
        </is>
      </c>
    </row>
    <row r="1598">
      <c r="A1598" s="47" t="inlineStr">
        <is>
          <t>Route 12</t>
        </is>
      </c>
      <c r="B1598" s="47" t="inlineStr">
        <is>
          <t>Route12_hns</t>
        </is>
      </c>
      <c r="C1598" s="62" t="inlineStr">
        <is>
          <t>Nuit</t>
        </is>
      </c>
      <c r="D1598" s="55" t="inlineStr">
        <is>
          <t>Bonne Canne</t>
        </is>
      </c>
      <c r="E1598" s="50" t="inlineStr">
        <is>
          <t>MAGICARPE</t>
        </is>
      </c>
      <c r="F1598" s="51" t="n">
        <v>0.6</v>
      </c>
      <c r="G1598" s="52" t="n">
        <v>42</v>
      </c>
      <c r="H1598" s="52" t="n">
        <v>44</v>
      </c>
      <c r="I1598" s="29">
        <f>IF(OR(COUNTIF('Suivi des rencontres'!$A:$A,$A1598)&gt;0,COUNTIF('Suivi des rencontres'!$C:$C,$J1598)&gt;0),"Non","Oui")</f>
        <v/>
      </c>
      <c r="J1598" s="30" t="inlineStr">
        <is>
          <t>MAGICARPE</t>
        </is>
      </c>
    </row>
    <row r="1599">
      <c r="A1599" s="47" t="inlineStr">
        <is>
          <t>Route 12</t>
        </is>
      </c>
      <c r="B1599" s="47" t="inlineStr">
        <is>
          <t>Route12_hns</t>
        </is>
      </c>
      <c r="C1599" s="62" t="inlineStr">
        <is>
          <t>Nuit</t>
        </is>
      </c>
      <c r="D1599" s="55" t="inlineStr">
        <is>
          <t>Bonne Canne</t>
        </is>
      </c>
      <c r="E1599" s="50" t="inlineStr">
        <is>
          <t>MARAISTE</t>
        </is>
      </c>
      <c r="F1599" s="51" t="n">
        <v>0.2</v>
      </c>
      <c r="G1599" s="52" t="n">
        <v>42</v>
      </c>
      <c r="H1599" s="52" t="n">
        <v>44</v>
      </c>
      <c r="I1599" s="29">
        <f>IF(OR(COUNTIF('Suivi des rencontres'!$A:$A,$A1599)&gt;0,COUNTIF('Suivi des rencontres'!$C:$C,$J1599)&gt;0),"Non","Oui")</f>
        <v/>
      </c>
      <c r="J1599" s="30" t="inlineStr">
        <is>
          <t>AXOLOTO</t>
        </is>
      </c>
    </row>
    <row r="1600">
      <c r="A1600" s="47" t="inlineStr">
        <is>
          <t>Route 12</t>
        </is>
      </c>
      <c r="B1600" s="47" t="inlineStr">
        <is>
          <t>Route12_hns</t>
        </is>
      </c>
      <c r="C1600" s="62" t="inlineStr">
        <is>
          <t>Nuit</t>
        </is>
      </c>
      <c r="D1600" s="55" t="inlineStr">
        <is>
          <t>Bonne Canne</t>
        </is>
      </c>
      <c r="E1600" s="50" t="inlineStr">
        <is>
          <t>TENTACOOL</t>
        </is>
      </c>
      <c r="F1600" s="51" t="n">
        <v>0.2</v>
      </c>
      <c r="G1600" s="52" t="n">
        <v>42</v>
      </c>
      <c r="H1600" s="52" t="n">
        <v>44</v>
      </c>
      <c r="I1600" s="29">
        <f>IF(OR(COUNTIF('Suivi des rencontres'!$A:$A,$A1600)&gt;0,COUNTIF('Suivi des rencontres'!$C:$C,$J1600)&gt;0),"Non","Oui")</f>
        <v/>
      </c>
      <c r="J1600" s="30" t="inlineStr">
        <is>
          <t>TENTACOOL</t>
        </is>
      </c>
    </row>
    <row r="1601">
      <c r="A1601" s="47" t="inlineStr">
        <is>
          <t>Route 12</t>
        </is>
      </c>
      <c r="B1601" s="47" t="inlineStr">
        <is>
          <t>Route12_hns</t>
        </is>
      </c>
      <c r="C1601" s="48" t="inlineStr">
        <is>
          <t>Matin, jour, soir</t>
        </is>
      </c>
      <c r="D1601" s="56" t="inlineStr">
        <is>
          <t>Super Canne</t>
        </is>
      </c>
      <c r="E1601" s="50" t="inlineStr">
        <is>
          <t>MARAISTE</t>
        </is>
      </c>
      <c r="F1601" s="51" t="n">
        <v>0.8</v>
      </c>
      <c r="G1601" s="52" t="n">
        <v>40</v>
      </c>
      <c r="H1601" s="52" t="n">
        <v>44</v>
      </c>
      <c r="I1601" s="29">
        <f>IF(OR(COUNTIF('Suivi des rencontres'!$A:$A,$A1601)&gt;0,COUNTIF('Suivi des rencontres'!$C:$C,$J1601)&gt;0),"Non","Oui")</f>
        <v/>
      </c>
      <c r="J1601" s="30" t="inlineStr">
        <is>
          <t>AXOLOTO</t>
        </is>
      </c>
    </row>
    <row r="1602">
      <c r="A1602" s="47" t="inlineStr">
        <is>
          <t>Route 12</t>
        </is>
      </c>
      <c r="B1602" s="47" t="inlineStr">
        <is>
          <t>Route12_hns</t>
        </is>
      </c>
      <c r="C1602" s="48" t="inlineStr">
        <is>
          <t>Matin, jour, soir</t>
        </is>
      </c>
      <c r="D1602" s="56" t="inlineStr">
        <is>
          <t>Super Canne</t>
        </is>
      </c>
      <c r="E1602" s="50" t="inlineStr">
        <is>
          <t>TENTACRUEL</t>
        </is>
      </c>
      <c r="F1602" s="51" t="n">
        <v>0.15</v>
      </c>
      <c r="G1602" s="52" t="n">
        <v>40</v>
      </c>
      <c r="H1602" s="52" t="n">
        <v>40</v>
      </c>
      <c r="I1602" s="29">
        <f>IF(OR(COUNTIF('Suivi des rencontres'!$A:$A,$A1602)&gt;0,COUNTIF('Suivi des rencontres'!$C:$C,$J1602)&gt;0),"Non","Oui")</f>
        <v/>
      </c>
      <c r="J1602" s="30" t="inlineStr">
        <is>
          <t>TENTACOOL</t>
        </is>
      </c>
    </row>
    <row r="1603">
      <c r="A1603" s="47" t="inlineStr">
        <is>
          <t>Route 12</t>
        </is>
      </c>
      <c r="B1603" s="47" t="inlineStr">
        <is>
          <t>Route12_hns</t>
        </is>
      </c>
      <c r="C1603" s="48" t="inlineStr">
        <is>
          <t>Matin, jour, soir</t>
        </is>
      </c>
      <c r="D1603" s="56" t="inlineStr">
        <is>
          <t>Super Canne</t>
        </is>
      </c>
      <c r="E1603" s="50" t="inlineStr">
        <is>
          <t>MAGICARPE</t>
        </is>
      </c>
      <c r="F1603" s="51" t="n">
        <v>0.04</v>
      </c>
      <c r="G1603" s="52" t="n">
        <v>40</v>
      </c>
      <c r="H1603" s="52" t="n">
        <v>40</v>
      </c>
      <c r="I1603" s="29">
        <f>IF(OR(COUNTIF('Suivi des rencontres'!$A:$A,$A1603)&gt;0,COUNTIF('Suivi des rencontres'!$C:$C,$J1603)&gt;0),"Non","Oui")</f>
        <v/>
      </c>
      <c r="J1603" s="30" t="inlineStr">
        <is>
          <t>MAGICARPE</t>
        </is>
      </c>
    </row>
    <row r="1604">
      <c r="A1604" s="47" t="inlineStr">
        <is>
          <t>Route 12</t>
        </is>
      </c>
      <c r="B1604" s="47" t="inlineStr">
        <is>
          <t>Route12_hns</t>
        </is>
      </c>
      <c r="C1604" s="48" t="inlineStr">
        <is>
          <t>Matin, jour, soir</t>
        </is>
      </c>
      <c r="D1604" s="56" t="inlineStr">
        <is>
          <t>Super Canne</t>
        </is>
      </c>
      <c r="E1604" s="50" t="inlineStr">
        <is>
          <t>TENTACOOL</t>
        </is>
      </c>
      <c r="F1604" s="51" t="n">
        <v>0.01</v>
      </c>
      <c r="G1604" s="52" t="n">
        <v>40</v>
      </c>
      <c r="H1604" s="52" t="n">
        <v>40</v>
      </c>
      <c r="I1604" s="29">
        <f>IF(OR(COUNTIF('Suivi des rencontres'!$A:$A,$A1604)&gt;0,COUNTIF('Suivi des rencontres'!$C:$C,$J1604)&gt;0),"Non","Oui")</f>
        <v/>
      </c>
      <c r="J1604" s="30" t="inlineStr">
        <is>
          <t>TENTACOOL</t>
        </is>
      </c>
    </row>
    <row r="1605">
      <c r="A1605" s="47" t="inlineStr">
        <is>
          <t>Route 12</t>
        </is>
      </c>
      <c r="B1605" s="47" t="inlineStr">
        <is>
          <t>Route12_hns</t>
        </is>
      </c>
      <c r="C1605" s="62" t="inlineStr">
        <is>
          <t>Nuit</t>
        </is>
      </c>
      <c r="D1605" s="56" t="inlineStr">
        <is>
          <t>Super Canne</t>
        </is>
      </c>
      <c r="E1605" s="50" t="inlineStr">
        <is>
          <t>MARAISTE</t>
        </is>
      </c>
      <c r="F1605" s="51" t="n">
        <v>0.8</v>
      </c>
      <c r="G1605" s="52" t="n">
        <v>40</v>
      </c>
      <c r="H1605" s="52" t="n">
        <v>44</v>
      </c>
      <c r="I1605" s="29">
        <f>IF(OR(COUNTIF('Suivi des rencontres'!$A:$A,$A1605)&gt;0,COUNTIF('Suivi des rencontres'!$C:$C,$J1605)&gt;0),"Non","Oui")</f>
        <v/>
      </c>
      <c r="J1605" s="30" t="inlineStr">
        <is>
          <t>AXOLOTO</t>
        </is>
      </c>
    </row>
    <row r="1606">
      <c r="A1606" s="47" t="inlineStr">
        <is>
          <t>Route 12</t>
        </is>
      </c>
      <c r="B1606" s="47" t="inlineStr">
        <is>
          <t>Route12_hns</t>
        </is>
      </c>
      <c r="C1606" s="62" t="inlineStr">
        <is>
          <t>Nuit</t>
        </is>
      </c>
      <c r="D1606" s="56" t="inlineStr">
        <is>
          <t>Super Canne</t>
        </is>
      </c>
      <c r="E1606" s="50" t="inlineStr">
        <is>
          <t>TENTACRUEL</t>
        </is>
      </c>
      <c r="F1606" s="51" t="n">
        <v>0.15</v>
      </c>
      <c r="G1606" s="52" t="n">
        <v>40</v>
      </c>
      <c r="H1606" s="52" t="n">
        <v>40</v>
      </c>
      <c r="I1606" s="29">
        <f>IF(OR(COUNTIF('Suivi des rencontres'!$A:$A,$A1606)&gt;0,COUNTIF('Suivi des rencontres'!$C:$C,$J1606)&gt;0),"Non","Oui")</f>
        <v/>
      </c>
      <c r="J1606" s="30" t="inlineStr">
        <is>
          <t>TENTACOOL</t>
        </is>
      </c>
    </row>
    <row r="1607">
      <c r="A1607" s="47" t="inlineStr">
        <is>
          <t>Route 12</t>
        </is>
      </c>
      <c r="B1607" s="47" t="inlineStr">
        <is>
          <t>Route12_hns</t>
        </is>
      </c>
      <c r="C1607" s="62" t="inlineStr">
        <is>
          <t>Nuit</t>
        </is>
      </c>
      <c r="D1607" s="56" t="inlineStr">
        <is>
          <t>Super Canne</t>
        </is>
      </c>
      <c r="E1607" s="50" t="inlineStr">
        <is>
          <t>MAGICARPE</t>
        </is>
      </c>
      <c r="F1607" s="51" t="n">
        <v>0.04</v>
      </c>
      <c r="G1607" s="52" t="n">
        <v>40</v>
      </c>
      <c r="H1607" s="52" t="n">
        <v>40</v>
      </c>
      <c r="I1607" s="29">
        <f>IF(OR(COUNTIF('Suivi des rencontres'!$A:$A,$A1607)&gt;0,COUNTIF('Suivi des rencontres'!$C:$C,$J1607)&gt;0),"Non","Oui")</f>
        <v/>
      </c>
      <c r="J1607" s="30" t="inlineStr">
        <is>
          <t>MAGICARPE</t>
        </is>
      </c>
    </row>
    <row r="1608">
      <c r="A1608" s="47" t="inlineStr">
        <is>
          <t>Route 12</t>
        </is>
      </c>
      <c r="B1608" s="47" t="inlineStr">
        <is>
          <t>Route12_hns</t>
        </is>
      </c>
      <c r="C1608" s="62" t="inlineStr">
        <is>
          <t>Nuit</t>
        </is>
      </c>
      <c r="D1608" s="56" t="inlineStr">
        <is>
          <t>Super Canne</t>
        </is>
      </c>
      <c r="E1608" s="50" t="inlineStr">
        <is>
          <t>TENTACOOL</t>
        </is>
      </c>
      <c r="F1608" s="51" t="n">
        <v>0.01</v>
      </c>
      <c r="G1608" s="52" t="n">
        <v>40</v>
      </c>
      <c r="H1608" s="52" t="n">
        <v>40</v>
      </c>
      <c r="I1608" s="29">
        <f>IF(OR(COUNTIF('Suivi des rencontres'!$A:$A,$A1608)&gt;0,COUNTIF('Suivi des rencontres'!$C:$C,$J1608)&gt;0),"Non","Oui")</f>
        <v/>
      </c>
      <c r="J1608" s="30" t="inlineStr">
        <is>
          <t>TENTACOOL</t>
        </is>
      </c>
    </row>
    <row r="1609">
      <c r="A1609" s="57" t="inlineStr">
        <is>
          <t>Route 13</t>
        </is>
      </c>
      <c r="B1609" s="57" t="inlineStr">
        <is>
          <t>Route13_hns</t>
        </is>
      </c>
      <c r="C1609" s="58" t="inlineStr">
        <is>
          <t>Matin, jour, soir</t>
        </is>
      </c>
      <c r="D1609" s="42" t="inlineStr">
        <is>
          <t>Herbe</t>
        </is>
      </c>
      <c r="E1609" s="59" t="inlineStr">
        <is>
          <t>NIDORINA</t>
        </is>
      </c>
      <c r="F1609" s="60" t="n">
        <v>0.3</v>
      </c>
      <c r="G1609" s="61" t="n">
        <v>45</v>
      </c>
      <c r="H1609" s="61" t="n">
        <v>47</v>
      </c>
      <c r="I1609" s="46">
        <f>IF(OR(COUNTIF('Suivi des rencontres'!$A:$A,$A1609)&gt;0,COUNTIF('Suivi des rencontres'!$C:$C,$J1609)&gt;0),"Non","Oui")</f>
        <v/>
      </c>
      <c r="J1609" s="30" t="inlineStr">
        <is>
          <t>NIDORAN♀</t>
        </is>
      </c>
    </row>
    <row r="1610">
      <c r="A1610" s="35" t="inlineStr">
        <is>
          <t>Route 13</t>
        </is>
      </c>
      <c r="B1610" s="35" t="inlineStr">
        <is>
          <t>Route13_hns</t>
        </is>
      </c>
      <c r="C1610" s="33" t="inlineStr">
        <is>
          <t>Matin, jour, soir</t>
        </is>
      </c>
      <c r="D1610" s="49" t="inlineStr">
        <is>
          <t>Herbe</t>
        </is>
      </c>
      <c r="E1610" s="37" t="inlineStr">
        <is>
          <t>NIDORINO</t>
        </is>
      </c>
      <c r="F1610" s="38" t="n">
        <v>0.3</v>
      </c>
      <c r="G1610" s="39" t="n">
        <v>45</v>
      </c>
      <c r="H1610" s="39" t="n">
        <v>47</v>
      </c>
      <c r="I1610" s="29">
        <f>IF(OR(COUNTIF('Suivi des rencontres'!$A:$A,$A1610)&gt;0,COUNTIF('Suivi des rencontres'!$C:$C,$J1610)&gt;0),"Non","Oui")</f>
        <v/>
      </c>
      <c r="J1610" s="30" t="inlineStr">
        <is>
          <t>NIDORAN♂</t>
        </is>
      </c>
    </row>
    <row r="1611">
      <c r="A1611" s="35" t="inlineStr">
        <is>
          <t>Route 13</t>
        </is>
      </c>
      <c r="B1611" s="35" t="inlineStr">
        <is>
          <t>Route13_hns</t>
        </is>
      </c>
      <c r="C1611" s="33" t="inlineStr">
        <is>
          <t>Matin, jour, soir</t>
        </is>
      </c>
      <c r="D1611" s="49" t="inlineStr">
        <is>
          <t>Herbe</t>
        </is>
      </c>
      <c r="E1611" s="37" t="inlineStr">
        <is>
          <t>GRANIVOL</t>
        </is>
      </c>
      <c r="F1611" s="38" t="n">
        <v>0.18</v>
      </c>
      <c r="G1611" s="39" t="n">
        <v>47</v>
      </c>
      <c r="H1611" s="39" t="n">
        <v>47</v>
      </c>
      <c r="I1611" s="29">
        <f>IF(OR(COUNTIF('Suivi des rencontres'!$A:$A,$A1611)&gt;0,COUNTIF('Suivi des rencontres'!$C:$C,$J1611)&gt;0),"Non","Oui")</f>
        <v/>
      </c>
      <c r="J1611" s="30" t="inlineStr">
        <is>
          <t>GRANIVOL</t>
        </is>
      </c>
    </row>
    <row r="1612">
      <c r="A1612" s="35" t="inlineStr">
        <is>
          <t>Route 13</t>
        </is>
      </c>
      <c r="B1612" s="35" t="inlineStr">
        <is>
          <t>Route13_hns</t>
        </is>
      </c>
      <c r="C1612" s="33" t="inlineStr">
        <is>
          <t>Matin, jour, soir</t>
        </is>
      </c>
      <c r="D1612" s="49" t="inlineStr">
        <is>
          <t>Herbe</t>
        </is>
      </c>
      <c r="E1612" s="37" t="inlineStr">
        <is>
          <t>ROUCOUPS</t>
        </is>
      </c>
      <c r="F1612" s="38" t="n">
        <v>0.15</v>
      </c>
      <c r="G1612" s="39" t="n">
        <v>47</v>
      </c>
      <c r="H1612" s="39" t="n">
        <v>49</v>
      </c>
      <c r="I1612" s="29">
        <f>IF(OR(COUNTIF('Suivi des rencontres'!$A:$A,$A1612)&gt;0,COUNTIF('Suivi des rencontres'!$C:$C,$J1612)&gt;0),"Non","Oui")</f>
        <v/>
      </c>
      <c r="J1612" s="30" t="inlineStr">
        <is>
          <t>ROUCOOL</t>
        </is>
      </c>
    </row>
    <row r="1613">
      <c r="A1613" s="35" t="inlineStr">
        <is>
          <t>Route 13</t>
        </is>
      </c>
      <c r="B1613" s="35" t="inlineStr">
        <is>
          <t>Route13_hns</t>
        </is>
      </c>
      <c r="C1613" s="33" t="inlineStr">
        <is>
          <t>Matin, jour, soir</t>
        </is>
      </c>
      <c r="D1613" s="49" t="inlineStr">
        <is>
          <t>Herbe</t>
        </is>
      </c>
      <c r="E1613" s="37" t="inlineStr">
        <is>
          <t>GRAINIPIOT</t>
        </is>
      </c>
      <c r="F1613" s="38" t="n">
        <v>0.05</v>
      </c>
      <c r="G1613" s="39" t="n">
        <v>47</v>
      </c>
      <c r="H1613" s="39" t="n">
        <v>47</v>
      </c>
      <c r="I1613" s="29">
        <f>IF(OR(COUNTIF('Suivi des rencontres'!$A:$A,$A1613)&gt;0,COUNTIF('Suivi des rencontres'!$C:$C,$J1613)&gt;0),"Non","Oui")</f>
        <v/>
      </c>
      <c r="J1613" s="30" t="inlineStr">
        <is>
          <t>GRAINIPIOT</t>
        </is>
      </c>
    </row>
    <row r="1614">
      <c r="A1614" s="35" t="inlineStr">
        <is>
          <t>Route 13</t>
        </is>
      </c>
      <c r="B1614" s="35" t="inlineStr">
        <is>
          <t>Route13_hns</t>
        </is>
      </c>
      <c r="C1614" s="33" t="inlineStr">
        <is>
          <t>Matin, jour, soir</t>
        </is>
      </c>
      <c r="D1614" s="49" t="inlineStr">
        <is>
          <t>Herbe</t>
        </is>
      </c>
      <c r="E1614" s="37" t="inlineStr">
        <is>
          <t>LEVEINARD</t>
        </is>
      </c>
      <c r="F1614" s="38" t="n">
        <v>0.02</v>
      </c>
      <c r="G1614" s="39" t="n">
        <v>47</v>
      </c>
      <c r="H1614" s="39" t="n">
        <v>49</v>
      </c>
      <c r="I1614" s="29">
        <f>IF(OR(COUNTIF('Suivi des rencontres'!$A:$A,$A1614)&gt;0,COUNTIF('Suivi des rencontres'!$C:$C,$J1614)&gt;0),"Non","Oui")</f>
        <v/>
      </c>
      <c r="J1614" s="30" t="inlineStr">
        <is>
          <t>PTIRAVI</t>
        </is>
      </c>
    </row>
    <row r="1615">
      <c r="A1615" s="35" t="inlineStr">
        <is>
          <t>Route 13</t>
        </is>
      </c>
      <c r="B1615" s="35" t="inlineStr">
        <is>
          <t>Route13_hns</t>
        </is>
      </c>
      <c r="C1615" s="62" t="inlineStr">
        <is>
          <t>Nuit</t>
        </is>
      </c>
      <c r="D1615" s="49" t="inlineStr">
        <is>
          <t>Herbe</t>
        </is>
      </c>
      <c r="E1615" s="37" t="inlineStr">
        <is>
          <t>MARAISTE</t>
        </is>
      </c>
      <c r="F1615" s="38" t="n">
        <v>0.34</v>
      </c>
      <c r="G1615" s="39" t="n">
        <v>45</v>
      </c>
      <c r="H1615" s="39" t="n">
        <v>49</v>
      </c>
      <c r="I1615" s="29">
        <f>IF(OR(COUNTIF('Suivi des rencontres'!$A:$A,$A1615)&gt;0,COUNTIF('Suivi des rencontres'!$C:$C,$J1615)&gt;0),"Non","Oui")</f>
        <v/>
      </c>
      <c r="J1615" s="30" t="inlineStr">
        <is>
          <t>AXOLOTO</t>
        </is>
      </c>
    </row>
    <row r="1616">
      <c r="A1616" s="35" t="inlineStr">
        <is>
          <t>Route 13</t>
        </is>
      </c>
      <c r="B1616" s="35" t="inlineStr">
        <is>
          <t>Route13_hns</t>
        </is>
      </c>
      <c r="C1616" s="62" t="inlineStr">
        <is>
          <t>Nuit</t>
        </is>
      </c>
      <c r="D1616" s="49" t="inlineStr">
        <is>
          <t>Herbe</t>
        </is>
      </c>
      <c r="E1616" s="37" t="inlineStr">
        <is>
          <t>MIMITOSS</t>
        </is>
      </c>
      <c r="F1616" s="38" t="n">
        <v>0.3</v>
      </c>
      <c r="G1616" s="39" t="n">
        <v>45</v>
      </c>
      <c r="H1616" s="39" t="n">
        <v>47</v>
      </c>
      <c r="I1616" s="29">
        <f>IF(OR(COUNTIF('Suivi des rencontres'!$A:$A,$A1616)&gt;0,COUNTIF('Suivi des rencontres'!$C:$C,$J1616)&gt;0),"Non","Oui")</f>
        <v/>
      </c>
      <c r="J1616" s="30" t="inlineStr">
        <is>
          <t>MIMITOSS</t>
        </is>
      </c>
    </row>
    <row r="1617">
      <c r="A1617" s="35" t="inlineStr">
        <is>
          <t>Route 13</t>
        </is>
      </c>
      <c r="B1617" s="35" t="inlineStr">
        <is>
          <t>Route13_hns</t>
        </is>
      </c>
      <c r="C1617" s="62" t="inlineStr">
        <is>
          <t>Nuit</t>
        </is>
      </c>
      <c r="D1617" s="49" t="inlineStr">
        <is>
          <t>Herbe</t>
        </is>
      </c>
      <c r="E1617" s="37" t="inlineStr">
        <is>
          <t>NOARFANG</t>
        </is>
      </c>
      <c r="F1617" s="38" t="n">
        <v>0.15</v>
      </c>
      <c r="G1617" s="39" t="n">
        <v>47</v>
      </c>
      <c r="H1617" s="39" t="n">
        <v>49</v>
      </c>
      <c r="I1617" s="29">
        <f>IF(OR(COUNTIF('Suivi des rencontres'!$A:$A,$A1617)&gt;0,COUNTIF('Suivi des rencontres'!$C:$C,$J1617)&gt;0),"Non","Oui")</f>
        <v/>
      </c>
      <c r="J1617" s="30" t="inlineStr">
        <is>
          <t>HOOTHOOT</t>
        </is>
      </c>
    </row>
    <row r="1618">
      <c r="A1618" s="35" t="inlineStr">
        <is>
          <t>Route 13</t>
        </is>
      </c>
      <c r="B1618" s="35" t="inlineStr">
        <is>
          <t>Route13_hns</t>
        </is>
      </c>
      <c r="C1618" s="62" t="inlineStr">
        <is>
          <t>Nuit</t>
        </is>
      </c>
      <c r="D1618" s="49" t="inlineStr">
        <is>
          <t>Herbe</t>
        </is>
      </c>
      <c r="E1618" s="37" t="inlineStr">
        <is>
          <t>AEROMITE</t>
        </is>
      </c>
      <c r="F1618" s="38" t="n">
        <v>0.14</v>
      </c>
      <c r="G1618" s="39" t="n">
        <v>47</v>
      </c>
      <c r="H1618" s="39" t="n">
        <v>49</v>
      </c>
      <c r="I1618" s="29">
        <f>IF(OR(COUNTIF('Suivi des rencontres'!$A:$A,$A1618)&gt;0,COUNTIF('Suivi des rencontres'!$C:$C,$J1618)&gt;0),"Non","Oui")</f>
        <v/>
      </c>
      <c r="J1618" s="30" t="inlineStr">
        <is>
          <t>MIMITOSS</t>
        </is>
      </c>
    </row>
    <row r="1619">
      <c r="A1619" s="35" t="inlineStr">
        <is>
          <t>Route 13</t>
        </is>
      </c>
      <c r="B1619" s="35" t="inlineStr">
        <is>
          <t>Route13_hns</t>
        </is>
      </c>
      <c r="C1619" s="62" t="inlineStr">
        <is>
          <t>Nuit</t>
        </is>
      </c>
      <c r="D1619" s="49" t="inlineStr">
        <is>
          <t>Herbe</t>
        </is>
      </c>
      <c r="E1619" s="37" t="inlineStr">
        <is>
          <t>GRAINIPIOT</t>
        </is>
      </c>
      <c r="F1619" s="38" t="n">
        <v>0.05</v>
      </c>
      <c r="G1619" s="39" t="n">
        <v>45</v>
      </c>
      <c r="H1619" s="39" t="n">
        <v>49</v>
      </c>
      <c r="I1619" s="29">
        <f>IF(OR(COUNTIF('Suivi des rencontres'!$A:$A,$A1619)&gt;0,COUNTIF('Suivi des rencontres'!$C:$C,$J1619)&gt;0),"Non","Oui")</f>
        <v/>
      </c>
      <c r="J1619" s="30" t="inlineStr">
        <is>
          <t>GRAINIPIOT</t>
        </is>
      </c>
    </row>
    <row r="1620">
      <c r="A1620" s="35" t="inlineStr">
        <is>
          <t>Route 13</t>
        </is>
      </c>
      <c r="B1620" s="35" t="inlineStr">
        <is>
          <t>Route13_hns</t>
        </is>
      </c>
      <c r="C1620" s="62" t="inlineStr">
        <is>
          <t>Nuit</t>
        </is>
      </c>
      <c r="D1620" s="49" t="inlineStr">
        <is>
          <t>Herbe</t>
        </is>
      </c>
      <c r="E1620" s="37" t="inlineStr">
        <is>
          <t>LEVEINARD</t>
        </is>
      </c>
      <c r="F1620" s="38" t="n">
        <v>0.02</v>
      </c>
      <c r="G1620" s="39" t="n">
        <v>47</v>
      </c>
      <c r="H1620" s="39" t="n">
        <v>49</v>
      </c>
      <c r="I1620" s="29">
        <f>IF(OR(COUNTIF('Suivi des rencontres'!$A:$A,$A1620)&gt;0,COUNTIF('Suivi des rencontres'!$C:$C,$J1620)&gt;0),"Non","Oui")</f>
        <v/>
      </c>
      <c r="J1620" s="30" t="inlineStr">
        <is>
          <t>PTIRAVI</t>
        </is>
      </c>
    </row>
    <row r="1621">
      <c r="A1621" s="35" t="inlineStr">
        <is>
          <t>Route 13</t>
        </is>
      </c>
      <c r="B1621" s="35" t="inlineStr">
        <is>
          <t>Route13_hns</t>
        </is>
      </c>
      <c r="C1621" s="33" t="inlineStr">
        <is>
          <t>Matin, jour, soir</t>
        </is>
      </c>
      <c r="D1621" s="53" t="inlineStr">
        <is>
          <t>Surf</t>
        </is>
      </c>
      <c r="E1621" s="37" t="inlineStr">
        <is>
          <t>TENTACOOL</t>
        </is>
      </c>
      <c r="F1621" s="38" t="n">
        <v>0.9</v>
      </c>
      <c r="G1621" s="39" t="n">
        <v>47</v>
      </c>
      <c r="H1621" s="39" t="n">
        <v>47</v>
      </c>
      <c r="I1621" s="29">
        <f>IF(OR(COUNTIF('Suivi des rencontres'!$A:$A,$A1621)&gt;0,COUNTIF('Suivi des rencontres'!$C:$C,$J1621)&gt;0),"Non","Oui")</f>
        <v/>
      </c>
      <c r="J1621" s="30" t="inlineStr">
        <is>
          <t>TENTACOOL</t>
        </is>
      </c>
    </row>
    <row r="1622">
      <c r="A1622" s="35" t="inlineStr">
        <is>
          <t>Route 13</t>
        </is>
      </c>
      <c r="B1622" s="35" t="inlineStr">
        <is>
          <t>Route13_hns</t>
        </is>
      </c>
      <c r="C1622" s="33" t="inlineStr">
        <is>
          <t>Matin, jour, soir</t>
        </is>
      </c>
      <c r="D1622" s="53" t="inlineStr">
        <is>
          <t>Surf</t>
        </is>
      </c>
      <c r="E1622" s="37" t="inlineStr">
        <is>
          <t>MARAISTE</t>
        </is>
      </c>
      <c r="F1622" s="38" t="n">
        <v>0.1</v>
      </c>
      <c r="G1622" s="39" t="n">
        <v>47</v>
      </c>
      <c r="H1622" s="39" t="n">
        <v>47</v>
      </c>
      <c r="I1622" s="29">
        <f>IF(OR(COUNTIF('Suivi des rencontres'!$A:$A,$A1622)&gt;0,COUNTIF('Suivi des rencontres'!$C:$C,$J1622)&gt;0),"Non","Oui")</f>
        <v/>
      </c>
      <c r="J1622" s="30" t="inlineStr">
        <is>
          <t>AXOLOTO</t>
        </is>
      </c>
    </row>
    <row r="1623">
      <c r="A1623" s="35" t="inlineStr">
        <is>
          <t>Route 13</t>
        </is>
      </c>
      <c r="B1623" s="35" t="inlineStr">
        <is>
          <t>Route13_hns</t>
        </is>
      </c>
      <c r="C1623" s="62" t="inlineStr">
        <is>
          <t>Nuit</t>
        </is>
      </c>
      <c r="D1623" s="53" t="inlineStr">
        <is>
          <t>Surf</t>
        </is>
      </c>
      <c r="E1623" s="37" t="inlineStr">
        <is>
          <t>TENTACOOL</t>
        </is>
      </c>
      <c r="F1623" s="38" t="n">
        <v>0.9</v>
      </c>
      <c r="G1623" s="39" t="n">
        <v>47</v>
      </c>
      <c r="H1623" s="39" t="n">
        <v>47</v>
      </c>
      <c r="I1623" s="29">
        <f>IF(OR(COUNTIF('Suivi des rencontres'!$A:$A,$A1623)&gt;0,COUNTIF('Suivi des rencontres'!$C:$C,$J1623)&gt;0),"Non","Oui")</f>
        <v/>
      </c>
      <c r="J1623" s="30" t="inlineStr">
        <is>
          <t>TENTACOOL</t>
        </is>
      </c>
    </row>
    <row r="1624">
      <c r="A1624" s="35" t="inlineStr">
        <is>
          <t>Route 13</t>
        </is>
      </c>
      <c r="B1624" s="35" t="inlineStr">
        <is>
          <t>Route13_hns</t>
        </is>
      </c>
      <c r="C1624" s="62" t="inlineStr">
        <is>
          <t>Nuit</t>
        </is>
      </c>
      <c r="D1624" s="53" t="inlineStr">
        <is>
          <t>Surf</t>
        </is>
      </c>
      <c r="E1624" s="37" t="inlineStr">
        <is>
          <t>MARAISTE</t>
        </is>
      </c>
      <c r="F1624" s="38" t="n">
        <v>0.1</v>
      </c>
      <c r="G1624" s="39" t="n">
        <v>47</v>
      </c>
      <c r="H1624" s="39" t="n">
        <v>47</v>
      </c>
      <c r="I1624" s="29">
        <f>IF(OR(COUNTIF('Suivi des rencontres'!$A:$A,$A1624)&gt;0,COUNTIF('Suivi des rencontres'!$C:$C,$J1624)&gt;0),"Non","Oui")</f>
        <v/>
      </c>
      <c r="J1624" s="30" t="inlineStr">
        <is>
          <t>AXOLOTO</t>
        </is>
      </c>
    </row>
    <row r="1625">
      <c r="A1625" s="35" t="inlineStr">
        <is>
          <t>Route 13</t>
        </is>
      </c>
      <c r="B1625" s="35" t="inlineStr">
        <is>
          <t>Route13_hns</t>
        </is>
      </c>
      <c r="C1625" s="33" t="inlineStr">
        <is>
          <t>Matin, jour, soir</t>
        </is>
      </c>
      <c r="D1625" s="36" t="inlineStr">
        <is>
          <t>Éclate-Roc</t>
        </is>
      </c>
      <c r="E1625" s="37" t="inlineStr">
        <is>
          <t>POMDEPIK</t>
        </is>
      </c>
      <c r="F1625" s="38" t="n">
        <v>0.6</v>
      </c>
      <c r="G1625" s="39" t="n">
        <v>41</v>
      </c>
      <c r="H1625" s="39" t="n">
        <v>43</v>
      </c>
      <c r="I1625" s="29">
        <f>IF(OR(COUNTIF('Suivi des rencontres'!$A:$A,$A1625)&gt;0,COUNTIF('Suivi des rencontres'!$C:$C,$J1625)&gt;0),"Non","Oui")</f>
        <v/>
      </c>
      <c r="J1625" s="30" t="inlineStr">
        <is>
          <t>POMDEPIK</t>
        </is>
      </c>
    </row>
    <row r="1626">
      <c r="A1626" s="35" t="inlineStr">
        <is>
          <t>Route 13</t>
        </is>
      </c>
      <c r="B1626" s="35" t="inlineStr">
        <is>
          <t>Route13_hns</t>
        </is>
      </c>
      <c r="C1626" s="33" t="inlineStr">
        <is>
          <t>Matin, jour, soir</t>
        </is>
      </c>
      <c r="D1626" s="36" t="inlineStr">
        <is>
          <t>Éclate-Roc</t>
        </is>
      </c>
      <c r="E1626" s="37" t="inlineStr">
        <is>
          <t>NOEUNOEUF</t>
        </is>
      </c>
      <c r="F1626" s="38" t="n">
        <v>0.3</v>
      </c>
      <c r="G1626" s="39" t="n">
        <v>41</v>
      </c>
      <c r="H1626" s="39" t="n">
        <v>43</v>
      </c>
      <c r="I1626" s="29">
        <f>IF(OR(COUNTIF('Suivi des rencontres'!$A:$A,$A1626)&gt;0,COUNTIF('Suivi des rencontres'!$C:$C,$J1626)&gt;0),"Non","Oui")</f>
        <v/>
      </c>
      <c r="J1626" s="30" t="inlineStr">
        <is>
          <t>NOEUNOEUF</t>
        </is>
      </c>
    </row>
    <row r="1627">
      <c r="A1627" s="35" t="inlineStr">
        <is>
          <t>Route 13</t>
        </is>
      </c>
      <c r="B1627" s="35" t="inlineStr">
        <is>
          <t>Route13_hns</t>
        </is>
      </c>
      <c r="C1627" s="33" t="inlineStr">
        <is>
          <t>Matin, jour, soir</t>
        </is>
      </c>
      <c r="D1627" s="36" t="inlineStr">
        <is>
          <t>Éclate-Roc</t>
        </is>
      </c>
      <c r="E1627" s="37" t="inlineStr">
        <is>
          <t>COXY</t>
        </is>
      </c>
      <c r="F1627" s="38" t="n">
        <v>0.05</v>
      </c>
      <c r="G1627" s="39" t="n">
        <v>41</v>
      </c>
      <c r="H1627" s="39" t="n">
        <v>43</v>
      </c>
      <c r="I1627" s="29">
        <f>IF(OR(COUNTIF('Suivi des rencontres'!$A:$A,$A1627)&gt;0,COUNTIF('Suivi des rencontres'!$C:$C,$J1627)&gt;0),"Non","Oui")</f>
        <v/>
      </c>
      <c r="J1627" s="30" t="inlineStr">
        <is>
          <t>COXY</t>
        </is>
      </c>
    </row>
    <row r="1628">
      <c r="A1628" s="35" t="inlineStr">
        <is>
          <t>Route 13</t>
        </is>
      </c>
      <c r="B1628" s="35" t="inlineStr">
        <is>
          <t>Route13_hns</t>
        </is>
      </c>
      <c r="C1628" s="33" t="inlineStr">
        <is>
          <t>Matin, jour, soir</t>
        </is>
      </c>
      <c r="D1628" s="36" t="inlineStr">
        <is>
          <t>Éclate-Roc</t>
        </is>
      </c>
      <c r="E1628" s="37" t="inlineStr">
        <is>
          <t>GRAINIPIOT</t>
        </is>
      </c>
      <c r="F1628" s="38" t="n">
        <v>0.05</v>
      </c>
      <c r="G1628" s="39" t="n">
        <v>41</v>
      </c>
      <c r="H1628" s="39" t="n">
        <v>43</v>
      </c>
      <c r="I1628" s="29">
        <f>IF(OR(COUNTIF('Suivi des rencontres'!$A:$A,$A1628)&gt;0,COUNTIF('Suivi des rencontres'!$C:$C,$J1628)&gt;0),"Non","Oui")</f>
        <v/>
      </c>
      <c r="J1628" s="30" t="inlineStr">
        <is>
          <t>GRAINIPIOT</t>
        </is>
      </c>
    </row>
    <row r="1629">
      <c r="A1629" s="35" t="inlineStr">
        <is>
          <t>Route 13</t>
        </is>
      </c>
      <c r="B1629" s="35" t="inlineStr">
        <is>
          <t>Route13_hns</t>
        </is>
      </c>
      <c r="C1629" s="62" t="inlineStr">
        <is>
          <t>Nuit</t>
        </is>
      </c>
      <c r="D1629" s="36" t="inlineStr">
        <is>
          <t>Éclate-Roc</t>
        </is>
      </c>
      <c r="E1629" s="37" t="inlineStr">
        <is>
          <t>POMDEPIK</t>
        </is>
      </c>
      <c r="F1629" s="38" t="n">
        <v>0.6</v>
      </c>
      <c r="G1629" s="39" t="n">
        <v>41</v>
      </c>
      <c r="H1629" s="39" t="n">
        <v>43</v>
      </c>
      <c r="I1629" s="29">
        <f>IF(OR(COUNTIF('Suivi des rencontres'!$A:$A,$A1629)&gt;0,COUNTIF('Suivi des rencontres'!$C:$C,$J1629)&gt;0),"Non","Oui")</f>
        <v/>
      </c>
      <c r="J1629" s="30" t="inlineStr">
        <is>
          <t>POMDEPIK</t>
        </is>
      </c>
    </row>
    <row r="1630">
      <c r="A1630" s="35" t="inlineStr">
        <is>
          <t>Route 13</t>
        </is>
      </c>
      <c r="B1630" s="35" t="inlineStr">
        <is>
          <t>Route13_hns</t>
        </is>
      </c>
      <c r="C1630" s="62" t="inlineStr">
        <is>
          <t>Nuit</t>
        </is>
      </c>
      <c r="D1630" s="36" t="inlineStr">
        <is>
          <t>Éclate-Roc</t>
        </is>
      </c>
      <c r="E1630" s="37" t="inlineStr">
        <is>
          <t>NOEUNOEUF</t>
        </is>
      </c>
      <c r="F1630" s="38" t="n">
        <v>0.3</v>
      </c>
      <c r="G1630" s="39" t="n">
        <v>41</v>
      </c>
      <c r="H1630" s="39" t="n">
        <v>43</v>
      </c>
      <c r="I1630" s="29">
        <f>IF(OR(COUNTIF('Suivi des rencontres'!$A:$A,$A1630)&gt;0,COUNTIF('Suivi des rencontres'!$C:$C,$J1630)&gt;0),"Non","Oui")</f>
        <v/>
      </c>
      <c r="J1630" s="30" t="inlineStr">
        <is>
          <t>NOEUNOEUF</t>
        </is>
      </c>
    </row>
    <row r="1631">
      <c r="A1631" s="35" t="inlineStr">
        <is>
          <t>Route 13</t>
        </is>
      </c>
      <c r="B1631" s="35" t="inlineStr">
        <is>
          <t>Route13_hns</t>
        </is>
      </c>
      <c r="C1631" s="62" t="inlineStr">
        <is>
          <t>Nuit</t>
        </is>
      </c>
      <c r="D1631" s="36" t="inlineStr">
        <is>
          <t>Éclate-Roc</t>
        </is>
      </c>
      <c r="E1631" s="37" t="inlineStr">
        <is>
          <t>COXY</t>
        </is>
      </c>
      <c r="F1631" s="38" t="n">
        <v>0.05</v>
      </c>
      <c r="G1631" s="39" t="n">
        <v>41</v>
      </c>
      <c r="H1631" s="39" t="n">
        <v>43</v>
      </c>
      <c r="I1631" s="29">
        <f>IF(OR(COUNTIF('Suivi des rencontres'!$A:$A,$A1631)&gt;0,COUNTIF('Suivi des rencontres'!$C:$C,$J1631)&gt;0),"Non","Oui")</f>
        <v/>
      </c>
      <c r="J1631" s="30" t="inlineStr">
        <is>
          <t>COXY</t>
        </is>
      </c>
    </row>
    <row r="1632">
      <c r="A1632" s="35" t="inlineStr">
        <is>
          <t>Route 13</t>
        </is>
      </c>
      <c r="B1632" s="35" t="inlineStr">
        <is>
          <t>Route13_hns</t>
        </is>
      </c>
      <c r="C1632" s="62" t="inlineStr">
        <is>
          <t>Nuit</t>
        </is>
      </c>
      <c r="D1632" s="36" t="inlineStr">
        <is>
          <t>Éclate-Roc</t>
        </is>
      </c>
      <c r="E1632" s="37" t="inlineStr">
        <is>
          <t>GRAINIPIOT</t>
        </is>
      </c>
      <c r="F1632" s="38" t="n">
        <v>0.05</v>
      </c>
      <c r="G1632" s="39" t="n">
        <v>41</v>
      </c>
      <c r="H1632" s="39" t="n">
        <v>43</v>
      </c>
      <c r="I1632" s="29">
        <f>IF(OR(COUNTIF('Suivi des rencontres'!$A:$A,$A1632)&gt;0,COUNTIF('Suivi des rencontres'!$C:$C,$J1632)&gt;0),"Non","Oui")</f>
        <v/>
      </c>
      <c r="J1632" s="30" t="inlineStr">
        <is>
          <t>GRAINIPIOT</t>
        </is>
      </c>
    </row>
    <row r="1633">
      <c r="A1633" s="35" t="inlineStr">
        <is>
          <t>Route 13</t>
        </is>
      </c>
      <c r="B1633" s="35" t="inlineStr">
        <is>
          <t>Route13_hns</t>
        </is>
      </c>
      <c r="C1633" s="33" t="inlineStr">
        <is>
          <t>Matin, jour, soir</t>
        </is>
      </c>
      <c r="D1633" s="54" t="inlineStr">
        <is>
          <t>Vieille Canne</t>
        </is>
      </c>
      <c r="E1633" s="37" t="inlineStr">
        <is>
          <t>MAGICARPE</t>
        </is>
      </c>
      <c r="F1633" s="38" t="n">
        <v>0.7</v>
      </c>
      <c r="G1633" s="39" t="n">
        <v>41</v>
      </c>
      <c r="H1633" s="39" t="n">
        <v>43</v>
      </c>
      <c r="I1633" s="29">
        <f>IF(OR(COUNTIF('Suivi des rencontres'!$A:$A,$A1633)&gt;0,COUNTIF('Suivi des rencontres'!$C:$C,$J1633)&gt;0),"Non","Oui")</f>
        <v/>
      </c>
      <c r="J1633" s="30" t="inlineStr">
        <is>
          <t>MAGICARPE</t>
        </is>
      </c>
    </row>
    <row r="1634">
      <c r="A1634" s="35" t="inlineStr">
        <is>
          <t>Route 13</t>
        </is>
      </c>
      <c r="B1634" s="35" t="inlineStr">
        <is>
          <t>Route13_hns</t>
        </is>
      </c>
      <c r="C1634" s="33" t="inlineStr">
        <is>
          <t>Matin, jour, soir</t>
        </is>
      </c>
      <c r="D1634" s="54" t="inlineStr">
        <is>
          <t>Vieille Canne</t>
        </is>
      </c>
      <c r="E1634" s="37" t="inlineStr">
        <is>
          <t>TENTACOOL</t>
        </is>
      </c>
      <c r="F1634" s="38" t="n">
        <v>0.3</v>
      </c>
      <c r="G1634" s="39" t="n">
        <v>41</v>
      </c>
      <c r="H1634" s="39" t="n">
        <v>43</v>
      </c>
      <c r="I1634" s="29">
        <f>IF(OR(COUNTIF('Suivi des rencontres'!$A:$A,$A1634)&gt;0,COUNTIF('Suivi des rencontres'!$C:$C,$J1634)&gt;0),"Non","Oui")</f>
        <v/>
      </c>
      <c r="J1634" s="30" t="inlineStr">
        <is>
          <t>TENTACOOL</t>
        </is>
      </c>
    </row>
    <row r="1635">
      <c r="A1635" s="35" t="inlineStr">
        <is>
          <t>Route 13</t>
        </is>
      </c>
      <c r="B1635" s="35" t="inlineStr">
        <is>
          <t>Route13_hns</t>
        </is>
      </c>
      <c r="C1635" s="62" t="inlineStr">
        <is>
          <t>Nuit</t>
        </is>
      </c>
      <c r="D1635" s="54" t="inlineStr">
        <is>
          <t>Vieille Canne</t>
        </is>
      </c>
      <c r="E1635" s="37" t="inlineStr">
        <is>
          <t>MAGICARPE</t>
        </is>
      </c>
      <c r="F1635" s="38" t="n">
        <v>0.7</v>
      </c>
      <c r="G1635" s="39" t="n">
        <v>41</v>
      </c>
      <c r="H1635" s="39" t="n">
        <v>43</v>
      </c>
      <c r="I1635" s="29">
        <f>IF(OR(COUNTIF('Suivi des rencontres'!$A:$A,$A1635)&gt;0,COUNTIF('Suivi des rencontres'!$C:$C,$J1635)&gt;0),"Non","Oui")</f>
        <v/>
      </c>
      <c r="J1635" s="30" t="inlineStr">
        <is>
          <t>MAGICARPE</t>
        </is>
      </c>
    </row>
    <row r="1636">
      <c r="A1636" s="35" t="inlineStr">
        <is>
          <t>Route 13</t>
        </is>
      </c>
      <c r="B1636" s="35" t="inlineStr">
        <is>
          <t>Route13_hns</t>
        </is>
      </c>
      <c r="C1636" s="62" t="inlineStr">
        <is>
          <t>Nuit</t>
        </is>
      </c>
      <c r="D1636" s="54" t="inlineStr">
        <is>
          <t>Vieille Canne</t>
        </is>
      </c>
      <c r="E1636" s="37" t="inlineStr">
        <is>
          <t>TENTACOOL</t>
        </is>
      </c>
      <c r="F1636" s="38" t="n">
        <v>0.3</v>
      </c>
      <c r="G1636" s="39" t="n">
        <v>41</v>
      </c>
      <c r="H1636" s="39" t="n">
        <v>43</v>
      </c>
      <c r="I1636" s="29">
        <f>IF(OR(COUNTIF('Suivi des rencontres'!$A:$A,$A1636)&gt;0,COUNTIF('Suivi des rencontres'!$C:$C,$J1636)&gt;0),"Non","Oui")</f>
        <v/>
      </c>
      <c r="J1636" s="30" t="inlineStr">
        <is>
          <t>TENTACOOL</t>
        </is>
      </c>
    </row>
    <row r="1637">
      <c r="A1637" s="35" t="inlineStr">
        <is>
          <t>Route 13</t>
        </is>
      </c>
      <c r="B1637" s="35" t="inlineStr">
        <is>
          <t>Route13_hns</t>
        </is>
      </c>
      <c r="C1637" s="33" t="inlineStr">
        <is>
          <t>Matin, jour, soir</t>
        </is>
      </c>
      <c r="D1637" s="55" t="inlineStr">
        <is>
          <t>Bonne Canne</t>
        </is>
      </c>
      <c r="E1637" s="37" t="inlineStr">
        <is>
          <t>MAGICARPE</t>
        </is>
      </c>
      <c r="F1637" s="38" t="n">
        <v>0.6</v>
      </c>
      <c r="G1637" s="39" t="n">
        <v>42</v>
      </c>
      <c r="H1637" s="39" t="n">
        <v>44</v>
      </c>
      <c r="I1637" s="29">
        <f>IF(OR(COUNTIF('Suivi des rencontres'!$A:$A,$A1637)&gt;0,COUNTIF('Suivi des rencontres'!$C:$C,$J1637)&gt;0),"Non","Oui")</f>
        <v/>
      </c>
      <c r="J1637" s="30" t="inlineStr">
        <is>
          <t>MAGICARPE</t>
        </is>
      </c>
    </row>
    <row r="1638">
      <c r="A1638" s="35" t="inlineStr">
        <is>
          <t>Route 13</t>
        </is>
      </c>
      <c r="B1638" s="35" t="inlineStr">
        <is>
          <t>Route13_hns</t>
        </is>
      </c>
      <c r="C1638" s="33" t="inlineStr">
        <is>
          <t>Matin, jour, soir</t>
        </is>
      </c>
      <c r="D1638" s="55" t="inlineStr">
        <is>
          <t>Bonne Canne</t>
        </is>
      </c>
      <c r="E1638" s="37" t="inlineStr">
        <is>
          <t>MARAISTE</t>
        </is>
      </c>
      <c r="F1638" s="38" t="n">
        <v>0.2</v>
      </c>
      <c r="G1638" s="39" t="n">
        <v>42</v>
      </c>
      <c r="H1638" s="39" t="n">
        <v>44</v>
      </c>
      <c r="I1638" s="29">
        <f>IF(OR(COUNTIF('Suivi des rencontres'!$A:$A,$A1638)&gt;0,COUNTIF('Suivi des rencontres'!$C:$C,$J1638)&gt;0),"Non","Oui")</f>
        <v/>
      </c>
      <c r="J1638" s="30" t="inlineStr">
        <is>
          <t>AXOLOTO</t>
        </is>
      </c>
    </row>
    <row r="1639">
      <c r="A1639" s="35" t="inlineStr">
        <is>
          <t>Route 13</t>
        </is>
      </c>
      <c r="B1639" s="35" t="inlineStr">
        <is>
          <t>Route13_hns</t>
        </is>
      </c>
      <c r="C1639" s="33" t="inlineStr">
        <is>
          <t>Matin, jour, soir</t>
        </is>
      </c>
      <c r="D1639" s="55" t="inlineStr">
        <is>
          <t>Bonne Canne</t>
        </is>
      </c>
      <c r="E1639" s="37" t="inlineStr">
        <is>
          <t>TENTACOOL</t>
        </is>
      </c>
      <c r="F1639" s="38" t="n">
        <v>0.2</v>
      </c>
      <c r="G1639" s="39" t="n">
        <v>42</v>
      </c>
      <c r="H1639" s="39" t="n">
        <v>44</v>
      </c>
      <c r="I1639" s="29">
        <f>IF(OR(COUNTIF('Suivi des rencontres'!$A:$A,$A1639)&gt;0,COUNTIF('Suivi des rencontres'!$C:$C,$J1639)&gt;0),"Non","Oui")</f>
        <v/>
      </c>
      <c r="J1639" s="30" t="inlineStr">
        <is>
          <t>TENTACOOL</t>
        </is>
      </c>
    </row>
    <row r="1640">
      <c r="A1640" s="35" t="inlineStr">
        <is>
          <t>Route 13</t>
        </is>
      </c>
      <c r="B1640" s="35" t="inlineStr">
        <is>
          <t>Route13_hns</t>
        </is>
      </c>
      <c r="C1640" s="62" t="inlineStr">
        <is>
          <t>Nuit</t>
        </is>
      </c>
      <c r="D1640" s="55" t="inlineStr">
        <is>
          <t>Bonne Canne</t>
        </is>
      </c>
      <c r="E1640" s="37" t="inlineStr">
        <is>
          <t>MAGICARPE</t>
        </is>
      </c>
      <c r="F1640" s="38" t="n">
        <v>0.6</v>
      </c>
      <c r="G1640" s="39" t="n">
        <v>42</v>
      </c>
      <c r="H1640" s="39" t="n">
        <v>44</v>
      </c>
      <c r="I1640" s="29">
        <f>IF(OR(COUNTIF('Suivi des rencontres'!$A:$A,$A1640)&gt;0,COUNTIF('Suivi des rencontres'!$C:$C,$J1640)&gt;0),"Non","Oui")</f>
        <v/>
      </c>
      <c r="J1640" s="30" t="inlineStr">
        <is>
          <t>MAGICARPE</t>
        </is>
      </c>
    </row>
    <row r="1641">
      <c r="A1641" s="35" t="inlineStr">
        <is>
          <t>Route 13</t>
        </is>
      </c>
      <c r="B1641" s="35" t="inlineStr">
        <is>
          <t>Route13_hns</t>
        </is>
      </c>
      <c r="C1641" s="62" t="inlineStr">
        <is>
          <t>Nuit</t>
        </is>
      </c>
      <c r="D1641" s="55" t="inlineStr">
        <is>
          <t>Bonne Canne</t>
        </is>
      </c>
      <c r="E1641" s="37" t="inlineStr">
        <is>
          <t>MARAISTE</t>
        </is>
      </c>
      <c r="F1641" s="38" t="n">
        <v>0.2</v>
      </c>
      <c r="G1641" s="39" t="n">
        <v>42</v>
      </c>
      <c r="H1641" s="39" t="n">
        <v>44</v>
      </c>
      <c r="I1641" s="29">
        <f>IF(OR(COUNTIF('Suivi des rencontres'!$A:$A,$A1641)&gt;0,COUNTIF('Suivi des rencontres'!$C:$C,$J1641)&gt;0),"Non","Oui")</f>
        <v/>
      </c>
      <c r="J1641" s="30" t="inlineStr">
        <is>
          <t>AXOLOTO</t>
        </is>
      </c>
    </row>
    <row r="1642">
      <c r="A1642" s="35" t="inlineStr">
        <is>
          <t>Route 13</t>
        </is>
      </c>
      <c r="B1642" s="35" t="inlineStr">
        <is>
          <t>Route13_hns</t>
        </is>
      </c>
      <c r="C1642" s="62" t="inlineStr">
        <is>
          <t>Nuit</t>
        </is>
      </c>
      <c r="D1642" s="55" t="inlineStr">
        <is>
          <t>Bonne Canne</t>
        </is>
      </c>
      <c r="E1642" s="37" t="inlineStr">
        <is>
          <t>TENTACOOL</t>
        </is>
      </c>
      <c r="F1642" s="38" t="n">
        <v>0.2</v>
      </c>
      <c r="G1642" s="39" t="n">
        <v>42</v>
      </c>
      <c r="H1642" s="39" t="n">
        <v>44</v>
      </c>
      <c r="I1642" s="29">
        <f>IF(OR(COUNTIF('Suivi des rencontres'!$A:$A,$A1642)&gt;0,COUNTIF('Suivi des rencontres'!$C:$C,$J1642)&gt;0),"Non","Oui")</f>
        <v/>
      </c>
      <c r="J1642" s="30" t="inlineStr">
        <is>
          <t>TENTACOOL</t>
        </is>
      </c>
    </row>
    <row r="1643">
      <c r="A1643" s="35" t="inlineStr">
        <is>
          <t>Route 13</t>
        </is>
      </c>
      <c r="B1643" s="35" t="inlineStr">
        <is>
          <t>Route13_hns</t>
        </is>
      </c>
      <c r="C1643" s="33" t="inlineStr">
        <is>
          <t>Matin, jour, soir</t>
        </is>
      </c>
      <c r="D1643" s="56" t="inlineStr">
        <is>
          <t>Super Canne</t>
        </is>
      </c>
      <c r="E1643" s="37" t="inlineStr">
        <is>
          <t>MARAISTE</t>
        </is>
      </c>
      <c r="F1643" s="38" t="n">
        <v>0.8</v>
      </c>
      <c r="G1643" s="39" t="n">
        <v>40</v>
      </c>
      <c r="H1643" s="39" t="n">
        <v>44</v>
      </c>
      <c r="I1643" s="29">
        <f>IF(OR(COUNTIF('Suivi des rencontres'!$A:$A,$A1643)&gt;0,COUNTIF('Suivi des rencontres'!$C:$C,$J1643)&gt;0),"Non","Oui")</f>
        <v/>
      </c>
      <c r="J1643" s="30" t="inlineStr">
        <is>
          <t>AXOLOTO</t>
        </is>
      </c>
    </row>
    <row r="1644">
      <c r="A1644" s="35" t="inlineStr">
        <is>
          <t>Route 13</t>
        </is>
      </c>
      <c r="B1644" s="35" t="inlineStr">
        <is>
          <t>Route13_hns</t>
        </is>
      </c>
      <c r="C1644" s="33" t="inlineStr">
        <is>
          <t>Matin, jour, soir</t>
        </is>
      </c>
      <c r="D1644" s="56" t="inlineStr">
        <is>
          <t>Super Canne</t>
        </is>
      </c>
      <c r="E1644" s="37" t="inlineStr">
        <is>
          <t>TENTACRUEL</t>
        </is>
      </c>
      <c r="F1644" s="38" t="n">
        <v>0.15</v>
      </c>
      <c r="G1644" s="39" t="n">
        <v>40</v>
      </c>
      <c r="H1644" s="39" t="n">
        <v>40</v>
      </c>
      <c r="I1644" s="29">
        <f>IF(OR(COUNTIF('Suivi des rencontres'!$A:$A,$A1644)&gt;0,COUNTIF('Suivi des rencontres'!$C:$C,$J1644)&gt;0),"Non","Oui")</f>
        <v/>
      </c>
      <c r="J1644" s="30" t="inlineStr">
        <is>
          <t>TENTACOOL</t>
        </is>
      </c>
    </row>
    <row r="1645">
      <c r="A1645" s="35" t="inlineStr">
        <is>
          <t>Route 13</t>
        </is>
      </c>
      <c r="B1645" s="35" t="inlineStr">
        <is>
          <t>Route13_hns</t>
        </is>
      </c>
      <c r="C1645" s="33" t="inlineStr">
        <is>
          <t>Matin, jour, soir</t>
        </is>
      </c>
      <c r="D1645" s="56" t="inlineStr">
        <is>
          <t>Super Canne</t>
        </is>
      </c>
      <c r="E1645" s="37" t="inlineStr">
        <is>
          <t>MAGICARPE</t>
        </is>
      </c>
      <c r="F1645" s="38" t="n">
        <v>0.04</v>
      </c>
      <c r="G1645" s="39" t="n">
        <v>40</v>
      </c>
      <c r="H1645" s="39" t="n">
        <v>40</v>
      </c>
      <c r="I1645" s="29">
        <f>IF(OR(COUNTIF('Suivi des rencontres'!$A:$A,$A1645)&gt;0,COUNTIF('Suivi des rencontres'!$C:$C,$J1645)&gt;0),"Non","Oui")</f>
        <v/>
      </c>
      <c r="J1645" s="30" t="inlineStr">
        <is>
          <t>MAGICARPE</t>
        </is>
      </c>
    </row>
    <row r="1646">
      <c r="A1646" s="35" t="inlineStr">
        <is>
          <t>Route 13</t>
        </is>
      </c>
      <c r="B1646" s="35" t="inlineStr">
        <is>
          <t>Route13_hns</t>
        </is>
      </c>
      <c r="C1646" s="33" t="inlineStr">
        <is>
          <t>Matin, jour, soir</t>
        </is>
      </c>
      <c r="D1646" s="56" t="inlineStr">
        <is>
          <t>Super Canne</t>
        </is>
      </c>
      <c r="E1646" s="37" t="inlineStr">
        <is>
          <t>TENTACOOL</t>
        </is>
      </c>
      <c r="F1646" s="38" t="n">
        <v>0.01</v>
      </c>
      <c r="G1646" s="39" t="n">
        <v>40</v>
      </c>
      <c r="H1646" s="39" t="n">
        <v>40</v>
      </c>
      <c r="I1646" s="29">
        <f>IF(OR(COUNTIF('Suivi des rencontres'!$A:$A,$A1646)&gt;0,COUNTIF('Suivi des rencontres'!$C:$C,$J1646)&gt;0),"Non","Oui")</f>
        <v/>
      </c>
      <c r="J1646" s="30" t="inlineStr">
        <is>
          <t>TENTACOOL</t>
        </is>
      </c>
    </row>
    <row r="1647">
      <c r="A1647" s="35" t="inlineStr">
        <is>
          <t>Route 13</t>
        </is>
      </c>
      <c r="B1647" s="35" t="inlineStr">
        <is>
          <t>Route13_hns</t>
        </is>
      </c>
      <c r="C1647" s="62" t="inlineStr">
        <is>
          <t>Nuit</t>
        </is>
      </c>
      <c r="D1647" s="56" t="inlineStr">
        <is>
          <t>Super Canne</t>
        </is>
      </c>
      <c r="E1647" s="37" t="inlineStr">
        <is>
          <t>MARAISTE</t>
        </is>
      </c>
      <c r="F1647" s="38" t="n">
        <v>0.8</v>
      </c>
      <c r="G1647" s="39" t="n">
        <v>40</v>
      </c>
      <c r="H1647" s="39" t="n">
        <v>44</v>
      </c>
      <c r="I1647" s="29">
        <f>IF(OR(COUNTIF('Suivi des rencontres'!$A:$A,$A1647)&gt;0,COUNTIF('Suivi des rencontres'!$C:$C,$J1647)&gt;0),"Non","Oui")</f>
        <v/>
      </c>
      <c r="J1647" s="30" t="inlineStr">
        <is>
          <t>AXOLOTO</t>
        </is>
      </c>
    </row>
    <row r="1648">
      <c r="A1648" s="35" t="inlineStr">
        <is>
          <t>Route 13</t>
        </is>
      </c>
      <c r="B1648" s="35" t="inlineStr">
        <is>
          <t>Route13_hns</t>
        </is>
      </c>
      <c r="C1648" s="62" t="inlineStr">
        <is>
          <t>Nuit</t>
        </is>
      </c>
      <c r="D1648" s="56" t="inlineStr">
        <is>
          <t>Super Canne</t>
        </is>
      </c>
      <c r="E1648" s="37" t="inlineStr">
        <is>
          <t>TENTACRUEL</t>
        </is>
      </c>
      <c r="F1648" s="38" t="n">
        <v>0.15</v>
      </c>
      <c r="G1648" s="39" t="n">
        <v>40</v>
      </c>
      <c r="H1648" s="39" t="n">
        <v>40</v>
      </c>
      <c r="I1648" s="29">
        <f>IF(OR(COUNTIF('Suivi des rencontres'!$A:$A,$A1648)&gt;0,COUNTIF('Suivi des rencontres'!$C:$C,$J1648)&gt;0),"Non","Oui")</f>
        <v/>
      </c>
      <c r="J1648" s="30" t="inlineStr">
        <is>
          <t>TENTACOOL</t>
        </is>
      </c>
    </row>
    <row r="1649">
      <c r="A1649" s="35" t="inlineStr">
        <is>
          <t>Route 13</t>
        </is>
      </c>
      <c r="B1649" s="35" t="inlineStr">
        <is>
          <t>Route13_hns</t>
        </is>
      </c>
      <c r="C1649" s="62" t="inlineStr">
        <is>
          <t>Nuit</t>
        </is>
      </c>
      <c r="D1649" s="56" t="inlineStr">
        <is>
          <t>Super Canne</t>
        </is>
      </c>
      <c r="E1649" s="37" t="inlineStr">
        <is>
          <t>MAGICARPE</t>
        </is>
      </c>
      <c r="F1649" s="38" t="n">
        <v>0.04</v>
      </c>
      <c r="G1649" s="39" t="n">
        <v>40</v>
      </c>
      <c r="H1649" s="39" t="n">
        <v>40</v>
      </c>
      <c r="I1649" s="29">
        <f>IF(OR(COUNTIF('Suivi des rencontres'!$A:$A,$A1649)&gt;0,COUNTIF('Suivi des rencontres'!$C:$C,$J1649)&gt;0),"Non","Oui")</f>
        <v/>
      </c>
      <c r="J1649" s="30" t="inlineStr">
        <is>
          <t>MAGICARPE</t>
        </is>
      </c>
    </row>
    <row r="1650">
      <c r="A1650" s="35" t="inlineStr">
        <is>
          <t>Route 13</t>
        </is>
      </c>
      <c r="B1650" s="35" t="inlineStr">
        <is>
          <t>Route13_hns</t>
        </is>
      </c>
      <c r="C1650" s="62" t="inlineStr">
        <is>
          <t>Nuit</t>
        </is>
      </c>
      <c r="D1650" s="56" t="inlineStr">
        <is>
          <t>Super Canne</t>
        </is>
      </c>
      <c r="E1650" s="37" t="inlineStr">
        <is>
          <t>TENTACOOL</t>
        </is>
      </c>
      <c r="F1650" s="38" t="n">
        <v>0.01</v>
      </c>
      <c r="G1650" s="39" t="n">
        <v>40</v>
      </c>
      <c r="H1650" s="39" t="n">
        <v>40</v>
      </c>
      <c r="I1650" s="29">
        <f>IF(OR(COUNTIF('Suivi des rencontres'!$A:$A,$A1650)&gt;0,COUNTIF('Suivi des rencontres'!$C:$C,$J1650)&gt;0),"Non","Oui")</f>
        <v/>
      </c>
      <c r="J1650" s="30" t="inlineStr">
        <is>
          <t>TENTACOOL</t>
        </is>
      </c>
    </row>
    <row r="1651">
      <c r="A1651" s="40" t="inlineStr">
        <is>
          <t>Route 14</t>
        </is>
      </c>
      <c r="B1651" s="40" t="inlineStr">
        <is>
          <t>Route14_hns</t>
        </is>
      </c>
      <c r="C1651" s="41" t="inlineStr">
        <is>
          <t>Matin, jour, soir</t>
        </is>
      </c>
      <c r="D1651" s="42" t="inlineStr">
        <is>
          <t>Herbe</t>
        </is>
      </c>
      <c r="E1651" s="43" t="inlineStr">
        <is>
          <t>NIDORINA</t>
        </is>
      </c>
      <c r="F1651" s="44" t="n">
        <v>0.3</v>
      </c>
      <c r="G1651" s="45" t="n">
        <v>48</v>
      </c>
      <c r="H1651" s="45" t="n">
        <v>50</v>
      </c>
      <c r="I1651" s="46">
        <f>IF(OR(COUNTIF('Suivi des rencontres'!$A:$A,$A1651)&gt;0,COUNTIF('Suivi des rencontres'!$C:$C,$J1651)&gt;0),"Non","Oui")</f>
        <v/>
      </c>
      <c r="J1651" s="30" t="inlineStr">
        <is>
          <t>NIDORAN♀</t>
        </is>
      </c>
    </row>
    <row r="1652">
      <c r="A1652" s="47" t="inlineStr">
        <is>
          <t>Route 14</t>
        </is>
      </c>
      <c r="B1652" s="47" t="inlineStr">
        <is>
          <t>Route14_hns</t>
        </is>
      </c>
      <c r="C1652" s="48" t="inlineStr">
        <is>
          <t>Matin, jour, soir</t>
        </is>
      </c>
      <c r="D1652" s="49" t="inlineStr">
        <is>
          <t>Herbe</t>
        </is>
      </c>
      <c r="E1652" s="50" t="inlineStr">
        <is>
          <t>NIDORINO</t>
        </is>
      </c>
      <c r="F1652" s="51" t="n">
        <v>0.3</v>
      </c>
      <c r="G1652" s="52" t="n">
        <v>48</v>
      </c>
      <c r="H1652" s="52" t="n">
        <v>50</v>
      </c>
      <c r="I1652" s="29">
        <f>IF(OR(COUNTIF('Suivi des rencontres'!$A:$A,$A1652)&gt;0,COUNTIF('Suivi des rencontres'!$C:$C,$J1652)&gt;0),"Non","Oui")</f>
        <v/>
      </c>
      <c r="J1652" s="30" t="inlineStr">
        <is>
          <t>NIDORAN♂</t>
        </is>
      </c>
    </row>
    <row r="1653">
      <c r="A1653" s="47" t="inlineStr">
        <is>
          <t>Route 14</t>
        </is>
      </c>
      <c r="B1653" s="47" t="inlineStr">
        <is>
          <t>Route14_hns</t>
        </is>
      </c>
      <c r="C1653" s="48" t="inlineStr">
        <is>
          <t>Matin, jour, soir</t>
        </is>
      </c>
      <c r="D1653" s="49" t="inlineStr">
        <is>
          <t>Herbe</t>
        </is>
      </c>
      <c r="E1653" s="50" t="inlineStr">
        <is>
          <t>GRANIVOL</t>
        </is>
      </c>
      <c r="F1653" s="51" t="n">
        <v>0.14</v>
      </c>
      <c r="G1653" s="52" t="n">
        <v>41</v>
      </c>
      <c r="H1653" s="52" t="n">
        <v>43</v>
      </c>
      <c r="I1653" s="29">
        <f>IF(OR(COUNTIF('Suivi des rencontres'!$A:$A,$A1653)&gt;0,COUNTIF('Suivi des rencontres'!$C:$C,$J1653)&gt;0),"Non","Oui")</f>
        <v/>
      </c>
      <c r="J1653" s="30" t="inlineStr">
        <is>
          <t>GRANIVOL</t>
        </is>
      </c>
    </row>
    <row r="1654">
      <c r="A1654" s="47" t="inlineStr">
        <is>
          <t>Route 14</t>
        </is>
      </c>
      <c r="B1654" s="47" t="inlineStr">
        <is>
          <t>Route14_hns</t>
        </is>
      </c>
      <c r="C1654" s="48" t="inlineStr">
        <is>
          <t>Matin, jour, soir</t>
        </is>
      </c>
      <c r="D1654" s="49" t="inlineStr">
        <is>
          <t>Herbe</t>
        </is>
      </c>
      <c r="E1654" s="50" t="inlineStr">
        <is>
          <t>ROUCOUPS</t>
        </is>
      </c>
      <c r="F1654" s="51" t="n">
        <v>0.1</v>
      </c>
      <c r="G1654" s="52" t="n">
        <v>41</v>
      </c>
      <c r="H1654" s="52" t="n">
        <v>43</v>
      </c>
      <c r="I1654" s="29">
        <f>IF(OR(COUNTIF('Suivi des rencontres'!$A:$A,$A1654)&gt;0,COUNTIF('Suivi des rencontres'!$C:$C,$J1654)&gt;0),"Non","Oui")</f>
        <v/>
      </c>
      <c r="J1654" s="30" t="inlineStr">
        <is>
          <t>ROUCOOL</t>
        </is>
      </c>
    </row>
    <row r="1655">
      <c r="A1655" s="47" t="inlineStr">
        <is>
          <t>Route 14</t>
        </is>
      </c>
      <c r="B1655" s="47" t="inlineStr">
        <is>
          <t>Route14_hns</t>
        </is>
      </c>
      <c r="C1655" s="48" t="inlineStr">
        <is>
          <t>Matin, jour, soir</t>
        </is>
      </c>
      <c r="D1655" s="49" t="inlineStr">
        <is>
          <t>Herbe</t>
        </is>
      </c>
      <c r="E1655" s="50" t="inlineStr">
        <is>
          <t>FLORAVOL</t>
        </is>
      </c>
      <c r="F1655" s="51" t="n">
        <v>0.09</v>
      </c>
      <c r="G1655" s="52" t="n">
        <v>43</v>
      </c>
      <c r="H1655" s="52" t="n">
        <v>45</v>
      </c>
      <c r="I1655" s="29">
        <f>IF(OR(COUNTIF('Suivi des rencontres'!$A:$A,$A1655)&gt;0,COUNTIF('Suivi des rencontres'!$C:$C,$J1655)&gt;0),"Non","Oui")</f>
        <v/>
      </c>
      <c r="J1655" s="30" t="inlineStr">
        <is>
          <t>GRANIVOL</t>
        </is>
      </c>
    </row>
    <row r="1656">
      <c r="A1656" s="47" t="inlineStr">
        <is>
          <t>Route 14</t>
        </is>
      </c>
      <c r="B1656" s="47" t="inlineStr">
        <is>
          <t>Route14_hns</t>
        </is>
      </c>
      <c r="C1656" s="48" t="inlineStr">
        <is>
          <t>Matin, jour, soir</t>
        </is>
      </c>
      <c r="D1656" s="49" t="inlineStr">
        <is>
          <t>Herbe</t>
        </is>
      </c>
      <c r="E1656" s="50" t="inlineStr">
        <is>
          <t>BALIGNON</t>
        </is>
      </c>
      <c r="F1656" s="51" t="n">
        <v>0.05</v>
      </c>
      <c r="G1656" s="52" t="n">
        <v>41</v>
      </c>
      <c r="H1656" s="52" t="n">
        <v>43</v>
      </c>
      <c r="I1656" s="29">
        <f>IF(OR(COUNTIF('Suivi des rencontres'!$A:$A,$A1656)&gt;0,COUNTIF('Suivi des rencontres'!$C:$C,$J1656)&gt;0),"Non","Oui")</f>
        <v/>
      </c>
      <c r="J1656" s="30" t="inlineStr">
        <is>
          <t>BALIGNON</t>
        </is>
      </c>
    </row>
    <row r="1657">
      <c r="A1657" s="47" t="inlineStr">
        <is>
          <t>Route 14</t>
        </is>
      </c>
      <c r="B1657" s="47" t="inlineStr">
        <is>
          <t>Route14_hns</t>
        </is>
      </c>
      <c r="C1657" s="48" t="inlineStr">
        <is>
          <t>Matin, jour, soir</t>
        </is>
      </c>
      <c r="D1657" s="49" t="inlineStr">
        <is>
          <t>Herbe</t>
        </is>
      </c>
      <c r="E1657" s="50" t="inlineStr">
        <is>
          <t>LEVEINARD</t>
        </is>
      </c>
      <c r="F1657" s="51" t="n">
        <v>0.02</v>
      </c>
      <c r="G1657" s="52" t="n">
        <v>41</v>
      </c>
      <c r="H1657" s="52" t="n">
        <v>43</v>
      </c>
      <c r="I1657" s="29">
        <f>IF(OR(COUNTIF('Suivi des rencontres'!$A:$A,$A1657)&gt;0,COUNTIF('Suivi des rencontres'!$C:$C,$J1657)&gt;0),"Non","Oui")</f>
        <v/>
      </c>
      <c r="J1657" s="30" t="inlineStr">
        <is>
          <t>PTIRAVI</t>
        </is>
      </c>
    </row>
    <row r="1658">
      <c r="A1658" s="47" t="inlineStr">
        <is>
          <t>Route 14</t>
        </is>
      </c>
      <c r="B1658" s="47" t="inlineStr">
        <is>
          <t>Route14_hns</t>
        </is>
      </c>
      <c r="C1658" s="62" t="inlineStr">
        <is>
          <t>Nuit</t>
        </is>
      </c>
      <c r="D1658" s="49" t="inlineStr">
        <is>
          <t>Herbe</t>
        </is>
      </c>
      <c r="E1658" s="50" t="inlineStr">
        <is>
          <t>LEVEINARD</t>
        </is>
      </c>
      <c r="F1658" s="51" t="n">
        <v>0.32</v>
      </c>
      <c r="G1658" s="52" t="n">
        <v>41</v>
      </c>
      <c r="H1658" s="52" t="n">
        <v>48</v>
      </c>
      <c r="I1658" s="29">
        <f>IF(OR(COUNTIF('Suivi des rencontres'!$A:$A,$A1658)&gt;0,COUNTIF('Suivi des rencontres'!$C:$C,$J1658)&gt;0),"Non","Oui")</f>
        <v/>
      </c>
      <c r="J1658" s="30" t="inlineStr">
        <is>
          <t>PTIRAVI</t>
        </is>
      </c>
    </row>
    <row r="1659">
      <c r="A1659" s="47" t="inlineStr">
        <is>
          <t>Route 14</t>
        </is>
      </c>
      <c r="B1659" s="47" t="inlineStr">
        <is>
          <t>Route14_hns</t>
        </is>
      </c>
      <c r="C1659" s="62" t="inlineStr">
        <is>
          <t>Nuit</t>
        </is>
      </c>
      <c r="D1659" s="49" t="inlineStr">
        <is>
          <t>Herbe</t>
        </is>
      </c>
      <c r="E1659" s="50" t="inlineStr">
        <is>
          <t>MIMITOSS</t>
        </is>
      </c>
      <c r="F1659" s="51" t="n">
        <v>0.3</v>
      </c>
      <c r="G1659" s="52" t="n">
        <v>48</v>
      </c>
      <c r="H1659" s="52" t="n">
        <v>50</v>
      </c>
      <c r="I1659" s="29">
        <f>IF(OR(COUNTIF('Suivi des rencontres'!$A:$A,$A1659)&gt;0,COUNTIF('Suivi des rencontres'!$C:$C,$J1659)&gt;0),"Non","Oui")</f>
        <v/>
      </c>
      <c r="J1659" s="30" t="inlineStr">
        <is>
          <t>MIMITOSS</t>
        </is>
      </c>
    </row>
    <row r="1660">
      <c r="A1660" s="47" t="inlineStr">
        <is>
          <t>Route 14</t>
        </is>
      </c>
      <c r="B1660" s="47" t="inlineStr">
        <is>
          <t>Route14_hns</t>
        </is>
      </c>
      <c r="C1660" s="62" t="inlineStr">
        <is>
          <t>Nuit</t>
        </is>
      </c>
      <c r="D1660" s="49" t="inlineStr">
        <is>
          <t>Herbe</t>
        </is>
      </c>
      <c r="E1660" s="50" t="inlineStr">
        <is>
          <t>NOARFANG</t>
        </is>
      </c>
      <c r="F1660" s="51" t="n">
        <v>0.15</v>
      </c>
      <c r="G1660" s="52" t="n">
        <v>41</v>
      </c>
      <c r="H1660" s="52" t="n">
        <v>43</v>
      </c>
      <c r="I1660" s="29">
        <f>IF(OR(COUNTIF('Suivi des rencontres'!$A:$A,$A1660)&gt;0,COUNTIF('Suivi des rencontres'!$C:$C,$J1660)&gt;0),"Non","Oui")</f>
        <v/>
      </c>
      <c r="J1660" s="30" t="inlineStr">
        <is>
          <t>HOOTHOOT</t>
        </is>
      </c>
    </row>
    <row r="1661">
      <c r="A1661" s="47" t="inlineStr">
        <is>
          <t>Route 14</t>
        </is>
      </c>
      <c r="B1661" s="47" t="inlineStr">
        <is>
          <t>Route14_hns</t>
        </is>
      </c>
      <c r="C1661" s="62" t="inlineStr">
        <is>
          <t>Nuit</t>
        </is>
      </c>
      <c r="D1661" s="49" t="inlineStr">
        <is>
          <t>Herbe</t>
        </is>
      </c>
      <c r="E1661" s="50" t="inlineStr">
        <is>
          <t>AEROMITE</t>
        </is>
      </c>
      <c r="F1661" s="51" t="n">
        <v>0.14</v>
      </c>
      <c r="G1661" s="52" t="n">
        <v>41</v>
      </c>
      <c r="H1661" s="52" t="n">
        <v>43</v>
      </c>
      <c r="I1661" s="29">
        <f>IF(OR(COUNTIF('Suivi des rencontres'!$A:$A,$A1661)&gt;0,COUNTIF('Suivi des rencontres'!$C:$C,$J1661)&gt;0),"Non","Oui")</f>
        <v/>
      </c>
      <c r="J1661" s="30" t="inlineStr">
        <is>
          <t>MIMITOSS</t>
        </is>
      </c>
    </row>
    <row r="1662">
      <c r="A1662" s="47" t="inlineStr">
        <is>
          <t>Route 14</t>
        </is>
      </c>
      <c r="B1662" s="47" t="inlineStr">
        <is>
          <t>Route14_hns</t>
        </is>
      </c>
      <c r="C1662" s="62" t="inlineStr">
        <is>
          <t>Nuit</t>
        </is>
      </c>
      <c r="D1662" s="49" t="inlineStr">
        <is>
          <t>Herbe</t>
        </is>
      </c>
      <c r="E1662" s="50" t="inlineStr">
        <is>
          <t>BALIGNON</t>
        </is>
      </c>
      <c r="F1662" s="51" t="n">
        <v>0.05</v>
      </c>
      <c r="G1662" s="52" t="n">
        <v>48</v>
      </c>
      <c r="H1662" s="52" t="n">
        <v>48</v>
      </c>
      <c r="I1662" s="29">
        <f>IF(OR(COUNTIF('Suivi des rencontres'!$A:$A,$A1662)&gt;0,COUNTIF('Suivi des rencontres'!$C:$C,$J1662)&gt;0),"Non","Oui")</f>
        <v/>
      </c>
      <c r="J1662" s="30" t="inlineStr">
        <is>
          <t>BALIGNON</t>
        </is>
      </c>
    </row>
    <row r="1663">
      <c r="A1663" s="47" t="inlineStr">
        <is>
          <t>Route 14</t>
        </is>
      </c>
      <c r="B1663" s="47" t="inlineStr">
        <is>
          <t>Route14_hns</t>
        </is>
      </c>
      <c r="C1663" s="62" t="inlineStr">
        <is>
          <t>Nuit</t>
        </is>
      </c>
      <c r="D1663" s="49" t="inlineStr">
        <is>
          <t>Herbe</t>
        </is>
      </c>
      <c r="E1663" s="50" t="inlineStr">
        <is>
          <t>MARAISTE</t>
        </is>
      </c>
      <c r="F1663" s="51" t="n">
        <v>0.04</v>
      </c>
      <c r="G1663" s="52" t="n">
        <v>48</v>
      </c>
      <c r="H1663" s="52" t="n">
        <v>48</v>
      </c>
      <c r="I1663" s="29">
        <f>IF(OR(COUNTIF('Suivi des rencontres'!$A:$A,$A1663)&gt;0,COUNTIF('Suivi des rencontres'!$C:$C,$J1663)&gt;0),"Non","Oui")</f>
        <v/>
      </c>
      <c r="J1663" s="30" t="inlineStr">
        <is>
          <t>AXOLOTO</t>
        </is>
      </c>
    </row>
    <row r="1664">
      <c r="A1664" s="47" t="inlineStr">
        <is>
          <t>Route 14</t>
        </is>
      </c>
      <c r="B1664" s="47" t="inlineStr">
        <is>
          <t>Route14_hns</t>
        </is>
      </c>
      <c r="C1664" s="48" t="inlineStr">
        <is>
          <t>Matin, jour, soir</t>
        </is>
      </c>
      <c r="D1664" s="53" t="inlineStr">
        <is>
          <t>Surf</t>
        </is>
      </c>
      <c r="E1664" s="50" t="inlineStr">
        <is>
          <t>TENTACOOL</t>
        </is>
      </c>
      <c r="F1664" s="51" t="n">
        <v>0.9</v>
      </c>
      <c r="G1664" s="52" t="n">
        <v>47</v>
      </c>
      <c r="H1664" s="52" t="n">
        <v>47</v>
      </c>
      <c r="I1664" s="29">
        <f>IF(OR(COUNTIF('Suivi des rencontres'!$A:$A,$A1664)&gt;0,COUNTIF('Suivi des rencontres'!$C:$C,$J1664)&gt;0),"Non","Oui")</f>
        <v/>
      </c>
      <c r="J1664" s="30" t="inlineStr">
        <is>
          <t>TENTACOOL</t>
        </is>
      </c>
    </row>
    <row r="1665">
      <c r="A1665" s="47" t="inlineStr">
        <is>
          <t>Route 14</t>
        </is>
      </c>
      <c r="B1665" s="47" t="inlineStr">
        <is>
          <t>Route14_hns</t>
        </is>
      </c>
      <c r="C1665" s="48" t="inlineStr">
        <is>
          <t>Matin, jour, soir</t>
        </is>
      </c>
      <c r="D1665" s="53" t="inlineStr">
        <is>
          <t>Surf</t>
        </is>
      </c>
      <c r="E1665" s="50" t="inlineStr">
        <is>
          <t>MARAISTE</t>
        </is>
      </c>
      <c r="F1665" s="51" t="n">
        <v>0.1</v>
      </c>
      <c r="G1665" s="52" t="n">
        <v>47</v>
      </c>
      <c r="H1665" s="52" t="n">
        <v>47</v>
      </c>
      <c r="I1665" s="29">
        <f>IF(OR(COUNTIF('Suivi des rencontres'!$A:$A,$A1665)&gt;0,COUNTIF('Suivi des rencontres'!$C:$C,$J1665)&gt;0),"Non","Oui")</f>
        <v/>
      </c>
      <c r="J1665" s="30" t="inlineStr">
        <is>
          <t>AXOLOTO</t>
        </is>
      </c>
    </row>
    <row r="1666">
      <c r="A1666" s="47" t="inlineStr">
        <is>
          <t>Route 14</t>
        </is>
      </c>
      <c r="B1666" s="47" t="inlineStr">
        <is>
          <t>Route14_hns</t>
        </is>
      </c>
      <c r="C1666" s="62" t="inlineStr">
        <is>
          <t>Nuit</t>
        </is>
      </c>
      <c r="D1666" s="53" t="inlineStr">
        <is>
          <t>Surf</t>
        </is>
      </c>
      <c r="E1666" s="50" t="inlineStr">
        <is>
          <t>TENTACOOL</t>
        </is>
      </c>
      <c r="F1666" s="51" t="n">
        <v>0.9</v>
      </c>
      <c r="G1666" s="52" t="n">
        <v>47</v>
      </c>
      <c r="H1666" s="52" t="n">
        <v>47</v>
      </c>
      <c r="I1666" s="29">
        <f>IF(OR(COUNTIF('Suivi des rencontres'!$A:$A,$A1666)&gt;0,COUNTIF('Suivi des rencontres'!$C:$C,$J1666)&gt;0),"Non","Oui")</f>
        <v/>
      </c>
      <c r="J1666" s="30" t="inlineStr">
        <is>
          <t>TENTACOOL</t>
        </is>
      </c>
    </row>
    <row r="1667">
      <c r="A1667" s="47" t="inlineStr">
        <is>
          <t>Route 14</t>
        </is>
      </c>
      <c r="B1667" s="47" t="inlineStr">
        <is>
          <t>Route14_hns</t>
        </is>
      </c>
      <c r="C1667" s="62" t="inlineStr">
        <is>
          <t>Nuit</t>
        </is>
      </c>
      <c r="D1667" s="53" t="inlineStr">
        <is>
          <t>Surf</t>
        </is>
      </c>
      <c r="E1667" s="50" t="inlineStr">
        <is>
          <t>MARAISTE</t>
        </is>
      </c>
      <c r="F1667" s="51" t="n">
        <v>0.1</v>
      </c>
      <c r="G1667" s="52" t="n">
        <v>47</v>
      </c>
      <c r="H1667" s="52" t="n">
        <v>47</v>
      </c>
      <c r="I1667" s="29">
        <f>IF(OR(COUNTIF('Suivi des rencontres'!$A:$A,$A1667)&gt;0,COUNTIF('Suivi des rencontres'!$C:$C,$J1667)&gt;0),"Non","Oui")</f>
        <v/>
      </c>
      <c r="J1667" s="30" t="inlineStr">
        <is>
          <t>AXOLOTO</t>
        </is>
      </c>
    </row>
    <row r="1668">
      <c r="A1668" s="47" t="inlineStr">
        <is>
          <t>Route 14</t>
        </is>
      </c>
      <c r="B1668" s="47" t="inlineStr">
        <is>
          <t>Route14_hns</t>
        </is>
      </c>
      <c r="C1668" s="48" t="inlineStr">
        <is>
          <t>Matin, jour, soir</t>
        </is>
      </c>
      <c r="D1668" s="54" t="inlineStr">
        <is>
          <t>Vieille Canne</t>
        </is>
      </c>
      <c r="E1668" s="50" t="inlineStr">
        <is>
          <t>MAGICARPE</t>
        </is>
      </c>
      <c r="F1668" s="51" t="n">
        <v>0.7</v>
      </c>
      <c r="G1668" s="52" t="n">
        <v>41</v>
      </c>
      <c r="H1668" s="52" t="n">
        <v>43</v>
      </c>
      <c r="I1668" s="29">
        <f>IF(OR(COUNTIF('Suivi des rencontres'!$A:$A,$A1668)&gt;0,COUNTIF('Suivi des rencontres'!$C:$C,$J1668)&gt;0),"Non","Oui")</f>
        <v/>
      </c>
      <c r="J1668" s="30" t="inlineStr">
        <is>
          <t>MAGICARPE</t>
        </is>
      </c>
    </row>
    <row r="1669">
      <c r="A1669" s="47" t="inlineStr">
        <is>
          <t>Route 14</t>
        </is>
      </c>
      <c r="B1669" s="47" t="inlineStr">
        <is>
          <t>Route14_hns</t>
        </is>
      </c>
      <c r="C1669" s="48" t="inlineStr">
        <is>
          <t>Matin, jour, soir</t>
        </is>
      </c>
      <c r="D1669" s="54" t="inlineStr">
        <is>
          <t>Vieille Canne</t>
        </is>
      </c>
      <c r="E1669" s="50" t="inlineStr">
        <is>
          <t>TENTACOOL</t>
        </is>
      </c>
      <c r="F1669" s="51" t="n">
        <v>0.3</v>
      </c>
      <c r="G1669" s="52" t="n">
        <v>41</v>
      </c>
      <c r="H1669" s="52" t="n">
        <v>43</v>
      </c>
      <c r="I1669" s="29">
        <f>IF(OR(COUNTIF('Suivi des rencontres'!$A:$A,$A1669)&gt;0,COUNTIF('Suivi des rencontres'!$C:$C,$J1669)&gt;0),"Non","Oui")</f>
        <v/>
      </c>
      <c r="J1669" s="30" t="inlineStr">
        <is>
          <t>TENTACOOL</t>
        </is>
      </c>
    </row>
    <row r="1670">
      <c r="A1670" s="47" t="inlineStr">
        <is>
          <t>Route 14</t>
        </is>
      </c>
      <c r="B1670" s="47" t="inlineStr">
        <is>
          <t>Route14_hns</t>
        </is>
      </c>
      <c r="C1670" s="62" t="inlineStr">
        <is>
          <t>Nuit</t>
        </is>
      </c>
      <c r="D1670" s="54" t="inlineStr">
        <is>
          <t>Vieille Canne</t>
        </is>
      </c>
      <c r="E1670" s="50" t="inlineStr">
        <is>
          <t>MAGICARPE</t>
        </is>
      </c>
      <c r="F1670" s="51" t="n">
        <v>0.7</v>
      </c>
      <c r="G1670" s="52" t="n">
        <v>41</v>
      </c>
      <c r="H1670" s="52" t="n">
        <v>43</v>
      </c>
      <c r="I1670" s="29">
        <f>IF(OR(COUNTIF('Suivi des rencontres'!$A:$A,$A1670)&gt;0,COUNTIF('Suivi des rencontres'!$C:$C,$J1670)&gt;0),"Non","Oui")</f>
        <v/>
      </c>
      <c r="J1670" s="30" t="inlineStr">
        <is>
          <t>MAGICARPE</t>
        </is>
      </c>
    </row>
    <row r="1671">
      <c r="A1671" s="47" t="inlineStr">
        <is>
          <t>Route 14</t>
        </is>
      </c>
      <c r="B1671" s="47" t="inlineStr">
        <is>
          <t>Route14_hns</t>
        </is>
      </c>
      <c r="C1671" s="62" t="inlineStr">
        <is>
          <t>Nuit</t>
        </is>
      </c>
      <c r="D1671" s="54" t="inlineStr">
        <is>
          <t>Vieille Canne</t>
        </is>
      </c>
      <c r="E1671" s="50" t="inlineStr">
        <is>
          <t>TENTACOOL</t>
        </is>
      </c>
      <c r="F1671" s="51" t="n">
        <v>0.3</v>
      </c>
      <c r="G1671" s="52" t="n">
        <v>41</v>
      </c>
      <c r="H1671" s="52" t="n">
        <v>43</v>
      </c>
      <c r="I1671" s="29">
        <f>IF(OR(COUNTIF('Suivi des rencontres'!$A:$A,$A1671)&gt;0,COUNTIF('Suivi des rencontres'!$C:$C,$J1671)&gt;0),"Non","Oui")</f>
        <v/>
      </c>
      <c r="J1671" s="30" t="inlineStr">
        <is>
          <t>TENTACOOL</t>
        </is>
      </c>
    </row>
    <row r="1672">
      <c r="A1672" s="47" t="inlineStr">
        <is>
          <t>Route 14</t>
        </is>
      </c>
      <c r="B1672" s="47" t="inlineStr">
        <is>
          <t>Route14_hns</t>
        </is>
      </c>
      <c r="C1672" s="48" t="inlineStr">
        <is>
          <t>Matin, jour, soir</t>
        </is>
      </c>
      <c r="D1672" s="55" t="inlineStr">
        <is>
          <t>Bonne Canne</t>
        </is>
      </c>
      <c r="E1672" s="50" t="inlineStr">
        <is>
          <t>MAGICARPE</t>
        </is>
      </c>
      <c r="F1672" s="51" t="n">
        <v>0.6</v>
      </c>
      <c r="G1672" s="52" t="n">
        <v>42</v>
      </c>
      <c r="H1672" s="52" t="n">
        <v>44</v>
      </c>
      <c r="I1672" s="29">
        <f>IF(OR(COUNTIF('Suivi des rencontres'!$A:$A,$A1672)&gt;0,COUNTIF('Suivi des rencontres'!$C:$C,$J1672)&gt;0),"Non","Oui")</f>
        <v/>
      </c>
      <c r="J1672" s="30" t="inlineStr">
        <is>
          <t>MAGICARPE</t>
        </is>
      </c>
    </row>
    <row r="1673">
      <c r="A1673" s="47" t="inlineStr">
        <is>
          <t>Route 14</t>
        </is>
      </c>
      <c r="B1673" s="47" t="inlineStr">
        <is>
          <t>Route14_hns</t>
        </is>
      </c>
      <c r="C1673" s="48" t="inlineStr">
        <is>
          <t>Matin, jour, soir</t>
        </is>
      </c>
      <c r="D1673" s="55" t="inlineStr">
        <is>
          <t>Bonne Canne</t>
        </is>
      </c>
      <c r="E1673" s="50" t="inlineStr">
        <is>
          <t>MARAISTE</t>
        </is>
      </c>
      <c r="F1673" s="51" t="n">
        <v>0.2</v>
      </c>
      <c r="G1673" s="52" t="n">
        <v>42</v>
      </c>
      <c r="H1673" s="52" t="n">
        <v>44</v>
      </c>
      <c r="I1673" s="29">
        <f>IF(OR(COUNTIF('Suivi des rencontres'!$A:$A,$A1673)&gt;0,COUNTIF('Suivi des rencontres'!$C:$C,$J1673)&gt;0),"Non","Oui")</f>
        <v/>
      </c>
      <c r="J1673" s="30" t="inlineStr">
        <is>
          <t>AXOLOTO</t>
        </is>
      </c>
    </row>
    <row r="1674">
      <c r="A1674" s="47" t="inlineStr">
        <is>
          <t>Route 14</t>
        </is>
      </c>
      <c r="B1674" s="47" t="inlineStr">
        <is>
          <t>Route14_hns</t>
        </is>
      </c>
      <c r="C1674" s="48" t="inlineStr">
        <is>
          <t>Matin, jour, soir</t>
        </is>
      </c>
      <c r="D1674" s="55" t="inlineStr">
        <is>
          <t>Bonne Canne</t>
        </is>
      </c>
      <c r="E1674" s="50" t="inlineStr">
        <is>
          <t>TENTACOOL</t>
        </is>
      </c>
      <c r="F1674" s="51" t="n">
        <v>0.2</v>
      </c>
      <c r="G1674" s="52" t="n">
        <v>42</v>
      </c>
      <c r="H1674" s="52" t="n">
        <v>44</v>
      </c>
      <c r="I1674" s="29">
        <f>IF(OR(COUNTIF('Suivi des rencontres'!$A:$A,$A1674)&gt;0,COUNTIF('Suivi des rencontres'!$C:$C,$J1674)&gt;0),"Non","Oui")</f>
        <v/>
      </c>
      <c r="J1674" s="30" t="inlineStr">
        <is>
          <t>TENTACOOL</t>
        </is>
      </c>
    </row>
    <row r="1675">
      <c r="A1675" s="47" t="inlineStr">
        <is>
          <t>Route 14</t>
        </is>
      </c>
      <c r="B1675" s="47" t="inlineStr">
        <is>
          <t>Route14_hns</t>
        </is>
      </c>
      <c r="C1675" s="62" t="inlineStr">
        <is>
          <t>Nuit</t>
        </is>
      </c>
      <c r="D1675" s="55" t="inlineStr">
        <is>
          <t>Bonne Canne</t>
        </is>
      </c>
      <c r="E1675" s="50" t="inlineStr">
        <is>
          <t>MAGICARPE</t>
        </is>
      </c>
      <c r="F1675" s="51" t="n">
        <v>0.6</v>
      </c>
      <c r="G1675" s="52" t="n">
        <v>42</v>
      </c>
      <c r="H1675" s="52" t="n">
        <v>44</v>
      </c>
      <c r="I1675" s="29">
        <f>IF(OR(COUNTIF('Suivi des rencontres'!$A:$A,$A1675)&gt;0,COUNTIF('Suivi des rencontres'!$C:$C,$J1675)&gt;0),"Non","Oui")</f>
        <v/>
      </c>
      <c r="J1675" s="30" t="inlineStr">
        <is>
          <t>MAGICARPE</t>
        </is>
      </c>
    </row>
    <row r="1676">
      <c r="A1676" s="47" t="inlineStr">
        <is>
          <t>Route 14</t>
        </is>
      </c>
      <c r="B1676" s="47" t="inlineStr">
        <is>
          <t>Route14_hns</t>
        </is>
      </c>
      <c r="C1676" s="62" t="inlineStr">
        <is>
          <t>Nuit</t>
        </is>
      </c>
      <c r="D1676" s="55" t="inlineStr">
        <is>
          <t>Bonne Canne</t>
        </is>
      </c>
      <c r="E1676" s="50" t="inlineStr">
        <is>
          <t>MARAISTE</t>
        </is>
      </c>
      <c r="F1676" s="51" t="n">
        <v>0.2</v>
      </c>
      <c r="G1676" s="52" t="n">
        <v>42</v>
      </c>
      <c r="H1676" s="52" t="n">
        <v>44</v>
      </c>
      <c r="I1676" s="29">
        <f>IF(OR(COUNTIF('Suivi des rencontres'!$A:$A,$A1676)&gt;0,COUNTIF('Suivi des rencontres'!$C:$C,$J1676)&gt;0),"Non","Oui")</f>
        <v/>
      </c>
      <c r="J1676" s="30" t="inlineStr">
        <is>
          <t>AXOLOTO</t>
        </is>
      </c>
    </row>
    <row r="1677">
      <c r="A1677" s="47" t="inlineStr">
        <is>
          <t>Route 14</t>
        </is>
      </c>
      <c r="B1677" s="47" t="inlineStr">
        <is>
          <t>Route14_hns</t>
        </is>
      </c>
      <c r="C1677" s="62" t="inlineStr">
        <is>
          <t>Nuit</t>
        </is>
      </c>
      <c r="D1677" s="55" t="inlineStr">
        <is>
          <t>Bonne Canne</t>
        </is>
      </c>
      <c r="E1677" s="50" t="inlineStr">
        <is>
          <t>TENTACOOL</t>
        </is>
      </c>
      <c r="F1677" s="51" t="n">
        <v>0.2</v>
      </c>
      <c r="G1677" s="52" t="n">
        <v>42</v>
      </c>
      <c r="H1677" s="52" t="n">
        <v>44</v>
      </c>
      <c r="I1677" s="29">
        <f>IF(OR(COUNTIF('Suivi des rencontres'!$A:$A,$A1677)&gt;0,COUNTIF('Suivi des rencontres'!$C:$C,$J1677)&gt;0),"Non","Oui")</f>
        <v/>
      </c>
      <c r="J1677" s="30" t="inlineStr">
        <is>
          <t>TENTACOOL</t>
        </is>
      </c>
    </row>
    <row r="1678">
      <c r="A1678" s="47" t="inlineStr">
        <is>
          <t>Route 14</t>
        </is>
      </c>
      <c r="B1678" s="47" t="inlineStr">
        <is>
          <t>Route14_hns</t>
        </is>
      </c>
      <c r="C1678" s="48" t="inlineStr">
        <is>
          <t>Matin, jour, soir</t>
        </is>
      </c>
      <c r="D1678" s="56" t="inlineStr">
        <is>
          <t>Super Canne</t>
        </is>
      </c>
      <c r="E1678" s="50" t="inlineStr">
        <is>
          <t>MARAISTE</t>
        </is>
      </c>
      <c r="F1678" s="51" t="n">
        <v>0.8</v>
      </c>
      <c r="G1678" s="52" t="n">
        <v>40</v>
      </c>
      <c r="H1678" s="52" t="n">
        <v>44</v>
      </c>
      <c r="I1678" s="29">
        <f>IF(OR(COUNTIF('Suivi des rencontres'!$A:$A,$A1678)&gt;0,COUNTIF('Suivi des rencontres'!$C:$C,$J1678)&gt;0),"Non","Oui")</f>
        <v/>
      </c>
      <c r="J1678" s="30" t="inlineStr">
        <is>
          <t>AXOLOTO</t>
        </is>
      </c>
    </row>
    <row r="1679">
      <c r="A1679" s="47" t="inlineStr">
        <is>
          <t>Route 14</t>
        </is>
      </c>
      <c r="B1679" s="47" t="inlineStr">
        <is>
          <t>Route14_hns</t>
        </is>
      </c>
      <c r="C1679" s="48" t="inlineStr">
        <is>
          <t>Matin, jour, soir</t>
        </is>
      </c>
      <c r="D1679" s="56" t="inlineStr">
        <is>
          <t>Super Canne</t>
        </is>
      </c>
      <c r="E1679" s="50" t="inlineStr">
        <is>
          <t>TENTACRUEL</t>
        </is>
      </c>
      <c r="F1679" s="51" t="n">
        <v>0.15</v>
      </c>
      <c r="G1679" s="52" t="n">
        <v>40</v>
      </c>
      <c r="H1679" s="52" t="n">
        <v>40</v>
      </c>
      <c r="I1679" s="29">
        <f>IF(OR(COUNTIF('Suivi des rencontres'!$A:$A,$A1679)&gt;0,COUNTIF('Suivi des rencontres'!$C:$C,$J1679)&gt;0),"Non","Oui")</f>
        <v/>
      </c>
      <c r="J1679" s="30" t="inlineStr">
        <is>
          <t>TENTACOOL</t>
        </is>
      </c>
    </row>
    <row r="1680">
      <c r="A1680" s="47" t="inlineStr">
        <is>
          <t>Route 14</t>
        </is>
      </c>
      <c r="B1680" s="47" t="inlineStr">
        <is>
          <t>Route14_hns</t>
        </is>
      </c>
      <c r="C1680" s="48" t="inlineStr">
        <is>
          <t>Matin, jour, soir</t>
        </is>
      </c>
      <c r="D1680" s="56" t="inlineStr">
        <is>
          <t>Super Canne</t>
        </is>
      </c>
      <c r="E1680" s="50" t="inlineStr">
        <is>
          <t>MAGICARPE</t>
        </is>
      </c>
      <c r="F1680" s="51" t="n">
        <v>0.04</v>
      </c>
      <c r="G1680" s="52" t="n">
        <v>40</v>
      </c>
      <c r="H1680" s="52" t="n">
        <v>40</v>
      </c>
      <c r="I1680" s="29">
        <f>IF(OR(COUNTIF('Suivi des rencontres'!$A:$A,$A1680)&gt;0,COUNTIF('Suivi des rencontres'!$C:$C,$J1680)&gt;0),"Non","Oui")</f>
        <v/>
      </c>
      <c r="J1680" s="30" t="inlineStr">
        <is>
          <t>MAGICARPE</t>
        </is>
      </c>
    </row>
    <row r="1681">
      <c r="A1681" s="47" t="inlineStr">
        <is>
          <t>Route 14</t>
        </is>
      </c>
      <c r="B1681" s="47" t="inlineStr">
        <is>
          <t>Route14_hns</t>
        </is>
      </c>
      <c r="C1681" s="48" t="inlineStr">
        <is>
          <t>Matin, jour, soir</t>
        </is>
      </c>
      <c r="D1681" s="56" t="inlineStr">
        <is>
          <t>Super Canne</t>
        </is>
      </c>
      <c r="E1681" s="50" t="inlineStr">
        <is>
          <t>TENTACOOL</t>
        </is>
      </c>
      <c r="F1681" s="51" t="n">
        <v>0.01</v>
      </c>
      <c r="G1681" s="52" t="n">
        <v>40</v>
      </c>
      <c r="H1681" s="52" t="n">
        <v>40</v>
      </c>
      <c r="I1681" s="29">
        <f>IF(OR(COUNTIF('Suivi des rencontres'!$A:$A,$A1681)&gt;0,COUNTIF('Suivi des rencontres'!$C:$C,$J1681)&gt;0),"Non","Oui")</f>
        <v/>
      </c>
      <c r="J1681" s="30" t="inlineStr">
        <is>
          <t>TENTACOOL</t>
        </is>
      </c>
    </row>
    <row r="1682">
      <c r="A1682" s="47" t="inlineStr">
        <is>
          <t>Route 14</t>
        </is>
      </c>
      <c r="B1682" s="47" t="inlineStr">
        <is>
          <t>Route14_hns</t>
        </is>
      </c>
      <c r="C1682" s="62" t="inlineStr">
        <is>
          <t>Nuit</t>
        </is>
      </c>
      <c r="D1682" s="56" t="inlineStr">
        <is>
          <t>Super Canne</t>
        </is>
      </c>
      <c r="E1682" s="50" t="inlineStr">
        <is>
          <t>MARAISTE</t>
        </is>
      </c>
      <c r="F1682" s="51" t="n">
        <v>0.8</v>
      </c>
      <c r="G1682" s="52" t="n">
        <v>40</v>
      </c>
      <c r="H1682" s="52" t="n">
        <v>44</v>
      </c>
      <c r="I1682" s="29">
        <f>IF(OR(COUNTIF('Suivi des rencontres'!$A:$A,$A1682)&gt;0,COUNTIF('Suivi des rencontres'!$C:$C,$J1682)&gt;0),"Non","Oui")</f>
        <v/>
      </c>
      <c r="J1682" s="30" t="inlineStr">
        <is>
          <t>AXOLOTO</t>
        </is>
      </c>
    </row>
    <row r="1683">
      <c r="A1683" s="47" t="inlineStr">
        <is>
          <t>Route 14</t>
        </is>
      </c>
      <c r="B1683" s="47" t="inlineStr">
        <is>
          <t>Route14_hns</t>
        </is>
      </c>
      <c r="C1683" s="62" t="inlineStr">
        <is>
          <t>Nuit</t>
        </is>
      </c>
      <c r="D1683" s="56" t="inlineStr">
        <is>
          <t>Super Canne</t>
        </is>
      </c>
      <c r="E1683" s="50" t="inlineStr">
        <is>
          <t>TENTACRUEL</t>
        </is>
      </c>
      <c r="F1683" s="51" t="n">
        <v>0.15</v>
      </c>
      <c r="G1683" s="52" t="n">
        <v>40</v>
      </c>
      <c r="H1683" s="52" t="n">
        <v>40</v>
      </c>
      <c r="I1683" s="29">
        <f>IF(OR(COUNTIF('Suivi des rencontres'!$A:$A,$A1683)&gt;0,COUNTIF('Suivi des rencontres'!$C:$C,$J1683)&gt;0),"Non","Oui")</f>
        <v/>
      </c>
      <c r="J1683" s="30" t="inlineStr">
        <is>
          <t>TENTACOOL</t>
        </is>
      </c>
    </row>
    <row r="1684">
      <c r="A1684" s="47" t="inlineStr">
        <is>
          <t>Route 14</t>
        </is>
      </c>
      <c r="B1684" s="47" t="inlineStr">
        <is>
          <t>Route14_hns</t>
        </is>
      </c>
      <c r="C1684" s="62" t="inlineStr">
        <is>
          <t>Nuit</t>
        </is>
      </c>
      <c r="D1684" s="56" t="inlineStr">
        <is>
          <t>Super Canne</t>
        </is>
      </c>
      <c r="E1684" s="50" t="inlineStr">
        <is>
          <t>MAGICARPE</t>
        </is>
      </c>
      <c r="F1684" s="51" t="n">
        <v>0.04</v>
      </c>
      <c r="G1684" s="52" t="n">
        <v>40</v>
      </c>
      <c r="H1684" s="52" t="n">
        <v>40</v>
      </c>
      <c r="I1684" s="29">
        <f>IF(OR(COUNTIF('Suivi des rencontres'!$A:$A,$A1684)&gt;0,COUNTIF('Suivi des rencontres'!$C:$C,$J1684)&gt;0),"Non","Oui")</f>
        <v/>
      </c>
      <c r="J1684" s="30" t="inlineStr">
        <is>
          <t>MAGICARPE</t>
        </is>
      </c>
    </row>
    <row r="1685">
      <c r="A1685" s="47" t="inlineStr">
        <is>
          <t>Route 14</t>
        </is>
      </c>
      <c r="B1685" s="47" t="inlineStr">
        <is>
          <t>Route14_hns</t>
        </is>
      </c>
      <c r="C1685" s="62" t="inlineStr">
        <is>
          <t>Nuit</t>
        </is>
      </c>
      <c r="D1685" s="56" t="inlineStr">
        <is>
          <t>Super Canne</t>
        </is>
      </c>
      <c r="E1685" s="50" t="inlineStr">
        <is>
          <t>TENTACOOL</t>
        </is>
      </c>
      <c r="F1685" s="51" t="n">
        <v>0.01</v>
      </c>
      <c r="G1685" s="52" t="n">
        <v>40</v>
      </c>
      <c r="H1685" s="52" t="n">
        <v>40</v>
      </c>
      <c r="I1685" s="29">
        <f>IF(OR(COUNTIF('Suivi des rencontres'!$A:$A,$A1685)&gt;0,COUNTIF('Suivi des rencontres'!$C:$C,$J1685)&gt;0),"Non","Oui")</f>
        <v/>
      </c>
      <c r="J1685" s="30" t="inlineStr">
        <is>
          <t>TENTACOOL</t>
        </is>
      </c>
    </row>
    <row r="1686">
      <c r="A1686" s="57" t="inlineStr">
        <is>
          <t>Route 15</t>
        </is>
      </c>
      <c r="B1686" s="57" t="inlineStr">
        <is>
          <t>Route15_hns</t>
        </is>
      </c>
      <c r="C1686" s="58" t="inlineStr">
        <is>
          <t>Matin, jour, soir</t>
        </is>
      </c>
      <c r="D1686" s="42" t="inlineStr">
        <is>
          <t>Herbe</t>
        </is>
      </c>
      <c r="E1686" s="59" t="inlineStr">
        <is>
          <t>NIDORINA</t>
        </is>
      </c>
      <c r="F1686" s="60" t="n">
        <v>0.3</v>
      </c>
      <c r="G1686" s="61" t="n">
        <v>45</v>
      </c>
      <c r="H1686" s="61" t="n">
        <v>47</v>
      </c>
      <c r="I1686" s="46">
        <f>IF(OR(COUNTIF('Suivi des rencontres'!$A:$A,$A1686)&gt;0,COUNTIF('Suivi des rencontres'!$C:$C,$J1686)&gt;0),"Non","Oui")</f>
        <v/>
      </c>
      <c r="J1686" s="30" t="inlineStr">
        <is>
          <t>NIDORAN♀</t>
        </is>
      </c>
    </row>
    <row r="1687">
      <c r="A1687" s="35" t="inlineStr">
        <is>
          <t>Route 15</t>
        </is>
      </c>
      <c r="B1687" s="35" t="inlineStr">
        <is>
          <t>Route15_hns</t>
        </is>
      </c>
      <c r="C1687" s="33" t="inlineStr">
        <is>
          <t>Matin, jour, soir</t>
        </is>
      </c>
      <c r="D1687" s="49" t="inlineStr">
        <is>
          <t>Herbe</t>
        </is>
      </c>
      <c r="E1687" s="37" t="inlineStr">
        <is>
          <t>NIDORINO</t>
        </is>
      </c>
      <c r="F1687" s="38" t="n">
        <v>0.3</v>
      </c>
      <c r="G1687" s="39" t="n">
        <v>45</v>
      </c>
      <c r="H1687" s="39" t="n">
        <v>47</v>
      </c>
      <c r="I1687" s="29">
        <f>IF(OR(COUNTIF('Suivi des rencontres'!$A:$A,$A1687)&gt;0,COUNTIF('Suivi des rencontres'!$C:$C,$J1687)&gt;0),"Non","Oui")</f>
        <v/>
      </c>
      <c r="J1687" s="30" t="inlineStr">
        <is>
          <t>NIDORAN♂</t>
        </is>
      </c>
    </row>
    <row r="1688">
      <c r="A1688" s="35" t="inlineStr">
        <is>
          <t>Route 15</t>
        </is>
      </c>
      <c r="B1688" s="35" t="inlineStr">
        <is>
          <t>Route15_hns</t>
        </is>
      </c>
      <c r="C1688" s="33" t="inlineStr">
        <is>
          <t>Matin, jour, soir</t>
        </is>
      </c>
      <c r="D1688" s="49" t="inlineStr">
        <is>
          <t>Herbe</t>
        </is>
      </c>
      <c r="E1688" s="37" t="inlineStr">
        <is>
          <t>GRANIVOL</t>
        </is>
      </c>
      <c r="F1688" s="38" t="n">
        <v>0.18</v>
      </c>
      <c r="G1688" s="39" t="n">
        <v>47</v>
      </c>
      <c r="H1688" s="39" t="n">
        <v>47</v>
      </c>
      <c r="I1688" s="29">
        <f>IF(OR(COUNTIF('Suivi des rencontres'!$A:$A,$A1688)&gt;0,COUNTIF('Suivi des rencontres'!$C:$C,$J1688)&gt;0),"Non","Oui")</f>
        <v/>
      </c>
      <c r="J1688" s="30" t="inlineStr">
        <is>
          <t>GRANIVOL</t>
        </is>
      </c>
    </row>
    <row r="1689">
      <c r="A1689" s="35" t="inlineStr">
        <is>
          <t>Route 15</t>
        </is>
      </c>
      <c r="B1689" s="35" t="inlineStr">
        <is>
          <t>Route15_hns</t>
        </is>
      </c>
      <c r="C1689" s="33" t="inlineStr">
        <is>
          <t>Matin, jour, soir</t>
        </is>
      </c>
      <c r="D1689" s="49" t="inlineStr">
        <is>
          <t>Herbe</t>
        </is>
      </c>
      <c r="E1689" s="37" t="inlineStr">
        <is>
          <t>ROUCOUPS</t>
        </is>
      </c>
      <c r="F1689" s="38" t="n">
        <v>0.15</v>
      </c>
      <c r="G1689" s="39" t="n">
        <v>47</v>
      </c>
      <c r="H1689" s="39" t="n">
        <v>49</v>
      </c>
      <c r="I1689" s="29">
        <f>IF(OR(COUNTIF('Suivi des rencontres'!$A:$A,$A1689)&gt;0,COUNTIF('Suivi des rencontres'!$C:$C,$J1689)&gt;0),"Non","Oui")</f>
        <v/>
      </c>
      <c r="J1689" s="30" t="inlineStr">
        <is>
          <t>ROUCOOL</t>
        </is>
      </c>
    </row>
    <row r="1690">
      <c r="A1690" s="35" t="inlineStr">
        <is>
          <t>Route 15</t>
        </is>
      </c>
      <c r="B1690" s="35" t="inlineStr">
        <is>
          <t>Route15_hns</t>
        </is>
      </c>
      <c r="C1690" s="33" t="inlineStr">
        <is>
          <t>Matin, jour, soir</t>
        </is>
      </c>
      <c r="D1690" s="49" t="inlineStr">
        <is>
          <t>Herbe</t>
        </is>
      </c>
      <c r="E1690" s="37" t="inlineStr">
        <is>
          <t>MUCIOLE</t>
        </is>
      </c>
      <c r="F1690" s="38" t="n">
        <v>0.05</v>
      </c>
      <c r="G1690" s="39" t="n">
        <v>47</v>
      </c>
      <c r="H1690" s="39" t="n">
        <v>47</v>
      </c>
      <c r="I1690" s="29">
        <f>IF(OR(COUNTIF('Suivi des rencontres'!$A:$A,$A1690)&gt;0,COUNTIF('Suivi des rencontres'!$C:$C,$J1690)&gt;0),"Non","Oui")</f>
        <v/>
      </c>
      <c r="J1690" s="30" t="inlineStr">
        <is>
          <t>MUCIOLE</t>
        </is>
      </c>
    </row>
    <row r="1691">
      <c r="A1691" s="35" t="inlineStr">
        <is>
          <t>Route 15</t>
        </is>
      </c>
      <c r="B1691" s="35" t="inlineStr">
        <is>
          <t>Route15_hns</t>
        </is>
      </c>
      <c r="C1691" s="33" t="inlineStr">
        <is>
          <t>Matin, jour, soir</t>
        </is>
      </c>
      <c r="D1691" s="49" t="inlineStr">
        <is>
          <t>Herbe</t>
        </is>
      </c>
      <c r="E1691" s="37" t="inlineStr">
        <is>
          <t>LEVEINARD</t>
        </is>
      </c>
      <c r="F1691" s="38" t="n">
        <v>0.02</v>
      </c>
      <c r="G1691" s="39" t="n">
        <v>47</v>
      </c>
      <c r="H1691" s="39" t="n">
        <v>49</v>
      </c>
      <c r="I1691" s="29">
        <f>IF(OR(COUNTIF('Suivi des rencontres'!$A:$A,$A1691)&gt;0,COUNTIF('Suivi des rencontres'!$C:$C,$J1691)&gt;0),"Non","Oui")</f>
        <v/>
      </c>
      <c r="J1691" s="30" t="inlineStr">
        <is>
          <t>PTIRAVI</t>
        </is>
      </c>
    </row>
    <row r="1692">
      <c r="A1692" s="35" t="inlineStr">
        <is>
          <t>Route 15</t>
        </is>
      </c>
      <c r="B1692" s="35" t="inlineStr">
        <is>
          <t>Route15_hns</t>
        </is>
      </c>
      <c r="C1692" s="62" t="inlineStr">
        <is>
          <t>Nuit</t>
        </is>
      </c>
      <c r="D1692" s="49" t="inlineStr">
        <is>
          <t>Herbe</t>
        </is>
      </c>
      <c r="E1692" s="37" t="inlineStr">
        <is>
          <t>MARAISTE</t>
        </is>
      </c>
      <c r="F1692" s="38" t="n">
        <v>0.34</v>
      </c>
      <c r="G1692" s="39" t="n">
        <v>45</v>
      </c>
      <c r="H1692" s="39" t="n">
        <v>49</v>
      </c>
      <c r="I1692" s="29">
        <f>IF(OR(COUNTIF('Suivi des rencontres'!$A:$A,$A1692)&gt;0,COUNTIF('Suivi des rencontres'!$C:$C,$J1692)&gt;0),"Non","Oui")</f>
        <v/>
      </c>
      <c r="J1692" s="30" t="inlineStr">
        <is>
          <t>AXOLOTO</t>
        </is>
      </c>
    </row>
    <row r="1693">
      <c r="A1693" s="35" t="inlineStr">
        <is>
          <t>Route 15</t>
        </is>
      </c>
      <c r="B1693" s="35" t="inlineStr">
        <is>
          <t>Route15_hns</t>
        </is>
      </c>
      <c r="C1693" s="62" t="inlineStr">
        <is>
          <t>Nuit</t>
        </is>
      </c>
      <c r="D1693" s="49" t="inlineStr">
        <is>
          <t>Herbe</t>
        </is>
      </c>
      <c r="E1693" s="37" t="inlineStr">
        <is>
          <t>MIMITOSS</t>
        </is>
      </c>
      <c r="F1693" s="38" t="n">
        <v>0.3</v>
      </c>
      <c r="G1693" s="39" t="n">
        <v>45</v>
      </c>
      <c r="H1693" s="39" t="n">
        <v>47</v>
      </c>
      <c r="I1693" s="29">
        <f>IF(OR(COUNTIF('Suivi des rencontres'!$A:$A,$A1693)&gt;0,COUNTIF('Suivi des rencontres'!$C:$C,$J1693)&gt;0),"Non","Oui")</f>
        <v/>
      </c>
      <c r="J1693" s="30" t="inlineStr">
        <is>
          <t>MIMITOSS</t>
        </is>
      </c>
    </row>
    <row r="1694">
      <c r="A1694" s="35" t="inlineStr">
        <is>
          <t>Route 15</t>
        </is>
      </c>
      <c r="B1694" s="35" t="inlineStr">
        <is>
          <t>Route15_hns</t>
        </is>
      </c>
      <c r="C1694" s="62" t="inlineStr">
        <is>
          <t>Nuit</t>
        </is>
      </c>
      <c r="D1694" s="49" t="inlineStr">
        <is>
          <t>Herbe</t>
        </is>
      </c>
      <c r="E1694" s="37" t="inlineStr">
        <is>
          <t>NOARFANG</t>
        </is>
      </c>
      <c r="F1694" s="38" t="n">
        <v>0.15</v>
      </c>
      <c r="G1694" s="39" t="n">
        <v>47</v>
      </c>
      <c r="H1694" s="39" t="n">
        <v>49</v>
      </c>
      <c r="I1694" s="29">
        <f>IF(OR(COUNTIF('Suivi des rencontres'!$A:$A,$A1694)&gt;0,COUNTIF('Suivi des rencontres'!$C:$C,$J1694)&gt;0),"Non","Oui")</f>
        <v/>
      </c>
      <c r="J1694" s="30" t="inlineStr">
        <is>
          <t>HOOTHOOT</t>
        </is>
      </c>
    </row>
    <row r="1695">
      <c r="A1695" s="35" t="inlineStr">
        <is>
          <t>Route 15</t>
        </is>
      </c>
      <c r="B1695" s="35" t="inlineStr">
        <is>
          <t>Route15_hns</t>
        </is>
      </c>
      <c r="C1695" s="62" t="inlineStr">
        <is>
          <t>Nuit</t>
        </is>
      </c>
      <c r="D1695" s="49" t="inlineStr">
        <is>
          <t>Herbe</t>
        </is>
      </c>
      <c r="E1695" s="37" t="inlineStr">
        <is>
          <t>AEROMITE</t>
        </is>
      </c>
      <c r="F1695" s="38" t="n">
        <v>0.14</v>
      </c>
      <c r="G1695" s="39" t="n">
        <v>47</v>
      </c>
      <c r="H1695" s="39" t="n">
        <v>49</v>
      </c>
      <c r="I1695" s="29">
        <f>IF(OR(COUNTIF('Suivi des rencontres'!$A:$A,$A1695)&gt;0,COUNTIF('Suivi des rencontres'!$C:$C,$J1695)&gt;0),"Non","Oui")</f>
        <v/>
      </c>
      <c r="J1695" s="30" t="inlineStr">
        <is>
          <t>MIMITOSS</t>
        </is>
      </c>
    </row>
    <row r="1696">
      <c r="A1696" s="35" t="inlineStr">
        <is>
          <t>Route 15</t>
        </is>
      </c>
      <c r="B1696" s="35" t="inlineStr">
        <is>
          <t>Route15_hns</t>
        </is>
      </c>
      <c r="C1696" s="62" t="inlineStr">
        <is>
          <t>Nuit</t>
        </is>
      </c>
      <c r="D1696" s="49" t="inlineStr">
        <is>
          <t>Herbe</t>
        </is>
      </c>
      <c r="E1696" s="37" t="inlineStr">
        <is>
          <t>LUMIVOLE</t>
        </is>
      </c>
      <c r="F1696" s="38" t="n">
        <v>0.05</v>
      </c>
      <c r="G1696" s="39" t="n">
        <v>45</v>
      </c>
      <c r="H1696" s="39" t="n">
        <v>49</v>
      </c>
      <c r="I1696" s="29">
        <f>IF(OR(COUNTIF('Suivi des rencontres'!$A:$A,$A1696)&gt;0,COUNTIF('Suivi des rencontres'!$C:$C,$J1696)&gt;0),"Non","Oui")</f>
        <v/>
      </c>
      <c r="J1696" s="30" t="inlineStr">
        <is>
          <t>LUMIVOLE</t>
        </is>
      </c>
    </row>
    <row r="1697">
      <c r="A1697" s="35" t="inlineStr">
        <is>
          <t>Route 15</t>
        </is>
      </c>
      <c r="B1697" s="35" t="inlineStr">
        <is>
          <t>Route15_hns</t>
        </is>
      </c>
      <c r="C1697" s="62" t="inlineStr">
        <is>
          <t>Nuit</t>
        </is>
      </c>
      <c r="D1697" s="49" t="inlineStr">
        <is>
          <t>Herbe</t>
        </is>
      </c>
      <c r="E1697" s="37" t="inlineStr">
        <is>
          <t>LEVEINARD</t>
        </is>
      </c>
      <c r="F1697" s="38" t="n">
        <v>0.02</v>
      </c>
      <c r="G1697" s="39" t="n">
        <v>47</v>
      </c>
      <c r="H1697" s="39" t="n">
        <v>49</v>
      </c>
      <c r="I1697" s="29">
        <f>IF(OR(COUNTIF('Suivi des rencontres'!$A:$A,$A1697)&gt;0,COUNTIF('Suivi des rencontres'!$C:$C,$J1697)&gt;0),"Non","Oui")</f>
        <v/>
      </c>
      <c r="J1697" s="30" t="inlineStr">
        <is>
          <t>PTIRAVI</t>
        </is>
      </c>
    </row>
    <row r="1698">
      <c r="A1698" s="35" t="inlineStr">
        <is>
          <t>Route 15</t>
        </is>
      </c>
      <c r="B1698" s="35" t="inlineStr">
        <is>
          <t>Route15_hns</t>
        </is>
      </c>
      <c r="C1698" s="33" t="inlineStr">
        <is>
          <t>Matin, jour, soir</t>
        </is>
      </c>
      <c r="D1698" s="53" t="inlineStr">
        <is>
          <t>Surf</t>
        </is>
      </c>
      <c r="E1698" s="37" t="inlineStr">
        <is>
          <t>TENTACOOL</t>
        </is>
      </c>
      <c r="F1698" s="38" t="n">
        <v>0.9</v>
      </c>
      <c r="G1698" s="39" t="n">
        <v>47</v>
      </c>
      <c r="H1698" s="39" t="n">
        <v>47</v>
      </c>
      <c r="I1698" s="29">
        <f>IF(OR(COUNTIF('Suivi des rencontres'!$A:$A,$A1698)&gt;0,COUNTIF('Suivi des rencontres'!$C:$C,$J1698)&gt;0),"Non","Oui")</f>
        <v/>
      </c>
      <c r="J1698" s="30" t="inlineStr">
        <is>
          <t>TENTACOOL</t>
        </is>
      </c>
    </row>
    <row r="1699">
      <c r="A1699" s="35" t="inlineStr">
        <is>
          <t>Route 15</t>
        </is>
      </c>
      <c r="B1699" s="35" t="inlineStr">
        <is>
          <t>Route15_hns</t>
        </is>
      </c>
      <c r="C1699" s="33" t="inlineStr">
        <is>
          <t>Matin, jour, soir</t>
        </is>
      </c>
      <c r="D1699" s="53" t="inlineStr">
        <is>
          <t>Surf</t>
        </is>
      </c>
      <c r="E1699" s="37" t="inlineStr">
        <is>
          <t>MARAISTE</t>
        </is>
      </c>
      <c r="F1699" s="38" t="n">
        <v>0.1</v>
      </c>
      <c r="G1699" s="39" t="n">
        <v>47</v>
      </c>
      <c r="H1699" s="39" t="n">
        <v>47</v>
      </c>
      <c r="I1699" s="29">
        <f>IF(OR(COUNTIF('Suivi des rencontres'!$A:$A,$A1699)&gt;0,COUNTIF('Suivi des rencontres'!$C:$C,$J1699)&gt;0),"Non","Oui")</f>
        <v/>
      </c>
      <c r="J1699" s="30" t="inlineStr">
        <is>
          <t>AXOLOTO</t>
        </is>
      </c>
    </row>
    <row r="1700">
      <c r="A1700" s="35" t="inlineStr">
        <is>
          <t>Route 15</t>
        </is>
      </c>
      <c r="B1700" s="35" t="inlineStr">
        <is>
          <t>Route15_hns</t>
        </is>
      </c>
      <c r="C1700" s="62" t="inlineStr">
        <is>
          <t>Nuit</t>
        </is>
      </c>
      <c r="D1700" s="53" t="inlineStr">
        <is>
          <t>Surf</t>
        </is>
      </c>
      <c r="E1700" s="37" t="inlineStr">
        <is>
          <t>TENTACOOL</t>
        </is>
      </c>
      <c r="F1700" s="38" t="n">
        <v>0.9</v>
      </c>
      <c r="G1700" s="39" t="n">
        <v>47</v>
      </c>
      <c r="H1700" s="39" t="n">
        <v>47</v>
      </c>
      <c r="I1700" s="29">
        <f>IF(OR(COUNTIF('Suivi des rencontres'!$A:$A,$A1700)&gt;0,COUNTIF('Suivi des rencontres'!$C:$C,$J1700)&gt;0),"Non","Oui")</f>
        <v/>
      </c>
      <c r="J1700" s="30" t="inlineStr">
        <is>
          <t>TENTACOOL</t>
        </is>
      </c>
    </row>
    <row r="1701">
      <c r="A1701" s="35" t="inlineStr">
        <is>
          <t>Route 15</t>
        </is>
      </c>
      <c r="B1701" s="35" t="inlineStr">
        <is>
          <t>Route15_hns</t>
        </is>
      </c>
      <c r="C1701" s="62" t="inlineStr">
        <is>
          <t>Nuit</t>
        </is>
      </c>
      <c r="D1701" s="53" t="inlineStr">
        <is>
          <t>Surf</t>
        </is>
      </c>
      <c r="E1701" s="37" t="inlineStr">
        <is>
          <t>MARAISTE</t>
        </is>
      </c>
      <c r="F1701" s="38" t="n">
        <v>0.1</v>
      </c>
      <c r="G1701" s="39" t="n">
        <v>47</v>
      </c>
      <c r="H1701" s="39" t="n">
        <v>47</v>
      </c>
      <c r="I1701" s="29">
        <f>IF(OR(COUNTIF('Suivi des rencontres'!$A:$A,$A1701)&gt;0,COUNTIF('Suivi des rencontres'!$C:$C,$J1701)&gt;0),"Non","Oui")</f>
        <v/>
      </c>
      <c r="J1701" s="30" t="inlineStr">
        <is>
          <t>AXOLOTO</t>
        </is>
      </c>
    </row>
    <row r="1702">
      <c r="A1702" s="35" t="inlineStr">
        <is>
          <t>Route 15</t>
        </is>
      </c>
      <c r="B1702" s="35" t="inlineStr">
        <is>
          <t>Route15_hns</t>
        </is>
      </c>
      <c r="C1702" s="33" t="inlineStr">
        <is>
          <t>Matin, jour, soir</t>
        </is>
      </c>
      <c r="D1702" s="54" t="inlineStr">
        <is>
          <t>Vieille Canne</t>
        </is>
      </c>
      <c r="E1702" s="37" t="inlineStr">
        <is>
          <t>MAGICARPE</t>
        </is>
      </c>
      <c r="F1702" s="38" t="n">
        <v>0.7</v>
      </c>
      <c r="G1702" s="39" t="n">
        <v>41</v>
      </c>
      <c r="H1702" s="39" t="n">
        <v>43</v>
      </c>
      <c r="I1702" s="29">
        <f>IF(OR(COUNTIF('Suivi des rencontres'!$A:$A,$A1702)&gt;0,COUNTIF('Suivi des rencontres'!$C:$C,$J1702)&gt;0),"Non","Oui")</f>
        <v/>
      </c>
      <c r="J1702" s="30" t="inlineStr">
        <is>
          <t>MAGICARPE</t>
        </is>
      </c>
    </row>
    <row r="1703">
      <c r="A1703" s="35" t="inlineStr">
        <is>
          <t>Route 15</t>
        </is>
      </c>
      <c r="B1703" s="35" t="inlineStr">
        <is>
          <t>Route15_hns</t>
        </is>
      </c>
      <c r="C1703" s="33" t="inlineStr">
        <is>
          <t>Matin, jour, soir</t>
        </is>
      </c>
      <c r="D1703" s="54" t="inlineStr">
        <is>
          <t>Vieille Canne</t>
        </is>
      </c>
      <c r="E1703" s="37" t="inlineStr">
        <is>
          <t>TENTACOOL</t>
        </is>
      </c>
      <c r="F1703" s="38" t="n">
        <v>0.3</v>
      </c>
      <c r="G1703" s="39" t="n">
        <v>41</v>
      </c>
      <c r="H1703" s="39" t="n">
        <v>43</v>
      </c>
      <c r="I1703" s="29">
        <f>IF(OR(COUNTIF('Suivi des rencontres'!$A:$A,$A1703)&gt;0,COUNTIF('Suivi des rencontres'!$C:$C,$J1703)&gt;0),"Non","Oui")</f>
        <v/>
      </c>
      <c r="J1703" s="30" t="inlineStr">
        <is>
          <t>TENTACOOL</t>
        </is>
      </c>
    </row>
    <row r="1704">
      <c r="A1704" s="35" t="inlineStr">
        <is>
          <t>Route 15</t>
        </is>
      </c>
      <c r="B1704" s="35" t="inlineStr">
        <is>
          <t>Route15_hns</t>
        </is>
      </c>
      <c r="C1704" s="62" t="inlineStr">
        <is>
          <t>Nuit</t>
        </is>
      </c>
      <c r="D1704" s="54" t="inlineStr">
        <is>
          <t>Vieille Canne</t>
        </is>
      </c>
      <c r="E1704" s="37" t="inlineStr">
        <is>
          <t>MAGICARPE</t>
        </is>
      </c>
      <c r="F1704" s="38" t="n">
        <v>0.7</v>
      </c>
      <c r="G1704" s="39" t="n">
        <v>41</v>
      </c>
      <c r="H1704" s="39" t="n">
        <v>43</v>
      </c>
      <c r="I1704" s="29">
        <f>IF(OR(COUNTIF('Suivi des rencontres'!$A:$A,$A1704)&gt;0,COUNTIF('Suivi des rencontres'!$C:$C,$J1704)&gt;0),"Non","Oui")</f>
        <v/>
      </c>
      <c r="J1704" s="30" t="inlineStr">
        <is>
          <t>MAGICARPE</t>
        </is>
      </c>
    </row>
    <row r="1705">
      <c r="A1705" s="35" t="inlineStr">
        <is>
          <t>Route 15</t>
        </is>
      </c>
      <c r="B1705" s="35" t="inlineStr">
        <is>
          <t>Route15_hns</t>
        </is>
      </c>
      <c r="C1705" s="62" t="inlineStr">
        <is>
          <t>Nuit</t>
        </is>
      </c>
      <c r="D1705" s="54" t="inlineStr">
        <is>
          <t>Vieille Canne</t>
        </is>
      </c>
      <c r="E1705" s="37" t="inlineStr">
        <is>
          <t>TENTACOOL</t>
        </is>
      </c>
      <c r="F1705" s="38" t="n">
        <v>0.3</v>
      </c>
      <c r="G1705" s="39" t="n">
        <v>41</v>
      </c>
      <c r="H1705" s="39" t="n">
        <v>43</v>
      </c>
      <c r="I1705" s="29">
        <f>IF(OR(COUNTIF('Suivi des rencontres'!$A:$A,$A1705)&gt;0,COUNTIF('Suivi des rencontres'!$C:$C,$J1705)&gt;0),"Non","Oui")</f>
        <v/>
      </c>
      <c r="J1705" s="30" t="inlineStr">
        <is>
          <t>TENTACOOL</t>
        </is>
      </c>
    </row>
    <row r="1706">
      <c r="A1706" s="35" t="inlineStr">
        <is>
          <t>Route 15</t>
        </is>
      </c>
      <c r="B1706" s="35" t="inlineStr">
        <is>
          <t>Route15_hns</t>
        </is>
      </c>
      <c r="C1706" s="33" t="inlineStr">
        <is>
          <t>Matin, jour, soir</t>
        </is>
      </c>
      <c r="D1706" s="55" t="inlineStr">
        <is>
          <t>Bonne Canne</t>
        </is>
      </c>
      <c r="E1706" s="37" t="inlineStr">
        <is>
          <t>MAGICARPE</t>
        </is>
      </c>
      <c r="F1706" s="38" t="n">
        <v>0.6</v>
      </c>
      <c r="G1706" s="39" t="n">
        <v>42</v>
      </c>
      <c r="H1706" s="39" t="n">
        <v>44</v>
      </c>
      <c r="I1706" s="29">
        <f>IF(OR(COUNTIF('Suivi des rencontres'!$A:$A,$A1706)&gt;0,COUNTIF('Suivi des rencontres'!$C:$C,$J1706)&gt;0),"Non","Oui")</f>
        <v/>
      </c>
      <c r="J1706" s="30" t="inlineStr">
        <is>
          <t>MAGICARPE</t>
        </is>
      </c>
    </row>
    <row r="1707">
      <c r="A1707" s="35" t="inlineStr">
        <is>
          <t>Route 15</t>
        </is>
      </c>
      <c r="B1707" s="35" t="inlineStr">
        <is>
          <t>Route15_hns</t>
        </is>
      </c>
      <c r="C1707" s="33" t="inlineStr">
        <is>
          <t>Matin, jour, soir</t>
        </is>
      </c>
      <c r="D1707" s="55" t="inlineStr">
        <is>
          <t>Bonne Canne</t>
        </is>
      </c>
      <c r="E1707" s="37" t="inlineStr">
        <is>
          <t>MARAISTE</t>
        </is>
      </c>
      <c r="F1707" s="38" t="n">
        <v>0.2</v>
      </c>
      <c r="G1707" s="39" t="n">
        <v>42</v>
      </c>
      <c r="H1707" s="39" t="n">
        <v>44</v>
      </c>
      <c r="I1707" s="29">
        <f>IF(OR(COUNTIF('Suivi des rencontres'!$A:$A,$A1707)&gt;0,COUNTIF('Suivi des rencontres'!$C:$C,$J1707)&gt;0),"Non","Oui")</f>
        <v/>
      </c>
      <c r="J1707" s="30" t="inlineStr">
        <is>
          <t>AXOLOTO</t>
        </is>
      </c>
    </row>
    <row r="1708">
      <c r="A1708" s="35" t="inlineStr">
        <is>
          <t>Route 15</t>
        </is>
      </c>
      <c r="B1708" s="35" t="inlineStr">
        <is>
          <t>Route15_hns</t>
        </is>
      </c>
      <c r="C1708" s="33" t="inlineStr">
        <is>
          <t>Matin, jour, soir</t>
        </is>
      </c>
      <c r="D1708" s="55" t="inlineStr">
        <is>
          <t>Bonne Canne</t>
        </is>
      </c>
      <c r="E1708" s="37" t="inlineStr">
        <is>
          <t>TENTACOOL</t>
        </is>
      </c>
      <c r="F1708" s="38" t="n">
        <v>0.2</v>
      </c>
      <c r="G1708" s="39" t="n">
        <v>42</v>
      </c>
      <c r="H1708" s="39" t="n">
        <v>44</v>
      </c>
      <c r="I1708" s="29">
        <f>IF(OR(COUNTIF('Suivi des rencontres'!$A:$A,$A1708)&gt;0,COUNTIF('Suivi des rencontres'!$C:$C,$J1708)&gt;0),"Non","Oui")</f>
        <v/>
      </c>
      <c r="J1708" s="30" t="inlineStr">
        <is>
          <t>TENTACOOL</t>
        </is>
      </c>
    </row>
    <row r="1709">
      <c r="A1709" s="35" t="inlineStr">
        <is>
          <t>Route 15</t>
        </is>
      </c>
      <c r="B1709" s="35" t="inlineStr">
        <is>
          <t>Route15_hns</t>
        </is>
      </c>
      <c r="C1709" s="62" t="inlineStr">
        <is>
          <t>Nuit</t>
        </is>
      </c>
      <c r="D1709" s="55" t="inlineStr">
        <is>
          <t>Bonne Canne</t>
        </is>
      </c>
      <c r="E1709" s="37" t="inlineStr">
        <is>
          <t>MAGICARPE</t>
        </is>
      </c>
      <c r="F1709" s="38" t="n">
        <v>0.6</v>
      </c>
      <c r="G1709" s="39" t="n">
        <v>42</v>
      </c>
      <c r="H1709" s="39" t="n">
        <v>44</v>
      </c>
      <c r="I1709" s="29">
        <f>IF(OR(COUNTIF('Suivi des rencontres'!$A:$A,$A1709)&gt;0,COUNTIF('Suivi des rencontres'!$C:$C,$J1709)&gt;0),"Non","Oui")</f>
        <v/>
      </c>
      <c r="J1709" s="30" t="inlineStr">
        <is>
          <t>MAGICARPE</t>
        </is>
      </c>
    </row>
    <row r="1710">
      <c r="A1710" s="35" t="inlineStr">
        <is>
          <t>Route 15</t>
        </is>
      </c>
      <c r="B1710" s="35" t="inlineStr">
        <is>
          <t>Route15_hns</t>
        </is>
      </c>
      <c r="C1710" s="62" t="inlineStr">
        <is>
          <t>Nuit</t>
        </is>
      </c>
      <c r="D1710" s="55" t="inlineStr">
        <is>
          <t>Bonne Canne</t>
        </is>
      </c>
      <c r="E1710" s="37" t="inlineStr">
        <is>
          <t>MARAISTE</t>
        </is>
      </c>
      <c r="F1710" s="38" t="n">
        <v>0.2</v>
      </c>
      <c r="G1710" s="39" t="n">
        <v>42</v>
      </c>
      <c r="H1710" s="39" t="n">
        <v>44</v>
      </c>
      <c r="I1710" s="29">
        <f>IF(OR(COUNTIF('Suivi des rencontres'!$A:$A,$A1710)&gt;0,COUNTIF('Suivi des rencontres'!$C:$C,$J1710)&gt;0),"Non","Oui")</f>
        <v/>
      </c>
      <c r="J1710" s="30" t="inlineStr">
        <is>
          <t>AXOLOTO</t>
        </is>
      </c>
    </row>
    <row r="1711">
      <c r="A1711" s="35" t="inlineStr">
        <is>
          <t>Route 15</t>
        </is>
      </c>
      <c r="B1711" s="35" t="inlineStr">
        <is>
          <t>Route15_hns</t>
        </is>
      </c>
      <c r="C1711" s="62" t="inlineStr">
        <is>
          <t>Nuit</t>
        </is>
      </c>
      <c r="D1711" s="55" t="inlineStr">
        <is>
          <t>Bonne Canne</t>
        </is>
      </c>
      <c r="E1711" s="37" t="inlineStr">
        <is>
          <t>TENTACOOL</t>
        </is>
      </c>
      <c r="F1711" s="38" t="n">
        <v>0.2</v>
      </c>
      <c r="G1711" s="39" t="n">
        <v>42</v>
      </c>
      <c r="H1711" s="39" t="n">
        <v>44</v>
      </c>
      <c r="I1711" s="29">
        <f>IF(OR(COUNTIF('Suivi des rencontres'!$A:$A,$A1711)&gt;0,COUNTIF('Suivi des rencontres'!$C:$C,$J1711)&gt;0),"Non","Oui")</f>
        <v/>
      </c>
      <c r="J1711" s="30" t="inlineStr">
        <is>
          <t>TENTACOOL</t>
        </is>
      </c>
    </row>
    <row r="1712">
      <c r="A1712" s="35" t="inlineStr">
        <is>
          <t>Route 15</t>
        </is>
      </c>
      <c r="B1712" s="35" t="inlineStr">
        <is>
          <t>Route15_hns</t>
        </is>
      </c>
      <c r="C1712" s="33" t="inlineStr">
        <is>
          <t>Matin, jour, soir</t>
        </is>
      </c>
      <c r="D1712" s="56" t="inlineStr">
        <is>
          <t>Super Canne</t>
        </is>
      </c>
      <c r="E1712" s="37" t="inlineStr">
        <is>
          <t>MARAISTE</t>
        </is>
      </c>
      <c r="F1712" s="38" t="n">
        <v>0.8</v>
      </c>
      <c r="G1712" s="39" t="n">
        <v>40</v>
      </c>
      <c r="H1712" s="39" t="n">
        <v>44</v>
      </c>
      <c r="I1712" s="29">
        <f>IF(OR(COUNTIF('Suivi des rencontres'!$A:$A,$A1712)&gt;0,COUNTIF('Suivi des rencontres'!$C:$C,$J1712)&gt;0),"Non","Oui")</f>
        <v/>
      </c>
      <c r="J1712" s="30" t="inlineStr">
        <is>
          <t>AXOLOTO</t>
        </is>
      </c>
    </row>
    <row r="1713">
      <c r="A1713" s="35" t="inlineStr">
        <is>
          <t>Route 15</t>
        </is>
      </c>
      <c r="B1713" s="35" t="inlineStr">
        <is>
          <t>Route15_hns</t>
        </is>
      </c>
      <c r="C1713" s="33" t="inlineStr">
        <is>
          <t>Matin, jour, soir</t>
        </is>
      </c>
      <c r="D1713" s="56" t="inlineStr">
        <is>
          <t>Super Canne</t>
        </is>
      </c>
      <c r="E1713" s="37" t="inlineStr">
        <is>
          <t>TENTACRUEL</t>
        </is>
      </c>
      <c r="F1713" s="38" t="n">
        <v>0.15</v>
      </c>
      <c r="G1713" s="39" t="n">
        <v>40</v>
      </c>
      <c r="H1713" s="39" t="n">
        <v>40</v>
      </c>
      <c r="I1713" s="29">
        <f>IF(OR(COUNTIF('Suivi des rencontres'!$A:$A,$A1713)&gt;0,COUNTIF('Suivi des rencontres'!$C:$C,$J1713)&gt;0),"Non","Oui")</f>
        <v/>
      </c>
      <c r="J1713" s="30" t="inlineStr">
        <is>
          <t>TENTACOOL</t>
        </is>
      </c>
    </row>
    <row r="1714">
      <c r="A1714" s="35" t="inlineStr">
        <is>
          <t>Route 15</t>
        </is>
      </c>
      <c r="B1714" s="35" t="inlineStr">
        <is>
          <t>Route15_hns</t>
        </is>
      </c>
      <c r="C1714" s="33" t="inlineStr">
        <is>
          <t>Matin, jour, soir</t>
        </is>
      </c>
      <c r="D1714" s="56" t="inlineStr">
        <is>
          <t>Super Canne</t>
        </is>
      </c>
      <c r="E1714" s="37" t="inlineStr">
        <is>
          <t>MAGICARPE</t>
        </is>
      </c>
      <c r="F1714" s="38" t="n">
        <v>0.04</v>
      </c>
      <c r="G1714" s="39" t="n">
        <v>40</v>
      </c>
      <c r="H1714" s="39" t="n">
        <v>40</v>
      </c>
      <c r="I1714" s="29">
        <f>IF(OR(COUNTIF('Suivi des rencontres'!$A:$A,$A1714)&gt;0,COUNTIF('Suivi des rencontres'!$C:$C,$J1714)&gt;0),"Non","Oui")</f>
        <v/>
      </c>
      <c r="J1714" s="30" t="inlineStr">
        <is>
          <t>MAGICARPE</t>
        </is>
      </c>
    </row>
    <row r="1715">
      <c r="A1715" s="35" t="inlineStr">
        <is>
          <t>Route 15</t>
        </is>
      </c>
      <c r="B1715" s="35" t="inlineStr">
        <is>
          <t>Route15_hns</t>
        </is>
      </c>
      <c r="C1715" s="33" t="inlineStr">
        <is>
          <t>Matin, jour, soir</t>
        </is>
      </c>
      <c r="D1715" s="56" t="inlineStr">
        <is>
          <t>Super Canne</t>
        </is>
      </c>
      <c r="E1715" s="37" t="inlineStr">
        <is>
          <t>TENTACOOL</t>
        </is>
      </c>
      <c r="F1715" s="38" t="n">
        <v>0.01</v>
      </c>
      <c r="G1715" s="39" t="n">
        <v>40</v>
      </c>
      <c r="H1715" s="39" t="n">
        <v>40</v>
      </c>
      <c r="I1715" s="29">
        <f>IF(OR(COUNTIF('Suivi des rencontres'!$A:$A,$A1715)&gt;0,COUNTIF('Suivi des rencontres'!$C:$C,$J1715)&gt;0),"Non","Oui")</f>
        <v/>
      </c>
      <c r="J1715" s="30" t="inlineStr">
        <is>
          <t>TENTACOOL</t>
        </is>
      </c>
    </row>
    <row r="1716">
      <c r="A1716" s="35" t="inlineStr">
        <is>
          <t>Route 15</t>
        </is>
      </c>
      <c r="B1716" s="35" t="inlineStr">
        <is>
          <t>Route15_hns</t>
        </is>
      </c>
      <c r="C1716" s="62" t="inlineStr">
        <is>
          <t>Nuit</t>
        </is>
      </c>
      <c r="D1716" s="56" t="inlineStr">
        <is>
          <t>Super Canne</t>
        </is>
      </c>
      <c r="E1716" s="37" t="inlineStr">
        <is>
          <t>MARAISTE</t>
        </is>
      </c>
      <c r="F1716" s="38" t="n">
        <v>0.8</v>
      </c>
      <c r="G1716" s="39" t="n">
        <v>40</v>
      </c>
      <c r="H1716" s="39" t="n">
        <v>44</v>
      </c>
      <c r="I1716" s="29">
        <f>IF(OR(COUNTIF('Suivi des rencontres'!$A:$A,$A1716)&gt;0,COUNTIF('Suivi des rencontres'!$C:$C,$J1716)&gt;0),"Non","Oui")</f>
        <v/>
      </c>
      <c r="J1716" s="30" t="inlineStr">
        <is>
          <t>AXOLOTO</t>
        </is>
      </c>
    </row>
    <row r="1717">
      <c r="A1717" s="35" t="inlineStr">
        <is>
          <t>Route 15</t>
        </is>
      </c>
      <c r="B1717" s="35" t="inlineStr">
        <is>
          <t>Route15_hns</t>
        </is>
      </c>
      <c r="C1717" s="62" t="inlineStr">
        <is>
          <t>Nuit</t>
        </is>
      </c>
      <c r="D1717" s="56" t="inlineStr">
        <is>
          <t>Super Canne</t>
        </is>
      </c>
      <c r="E1717" s="37" t="inlineStr">
        <is>
          <t>TENTACRUEL</t>
        </is>
      </c>
      <c r="F1717" s="38" t="n">
        <v>0.15</v>
      </c>
      <c r="G1717" s="39" t="n">
        <v>40</v>
      </c>
      <c r="H1717" s="39" t="n">
        <v>40</v>
      </c>
      <c r="I1717" s="29">
        <f>IF(OR(COUNTIF('Suivi des rencontres'!$A:$A,$A1717)&gt;0,COUNTIF('Suivi des rencontres'!$C:$C,$J1717)&gt;0),"Non","Oui")</f>
        <v/>
      </c>
      <c r="J1717" s="30" t="inlineStr">
        <is>
          <t>TENTACOOL</t>
        </is>
      </c>
    </row>
    <row r="1718">
      <c r="A1718" s="35" t="inlineStr">
        <is>
          <t>Route 15</t>
        </is>
      </c>
      <c r="B1718" s="35" t="inlineStr">
        <is>
          <t>Route15_hns</t>
        </is>
      </c>
      <c r="C1718" s="62" t="inlineStr">
        <is>
          <t>Nuit</t>
        </is>
      </c>
      <c r="D1718" s="56" t="inlineStr">
        <is>
          <t>Super Canne</t>
        </is>
      </c>
      <c r="E1718" s="37" t="inlineStr">
        <is>
          <t>MAGICARPE</t>
        </is>
      </c>
      <c r="F1718" s="38" t="n">
        <v>0.04</v>
      </c>
      <c r="G1718" s="39" t="n">
        <v>40</v>
      </c>
      <c r="H1718" s="39" t="n">
        <v>40</v>
      </c>
      <c r="I1718" s="29">
        <f>IF(OR(COUNTIF('Suivi des rencontres'!$A:$A,$A1718)&gt;0,COUNTIF('Suivi des rencontres'!$C:$C,$J1718)&gt;0),"Non","Oui")</f>
        <v/>
      </c>
      <c r="J1718" s="30" t="inlineStr">
        <is>
          <t>MAGICARPE</t>
        </is>
      </c>
    </row>
    <row r="1719">
      <c r="A1719" s="35" t="inlineStr">
        <is>
          <t>Route 15</t>
        </is>
      </c>
      <c r="B1719" s="35" t="inlineStr">
        <is>
          <t>Route15_hns</t>
        </is>
      </c>
      <c r="C1719" s="62" t="inlineStr">
        <is>
          <t>Nuit</t>
        </is>
      </c>
      <c r="D1719" s="56" t="inlineStr">
        <is>
          <t>Super Canne</t>
        </is>
      </c>
      <c r="E1719" s="37" t="inlineStr">
        <is>
          <t>TENTACOOL</t>
        </is>
      </c>
      <c r="F1719" s="38" t="n">
        <v>0.01</v>
      </c>
      <c r="G1719" s="39" t="n">
        <v>40</v>
      </c>
      <c r="H1719" s="39" t="n">
        <v>40</v>
      </c>
      <c r="I1719" s="29">
        <f>IF(OR(COUNTIF('Suivi des rencontres'!$A:$A,$A1719)&gt;0,COUNTIF('Suivi des rencontres'!$C:$C,$J1719)&gt;0),"Non","Oui")</f>
        <v/>
      </c>
      <c r="J1719" s="30" t="inlineStr">
        <is>
          <t>TENTACOOL</t>
        </is>
      </c>
    </row>
    <row r="1720">
      <c r="A1720" s="40" t="inlineStr">
        <is>
          <t>Route 16</t>
        </is>
      </c>
      <c r="B1720" s="40" t="inlineStr">
        <is>
          <t>Route16_hns</t>
        </is>
      </c>
      <c r="C1720" s="41" t="inlineStr">
        <is>
          <t>Matin, jour, soir</t>
        </is>
      </c>
      <c r="D1720" s="42" t="inlineStr">
        <is>
          <t>Herbe</t>
        </is>
      </c>
      <c r="E1720" s="43" t="inlineStr">
        <is>
          <t>RAPASDEPIC</t>
        </is>
      </c>
      <c r="F1720" s="44" t="n">
        <v>0.39</v>
      </c>
      <c r="G1720" s="45" t="n">
        <v>40</v>
      </c>
      <c r="H1720" s="45" t="n">
        <v>44</v>
      </c>
      <c r="I1720" s="46">
        <f>IF(OR(COUNTIF('Suivi des rencontres'!$A:$A,$A1720)&gt;0,COUNTIF('Suivi des rencontres'!$C:$C,$J1720)&gt;0),"Non","Oui")</f>
        <v/>
      </c>
      <c r="J1720" s="30" t="inlineStr">
        <is>
          <t>PIAFABEC</t>
        </is>
      </c>
    </row>
    <row r="1721">
      <c r="A1721" s="47" t="inlineStr">
        <is>
          <t>Route 16</t>
        </is>
      </c>
      <c r="B1721" s="47" t="inlineStr">
        <is>
          <t>Route16_hns</t>
        </is>
      </c>
      <c r="C1721" s="48" t="inlineStr">
        <is>
          <t>Matin, jour, soir</t>
        </is>
      </c>
      <c r="D1721" s="49" t="inlineStr">
        <is>
          <t>Herbe</t>
        </is>
      </c>
      <c r="E1721" s="50" t="inlineStr">
        <is>
          <t>TADMORV</t>
        </is>
      </c>
      <c r="F1721" s="51" t="n">
        <v>0.34</v>
      </c>
      <c r="G1721" s="52" t="n">
        <v>48</v>
      </c>
      <c r="H1721" s="52" t="n">
        <v>48</v>
      </c>
      <c r="I1721" s="29">
        <f>IF(OR(COUNTIF('Suivi des rencontres'!$A:$A,$A1721)&gt;0,COUNTIF('Suivi des rencontres'!$C:$C,$J1721)&gt;0),"Non","Oui")</f>
        <v/>
      </c>
      <c r="J1721" s="30" t="inlineStr">
        <is>
          <t>TADMORV</t>
        </is>
      </c>
    </row>
    <row r="1722">
      <c r="A1722" s="47" t="inlineStr">
        <is>
          <t>Route 16</t>
        </is>
      </c>
      <c r="B1722" s="47" t="inlineStr">
        <is>
          <t>Route16_hns</t>
        </is>
      </c>
      <c r="C1722" s="48" t="inlineStr">
        <is>
          <t>Matin, jour, soir</t>
        </is>
      </c>
      <c r="D1722" s="49" t="inlineStr">
        <is>
          <t>Herbe</t>
        </is>
      </c>
      <c r="E1722" s="50" t="inlineStr">
        <is>
          <t>GROTADMORV</t>
        </is>
      </c>
      <c r="F1722" s="51" t="n">
        <v>0.11</v>
      </c>
      <c r="G1722" s="52" t="n">
        <v>43</v>
      </c>
      <c r="H1722" s="52" t="n">
        <v>45</v>
      </c>
      <c r="I1722" s="29">
        <f>IF(OR(COUNTIF('Suivi des rencontres'!$A:$A,$A1722)&gt;0,COUNTIF('Suivi des rencontres'!$C:$C,$J1722)&gt;0),"Non","Oui")</f>
        <v/>
      </c>
      <c r="J1722" s="30" t="inlineStr">
        <is>
          <t>TADMORV</t>
        </is>
      </c>
    </row>
    <row r="1723">
      <c r="A1723" s="47" t="inlineStr">
        <is>
          <t>Route 16</t>
        </is>
      </c>
      <c r="B1723" s="47" t="inlineStr">
        <is>
          <t>Route16_hns</t>
        </is>
      </c>
      <c r="C1723" s="48" t="inlineStr">
        <is>
          <t>Matin, jour, soir</t>
        </is>
      </c>
      <c r="D1723" s="49" t="inlineStr">
        <is>
          <t>Herbe</t>
        </is>
      </c>
      <c r="E1723" s="50" t="inlineStr">
        <is>
          <t>LIMAGMA</t>
        </is>
      </c>
      <c r="F1723" s="51" t="n">
        <v>0.11</v>
      </c>
      <c r="G1723" s="52" t="n">
        <v>42</v>
      </c>
      <c r="H1723" s="52" t="n">
        <v>44</v>
      </c>
      <c r="I1723" s="29">
        <f>IF(OR(COUNTIF('Suivi des rencontres'!$A:$A,$A1723)&gt;0,COUNTIF('Suivi des rencontres'!$C:$C,$J1723)&gt;0),"Non","Oui")</f>
        <v/>
      </c>
      <c r="J1723" s="30" t="inlineStr">
        <is>
          <t>LIMAGMA</t>
        </is>
      </c>
    </row>
    <row r="1724">
      <c r="A1724" s="47" t="inlineStr">
        <is>
          <t>Route 16</t>
        </is>
      </c>
      <c r="B1724" s="47" t="inlineStr">
        <is>
          <t>Route16_hns</t>
        </is>
      </c>
      <c r="C1724" s="48" t="inlineStr">
        <is>
          <t>Matin, jour, soir</t>
        </is>
      </c>
      <c r="D1724" s="49" t="inlineStr">
        <is>
          <t>Herbe</t>
        </is>
      </c>
      <c r="E1724" s="50" t="inlineStr">
        <is>
          <t>ROSELIA</t>
        </is>
      </c>
      <c r="F1724" s="51" t="n">
        <v>0.05</v>
      </c>
      <c r="G1724" s="52" t="n">
        <v>48</v>
      </c>
      <c r="H1724" s="52" t="n">
        <v>48</v>
      </c>
      <c r="I1724" s="29">
        <f>IF(OR(COUNTIF('Suivi des rencontres'!$A:$A,$A1724)&gt;0,COUNTIF('Suivi des rencontres'!$C:$C,$J1724)&gt;0),"Non","Oui")</f>
        <v/>
      </c>
      <c r="J1724" s="30" t="inlineStr">
        <is>
          <t>ROZBOUTON</t>
        </is>
      </c>
    </row>
    <row r="1725">
      <c r="A1725" s="47" t="inlineStr">
        <is>
          <t>Route 16</t>
        </is>
      </c>
      <c r="B1725" s="47" t="inlineStr">
        <is>
          <t>Route16_hns</t>
        </is>
      </c>
      <c r="C1725" s="62" t="inlineStr">
        <is>
          <t>Nuit</t>
        </is>
      </c>
      <c r="D1725" s="49" t="inlineStr">
        <is>
          <t>Herbe</t>
        </is>
      </c>
      <c r="E1725" s="50" t="inlineStr">
        <is>
          <t>TADMORV</t>
        </is>
      </c>
      <c r="F1725" s="51" t="n">
        <v>0.78</v>
      </c>
      <c r="G1725" s="52" t="n">
        <v>48</v>
      </c>
      <c r="H1725" s="52" t="n">
        <v>48</v>
      </c>
      <c r="I1725" s="29">
        <f>IF(OR(COUNTIF('Suivi des rencontres'!$A:$A,$A1725)&gt;0,COUNTIF('Suivi des rencontres'!$C:$C,$J1725)&gt;0),"Non","Oui")</f>
        <v/>
      </c>
      <c r="J1725" s="30" t="inlineStr">
        <is>
          <t>TADMORV</t>
        </is>
      </c>
    </row>
    <row r="1726">
      <c r="A1726" s="47" t="inlineStr">
        <is>
          <t>Route 16</t>
        </is>
      </c>
      <c r="B1726" s="47" t="inlineStr">
        <is>
          <t>Route16_hns</t>
        </is>
      </c>
      <c r="C1726" s="62" t="inlineStr">
        <is>
          <t>Nuit</t>
        </is>
      </c>
      <c r="D1726" s="49" t="inlineStr">
        <is>
          <t>Herbe</t>
        </is>
      </c>
      <c r="E1726" s="50" t="inlineStr">
        <is>
          <t>CORNEBRE</t>
        </is>
      </c>
      <c r="F1726" s="51" t="n">
        <v>0.15</v>
      </c>
      <c r="G1726" s="52" t="n">
        <v>42</v>
      </c>
      <c r="H1726" s="52" t="n">
        <v>44</v>
      </c>
      <c r="I1726" s="29">
        <f>IF(OR(COUNTIF('Suivi des rencontres'!$A:$A,$A1726)&gt;0,COUNTIF('Suivi des rencontres'!$C:$C,$J1726)&gt;0),"Non","Oui")</f>
        <v/>
      </c>
      <c r="J1726" s="30" t="inlineStr">
        <is>
          <t>CORNEBRE</t>
        </is>
      </c>
    </row>
    <row r="1727">
      <c r="A1727" s="47" t="inlineStr">
        <is>
          <t>Route 16</t>
        </is>
      </c>
      <c r="B1727" s="47" t="inlineStr">
        <is>
          <t>Route16_hns</t>
        </is>
      </c>
      <c r="C1727" s="62" t="inlineStr">
        <is>
          <t>Nuit</t>
        </is>
      </c>
      <c r="D1727" s="49" t="inlineStr">
        <is>
          <t>Herbe</t>
        </is>
      </c>
      <c r="E1727" s="50" t="inlineStr">
        <is>
          <t>POLICHOMBR</t>
        </is>
      </c>
      <c r="F1727" s="51" t="n">
        <v>0.05</v>
      </c>
      <c r="G1727" s="52" t="n">
        <v>48</v>
      </c>
      <c r="H1727" s="52" t="n">
        <v>48</v>
      </c>
      <c r="I1727" s="29">
        <f>IF(OR(COUNTIF('Suivi des rencontres'!$A:$A,$A1727)&gt;0,COUNTIF('Suivi des rencontres'!$C:$C,$J1727)&gt;0),"Non","Oui")</f>
        <v/>
      </c>
      <c r="J1727" s="30" t="inlineStr">
        <is>
          <t>POLICHOMBR</t>
        </is>
      </c>
    </row>
    <row r="1728">
      <c r="A1728" s="47" t="inlineStr">
        <is>
          <t>Route 16</t>
        </is>
      </c>
      <c r="B1728" s="47" t="inlineStr">
        <is>
          <t>Route16_hns</t>
        </is>
      </c>
      <c r="C1728" s="62" t="inlineStr">
        <is>
          <t>Nuit</t>
        </is>
      </c>
      <c r="D1728" s="49" t="inlineStr">
        <is>
          <t>Herbe</t>
        </is>
      </c>
      <c r="E1728" s="50" t="inlineStr">
        <is>
          <t>GROTADMORV</t>
        </is>
      </c>
      <c r="F1728" s="51" t="n">
        <v>0.02</v>
      </c>
      <c r="G1728" s="52" t="n">
        <v>43</v>
      </c>
      <c r="H1728" s="52" t="n">
        <v>45</v>
      </c>
      <c r="I1728" s="29">
        <f>IF(OR(COUNTIF('Suivi des rencontres'!$A:$A,$A1728)&gt;0,COUNTIF('Suivi des rencontres'!$C:$C,$J1728)&gt;0),"Non","Oui")</f>
        <v/>
      </c>
      <c r="J1728" s="30" t="inlineStr">
        <is>
          <t>TADMORV</t>
        </is>
      </c>
    </row>
    <row r="1729">
      <c r="A1729" s="57" t="inlineStr">
        <is>
          <t>Route 17</t>
        </is>
      </c>
      <c r="B1729" s="57" t="inlineStr">
        <is>
          <t>Route17_hns</t>
        </is>
      </c>
      <c r="C1729" s="58" t="inlineStr">
        <is>
          <t>Matin, jour, soir</t>
        </is>
      </c>
      <c r="D1729" s="42" t="inlineStr">
        <is>
          <t>Herbe</t>
        </is>
      </c>
      <c r="E1729" s="59" t="inlineStr">
        <is>
          <t>TADMORV</t>
        </is>
      </c>
      <c r="F1729" s="60" t="n">
        <v>0.39</v>
      </c>
      <c r="G1729" s="61" t="n">
        <v>42</v>
      </c>
      <c r="H1729" s="61" t="n">
        <v>47</v>
      </c>
      <c r="I1729" s="46">
        <f>IF(OR(COUNTIF('Suivi des rencontres'!$A:$A,$A1729)&gt;0,COUNTIF('Suivi des rencontres'!$C:$C,$J1729)&gt;0),"Non","Oui")</f>
        <v/>
      </c>
      <c r="J1729" s="30" t="inlineStr">
        <is>
          <t>TADMORV</t>
        </is>
      </c>
    </row>
    <row r="1730">
      <c r="A1730" s="35" t="inlineStr">
        <is>
          <t>Route 17</t>
        </is>
      </c>
      <c r="B1730" s="35" t="inlineStr">
        <is>
          <t>Route17_hns</t>
        </is>
      </c>
      <c r="C1730" s="33" t="inlineStr">
        <is>
          <t>Matin, jour, soir</t>
        </is>
      </c>
      <c r="D1730" s="49" t="inlineStr">
        <is>
          <t>Herbe</t>
        </is>
      </c>
      <c r="E1730" s="37" t="inlineStr">
        <is>
          <t>RAPASDEPIC</t>
        </is>
      </c>
      <c r="F1730" s="38" t="n">
        <v>0.34</v>
      </c>
      <c r="G1730" s="39" t="n">
        <v>43</v>
      </c>
      <c r="H1730" s="39" t="n">
        <v>49</v>
      </c>
      <c r="I1730" s="29">
        <f>IF(OR(COUNTIF('Suivi des rencontres'!$A:$A,$A1730)&gt;0,COUNTIF('Suivi des rencontres'!$C:$C,$J1730)&gt;0),"Non","Oui")</f>
        <v/>
      </c>
      <c r="J1730" s="30" t="inlineStr">
        <is>
          <t>PIAFABEC</t>
        </is>
      </c>
    </row>
    <row r="1731">
      <c r="A1731" s="35" t="inlineStr">
        <is>
          <t>Route 17</t>
        </is>
      </c>
      <c r="B1731" s="35" t="inlineStr">
        <is>
          <t>Route17_hns</t>
        </is>
      </c>
      <c r="C1731" s="33" t="inlineStr">
        <is>
          <t>Matin, jour, soir</t>
        </is>
      </c>
      <c r="D1731" s="49" t="inlineStr">
        <is>
          <t>Herbe</t>
        </is>
      </c>
      <c r="E1731" s="37" t="inlineStr">
        <is>
          <t>GROTADMORV</t>
        </is>
      </c>
      <c r="F1731" s="38" t="n">
        <v>0.11</v>
      </c>
      <c r="G1731" s="39" t="n">
        <v>46</v>
      </c>
      <c r="H1731" s="39" t="n">
        <v>48</v>
      </c>
      <c r="I1731" s="29">
        <f>IF(OR(COUNTIF('Suivi des rencontres'!$A:$A,$A1731)&gt;0,COUNTIF('Suivi des rencontres'!$C:$C,$J1731)&gt;0),"Non","Oui")</f>
        <v/>
      </c>
      <c r="J1731" s="30" t="inlineStr">
        <is>
          <t>TADMORV</t>
        </is>
      </c>
    </row>
    <row r="1732">
      <c r="A1732" s="35" t="inlineStr">
        <is>
          <t>Route 17</t>
        </is>
      </c>
      <c r="B1732" s="35" t="inlineStr">
        <is>
          <t>Route17_hns</t>
        </is>
      </c>
      <c r="C1732" s="33" t="inlineStr">
        <is>
          <t>Matin, jour, soir</t>
        </is>
      </c>
      <c r="D1732" s="49" t="inlineStr">
        <is>
          <t>Herbe</t>
        </is>
      </c>
      <c r="E1732" s="37" t="inlineStr">
        <is>
          <t>MALOSSE</t>
        </is>
      </c>
      <c r="F1732" s="38" t="n">
        <v>0.11</v>
      </c>
      <c r="G1732" s="39" t="n">
        <v>42</v>
      </c>
      <c r="H1732" s="39" t="n">
        <v>47</v>
      </c>
      <c r="I1732" s="29">
        <f>IF(OR(COUNTIF('Suivi des rencontres'!$A:$A,$A1732)&gt;0,COUNTIF('Suivi des rencontres'!$C:$C,$J1732)&gt;0),"Non","Oui")</f>
        <v/>
      </c>
      <c r="J1732" s="30" t="inlineStr">
        <is>
          <t>MALOSSE</t>
        </is>
      </c>
    </row>
    <row r="1733">
      <c r="A1733" s="35" t="inlineStr">
        <is>
          <t>Route 17</t>
        </is>
      </c>
      <c r="B1733" s="35" t="inlineStr">
        <is>
          <t>Route17_hns</t>
        </is>
      </c>
      <c r="C1733" s="33" t="inlineStr">
        <is>
          <t>Matin, jour, soir</t>
        </is>
      </c>
      <c r="D1733" s="49" t="inlineStr">
        <is>
          <t>Herbe</t>
        </is>
      </c>
      <c r="E1733" s="37" t="inlineStr">
        <is>
          <t>GLOUPTI</t>
        </is>
      </c>
      <c r="F1733" s="38" t="n">
        <v>0.05</v>
      </c>
      <c r="G1733" s="39" t="n">
        <v>42</v>
      </c>
      <c r="H1733" s="39" t="n">
        <v>44</v>
      </c>
      <c r="I1733" s="29">
        <f>IF(OR(COUNTIF('Suivi des rencontres'!$A:$A,$A1733)&gt;0,COUNTIF('Suivi des rencontres'!$C:$C,$J1733)&gt;0),"Non","Oui")</f>
        <v/>
      </c>
      <c r="J1733" s="30" t="inlineStr">
        <is>
          <t>GLOUPTI</t>
        </is>
      </c>
    </row>
    <row r="1734">
      <c r="A1734" s="35" t="inlineStr">
        <is>
          <t>Route 17</t>
        </is>
      </c>
      <c r="B1734" s="35" t="inlineStr">
        <is>
          <t>Route17_hns</t>
        </is>
      </c>
      <c r="C1734" s="62" t="inlineStr">
        <is>
          <t>Nuit</t>
        </is>
      </c>
      <c r="D1734" s="49" t="inlineStr">
        <is>
          <t>Herbe</t>
        </is>
      </c>
      <c r="E1734" s="37" t="inlineStr">
        <is>
          <t>TADMORV</t>
        </is>
      </c>
      <c r="F1734" s="38" t="n">
        <v>0.74</v>
      </c>
      <c r="G1734" s="39" t="n">
        <v>42</v>
      </c>
      <c r="H1734" s="39" t="n">
        <v>48</v>
      </c>
      <c r="I1734" s="29">
        <f>IF(OR(COUNTIF('Suivi des rencontres'!$A:$A,$A1734)&gt;0,COUNTIF('Suivi des rencontres'!$C:$C,$J1734)&gt;0),"Non","Oui")</f>
        <v/>
      </c>
      <c r="J1734" s="30" t="inlineStr">
        <is>
          <t>TADMORV</t>
        </is>
      </c>
    </row>
    <row r="1735">
      <c r="A1735" s="35" t="inlineStr">
        <is>
          <t>Route 17</t>
        </is>
      </c>
      <c r="B1735" s="35" t="inlineStr">
        <is>
          <t>Route17_hns</t>
        </is>
      </c>
      <c r="C1735" s="62" t="inlineStr">
        <is>
          <t>Nuit</t>
        </is>
      </c>
      <c r="D1735" s="49" t="inlineStr">
        <is>
          <t>Herbe</t>
        </is>
      </c>
      <c r="E1735" s="37" t="inlineStr">
        <is>
          <t>GROTADMORV</t>
        </is>
      </c>
      <c r="F1735" s="38" t="n">
        <v>0.11</v>
      </c>
      <c r="G1735" s="39" t="n">
        <v>46</v>
      </c>
      <c r="H1735" s="39" t="n">
        <v>48</v>
      </c>
      <c r="I1735" s="29">
        <f>IF(OR(COUNTIF('Suivi des rencontres'!$A:$A,$A1735)&gt;0,COUNTIF('Suivi des rencontres'!$C:$C,$J1735)&gt;0),"Non","Oui")</f>
        <v/>
      </c>
      <c r="J1735" s="30" t="inlineStr">
        <is>
          <t>TADMORV</t>
        </is>
      </c>
    </row>
    <row r="1736">
      <c r="A1736" s="35" t="inlineStr">
        <is>
          <t>Route 17</t>
        </is>
      </c>
      <c r="B1736" s="35" t="inlineStr">
        <is>
          <t>Route17_hns</t>
        </is>
      </c>
      <c r="C1736" s="62" t="inlineStr">
        <is>
          <t>Nuit</t>
        </is>
      </c>
      <c r="D1736" s="49" t="inlineStr">
        <is>
          <t>Herbe</t>
        </is>
      </c>
      <c r="E1736" s="37" t="inlineStr">
        <is>
          <t>MALOSSE</t>
        </is>
      </c>
      <c r="F1736" s="38" t="n">
        <v>0.1</v>
      </c>
      <c r="G1736" s="39" t="n">
        <v>42</v>
      </c>
      <c r="H1736" s="39" t="n">
        <v>48</v>
      </c>
      <c r="I1736" s="29">
        <f>IF(OR(COUNTIF('Suivi des rencontres'!$A:$A,$A1736)&gt;0,COUNTIF('Suivi des rencontres'!$C:$C,$J1736)&gt;0),"Non","Oui")</f>
        <v/>
      </c>
      <c r="J1736" s="30" t="inlineStr">
        <is>
          <t>MALOSSE</t>
        </is>
      </c>
    </row>
    <row r="1737">
      <c r="A1737" s="35" t="inlineStr">
        <is>
          <t>Route 17</t>
        </is>
      </c>
      <c r="B1737" s="35" t="inlineStr">
        <is>
          <t>Route17_hns</t>
        </is>
      </c>
      <c r="C1737" s="62" t="inlineStr">
        <is>
          <t>Nuit</t>
        </is>
      </c>
      <c r="D1737" s="49" t="inlineStr">
        <is>
          <t>Herbe</t>
        </is>
      </c>
      <c r="E1737" s="37" t="inlineStr">
        <is>
          <t>GLOUPTI</t>
        </is>
      </c>
      <c r="F1737" s="38" t="n">
        <v>0.05</v>
      </c>
      <c r="G1737" s="39" t="n">
        <v>42</v>
      </c>
      <c r="H1737" s="39" t="n">
        <v>48</v>
      </c>
      <c r="I1737" s="29">
        <f>IF(OR(COUNTIF('Suivi des rencontres'!$A:$A,$A1737)&gt;0,COUNTIF('Suivi des rencontres'!$C:$C,$J1737)&gt;0),"Non","Oui")</f>
        <v/>
      </c>
      <c r="J1737" s="30" t="inlineStr">
        <is>
          <t>GLOUPTI</t>
        </is>
      </c>
    </row>
    <row r="1738">
      <c r="A1738" s="40" t="inlineStr">
        <is>
          <t>Route 18</t>
        </is>
      </c>
      <c r="B1738" s="40" t="inlineStr">
        <is>
          <t>Route18_hns</t>
        </is>
      </c>
      <c r="C1738" s="41" t="inlineStr">
        <is>
          <t>Matin, jour, soir</t>
        </is>
      </c>
      <c r="D1738" s="42" t="inlineStr">
        <is>
          <t>Herbe</t>
        </is>
      </c>
      <c r="E1738" s="43" t="inlineStr">
        <is>
          <t>RAPASDEPIC</t>
        </is>
      </c>
      <c r="F1738" s="44" t="n">
        <v>0.39</v>
      </c>
      <c r="G1738" s="45" t="n">
        <v>40</v>
      </c>
      <c r="H1738" s="45" t="n">
        <v>44</v>
      </c>
      <c r="I1738" s="46">
        <f>IF(OR(COUNTIF('Suivi des rencontres'!$A:$A,$A1738)&gt;0,COUNTIF('Suivi des rencontres'!$C:$C,$J1738)&gt;0),"Non","Oui")</f>
        <v/>
      </c>
      <c r="J1738" s="30" t="inlineStr">
        <is>
          <t>PIAFABEC</t>
        </is>
      </c>
    </row>
    <row r="1739">
      <c r="A1739" s="47" t="inlineStr">
        <is>
          <t>Route 18</t>
        </is>
      </c>
      <c r="B1739" s="47" t="inlineStr">
        <is>
          <t>Route18_hns</t>
        </is>
      </c>
      <c r="C1739" s="48" t="inlineStr">
        <is>
          <t>Matin, jour, soir</t>
        </is>
      </c>
      <c r="D1739" s="49" t="inlineStr">
        <is>
          <t>Herbe</t>
        </is>
      </c>
      <c r="E1739" s="50" t="inlineStr">
        <is>
          <t>DODUO</t>
        </is>
      </c>
      <c r="F1739" s="51" t="n">
        <v>0.31</v>
      </c>
      <c r="G1739" s="52" t="n">
        <v>42</v>
      </c>
      <c r="H1739" s="52" t="n">
        <v>48</v>
      </c>
      <c r="I1739" s="29">
        <f>IF(OR(COUNTIF('Suivi des rencontres'!$A:$A,$A1739)&gt;0,COUNTIF('Suivi des rencontres'!$C:$C,$J1739)&gt;0),"Non","Oui")</f>
        <v/>
      </c>
      <c r="J1739" s="30" t="inlineStr">
        <is>
          <t>DODUO</t>
        </is>
      </c>
    </row>
    <row r="1740">
      <c r="A1740" s="47" t="inlineStr">
        <is>
          <t>Route 18</t>
        </is>
      </c>
      <c r="B1740" s="47" t="inlineStr">
        <is>
          <t>Route18_hns</t>
        </is>
      </c>
      <c r="C1740" s="48" t="inlineStr">
        <is>
          <t>Matin, jour, soir</t>
        </is>
      </c>
      <c r="D1740" s="49" t="inlineStr">
        <is>
          <t>Herbe</t>
        </is>
      </c>
      <c r="E1740" s="50" t="inlineStr">
        <is>
          <t>RATTATAC</t>
        </is>
      </c>
      <c r="F1740" s="51" t="n">
        <v>0.15</v>
      </c>
      <c r="G1740" s="52" t="n">
        <v>43</v>
      </c>
      <c r="H1740" s="52" t="n">
        <v>48</v>
      </c>
      <c r="I1740" s="29">
        <f>IF(OR(COUNTIF('Suivi des rencontres'!$A:$A,$A1740)&gt;0,COUNTIF('Suivi des rencontres'!$C:$C,$J1740)&gt;0),"Non","Oui")</f>
        <v/>
      </c>
      <c r="J1740" s="30" t="inlineStr">
        <is>
          <t>RATTATA</t>
        </is>
      </c>
    </row>
    <row r="1741">
      <c r="A1741" s="47" t="inlineStr">
        <is>
          <t>Route 18</t>
        </is>
      </c>
      <c r="B1741" s="47" t="inlineStr">
        <is>
          <t>Route18_hns</t>
        </is>
      </c>
      <c r="C1741" s="48" t="inlineStr">
        <is>
          <t>Matin, jour, soir</t>
        </is>
      </c>
      <c r="D1741" s="49" t="inlineStr">
        <is>
          <t>Herbe</t>
        </is>
      </c>
      <c r="E1741" s="50" t="inlineStr">
        <is>
          <t>RATTATA</t>
        </is>
      </c>
      <c r="F1741" s="51" t="n">
        <v>0.1</v>
      </c>
      <c r="G1741" s="52" t="n">
        <v>43</v>
      </c>
      <c r="H1741" s="52" t="n">
        <v>45</v>
      </c>
      <c r="I1741" s="29">
        <f>IF(OR(COUNTIF('Suivi des rencontres'!$A:$A,$A1741)&gt;0,COUNTIF('Suivi des rencontres'!$C:$C,$J1741)&gt;0),"Non","Oui")</f>
        <v/>
      </c>
      <c r="J1741" s="30" t="inlineStr">
        <is>
          <t>RATTATA</t>
        </is>
      </c>
    </row>
    <row r="1742">
      <c r="A1742" s="47" t="inlineStr">
        <is>
          <t>Route 18</t>
        </is>
      </c>
      <c r="B1742" s="47" t="inlineStr">
        <is>
          <t>Route18_hns</t>
        </is>
      </c>
      <c r="C1742" s="48" t="inlineStr">
        <is>
          <t>Matin, jour, soir</t>
        </is>
      </c>
      <c r="D1742" s="49" t="inlineStr">
        <is>
          <t>Herbe</t>
        </is>
      </c>
      <c r="E1742" s="50" t="inlineStr">
        <is>
          <t>KECLEON</t>
        </is>
      </c>
      <c r="F1742" s="51" t="n">
        <v>0.05</v>
      </c>
      <c r="G1742" s="52" t="n">
        <v>48</v>
      </c>
      <c r="H1742" s="52" t="n">
        <v>48</v>
      </c>
      <c r="I1742" s="29">
        <f>IF(OR(COUNTIF('Suivi des rencontres'!$A:$A,$A1742)&gt;0,COUNTIF('Suivi des rencontres'!$C:$C,$J1742)&gt;0),"Non","Oui")</f>
        <v/>
      </c>
      <c r="J1742" s="30" t="inlineStr">
        <is>
          <t>KECLEON</t>
        </is>
      </c>
    </row>
    <row r="1743">
      <c r="A1743" s="47" t="inlineStr">
        <is>
          <t>Route 18</t>
        </is>
      </c>
      <c r="B1743" s="47" t="inlineStr">
        <is>
          <t>Route18_hns</t>
        </is>
      </c>
      <c r="C1743" s="62" t="inlineStr">
        <is>
          <t>Nuit</t>
        </is>
      </c>
      <c r="D1743" s="49" t="inlineStr">
        <is>
          <t>Herbe</t>
        </is>
      </c>
      <c r="E1743" s="50" t="inlineStr">
        <is>
          <t>DODUO</t>
        </is>
      </c>
      <c r="F1743" s="51" t="n">
        <v>0.3</v>
      </c>
      <c r="G1743" s="52" t="n">
        <v>42</v>
      </c>
      <c r="H1743" s="52" t="n">
        <v>48</v>
      </c>
      <c r="I1743" s="29">
        <f>IF(OR(COUNTIF('Suivi des rencontres'!$A:$A,$A1743)&gt;0,COUNTIF('Suivi des rencontres'!$C:$C,$J1743)&gt;0),"Non","Oui")</f>
        <v/>
      </c>
      <c r="J1743" s="30" t="inlineStr">
        <is>
          <t>DODUO</t>
        </is>
      </c>
    </row>
    <row r="1744">
      <c r="A1744" s="47" t="inlineStr">
        <is>
          <t>Route 18</t>
        </is>
      </c>
      <c r="B1744" s="47" t="inlineStr">
        <is>
          <t>Route18_hns</t>
        </is>
      </c>
      <c r="C1744" s="62" t="inlineStr">
        <is>
          <t>Nuit</t>
        </is>
      </c>
      <c r="D1744" s="49" t="inlineStr">
        <is>
          <t>Herbe</t>
        </is>
      </c>
      <c r="E1744" s="50" t="inlineStr">
        <is>
          <t>NOARFANG</t>
        </is>
      </c>
      <c r="F1744" s="51" t="n">
        <v>0.25</v>
      </c>
      <c r="G1744" s="52" t="n">
        <v>40</v>
      </c>
      <c r="H1744" s="52" t="n">
        <v>44</v>
      </c>
      <c r="I1744" s="29">
        <f>IF(OR(COUNTIF('Suivi des rencontres'!$A:$A,$A1744)&gt;0,COUNTIF('Suivi des rencontres'!$C:$C,$J1744)&gt;0),"Non","Oui")</f>
        <v/>
      </c>
      <c r="J1744" s="30" t="inlineStr">
        <is>
          <t>HOOTHOOT</t>
        </is>
      </c>
    </row>
    <row r="1745">
      <c r="A1745" s="47" t="inlineStr">
        <is>
          <t>Route 18</t>
        </is>
      </c>
      <c r="B1745" s="47" t="inlineStr">
        <is>
          <t>Route18_hns</t>
        </is>
      </c>
      <c r="C1745" s="62" t="inlineStr">
        <is>
          <t>Nuit</t>
        </is>
      </c>
      <c r="D1745" s="49" t="inlineStr">
        <is>
          <t>Herbe</t>
        </is>
      </c>
      <c r="E1745" s="50" t="inlineStr">
        <is>
          <t>SPECTRUM</t>
        </is>
      </c>
      <c r="F1745" s="51" t="n">
        <v>0.15</v>
      </c>
      <c r="G1745" s="52" t="n">
        <v>40</v>
      </c>
      <c r="H1745" s="52" t="n">
        <v>48</v>
      </c>
      <c r="I1745" s="29">
        <f>IF(OR(COUNTIF('Suivi des rencontres'!$A:$A,$A1745)&gt;0,COUNTIF('Suivi des rencontres'!$C:$C,$J1745)&gt;0),"Non","Oui")</f>
        <v/>
      </c>
      <c r="J1745" s="30" t="inlineStr">
        <is>
          <t>FANTOMINUS</t>
        </is>
      </c>
    </row>
    <row r="1746">
      <c r="A1746" s="47" t="inlineStr">
        <is>
          <t>Route 18</t>
        </is>
      </c>
      <c r="B1746" s="47" t="inlineStr">
        <is>
          <t>Route18_hns</t>
        </is>
      </c>
      <c r="C1746" s="62" t="inlineStr">
        <is>
          <t>Nuit</t>
        </is>
      </c>
      <c r="D1746" s="49" t="inlineStr">
        <is>
          <t>Herbe</t>
        </is>
      </c>
      <c r="E1746" s="50" t="inlineStr">
        <is>
          <t>FANTOMINUS</t>
        </is>
      </c>
      <c r="F1746" s="51" t="n">
        <v>0.1</v>
      </c>
      <c r="G1746" s="52" t="n">
        <v>40</v>
      </c>
      <c r="H1746" s="52" t="n">
        <v>44</v>
      </c>
      <c r="I1746" s="29">
        <f>IF(OR(COUNTIF('Suivi des rencontres'!$A:$A,$A1746)&gt;0,COUNTIF('Suivi des rencontres'!$C:$C,$J1746)&gt;0),"Non","Oui")</f>
        <v/>
      </c>
      <c r="J1746" s="30" t="inlineStr">
        <is>
          <t>FANTOMINUS</t>
        </is>
      </c>
    </row>
    <row r="1747">
      <c r="A1747" s="47" t="inlineStr">
        <is>
          <t>Route 18</t>
        </is>
      </c>
      <c r="B1747" s="47" t="inlineStr">
        <is>
          <t>Route18_hns</t>
        </is>
      </c>
      <c r="C1747" s="62" t="inlineStr">
        <is>
          <t>Nuit</t>
        </is>
      </c>
      <c r="D1747" s="49" t="inlineStr">
        <is>
          <t>Herbe</t>
        </is>
      </c>
      <c r="E1747" s="50" t="inlineStr">
        <is>
          <t>RATTATA</t>
        </is>
      </c>
      <c r="F1747" s="51" t="n">
        <v>0.1</v>
      </c>
      <c r="G1747" s="52" t="n">
        <v>43</v>
      </c>
      <c r="H1747" s="52" t="n">
        <v>45</v>
      </c>
      <c r="I1747" s="29">
        <f>IF(OR(COUNTIF('Suivi des rencontres'!$A:$A,$A1747)&gt;0,COUNTIF('Suivi des rencontres'!$C:$C,$J1747)&gt;0),"Non","Oui")</f>
        <v/>
      </c>
      <c r="J1747" s="30" t="inlineStr">
        <is>
          <t>RATTATA</t>
        </is>
      </c>
    </row>
    <row r="1748">
      <c r="A1748" s="47" t="inlineStr">
        <is>
          <t>Route 18</t>
        </is>
      </c>
      <c r="B1748" s="47" t="inlineStr">
        <is>
          <t>Route18_hns</t>
        </is>
      </c>
      <c r="C1748" s="62" t="inlineStr">
        <is>
          <t>Nuit</t>
        </is>
      </c>
      <c r="D1748" s="49" t="inlineStr">
        <is>
          <t>Herbe</t>
        </is>
      </c>
      <c r="E1748" s="50" t="inlineStr">
        <is>
          <t>KECLEON</t>
        </is>
      </c>
      <c r="F1748" s="51" t="n">
        <v>0.05</v>
      </c>
      <c r="G1748" s="52" t="n">
        <v>48</v>
      </c>
      <c r="H1748" s="52" t="n">
        <v>48</v>
      </c>
      <c r="I1748" s="29">
        <f>IF(OR(COUNTIF('Suivi des rencontres'!$A:$A,$A1748)&gt;0,COUNTIF('Suivi des rencontres'!$C:$C,$J1748)&gt;0),"Non","Oui")</f>
        <v/>
      </c>
      <c r="J1748" s="30" t="inlineStr">
        <is>
          <t>KECLEON</t>
        </is>
      </c>
    </row>
    <row r="1749">
      <c r="A1749" s="47" t="inlineStr">
        <is>
          <t>Route 18</t>
        </is>
      </c>
      <c r="B1749" s="47" t="inlineStr">
        <is>
          <t>Route18_hns</t>
        </is>
      </c>
      <c r="C1749" s="62" t="inlineStr">
        <is>
          <t>Nuit</t>
        </is>
      </c>
      <c r="D1749" s="49" t="inlineStr">
        <is>
          <t>Herbe</t>
        </is>
      </c>
      <c r="E1749" s="50" t="inlineStr">
        <is>
          <t>RATTATAC</t>
        </is>
      </c>
      <c r="F1749" s="51" t="n">
        <v>0.05</v>
      </c>
      <c r="G1749" s="52" t="n">
        <v>43</v>
      </c>
      <c r="H1749" s="52" t="n">
        <v>48</v>
      </c>
      <c r="I1749" s="29">
        <f>IF(OR(COUNTIF('Suivi des rencontres'!$A:$A,$A1749)&gt;0,COUNTIF('Suivi des rencontres'!$C:$C,$J1749)&gt;0),"Non","Oui")</f>
        <v/>
      </c>
      <c r="J1749" s="30" t="inlineStr">
        <is>
          <t>RATTATA</t>
        </is>
      </c>
    </row>
    <row r="1750">
      <c r="A1750" s="57" t="inlineStr">
        <is>
          <t>Route 2</t>
        </is>
      </c>
      <c r="B1750" s="57" t="inlineStr">
        <is>
          <t>Route2_hns</t>
        </is>
      </c>
      <c r="C1750" s="58" t="inlineStr">
        <is>
          <t>Matin, jour, soir</t>
        </is>
      </c>
      <c r="D1750" s="42" t="inlineStr">
        <is>
          <t>Herbe</t>
        </is>
      </c>
      <c r="E1750" s="59" t="inlineStr">
        <is>
          <t>CHENIPAN</t>
        </is>
      </c>
      <c r="F1750" s="60" t="n">
        <v>0.3</v>
      </c>
      <c r="G1750" s="61" t="n">
        <v>43</v>
      </c>
      <c r="H1750" s="61" t="n">
        <v>45</v>
      </c>
      <c r="I1750" s="46">
        <f>IF(OR(COUNTIF('Suivi des rencontres'!$A:$A,$A1750)&gt;0,COUNTIF('Suivi des rencontres'!$C:$C,$J1750)&gt;0),"Non","Oui")</f>
        <v/>
      </c>
      <c r="J1750" s="30" t="inlineStr">
        <is>
          <t>CHENIPAN</t>
        </is>
      </c>
    </row>
    <row r="1751">
      <c r="A1751" s="35" t="inlineStr">
        <is>
          <t>Route 2</t>
        </is>
      </c>
      <c r="B1751" s="35" t="inlineStr">
        <is>
          <t>Route2_hns</t>
        </is>
      </c>
      <c r="C1751" s="33" t="inlineStr">
        <is>
          <t>Matin, jour, soir</t>
        </is>
      </c>
      <c r="D1751" s="49" t="inlineStr">
        <is>
          <t>Herbe</t>
        </is>
      </c>
      <c r="E1751" s="37" t="inlineStr">
        <is>
          <t>ROUCOOL</t>
        </is>
      </c>
      <c r="F1751" s="38" t="n">
        <v>0.3</v>
      </c>
      <c r="G1751" s="39" t="n">
        <v>43</v>
      </c>
      <c r="H1751" s="39" t="n">
        <v>47</v>
      </c>
      <c r="I1751" s="29">
        <f>IF(OR(COUNTIF('Suivi des rencontres'!$A:$A,$A1751)&gt;0,COUNTIF('Suivi des rencontres'!$C:$C,$J1751)&gt;0),"Non","Oui")</f>
        <v/>
      </c>
      <c r="J1751" s="30" t="inlineStr">
        <is>
          <t>ROUCOOL</t>
        </is>
      </c>
    </row>
    <row r="1752">
      <c r="A1752" s="35" t="inlineStr">
        <is>
          <t>Route 2</t>
        </is>
      </c>
      <c r="B1752" s="35" t="inlineStr">
        <is>
          <t>Route2_hns</t>
        </is>
      </c>
      <c r="C1752" s="33" t="inlineStr">
        <is>
          <t>Matin, jour, soir</t>
        </is>
      </c>
      <c r="D1752" s="49" t="inlineStr">
        <is>
          <t>Herbe</t>
        </is>
      </c>
      <c r="E1752" s="37" t="inlineStr">
        <is>
          <t>ROUCOUPS</t>
        </is>
      </c>
      <c r="F1752" s="38" t="n">
        <v>0.11</v>
      </c>
      <c r="G1752" s="39" t="n">
        <v>47</v>
      </c>
      <c r="H1752" s="39" t="n">
        <v>49</v>
      </c>
      <c r="I1752" s="29">
        <f>IF(OR(COUNTIF('Suivi des rencontres'!$A:$A,$A1752)&gt;0,COUNTIF('Suivi des rencontres'!$C:$C,$J1752)&gt;0),"Non","Oui")</f>
        <v/>
      </c>
      <c r="J1752" s="30" t="inlineStr">
        <is>
          <t>ROUCOOL</t>
        </is>
      </c>
    </row>
    <row r="1753">
      <c r="A1753" s="35" t="inlineStr">
        <is>
          <t>Route 2</t>
        </is>
      </c>
      <c r="B1753" s="35" t="inlineStr">
        <is>
          <t>Route2_hns</t>
        </is>
      </c>
      <c r="C1753" s="33" t="inlineStr">
        <is>
          <t>Matin, jour, soir</t>
        </is>
      </c>
      <c r="D1753" s="49" t="inlineStr">
        <is>
          <t>Herbe</t>
        </is>
      </c>
      <c r="E1753" s="37" t="inlineStr">
        <is>
          <t>COXY</t>
        </is>
      </c>
      <c r="F1753" s="38" t="n">
        <v>0.1</v>
      </c>
      <c r="G1753" s="39" t="n">
        <v>43</v>
      </c>
      <c r="H1753" s="39" t="n">
        <v>46</v>
      </c>
      <c r="I1753" s="29">
        <f>IF(OR(COUNTIF('Suivi des rencontres'!$A:$A,$A1753)&gt;0,COUNTIF('Suivi des rencontres'!$C:$C,$J1753)&gt;0),"Non","Oui")</f>
        <v/>
      </c>
      <c r="J1753" s="30" t="inlineStr">
        <is>
          <t>COXY</t>
        </is>
      </c>
    </row>
    <row r="1754">
      <c r="A1754" s="35" t="inlineStr">
        <is>
          <t>Route 2</t>
        </is>
      </c>
      <c r="B1754" s="35" t="inlineStr">
        <is>
          <t>Route2_hns</t>
        </is>
      </c>
      <c r="C1754" s="33" t="inlineStr">
        <is>
          <t>Matin, jour, soir</t>
        </is>
      </c>
      <c r="D1754" s="49" t="inlineStr">
        <is>
          <t>Herbe</t>
        </is>
      </c>
      <c r="E1754" s="37" t="inlineStr">
        <is>
          <t>PAPILUSION</t>
        </is>
      </c>
      <c r="F1754" s="38" t="n">
        <v>0.1</v>
      </c>
      <c r="G1754" s="39" t="n">
        <v>47</v>
      </c>
      <c r="H1754" s="39" t="n">
        <v>49</v>
      </c>
      <c r="I1754" s="29">
        <f>IF(OR(COUNTIF('Suivi des rencontres'!$A:$A,$A1754)&gt;0,COUNTIF('Suivi des rencontres'!$C:$C,$J1754)&gt;0),"Non","Oui")</f>
        <v/>
      </c>
      <c r="J1754" s="30" t="inlineStr">
        <is>
          <t>CHENIPAN</t>
        </is>
      </c>
    </row>
    <row r="1755">
      <c r="A1755" s="35" t="inlineStr">
        <is>
          <t>Route 2</t>
        </is>
      </c>
      <c r="B1755" s="35" t="inlineStr">
        <is>
          <t>Route2_hns</t>
        </is>
      </c>
      <c r="C1755" s="33" t="inlineStr">
        <is>
          <t>Matin, jour, soir</t>
        </is>
      </c>
      <c r="D1755" s="49" t="inlineStr">
        <is>
          <t>Herbe</t>
        </is>
      </c>
      <c r="E1755" s="37" t="inlineStr">
        <is>
          <t>ZIGZATON</t>
        </is>
      </c>
      <c r="F1755" s="38" t="n">
        <v>0.05</v>
      </c>
      <c r="G1755" s="39" t="n">
        <v>43</v>
      </c>
      <c r="H1755" s="39" t="n">
        <v>47</v>
      </c>
      <c r="I1755" s="29">
        <f>IF(OR(COUNTIF('Suivi des rencontres'!$A:$A,$A1755)&gt;0,COUNTIF('Suivi des rencontres'!$C:$C,$J1755)&gt;0),"Non","Oui")</f>
        <v/>
      </c>
      <c r="J1755" s="30" t="inlineStr">
        <is>
          <t>ZIGZATON</t>
        </is>
      </c>
    </row>
    <row r="1756">
      <c r="A1756" s="35" t="inlineStr">
        <is>
          <t>Route 2</t>
        </is>
      </c>
      <c r="B1756" s="35" t="inlineStr">
        <is>
          <t>Route2_hns</t>
        </is>
      </c>
      <c r="C1756" s="33" t="inlineStr">
        <is>
          <t>Matin, jour, soir</t>
        </is>
      </c>
      <c r="D1756" s="49" t="inlineStr">
        <is>
          <t>Herbe</t>
        </is>
      </c>
      <c r="E1756" s="37" t="inlineStr">
        <is>
          <t>COXYCLAQUE</t>
        </is>
      </c>
      <c r="F1756" s="38" t="n">
        <v>0.04</v>
      </c>
      <c r="G1756" s="39" t="n">
        <v>47</v>
      </c>
      <c r="H1756" s="39" t="n">
        <v>49</v>
      </c>
      <c r="I1756" s="29">
        <f>IF(OR(COUNTIF('Suivi des rencontres'!$A:$A,$A1756)&gt;0,COUNTIF('Suivi des rencontres'!$C:$C,$J1756)&gt;0),"Non","Oui")</f>
        <v/>
      </c>
      <c r="J1756" s="30" t="inlineStr">
        <is>
          <t>COXY</t>
        </is>
      </c>
    </row>
    <row r="1757">
      <c r="A1757" s="35" t="inlineStr">
        <is>
          <t>Route 2</t>
        </is>
      </c>
      <c r="B1757" s="35" t="inlineStr">
        <is>
          <t>Route2_hns</t>
        </is>
      </c>
      <c r="C1757" s="62" t="inlineStr">
        <is>
          <t>Nuit</t>
        </is>
      </c>
      <c r="D1757" s="49" t="inlineStr">
        <is>
          <t>Herbe</t>
        </is>
      </c>
      <c r="E1757" s="37" t="inlineStr">
        <is>
          <t>HOOTHOOT</t>
        </is>
      </c>
      <c r="F1757" s="38" t="n">
        <v>0.35</v>
      </c>
      <c r="G1757" s="39" t="n">
        <v>43</v>
      </c>
      <c r="H1757" s="39" t="n">
        <v>49</v>
      </c>
      <c r="I1757" s="29">
        <f>IF(OR(COUNTIF('Suivi des rencontres'!$A:$A,$A1757)&gt;0,COUNTIF('Suivi des rencontres'!$C:$C,$J1757)&gt;0),"Non","Oui")</f>
        <v/>
      </c>
      <c r="J1757" s="30" t="inlineStr">
        <is>
          <t>HOOTHOOT</t>
        </is>
      </c>
    </row>
    <row r="1758">
      <c r="A1758" s="35" t="inlineStr">
        <is>
          <t>Route 2</t>
        </is>
      </c>
      <c r="B1758" s="35" t="inlineStr">
        <is>
          <t>Route2_hns</t>
        </is>
      </c>
      <c r="C1758" s="62" t="inlineStr">
        <is>
          <t>Nuit</t>
        </is>
      </c>
      <c r="D1758" s="49" t="inlineStr">
        <is>
          <t>Herbe</t>
        </is>
      </c>
      <c r="E1758" s="37" t="inlineStr">
        <is>
          <t>MIMIGAL</t>
        </is>
      </c>
      <c r="F1758" s="38" t="n">
        <v>0.34</v>
      </c>
      <c r="G1758" s="39" t="n">
        <v>43</v>
      </c>
      <c r="H1758" s="39" t="n">
        <v>45</v>
      </c>
      <c r="I1758" s="29">
        <f>IF(OR(COUNTIF('Suivi des rencontres'!$A:$A,$A1758)&gt;0,COUNTIF('Suivi des rencontres'!$C:$C,$J1758)&gt;0),"Non","Oui")</f>
        <v/>
      </c>
      <c r="J1758" s="30" t="inlineStr">
        <is>
          <t>MIMIGAL</t>
        </is>
      </c>
    </row>
    <row r="1759">
      <c r="A1759" s="35" t="inlineStr">
        <is>
          <t>Route 2</t>
        </is>
      </c>
      <c r="B1759" s="35" t="inlineStr">
        <is>
          <t>Route2_hns</t>
        </is>
      </c>
      <c r="C1759" s="62" t="inlineStr">
        <is>
          <t>Nuit</t>
        </is>
      </c>
      <c r="D1759" s="49" t="inlineStr">
        <is>
          <t>Herbe</t>
        </is>
      </c>
      <c r="E1759" s="37" t="inlineStr">
        <is>
          <t>NOARFANG</t>
        </is>
      </c>
      <c r="F1759" s="38" t="n">
        <v>0.15</v>
      </c>
      <c r="G1759" s="39" t="n">
        <v>44</v>
      </c>
      <c r="H1759" s="39" t="n">
        <v>49</v>
      </c>
      <c r="I1759" s="29">
        <f>IF(OR(COUNTIF('Suivi des rencontres'!$A:$A,$A1759)&gt;0,COUNTIF('Suivi des rencontres'!$C:$C,$J1759)&gt;0),"Non","Oui")</f>
        <v/>
      </c>
      <c r="J1759" s="30" t="inlineStr">
        <is>
          <t>HOOTHOOT</t>
        </is>
      </c>
    </row>
    <row r="1760">
      <c r="A1760" s="35" t="inlineStr">
        <is>
          <t>Route 2</t>
        </is>
      </c>
      <c r="B1760" s="35" t="inlineStr">
        <is>
          <t>Route2_hns</t>
        </is>
      </c>
      <c r="C1760" s="62" t="inlineStr">
        <is>
          <t>Nuit</t>
        </is>
      </c>
      <c r="D1760" s="49" t="inlineStr">
        <is>
          <t>Herbe</t>
        </is>
      </c>
      <c r="E1760" s="37" t="inlineStr">
        <is>
          <t>MIGALOS</t>
        </is>
      </c>
      <c r="F1760" s="38" t="n">
        <v>0.11</v>
      </c>
      <c r="G1760" s="39" t="n">
        <v>47</v>
      </c>
      <c r="H1760" s="39" t="n">
        <v>49</v>
      </c>
      <c r="I1760" s="29">
        <f>IF(OR(COUNTIF('Suivi des rencontres'!$A:$A,$A1760)&gt;0,COUNTIF('Suivi des rencontres'!$C:$C,$J1760)&gt;0),"Non","Oui")</f>
        <v/>
      </c>
      <c r="J1760" s="30" t="inlineStr">
        <is>
          <t>MIMIGAL</t>
        </is>
      </c>
    </row>
    <row r="1761">
      <c r="A1761" s="35" t="inlineStr">
        <is>
          <t>Route 2</t>
        </is>
      </c>
      <c r="B1761" s="35" t="inlineStr">
        <is>
          <t>Route2_hns</t>
        </is>
      </c>
      <c r="C1761" s="62" t="inlineStr">
        <is>
          <t>Nuit</t>
        </is>
      </c>
      <c r="D1761" s="49" t="inlineStr">
        <is>
          <t>Herbe</t>
        </is>
      </c>
      <c r="E1761" s="37" t="inlineStr">
        <is>
          <t>ZIGZATON</t>
        </is>
      </c>
      <c r="F1761" s="38" t="n">
        <v>0.05</v>
      </c>
      <c r="G1761" s="39" t="n">
        <v>43</v>
      </c>
      <c r="H1761" s="39" t="n">
        <v>47</v>
      </c>
      <c r="I1761" s="29">
        <f>IF(OR(COUNTIF('Suivi des rencontres'!$A:$A,$A1761)&gt;0,COUNTIF('Suivi des rencontres'!$C:$C,$J1761)&gt;0),"Non","Oui")</f>
        <v/>
      </c>
      <c r="J1761" s="30" t="inlineStr">
        <is>
          <t>ZIGZATON</t>
        </is>
      </c>
    </row>
    <row r="1762">
      <c r="A1762" s="35" t="inlineStr">
        <is>
          <t>Route 2</t>
        </is>
      </c>
      <c r="B1762" s="35" t="inlineStr">
        <is>
          <t>Route2_hns</t>
        </is>
      </c>
      <c r="C1762" s="33" t="inlineStr">
        <is>
          <t>Matin, jour, soir</t>
        </is>
      </c>
      <c r="D1762" s="53" t="inlineStr">
        <is>
          <t>Surf</t>
        </is>
      </c>
      <c r="E1762" s="37" t="inlineStr">
        <is>
          <t>PTITARD</t>
        </is>
      </c>
      <c r="F1762" s="38" t="n">
        <v>0.96</v>
      </c>
      <c r="G1762" s="39" t="n">
        <v>45</v>
      </c>
      <c r="H1762" s="39" t="n">
        <v>47</v>
      </c>
      <c r="I1762" s="29">
        <f>IF(OR(COUNTIF('Suivi des rencontres'!$A:$A,$A1762)&gt;0,COUNTIF('Suivi des rencontres'!$C:$C,$J1762)&gt;0),"Non","Oui")</f>
        <v/>
      </c>
      <c r="J1762" s="30" t="inlineStr">
        <is>
          <t>PTITARD</t>
        </is>
      </c>
    </row>
    <row r="1763">
      <c r="A1763" s="35" t="inlineStr">
        <is>
          <t>Route 2</t>
        </is>
      </c>
      <c r="B1763" s="35" t="inlineStr">
        <is>
          <t>Route2_hns</t>
        </is>
      </c>
      <c r="C1763" s="33" t="inlineStr">
        <is>
          <t>Matin, jour, soir</t>
        </is>
      </c>
      <c r="D1763" s="53" t="inlineStr">
        <is>
          <t>Surf</t>
        </is>
      </c>
      <c r="E1763" s="37" t="inlineStr">
        <is>
          <t>TETARTE</t>
        </is>
      </c>
      <c r="F1763" s="38" t="n">
        <v>0.04</v>
      </c>
      <c r="G1763" s="39" t="n">
        <v>41</v>
      </c>
      <c r="H1763" s="39" t="n">
        <v>47</v>
      </c>
      <c r="I1763" s="29">
        <f>IF(OR(COUNTIF('Suivi des rencontres'!$A:$A,$A1763)&gt;0,COUNTIF('Suivi des rencontres'!$C:$C,$J1763)&gt;0),"Non","Oui")</f>
        <v/>
      </c>
      <c r="J1763" s="30" t="inlineStr">
        <is>
          <t>PTITARD</t>
        </is>
      </c>
    </row>
    <row r="1764">
      <c r="A1764" s="35" t="inlineStr">
        <is>
          <t>Route 2</t>
        </is>
      </c>
      <c r="B1764" s="35" t="inlineStr">
        <is>
          <t>Route2_hns</t>
        </is>
      </c>
      <c r="C1764" s="62" t="inlineStr">
        <is>
          <t>Nuit</t>
        </is>
      </c>
      <c r="D1764" s="53" t="inlineStr">
        <is>
          <t>Surf</t>
        </is>
      </c>
      <c r="E1764" s="37" t="inlineStr">
        <is>
          <t>PTITARD</t>
        </is>
      </c>
      <c r="F1764" s="38" t="n">
        <v>0.96</v>
      </c>
      <c r="G1764" s="39" t="n">
        <v>45</v>
      </c>
      <c r="H1764" s="39" t="n">
        <v>47</v>
      </c>
      <c r="I1764" s="29">
        <f>IF(OR(COUNTIF('Suivi des rencontres'!$A:$A,$A1764)&gt;0,COUNTIF('Suivi des rencontres'!$C:$C,$J1764)&gt;0),"Non","Oui")</f>
        <v/>
      </c>
      <c r="J1764" s="30" t="inlineStr">
        <is>
          <t>PTITARD</t>
        </is>
      </c>
    </row>
    <row r="1765">
      <c r="A1765" s="35" t="inlineStr">
        <is>
          <t>Route 2</t>
        </is>
      </c>
      <c r="B1765" s="35" t="inlineStr">
        <is>
          <t>Route2_hns</t>
        </is>
      </c>
      <c r="C1765" s="62" t="inlineStr">
        <is>
          <t>Nuit</t>
        </is>
      </c>
      <c r="D1765" s="53" t="inlineStr">
        <is>
          <t>Surf</t>
        </is>
      </c>
      <c r="E1765" s="37" t="inlineStr">
        <is>
          <t>TETARTE</t>
        </is>
      </c>
      <c r="F1765" s="38" t="n">
        <v>0.04</v>
      </c>
      <c r="G1765" s="39" t="n">
        <v>41</v>
      </c>
      <c r="H1765" s="39" t="n">
        <v>47</v>
      </c>
      <c r="I1765" s="29">
        <f>IF(OR(COUNTIF('Suivi des rencontres'!$A:$A,$A1765)&gt;0,COUNTIF('Suivi des rencontres'!$C:$C,$J1765)&gt;0),"Non","Oui")</f>
        <v/>
      </c>
      <c r="J1765" s="30" t="inlineStr">
        <is>
          <t>PTITARD</t>
        </is>
      </c>
    </row>
    <row r="1766">
      <c r="A1766" s="35" t="inlineStr">
        <is>
          <t>Route 2</t>
        </is>
      </c>
      <c r="B1766" s="35" t="inlineStr">
        <is>
          <t>Route2_hns</t>
        </is>
      </c>
      <c r="C1766" s="33" t="inlineStr">
        <is>
          <t>Matin, jour, soir</t>
        </is>
      </c>
      <c r="D1766" s="36" t="inlineStr">
        <is>
          <t>Éclate-Roc</t>
        </is>
      </c>
      <c r="E1766" s="37" t="inlineStr">
        <is>
          <t>POMDEPIK</t>
        </is>
      </c>
      <c r="F1766" s="38" t="n">
        <v>0.6</v>
      </c>
      <c r="G1766" s="39" t="n">
        <v>41</v>
      </c>
      <c r="H1766" s="39" t="n">
        <v>43</v>
      </c>
      <c r="I1766" s="29">
        <f>IF(OR(COUNTIF('Suivi des rencontres'!$A:$A,$A1766)&gt;0,COUNTIF('Suivi des rencontres'!$C:$C,$J1766)&gt;0),"Non","Oui")</f>
        <v/>
      </c>
      <c r="J1766" s="30" t="inlineStr">
        <is>
          <t>POMDEPIK</t>
        </is>
      </c>
    </row>
    <row r="1767">
      <c r="A1767" s="35" t="inlineStr">
        <is>
          <t>Route 2</t>
        </is>
      </c>
      <c r="B1767" s="35" t="inlineStr">
        <is>
          <t>Route2_hns</t>
        </is>
      </c>
      <c r="C1767" s="33" t="inlineStr">
        <is>
          <t>Matin, jour, soir</t>
        </is>
      </c>
      <c r="D1767" s="36" t="inlineStr">
        <is>
          <t>Éclate-Roc</t>
        </is>
      </c>
      <c r="E1767" s="37" t="inlineStr">
        <is>
          <t>NOEUNOEUF</t>
        </is>
      </c>
      <c r="F1767" s="38" t="n">
        <v>0.3</v>
      </c>
      <c r="G1767" s="39" t="n">
        <v>41</v>
      </c>
      <c r="H1767" s="39" t="n">
        <v>43</v>
      </c>
      <c r="I1767" s="29">
        <f>IF(OR(COUNTIF('Suivi des rencontres'!$A:$A,$A1767)&gt;0,COUNTIF('Suivi des rencontres'!$C:$C,$J1767)&gt;0),"Non","Oui")</f>
        <v/>
      </c>
      <c r="J1767" s="30" t="inlineStr">
        <is>
          <t>NOEUNOEUF</t>
        </is>
      </c>
    </row>
    <row r="1768">
      <c r="A1768" s="35" t="inlineStr">
        <is>
          <t>Route 2</t>
        </is>
      </c>
      <c r="B1768" s="35" t="inlineStr">
        <is>
          <t>Route2_hns</t>
        </is>
      </c>
      <c r="C1768" s="33" t="inlineStr">
        <is>
          <t>Matin, jour, soir</t>
        </is>
      </c>
      <c r="D1768" s="36" t="inlineStr">
        <is>
          <t>Éclate-Roc</t>
        </is>
      </c>
      <c r="E1768" s="37" t="inlineStr">
        <is>
          <t>COXY</t>
        </is>
      </c>
      <c r="F1768" s="38" t="n">
        <v>0.05</v>
      </c>
      <c r="G1768" s="39" t="n">
        <v>41</v>
      </c>
      <c r="H1768" s="39" t="n">
        <v>43</v>
      </c>
      <c r="I1768" s="29">
        <f>IF(OR(COUNTIF('Suivi des rencontres'!$A:$A,$A1768)&gt;0,COUNTIF('Suivi des rencontres'!$C:$C,$J1768)&gt;0),"Non","Oui")</f>
        <v/>
      </c>
      <c r="J1768" s="30" t="inlineStr">
        <is>
          <t>COXY</t>
        </is>
      </c>
    </row>
    <row r="1769">
      <c r="A1769" s="35" t="inlineStr">
        <is>
          <t>Route 2</t>
        </is>
      </c>
      <c r="B1769" s="35" t="inlineStr">
        <is>
          <t>Route2_hns</t>
        </is>
      </c>
      <c r="C1769" s="33" t="inlineStr">
        <is>
          <t>Matin, jour, soir</t>
        </is>
      </c>
      <c r="D1769" s="36" t="inlineStr">
        <is>
          <t>Éclate-Roc</t>
        </is>
      </c>
      <c r="E1769" s="37" t="inlineStr">
        <is>
          <t>MIMIGAL</t>
        </is>
      </c>
      <c r="F1769" s="38" t="n">
        <v>0.05</v>
      </c>
      <c r="G1769" s="39" t="n">
        <v>41</v>
      </c>
      <c r="H1769" s="39" t="n">
        <v>43</v>
      </c>
      <c r="I1769" s="29">
        <f>IF(OR(COUNTIF('Suivi des rencontres'!$A:$A,$A1769)&gt;0,COUNTIF('Suivi des rencontres'!$C:$C,$J1769)&gt;0),"Non","Oui")</f>
        <v/>
      </c>
      <c r="J1769" s="30" t="inlineStr">
        <is>
          <t>MIMIGAL</t>
        </is>
      </c>
    </row>
    <row r="1770">
      <c r="A1770" s="35" t="inlineStr">
        <is>
          <t>Route 2</t>
        </is>
      </c>
      <c r="B1770" s="35" t="inlineStr">
        <is>
          <t>Route2_hns</t>
        </is>
      </c>
      <c r="C1770" s="62" t="inlineStr">
        <is>
          <t>Nuit</t>
        </is>
      </c>
      <c r="D1770" s="36" t="inlineStr">
        <is>
          <t>Éclate-Roc</t>
        </is>
      </c>
      <c r="E1770" s="37" t="inlineStr">
        <is>
          <t>POMDEPIK</t>
        </is>
      </c>
      <c r="F1770" s="38" t="n">
        <v>0.6</v>
      </c>
      <c r="G1770" s="39" t="n">
        <v>41</v>
      </c>
      <c r="H1770" s="39" t="n">
        <v>43</v>
      </c>
      <c r="I1770" s="29">
        <f>IF(OR(COUNTIF('Suivi des rencontres'!$A:$A,$A1770)&gt;0,COUNTIF('Suivi des rencontres'!$C:$C,$J1770)&gt;0),"Non","Oui")</f>
        <v/>
      </c>
      <c r="J1770" s="30" t="inlineStr">
        <is>
          <t>POMDEPIK</t>
        </is>
      </c>
    </row>
    <row r="1771">
      <c r="A1771" s="35" t="inlineStr">
        <is>
          <t>Route 2</t>
        </is>
      </c>
      <c r="B1771" s="35" t="inlineStr">
        <is>
          <t>Route2_hns</t>
        </is>
      </c>
      <c r="C1771" s="62" t="inlineStr">
        <is>
          <t>Nuit</t>
        </is>
      </c>
      <c r="D1771" s="36" t="inlineStr">
        <is>
          <t>Éclate-Roc</t>
        </is>
      </c>
      <c r="E1771" s="37" t="inlineStr">
        <is>
          <t>NOEUNOEUF</t>
        </is>
      </c>
      <c r="F1771" s="38" t="n">
        <v>0.3</v>
      </c>
      <c r="G1771" s="39" t="n">
        <v>41</v>
      </c>
      <c r="H1771" s="39" t="n">
        <v>43</v>
      </c>
      <c r="I1771" s="29">
        <f>IF(OR(COUNTIF('Suivi des rencontres'!$A:$A,$A1771)&gt;0,COUNTIF('Suivi des rencontres'!$C:$C,$J1771)&gt;0),"Non","Oui")</f>
        <v/>
      </c>
      <c r="J1771" s="30" t="inlineStr">
        <is>
          <t>NOEUNOEUF</t>
        </is>
      </c>
    </row>
    <row r="1772">
      <c r="A1772" s="35" t="inlineStr">
        <is>
          <t>Route 2</t>
        </is>
      </c>
      <c r="B1772" s="35" t="inlineStr">
        <is>
          <t>Route2_hns</t>
        </is>
      </c>
      <c r="C1772" s="62" t="inlineStr">
        <is>
          <t>Nuit</t>
        </is>
      </c>
      <c r="D1772" s="36" t="inlineStr">
        <is>
          <t>Éclate-Roc</t>
        </is>
      </c>
      <c r="E1772" s="37" t="inlineStr">
        <is>
          <t>COXY</t>
        </is>
      </c>
      <c r="F1772" s="38" t="n">
        <v>0.05</v>
      </c>
      <c r="G1772" s="39" t="n">
        <v>41</v>
      </c>
      <c r="H1772" s="39" t="n">
        <v>43</v>
      </c>
      <c r="I1772" s="29">
        <f>IF(OR(COUNTIF('Suivi des rencontres'!$A:$A,$A1772)&gt;0,COUNTIF('Suivi des rencontres'!$C:$C,$J1772)&gt;0),"Non","Oui")</f>
        <v/>
      </c>
      <c r="J1772" s="30" t="inlineStr">
        <is>
          <t>COXY</t>
        </is>
      </c>
    </row>
    <row r="1773">
      <c r="A1773" s="35" t="inlineStr">
        <is>
          <t>Route 2</t>
        </is>
      </c>
      <c r="B1773" s="35" t="inlineStr">
        <is>
          <t>Route2_hns</t>
        </is>
      </c>
      <c r="C1773" s="62" t="inlineStr">
        <is>
          <t>Nuit</t>
        </is>
      </c>
      <c r="D1773" s="36" t="inlineStr">
        <is>
          <t>Éclate-Roc</t>
        </is>
      </c>
      <c r="E1773" s="37" t="inlineStr">
        <is>
          <t>MIMIGAL</t>
        </is>
      </c>
      <c r="F1773" s="38" t="n">
        <v>0.05</v>
      </c>
      <c r="G1773" s="39" t="n">
        <v>41</v>
      </c>
      <c r="H1773" s="39" t="n">
        <v>43</v>
      </c>
      <c r="I1773" s="29">
        <f>IF(OR(COUNTIF('Suivi des rencontres'!$A:$A,$A1773)&gt;0,COUNTIF('Suivi des rencontres'!$C:$C,$J1773)&gt;0),"Non","Oui")</f>
        <v/>
      </c>
      <c r="J1773" s="30" t="inlineStr">
        <is>
          <t>MIMIGAL</t>
        </is>
      </c>
    </row>
    <row r="1774">
      <c r="A1774" s="35" t="inlineStr">
        <is>
          <t>Route 2</t>
        </is>
      </c>
      <c r="B1774" s="35" t="inlineStr">
        <is>
          <t>Route2_hns</t>
        </is>
      </c>
      <c r="C1774" s="33" t="inlineStr">
        <is>
          <t>Matin, jour, soir</t>
        </is>
      </c>
      <c r="D1774" s="54" t="inlineStr">
        <is>
          <t>Vieille Canne</t>
        </is>
      </c>
      <c r="E1774" s="37" t="inlineStr">
        <is>
          <t>MAGICARPE</t>
        </is>
      </c>
      <c r="F1774" s="38" t="n">
        <v>0.7</v>
      </c>
      <c r="G1774" s="39" t="n">
        <v>41</v>
      </c>
      <c r="H1774" s="39" t="n">
        <v>43</v>
      </c>
      <c r="I1774" s="29">
        <f>IF(OR(COUNTIF('Suivi des rencontres'!$A:$A,$A1774)&gt;0,COUNTIF('Suivi des rencontres'!$C:$C,$J1774)&gt;0),"Non","Oui")</f>
        <v/>
      </c>
      <c r="J1774" s="30" t="inlineStr">
        <is>
          <t>MAGICARPE</t>
        </is>
      </c>
    </row>
    <row r="1775">
      <c r="A1775" s="35" t="inlineStr">
        <is>
          <t>Route 2</t>
        </is>
      </c>
      <c r="B1775" s="35" t="inlineStr">
        <is>
          <t>Route2_hns</t>
        </is>
      </c>
      <c r="C1775" s="33" t="inlineStr">
        <is>
          <t>Matin, jour, soir</t>
        </is>
      </c>
      <c r="D1775" s="54" t="inlineStr">
        <is>
          <t>Vieille Canne</t>
        </is>
      </c>
      <c r="E1775" s="37" t="inlineStr">
        <is>
          <t>PTITARD</t>
        </is>
      </c>
      <c r="F1775" s="38" t="n">
        <v>0.3</v>
      </c>
      <c r="G1775" s="39" t="n">
        <v>41</v>
      </c>
      <c r="H1775" s="39" t="n">
        <v>43</v>
      </c>
      <c r="I1775" s="29">
        <f>IF(OR(COUNTIF('Suivi des rencontres'!$A:$A,$A1775)&gt;0,COUNTIF('Suivi des rencontres'!$C:$C,$J1775)&gt;0),"Non","Oui")</f>
        <v/>
      </c>
      <c r="J1775" s="30" t="inlineStr">
        <is>
          <t>PTITARD</t>
        </is>
      </c>
    </row>
    <row r="1776">
      <c r="A1776" s="35" t="inlineStr">
        <is>
          <t>Route 2</t>
        </is>
      </c>
      <c r="B1776" s="35" t="inlineStr">
        <is>
          <t>Route2_hns</t>
        </is>
      </c>
      <c r="C1776" s="62" t="inlineStr">
        <is>
          <t>Nuit</t>
        </is>
      </c>
      <c r="D1776" s="54" t="inlineStr">
        <is>
          <t>Vieille Canne</t>
        </is>
      </c>
      <c r="E1776" s="37" t="inlineStr">
        <is>
          <t>MAGICARPE</t>
        </is>
      </c>
      <c r="F1776" s="38" t="n">
        <v>0.7</v>
      </c>
      <c r="G1776" s="39" t="n">
        <v>41</v>
      </c>
      <c r="H1776" s="39" t="n">
        <v>43</v>
      </c>
      <c r="I1776" s="29">
        <f>IF(OR(COUNTIF('Suivi des rencontres'!$A:$A,$A1776)&gt;0,COUNTIF('Suivi des rencontres'!$C:$C,$J1776)&gt;0),"Non","Oui")</f>
        <v/>
      </c>
      <c r="J1776" s="30" t="inlineStr">
        <is>
          <t>MAGICARPE</t>
        </is>
      </c>
    </row>
    <row r="1777">
      <c r="A1777" s="35" t="inlineStr">
        <is>
          <t>Route 2</t>
        </is>
      </c>
      <c r="B1777" s="35" t="inlineStr">
        <is>
          <t>Route2_hns</t>
        </is>
      </c>
      <c r="C1777" s="62" t="inlineStr">
        <is>
          <t>Nuit</t>
        </is>
      </c>
      <c r="D1777" s="54" t="inlineStr">
        <is>
          <t>Vieille Canne</t>
        </is>
      </c>
      <c r="E1777" s="37" t="inlineStr">
        <is>
          <t>PTITARD</t>
        </is>
      </c>
      <c r="F1777" s="38" t="n">
        <v>0.3</v>
      </c>
      <c r="G1777" s="39" t="n">
        <v>41</v>
      </c>
      <c r="H1777" s="39" t="n">
        <v>43</v>
      </c>
      <c r="I1777" s="29">
        <f>IF(OR(COUNTIF('Suivi des rencontres'!$A:$A,$A1777)&gt;0,COUNTIF('Suivi des rencontres'!$C:$C,$J1777)&gt;0),"Non","Oui")</f>
        <v/>
      </c>
      <c r="J1777" s="30" t="inlineStr">
        <is>
          <t>PTITARD</t>
        </is>
      </c>
    </row>
    <row r="1778">
      <c r="A1778" s="35" t="inlineStr">
        <is>
          <t>Route 2</t>
        </is>
      </c>
      <c r="B1778" s="35" t="inlineStr">
        <is>
          <t>Route2_hns</t>
        </is>
      </c>
      <c r="C1778" s="33" t="inlineStr">
        <is>
          <t>Matin, jour, soir</t>
        </is>
      </c>
      <c r="D1778" s="55" t="inlineStr">
        <is>
          <t>Bonne Canne</t>
        </is>
      </c>
      <c r="E1778" s="37" t="inlineStr">
        <is>
          <t>PTITARD</t>
        </is>
      </c>
      <c r="F1778" s="38" t="n">
        <v>0.8</v>
      </c>
      <c r="G1778" s="39" t="n">
        <v>42</v>
      </c>
      <c r="H1778" s="39" t="n">
        <v>44</v>
      </c>
      <c r="I1778" s="29">
        <f>IF(OR(COUNTIF('Suivi des rencontres'!$A:$A,$A1778)&gt;0,COUNTIF('Suivi des rencontres'!$C:$C,$J1778)&gt;0),"Non","Oui")</f>
        <v/>
      </c>
      <c r="J1778" s="30" t="inlineStr">
        <is>
          <t>PTITARD</t>
        </is>
      </c>
    </row>
    <row r="1779">
      <c r="A1779" s="35" t="inlineStr">
        <is>
          <t>Route 2</t>
        </is>
      </c>
      <c r="B1779" s="35" t="inlineStr">
        <is>
          <t>Route2_hns</t>
        </is>
      </c>
      <c r="C1779" s="33" t="inlineStr">
        <is>
          <t>Matin, jour, soir</t>
        </is>
      </c>
      <c r="D1779" s="55" t="inlineStr">
        <is>
          <t>Bonne Canne</t>
        </is>
      </c>
      <c r="E1779" s="37" t="inlineStr">
        <is>
          <t>MAGICARPE</t>
        </is>
      </c>
      <c r="F1779" s="38" t="n">
        <v>0.2</v>
      </c>
      <c r="G1779" s="39" t="n">
        <v>42</v>
      </c>
      <c r="H1779" s="39" t="n">
        <v>44</v>
      </c>
      <c r="I1779" s="29">
        <f>IF(OR(COUNTIF('Suivi des rencontres'!$A:$A,$A1779)&gt;0,COUNTIF('Suivi des rencontres'!$C:$C,$J1779)&gt;0),"Non","Oui")</f>
        <v/>
      </c>
      <c r="J1779" s="30" t="inlineStr">
        <is>
          <t>MAGICARPE</t>
        </is>
      </c>
    </row>
    <row r="1780">
      <c r="A1780" s="35" t="inlineStr">
        <is>
          <t>Route 2</t>
        </is>
      </c>
      <c r="B1780" s="35" t="inlineStr">
        <is>
          <t>Route2_hns</t>
        </is>
      </c>
      <c r="C1780" s="62" t="inlineStr">
        <is>
          <t>Nuit</t>
        </is>
      </c>
      <c r="D1780" s="55" t="inlineStr">
        <is>
          <t>Bonne Canne</t>
        </is>
      </c>
      <c r="E1780" s="37" t="inlineStr">
        <is>
          <t>PTITARD</t>
        </is>
      </c>
      <c r="F1780" s="38" t="n">
        <v>0.8</v>
      </c>
      <c r="G1780" s="39" t="n">
        <v>42</v>
      </c>
      <c r="H1780" s="39" t="n">
        <v>44</v>
      </c>
      <c r="I1780" s="29">
        <f>IF(OR(COUNTIF('Suivi des rencontres'!$A:$A,$A1780)&gt;0,COUNTIF('Suivi des rencontres'!$C:$C,$J1780)&gt;0),"Non","Oui")</f>
        <v/>
      </c>
      <c r="J1780" s="30" t="inlineStr">
        <is>
          <t>PTITARD</t>
        </is>
      </c>
    </row>
    <row r="1781">
      <c r="A1781" s="35" t="inlineStr">
        <is>
          <t>Route 2</t>
        </is>
      </c>
      <c r="B1781" s="35" t="inlineStr">
        <is>
          <t>Route2_hns</t>
        </is>
      </c>
      <c r="C1781" s="62" t="inlineStr">
        <is>
          <t>Nuit</t>
        </is>
      </c>
      <c r="D1781" s="55" t="inlineStr">
        <is>
          <t>Bonne Canne</t>
        </is>
      </c>
      <c r="E1781" s="37" t="inlineStr">
        <is>
          <t>MAGICARPE</t>
        </is>
      </c>
      <c r="F1781" s="38" t="n">
        <v>0.2</v>
      </c>
      <c r="G1781" s="39" t="n">
        <v>42</v>
      </c>
      <c r="H1781" s="39" t="n">
        <v>44</v>
      </c>
      <c r="I1781" s="29">
        <f>IF(OR(COUNTIF('Suivi des rencontres'!$A:$A,$A1781)&gt;0,COUNTIF('Suivi des rencontres'!$C:$C,$J1781)&gt;0),"Non","Oui")</f>
        <v/>
      </c>
      <c r="J1781" s="30" t="inlineStr">
        <is>
          <t>MAGICARPE</t>
        </is>
      </c>
    </row>
    <row r="1782">
      <c r="A1782" s="35" t="inlineStr">
        <is>
          <t>Route 2</t>
        </is>
      </c>
      <c r="B1782" s="35" t="inlineStr">
        <is>
          <t>Route2_hns</t>
        </is>
      </c>
      <c r="C1782" s="33" t="inlineStr">
        <is>
          <t>Matin, jour, soir</t>
        </is>
      </c>
      <c r="D1782" s="56" t="inlineStr">
        <is>
          <t>Super Canne</t>
        </is>
      </c>
      <c r="E1782" s="37" t="inlineStr">
        <is>
          <t>PTITARD</t>
        </is>
      </c>
      <c r="F1782" s="38" t="n">
        <v>0.55</v>
      </c>
      <c r="G1782" s="39" t="n">
        <v>40</v>
      </c>
      <c r="H1782" s="39" t="n">
        <v>40</v>
      </c>
      <c r="I1782" s="29">
        <f>IF(OR(COUNTIF('Suivi des rencontres'!$A:$A,$A1782)&gt;0,COUNTIF('Suivi des rencontres'!$C:$C,$J1782)&gt;0),"Non","Oui")</f>
        <v/>
      </c>
      <c r="J1782" s="30" t="inlineStr">
        <is>
          <t>PTITARD</t>
        </is>
      </c>
    </row>
    <row r="1783">
      <c r="A1783" s="35" t="inlineStr">
        <is>
          <t>Route 2</t>
        </is>
      </c>
      <c r="B1783" s="35" t="inlineStr">
        <is>
          <t>Route2_hns</t>
        </is>
      </c>
      <c r="C1783" s="33" t="inlineStr">
        <is>
          <t>Matin, jour, soir</t>
        </is>
      </c>
      <c r="D1783" s="56" t="inlineStr">
        <is>
          <t>Super Canne</t>
        </is>
      </c>
      <c r="E1783" s="37" t="inlineStr">
        <is>
          <t>MAGICARPE</t>
        </is>
      </c>
      <c r="F1783" s="38" t="n">
        <v>0.44</v>
      </c>
      <c r="G1783" s="39" t="n">
        <v>40</v>
      </c>
      <c r="H1783" s="39" t="n">
        <v>44</v>
      </c>
      <c r="I1783" s="29">
        <f>IF(OR(COUNTIF('Suivi des rencontres'!$A:$A,$A1783)&gt;0,COUNTIF('Suivi des rencontres'!$C:$C,$J1783)&gt;0),"Non","Oui")</f>
        <v/>
      </c>
      <c r="J1783" s="30" t="inlineStr">
        <is>
          <t>MAGICARPE</t>
        </is>
      </c>
    </row>
    <row r="1784">
      <c r="A1784" s="35" t="inlineStr">
        <is>
          <t>Route 2</t>
        </is>
      </c>
      <c r="B1784" s="35" t="inlineStr">
        <is>
          <t>Route2_hns</t>
        </is>
      </c>
      <c r="C1784" s="33" t="inlineStr">
        <is>
          <t>Matin, jour, soir</t>
        </is>
      </c>
      <c r="D1784" s="56" t="inlineStr">
        <is>
          <t>Super Canne</t>
        </is>
      </c>
      <c r="E1784" s="37" t="inlineStr">
        <is>
          <t>TETARTE</t>
        </is>
      </c>
      <c r="F1784" s="38" t="n">
        <v>0.01</v>
      </c>
      <c r="G1784" s="39" t="n">
        <v>40</v>
      </c>
      <c r="H1784" s="39" t="n">
        <v>40</v>
      </c>
      <c r="I1784" s="29">
        <f>IF(OR(COUNTIF('Suivi des rencontres'!$A:$A,$A1784)&gt;0,COUNTIF('Suivi des rencontres'!$C:$C,$J1784)&gt;0),"Non","Oui")</f>
        <v/>
      </c>
      <c r="J1784" s="30" t="inlineStr">
        <is>
          <t>PTITARD</t>
        </is>
      </c>
    </row>
    <row r="1785">
      <c r="A1785" s="35" t="inlineStr">
        <is>
          <t>Route 2</t>
        </is>
      </c>
      <c r="B1785" s="35" t="inlineStr">
        <is>
          <t>Route2_hns</t>
        </is>
      </c>
      <c r="C1785" s="62" t="inlineStr">
        <is>
          <t>Nuit</t>
        </is>
      </c>
      <c r="D1785" s="56" t="inlineStr">
        <is>
          <t>Super Canne</t>
        </is>
      </c>
      <c r="E1785" s="37" t="inlineStr">
        <is>
          <t>PTITARD</t>
        </is>
      </c>
      <c r="F1785" s="38" t="n">
        <v>0.55</v>
      </c>
      <c r="G1785" s="39" t="n">
        <v>40</v>
      </c>
      <c r="H1785" s="39" t="n">
        <v>40</v>
      </c>
      <c r="I1785" s="29">
        <f>IF(OR(COUNTIF('Suivi des rencontres'!$A:$A,$A1785)&gt;0,COUNTIF('Suivi des rencontres'!$C:$C,$J1785)&gt;0),"Non","Oui")</f>
        <v/>
      </c>
      <c r="J1785" s="30" t="inlineStr">
        <is>
          <t>PTITARD</t>
        </is>
      </c>
    </row>
    <row r="1786">
      <c r="A1786" s="35" t="inlineStr">
        <is>
          <t>Route 2</t>
        </is>
      </c>
      <c r="B1786" s="35" t="inlineStr">
        <is>
          <t>Route2_hns</t>
        </is>
      </c>
      <c r="C1786" s="62" t="inlineStr">
        <is>
          <t>Nuit</t>
        </is>
      </c>
      <c r="D1786" s="56" t="inlineStr">
        <is>
          <t>Super Canne</t>
        </is>
      </c>
      <c r="E1786" s="37" t="inlineStr">
        <is>
          <t>MAGICARPE</t>
        </is>
      </c>
      <c r="F1786" s="38" t="n">
        <v>0.44</v>
      </c>
      <c r="G1786" s="39" t="n">
        <v>40</v>
      </c>
      <c r="H1786" s="39" t="n">
        <v>44</v>
      </c>
      <c r="I1786" s="29">
        <f>IF(OR(COUNTIF('Suivi des rencontres'!$A:$A,$A1786)&gt;0,COUNTIF('Suivi des rencontres'!$C:$C,$J1786)&gt;0),"Non","Oui")</f>
        <v/>
      </c>
      <c r="J1786" s="30" t="inlineStr">
        <is>
          <t>MAGICARPE</t>
        </is>
      </c>
    </row>
    <row r="1787">
      <c r="A1787" s="35" t="inlineStr">
        <is>
          <t>Route 2</t>
        </is>
      </c>
      <c r="B1787" s="35" t="inlineStr">
        <is>
          <t>Route2_hns</t>
        </is>
      </c>
      <c r="C1787" s="62" t="inlineStr">
        <is>
          <t>Nuit</t>
        </is>
      </c>
      <c r="D1787" s="56" t="inlineStr">
        <is>
          <t>Super Canne</t>
        </is>
      </c>
      <c r="E1787" s="37" t="inlineStr">
        <is>
          <t>TETARTE</t>
        </is>
      </c>
      <c r="F1787" s="38" t="n">
        <v>0.01</v>
      </c>
      <c r="G1787" s="39" t="n">
        <v>40</v>
      </c>
      <c r="H1787" s="39" t="n">
        <v>40</v>
      </c>
      <c r="I1787" s="29">
        <f>IF(OR(COUNTIF('Suivi des rencontres'!$A:$A,$A1787)&gt;0,COUNTIF('Suivi des rencontres'!$C:$C,$J1787)&gt;0),"Non","Oui")</f>
        <v/>
      </c>
      <c r="J1787" s="30" t="inlineStr">
        <is>
          <t>PTITARD</t>
        </is>
      </c>
    </row>
    <row r="1788">
      <c r="A1788" s="40" t="inlineStr">
        <is>
          <t>Route 22</t>
        </is>
      </c>
      <c r="B1788" s="40" t="inlineStr">
        <is>
          <t>Route22_hns</t>
        </is>
      </c>
      <c r="C1788" s="41" t="inlineStr">
        <is>
          <t>Matin, jour, soir</t>
        </is>
      </c>
      <c r="D1788" s="42" t="inlineStr">
        <is>
          <t>Herbe</t>
        </is>
      </c>
      <c r="E1788" s="43" t="inlineStr">
        <is>
          <t>PIAFABEC</t>
        </is>
      </c>
      <c r="F1788" s="44" t="n">
        <v>0.35</v>
      </c>
      <c r="G1788" s="45" t="n">
        <v>43</v>
      </c>
      <c r="H1788" s="45" t="n">
        <v>49</v>
      </c>
      <c r="I1788" s="46">
        <f>IF(OR(COUNTIF('Suivi des rencontres'!$A:$A,$A1788)&gt;0,COUNTIF('Suivi des rencontres'!$C:$C,$J1788)&gt;0),"Non","Oui")</f>
        <v/>
      </c>
      <c r="J1788" s="30" t="inlineStr">
        <is>
          <t>PIAFABEC</t>
        </is>
      </c>
    </row>
    <row r="1789">
      <c r="A1789" s="47" t="inlineStr">
        <is>
          <t>Route 22</t>
        </is>
      </c>
      <c r="B1789" s="47" t="inlineStr">
        <is>
          <t>Route22_hns</t>
        </is>
      </c>
      <c r="C1789" s="48" t="inlineStr">
        <is>
          <t>Matin, jour, soir</t>
        </is>
      </c>
      <c r="D1789" s="49" t="inlineStr">
        <is>
          <t>Herbe</t>
        </is>
      </c>
      <c r="E1789" s="50" t="inlineStr">
        <is>
          <t>RATTATA</t>
        </is>
      </c>
      <c r="F1789" s="51" t="n">
        <v>0.35</v>
      </c>
      <c r="G1789" s="52" t="n">
        <v>43</v>
      </c>
      <c r="H1789" s="52" t="n">
        <v>48</v>
      </c>
      <c r="I1789" s="29">
        <f>IF(OR(COUNTIF('Suivi des rencontres'!$A:$A,$A1789)&gt;0,COUNTIF('Suivi des rencontres'!$C:$C,$J1789)&gt;0),"Non","Oui")</f>
        <v/>
      </c>
      <c r="J1789" s="30" t="inlineStr">
        <is>
          <t>RATTATA</t>
        </is>
      </c>
    </row>
    <row r="1790">
      <c r="A1790" s="47" t="inlineStr">
        <is>
          <t>Route 22</t>
        </is>
      </c>
      <c r="B1790" s="47" t="inlineStr">
        <is>
          <t>Route22_hns</t>
        </is>
      </c>
      <c r="C1790" s="48" t="inlineStr">
        <is>
          <t>Matin, jour, soir</t>
        </is>
      </c>
      <c r="D1790" s="49" t="inlineStr">
        <is>
          <t>Herbe</t>
        </is>
      </c>
      <c r="E1790" s="50" t="inlineStr">
        <is>
          <t>DODUO</t>
        </is>
      </c>
      <c r="F1790" s="51" t="n">
        <v>0.14</v>
      </c>
      <c r="G1790" s="52" t="n">
        <v>44</v>
      </c>
      <c r="H1790" s="52" t="n">
        <v>46</v>
      </c>
      <c r="I1790" s="29">
        <f>IF(OR(COUNTIF('Suivi des rencontres'!$A:$A,$A1790)&gt;0,COUNTIF('Suivi des rencontres'!$C:$C,$J1790)&gt;0),"Non","Oui")</f>
        <v/>
      </c>
      <c r="J1790" s="30" t="inlineStr">
        <is>
          <t>DODUO</t>
        </is>
      </c>
    </row>
    <row r="1791">
      <c r="A1791" s="47" t="inlineStr">
        <is>
          <t>Route 22</t>
        </is>
      </c>
      <c r="B1791" s="47" t="inlineStr">
        <is>
          <t>Route22_hns</t>
        </is>
      </c>
      <c r="C1791" s="48" t="inlineStr">
        <is>
          <t>Matin, jour, soir</t>
        </is>
      </c>
      <c r="D1791" s="49" t="inlineStr">
        <is>
          <t>Herbe</t>
        </is>
      </c>
      <c r="E1791" s="50" t="inlineStr">
        <is>
          <t>PONYTA</t>
        </is>
      </c>
      <c r="F1791" s="51" t="n">
        <v>0.11</v>
      </c>
      <c r="G1791" s="52" t="n">
        <v>44</v>
      </c>
      <c r="H1791" s="52" t="n">
        <v>48</v>
      </c>
      <c r="I1791" s="29">
        <f>IF(OR(COUNTIF('Suivi des rencontres'!$A:$A,$A1791)&gt;0,COUNTIF('Suivi des rencontres'!$C:$C,$J1791)&gt;0),"Non","Oui")</f>
        <v/>
      </c>
      <c r="J1791" s="30" t="inlineStr">
        <is>
          <t>PONYTA</t>
        </is>
      </c>
    </row>
    <row r="1792">
      <c r="A1792" s="47" t="inlineStr">
        <is>
          <t>Route 22</t>
        </is>
      </c>
      <c r="B1792" s="47" t="inlineStr">
        <is>
          <t>Route22_hns</t>
        </is>
      </c>
      <c r="C1792" s="48" t="inlineStr">
        <is>
          <t>Matin, jour, soir</t>
        </is>
      </c>
      <c r="D1792" s="49" t="inlineStr">
        <is>
          <t>Herbe</t>
        </is>
      </c>
      <c r="E1792" s="50" t="inlineStr">
        <is>
          <t>NIRONDELLE</t>
        </is>
      </c>
      <c r="F1792" s="51" t="n">
        <v>0.05</v>
      </c>
      <c r="G1792" s="52" t="n">
        <v>47</v>
      </c>
      <c r="H1792" s="52" t="n">
        <v>49</v>
      </c>
      <c r="I1792" s="29">
        <f>IF(OR(COUNTIF('Suivi des rencontres'!$A:$A,$A1792)&gt;0,COUNTIF('Suivi des rencontres'!$C:$C,$J1792)&gt;0),"Non","Oui")</f>
        <v/>
      </c>
      <c r="J1792" s="30" t="inlineStr">
        <is>
          <t>NIRONDELLE</t>
        </is>
      </c>
    </row>
    <row r="1793">
      <c r="A1793" s="47" t="inlineStr">
        <is>
          <t>Route 22</t>
        </is>
      </c>
      <c r="B1793" s="47" t="inlineStr">
        <is>
          <t>Route22_hns</t>
        </is>
      </c>
      <c r="C1793" s="62" t="inlineStr">
        <is>
          <t>Nuit</t>
        </is>
      </c>
      <c r="D1793" s="49" t="inlineStr">
        <is>
          <t>Herbe</t>
        </is>
      </c>
      <c r="E1793" s="50" t="inlineStr">
        <is>
          <t>RATTATA</t>
        </is>
      </c>
      <c r="F1793" s="51" t="n">
        <v>0.85</v>
      </c>
      <c r="G1793" s="52" t="n">
        <v>43</v>
      </c>
      <c r="H1793" s="52" t="n">
        <v>49</v>
      </c>
      <c r="I1793" s="29">
        <f>IF(OR(COUNTIF('Suivi des rencontres'!$A:$A,$A1793)&gt;0,COUNTIF('Suivi des rencontres'!$C:$C,$J1793)&gt;0),"Non","Oui")</f>
        <v/>
      </c>
      <c r="J1793" s="30" t="inlineStr">
        <is>
          <t>RATTATA</t>
        </is>
      </c>
    </row>
    <row r="1794">
      <c r="A1794" s="47" t="inlineStr">
        <is>
          <t>Route 22</t>
        </is>
      </c>
      <c r="B1794" s="47" t="inlineStr">
        <is>
          <t>Route22_hns</t>
        </is>
      </c>
      <c r="C1794" s="62" t="inlineStr">
        <is>
          <t>Nuit</t>
        </is>
      </c>
      <c r="D1794" s="49" t="inlineStr">
        <is>
          <t>Herbe</t>
        </is>
      </c>
      <c r="E1794" s="50" t="inlineStr">
        <is>
          <t>PTITARD</t>
        </is>
      </c>
      <c r="F1794" s="51" t="n">
        <v>0.1</v>
      </c>
      <c r="G1794" s="52" t="n">
        <v>43</v>
      </c>
      <c r="H1794" s="52" t="n">
        <v>46</v>
      </c>
      <c r="I1794" s="29">
        <f>IF(OR(COUNTIF('Suivi des rencontres'!$A:$A,$A1794)&gt;0,COUNTIF('Suivi des rencontres'!$C:$C,$J1794)&gt;0),"Non","Oui")</f>
        <v/>
      </c>
      <c r="J1794" s="30" t="inlineStr">
        <is>
          <t>PTITARD</t>
        </is>
      </c>
    </row>
    <row r="1795">
      <c r="A1795" s="47" t="inlineStr">
        <is>
          <t>Route 22</t>
        </is>
      </c>
      <c r="B1795" s="47" t="inlineStr">
        <is>
          <t>Route22_hns</t>
        </is>
      </c>
      <c r="C1795" s="62" t="inlineStr">
        <is>
          <t>Nuit</t>
        </is>
      </c>
      <c r="D1795" s="49" t="inlineStr">
        <is>
          <t>Herbe</t>
        </is>
      </c>
      <c r="E1795" s="50" t="inlineStr">
        <is>
          <t>NIRONDELLE</t>
        </is>
      </c>
      <c r="F1795" s="51" t="n">
        <v>0.05</v>
      </c>
      <c r="G1795" s="52" t="n">
        <v>43</v>
      </c>
      <c r="H1795" s="52" t="n">
        <v>49</v>
      </c>
      <c r="I1795" s="29">
        <f>IF(OR(COUNTIF('Suivi des rencontres'!$A:$A,$A1795)&gt;0,COUNTIF('Suivi des rencontres'!$C:$C,$J1795)&gt;0),"Non","Oui")</f>
        <v/>
      </c>
      <c r="J1795" s="30" t="inlineStr">
        <is>
          <t>NIRONDELLE</t>
        </is>
      </c>
    </row>
    <row r="1796">
      <c r="A1796" s="47" t="inlineStr">
        <is>
          <t>Route 22</t>
        </is>
      </c>
      <c r="B1796" s="47" t="inlineStr">
        <is>
          <t>Route22_hns</t>
        </is>
      </c>
      <c r="C1796" s="48" t="inlineStr">
        <is>
          <t>Matin, jour, soir</t>
        </is>
      </c>
      <c r="D1796" s="53" t="inlineStr">
        <is>
          <t>Surf</t>
        </is>
      </c>
      <c r="E1796" s="50" t="inlineStr">
        <is>
          <t>PTITARD</t>
        </is>
      </c>
      <c r="F1796" s="51" t="n">
        <v>0.96</v>
      </c>
      <c r="G1796" s="52" t="n">
        <v>45</v>
      </c>
      <c r="H1796" s="52" t="n">
        <v>47</v>
      </c>
      <c r="I1796" s="29">
        <f>IF(OR(COUNTIF('Suivi des rencontres'!$A:$A,$A1796)&gt;0,COUNTIF('Suivi des rencontres'!$C:$C,$J1796)&gt;0),"Non","Oui")</f>
        <v/>
      </c>
      <c r="J1796" s="30" t="inlineStr">
        <is>
          <t>PTITARD</t>
        </is>
      </c>
    </row>
    <row r="1797">
      <c r="A1797" s="47" t="inlineStr">
        <is>
          <t>Route 22</t>
        </is>
      </c>
      <c r="B1797" s="47" t="inlineStr">
        <is>
          <t>Route22_hns</t>
        </is>
      </c>
      <c r="C1797" s="48" t="inlineStr">
        <is>
          <t>Matin, jour, soir</t>
        </is>
      </c>
      <c r="D1797" s="53" t="inlineStr">
        <is>
          <t>Surf</t>
        </is>
      </c>
      <c r="E1797" s="50" t="inlineStr">
        <is>
          <t>TETARTE</t>
        </is>
      </c>
      <c r="F1797" s="51" t="n">
        <v>0.04</v>
      </c>
      <c r="G1797" s="52" t="n">
        <v>41</v>
      </c>
      <c r="H1797" s="52" t="n">
        <v>47</v>
      </c>
      <c r="I1797" s="29">
        <f>IF(OR(COUNTIF('Suivi des rencontres'!$A:$A,$A1797)&gt;0,COUNTIF('Suivi des rencontres'!$C:$C,$J1797)&gt;0),"Non","Oui")</f>
        <v/>
      </c>
      <c r="J1797" s="30" t="inlineStr">
        <is>
          <t>PTITARD</t>
        </is>
      </c>
    </row>
    <row r="1798">
      <c r="A1798" s="47" t="inlineStr">
        <is>
          <t>Route 22</t>
        </is>
      </c>
      <c r="B1798" s="47" t="inlineStr">
        <is>
          <t>Route22_hns</t>
        </is>
      </c>
      <c r="C1798" s="62" t="inlineStr">
        <is>
          <t>Nuit</t>
        </is>
      </c>
      <c r="D1798" s="53" t="inlineStr">
        <is>
          <t>Surf</t>
        </is>
      </c>
      <c r="E1798" s="50" t="inlineStr">
        <is>
          <t>PTITARD</t>
        </is>
      </c>
      <c r="F1798" s="51" t="n">
        <v>0.96</v>
      </c>
      <c r="G1798" s="52" t="n">
        <v>45</v>
      </c>
      <c r="H1798" s="52" t="n">
        <v>47</v>
      </c>
      <c r="I1798" s="29">
        <f>IF(OR(COUNTIF('Suivi des rencontres'!$A:$A,$A1798)&gt;0,COUNTIF('Suivi des rencontres'!$C:$C,$J1798)&gt;0),"Non","Oui")</f>
        <v/>
      </c>
      <c r="J1798" s="30" t="inlineStr">
        <is>
          <t>PTITARD</t>
        </is>
      </c>
    </row>
    <row r="1799">
      <c r="A1799" s="47" t="inlineStr">
        <is>
          <t>Route 22</t>
        </is>
      </c>
      <c r="B1799" s="47" t="inlineStr">
        <is>
          <t>Route22_hns</t>
        </is>
      </c>
      <c r="C1799" s="62" t="inlineStr">
        <is>
          <t>Nuit</t>
        </is>
      </c>
      <c r="D1799" s="53" t="inlineStr">
        <is>
          <t>Surf</t>
        </is>
      </c>
      <c r="E1799" s="50" t="inlineStr">
        <is>
          <t>TETARTE</t>
        </is>
      </c>
      <c r="F1799" s="51" t="n">
        <v>0.04</v>
      </c>
      <c r="G1799" s="52" t="n">
        <v>41</v>
      </c>
      <c r="H1799" s="52" t="n">
        <v>47</v>
      </c>
      <c r="I1799" s="29">
        <f>IF(OR(COUNTIF('Suivi des rencontres'!$A:$A,$A1799)&gt;0,COUNTIF('Suivi des rencontres'!$C:$C,$J1799)&gt;0),"Non","Oui")</f>
        <v/>
      </c>
      <c r="J1799" s="30" t="inlineStr">
        <is>
          <t>PTITARD</t>
        </is>
      </c>
    </row>
    <row r="1800">
      <c r="A1800" s="47" t="inlineStr">
        <is>
          <t>Route 22</t>
        </is>
      </c>
      <c r="B1800" s="47" t="inlineStr">
        <is>
          <t>Route22_hns</t>
        </is>
      </c>
      <c r="C1800" s="48" t="inlineStr">
        <is>
          <t>Matin, jour, soir</t>
        </is>
      </c>
      <c r="D1800" s="54" t="inlineStr">
        <is>
          <t>Vieille Canne</t>
        </is>
      </c>
      <c r="E1800" s="50" t="inlineStr">
        <is>
          <t>MAGICARPE</t>
        </is>
      </c>
      <c r="F1800" s="51" t="n">
        <v>0.7</v>
      </c>
      <c r="G1800" s="52" t="n">
        <v>41</v>
      </c>
      <c r="H1800" s="52" t="n">
        <v>43</v>
      </c>
      <c r="I1800" s="29">
        <f>IF(OR(COUNTIF('Suivi des rencontres'!$A:$A,$A1800)&gt;0,COUNTIF('Suivi des rencontres'!$C:$C,$J1800)&gt;0),"Non","Oui")</f>
        <v/>
      </c>
      <c r="J1800" s="30" t="inlineStr">
        <is>
          <t>MAGICARPE</t>
        </is>
      </c>
    </row>
    <row r="1801">
      <c r="A1801" s="47" t="inlineStr">
        <is>
          <t>Route 22</t>
        </is>
      </c>
      <c r="B1801" s="47" t="inlineStr">
        <is>
          <t>Route22_hns</t>
        </is>
      </c>
      <c r="C1801" s="48" t="inlineStr">
        <is>
          <t>Matin, jour, soir</t>
        </is>
      </c>
      <c r="D1801" s="54" t="inlineStr">
        <is>
          <t>Vieille Canne</t>
        </is>
      </c>
      <c r="E1801" s="50" t="inlineStr">
        <is>
          <t>PTITARD</t>
        </is>
      </c>
      <c r="F1801" s="51" t="n">
        <v>0.3</v>
      </c>
      <c r="G1801" s="52" t="n">
        <v>41</v>
      </c>
      <c r="H1801" s="52" t="n">
        <v>43</v>
      </c>
      <c r="I1801" s="29">
        <f>IF(OR(COUNTIF('Suivi des rencontres'!$A:$A,$A1801)&gt;0,COUNTIF('Suivi des rencontres'!$C:$C,$J1801)&gt;0),"Non","Oui")</f>
        <v/>
      </c>
      <c r="J1801" s="30" t="inlineStr">
        <is>
          <t>PTITARD</t>
        </is>
      </c>
    </row>
    <row r="1802">
      <c r="A1802" s="47" t="inlineStr">
        <is>
          <t>Route 22</t>
        </is>
      </c>
      <c r="B1802" s="47" t="inlineStr">
        <is>
          <t>Route22_hns</t>
        </is>
      </c>
      <c r="C1802" s="62" t="inlineStr">
        <is>
          <t>Nuit</t>
        </is>
      </c>
      <c r="D1802" s="54" t="inlineStr">
        <is>
          <t>Vieille Canne</t>
        </is>
      </c>
      <c r="E1802" s="50" t="inlineStr">
        <is>
          <t>MAGICARPE</t>
        </is>
      </c>
      <c r="F1802" s="51" t="n">
        <v>0.7</v>
      </c>
      <c r="G1802" s="52" t="n">
        <v>41</v>
      </c>
      <c r="H1802" s="52" t="n">
        <v>43</v>
      </c>
      <c r="I1802" s="29">
        <f>IF(OR(COUNTIF('Suivi des rencontres'!$A:$A,$A1802)&gt;0,COUNTIF('Suivi des rencontres'!$C:$C,$J1802)&gt;0),"Non","Oui")</f>
        <v/>
      </c>
      <c r="J1802" s="30" t="inlineStr">
        <is>
          <t>MAGICARPE</t>
        </is>
      </c>
    </row>
    <row r="1803">
      <c r="A1803" s="47" t="inlineStr">
        <is>
          <t>Route 22</t>
        </is>
      </c>
      <c r="B1803" s="47" t="inlineStr">
        <is>
          <t>Route22_hns</t>
        </is>
      </c>
      <c r="C1803" s="62" t="inlineStr">
        <is>
          <t>Nuit</t>
        </is>
      </c>
      <c r="D1803" s="54" t="inlineStr">
        <is>
          <t>Vieille Canne</t>
        </is>
      </c>
      <c r="E1803" s="50" t="inlineStr">
        <is>
          <t>PTITARD</t>
        </is>
      </c>
      <c r="F1803" s="51" t="n">
        <v>0.3</v>
      </c>
      <c r="G1803" s="52" t="n">
        <v>41</v>
      </c>
      <c r="H1803" s="52" t="n">
        <v>43</v>
      </c>
      <c r="I1803" s="29">
        <f>IF(OR(COUNTIF('Suivi des rencontres'!$A:$A,$A1803)&gt;0,COUNTIF('Suivi des rencontres'!$C:$C,$J1803)&gt;0),"Non","Oui")</f>
        <v/>
      </c>
      <c r="J1803" s="30" t="inlineStr">
        <is>
          <t>PTITARD</t>
        </is>
      </c>
    </row>
    <row r="1804">
      <c r="A1804" s="47" t="inlineStr">
        <is>
          <t>Route 22</t>
        </is>
      </c>
      <c r="B1804" s="47" t="inlineStr">
        <is>
          <t>Route22_hns</t>
        </is>
      </c>
      <c r="C1804" s="48" t="inlineStr">
        <is>
          <t>Matin, jour, soir</t>
        </is>
      </c>
      <c r="D1804" s="55" t="inlineStr">
        <is>
          <t>Bonne Canne</t>
        </is>
      </c>
      <c r="E1804" s="50" t="inlineStr">
        <is>
          <t>PTITARD</t>
        </is>
      </c>
      <c r="F1804" s="51" t="n">
        <v>0.8</v>
      </c>
      <c r="G1804" s="52" t="n">
        <v>42</v>
      </c>
      <c r="H1804" s="52" t="n">
        <v>44</v>
      </c>
      <c r="I1804" s="29">
        <f>IF(OR(COUNTIF('Suivi des rencontres'!$A:$A,$A1804)&gt;0,COUNTIF('Suivi des rencontres'!$C:$C,$J1804)&gt;0),"Non","Oui")</f>
        <v/>
      </c>
      <c r="J1804" s="30" t="inlineStr">
        <is>
          <t>PTITARD</t>
        </is>
      </c>
    </row>
    <row r="1805">
      <c r="A1805" s="47" t="inlineStr">
        <is>
          <t>Route 22</t>
        </is>
      </c>
      <c r="B1805" s="47" t="inlineStr">
        <is>
          <t>Route22_hns</t>
        </is>
      </c>
      <c r="C1805" s="48" t="inlineStr">
        <is>
          <t>Matin, jour, soir</t>
        </is>
      </c>
      <c r="D1805" s="55" t="inlineStr">
        <is>
          <t>Bonne Canne</t>
        </is>
      </c>
      <c r="E1805" s="50" t="inlineStr">
        <is>
          <t>MAGICARPE</t>
        </is>
      </c>
      <c r="F1805" s="51" t="n">
        <v>0.2</v>
      </c>
      <c r="G1805" s="52" t="n">
        <v>42</v>
      </c>
      <c r="H1805" s="52" t="n">
        <v>44</v>
      </c>
      <c r="I1805" s="29">
        <f>IF(OR(COUNTIF('Suivi des rencontres'!$A:$A,$A1805)&gt;0,COUNTIF('Suivi des rencontres'!$C:$C,$J1805)&gt;0),"Non","Oui")</f>
        <v/>
      </c>
      <c r="J1805" s="30" t="inlineStr">
        <is>
          <t>MAGICARPE</t>
        </is>
      </c>
    </row>
    <row r="1806">
      <c r="A1806" s="47" t="inlineStr">
        <is>
          <t>Route 22</t>
        </is>
      </c>
      <c r="B1806" s="47" t="inlineStr">
        <is>
          <t>Route22_hns</t>
        </is>
      </c>
      <c r="C1806" s="62" t="inlineStr">
        <is>
          <t>Nuit</t>
        </is>
      </c>
      <c r="D1806" s="55" t="inlineStr">
        <is>
          <t>Bonne Canne</t>
        </is>
      </c>
      <c r="E1806" s="50" t="inlineStr">
        <is>
          <t>PTITARD</t>
        </is>
      </c>
      <c r="F1806" s="51" t="n">
        <v>0.8</v>
      </c>
      <c r="G1806" s="52" t="n">
        <v>42</v>
      </c>
      <c r="H1806" s="52" t="n">
        <v>44</v>
      </c>
      <c r="I1806" s="29">
        <f>IF(OR(COUNTIF('Suivi des rencontres'!$A:$A,$A1806)&gt;0,COUNTIF('Suivi des rencontres'!$C:$C,$J1806)&gt;0),"Non","Oui")</f>
        <v/>
      </c>
      <c r="J1806" s="30" t="inlineStr">
        <is>
          <t>PTITARD</t>
        </is>
      </c>
    </row>
    <row r="1807">
      <c r="A1807" s="47" t="inlineStr">
        <is>
          <t>Route 22</t>
        </is>
      </c>
      <c r="B1807" s="47" t="inlineStr">
        <is>
          <t>Route22_hns</t>
        </is>
      </c>
      <c r="C1807" s="62" t="inlineStr">
        <is>
          <t>Nuit</t>
        </is>
      </c>
      <c r="D1807" s="55" t="inlineStr">
        <is>
          <t>Bonne Canne</t>
        </is>
      </c>
      <c r="E1807" s="50" t="inlineStr">
        <is>
          <t>MAGICARPE</t>
        </is>
      </c>
      <c r="F1807" s="51" t="n">
        <v>0.2</v>
      </c>
      <c r="G1807" s="52" t="n">
        <v>42</v>
      </c>
      <c r="H1807" s="52" t="n">
        <v>44</v>
      </c>
      <c r="I1807" s="29">
        <f>IF(OR(COUNTIF('Suivi des rencontres'!$A:$A,$A1807)&gt;0,COUNTIF('Suivi des rencontres'!$C:$C,$J1807)&gt;0),"Non","Oui")</f>
        <v/>
      </c>
      <c r="J1807" s="30" t="inlineStr">
        <is>
          <t>MAGICARPE</t>
        </is>
      </c>
    </row>
    <row r="1808">
      <c r="A1808" s="47" t="inlineStr">
        <is>
          <t>Route 22</t>
        </is>
      </c>
      <c r="B1808" s="47" t="inlineStr">
        <is>
          <t>Route22_hns</t>
        </is>
      </c>
      <c r="C1808" s="48" t="inlineStr">
        <is>
          <t>Matin, jour, soir</t>
        </is>
      </c>
      <c r="D1808" s="56" t="inlineStr">
        <is>
          <t>Super Canne</t>
        </is>
      </c>
      <c r="E1808" s="50" t="inlineStr">
        <is>
          <t>PTITARD</t>
        </is>
      </c>
      <c r="F1808" s="51" t="n">
        <v>0.55</v>
      </c>
      <c r="G1808" s="52" t="n">
        <v>40</v>
      </c>
      <c r="H1808" s="52" t="n">
        <v>40</v>
      </c>
      <c r="I1808" s="29">
        <f>IF(OR(COUNTIF('Suivi des rencontres'!$A:$A,$A1808)&gt;0,COUNTIF('Suivi des rencontres'!$C:$C,$J1808)&gt;0),"Non","Oui")</f>
        <v/>
      </c>
      <c r="J1808" s="30" t="inlineStr">
        <is>
          <t>PTITARD</t>
        </is>
      </c>
    </row>
    <row r="1809">
      <c r="A1809" s="47" t="inlineStr">
        <is>
          <t>Route 22</t>
        </is>
      </c>
      <c r="B1809" s="47" t="inlineStr">
        <is>
          <t>Route22_hns</t>
        </is>
      </c>
      <c r="C1809" s="48" t="inlineStr">
        <is>
          <t>Matin, jour, soir</t>
        </is>
      </c>
      <c r="D1809" s="56" t="inlineStr">
        <is>
          <t>Super Canne</t>
        </is>
      </c>
      <c r="E1809" s="50" t="inlineStr">
        <is>
          <t>MAGICARPE</t>
        </is>
      </c>
      <c r="F1809" s="51" t="n">
        <v>0.44</v>
      </c>
      <c r="G1809" s="52" t="n">
        <v>40</v>
      </c>
      <c r="H1809" s="52" t="n">
        <v>44</v>
      </c>
      <c r="I1809" s="29">
        <f>IF(OR(COUNTIF('Suivi des rencontres'!$A:$A,$A1809)&gt;0,COUNTIF('Suivi des rencontres'!$C:$C,$J1809)&gt;0),"Non","Oui")</f>
        <v/>
      </c>
      <c r="J1809" s="30" t="inlineStr">
        <is>
          <t>MAGICARPE</t>
        </is>
      </c>
    </row>
    <row r="1810">
      <c r="A1810" s="47" t="inlineStr">
        <is>
          <t>Route 22</t>
        </is>
      </c>
      <c r="B1810" s="47" t="inlineStr">
        <is>
          <t>Route22_hns</t>
        </is>
      </c>
      <c r="C1810" s="48" t="inlineStr">
        <is>
          <t>Matin, jour, soir</t>
        </is>
      </c>
      <c r="D1810" s="56" t="inlineStr">
        <is>
          <t>Super Canne</t>
        </is>
      </c>
      <c r="E1810" s="50" t="inlineStr">
        <is>
          <t>TETARTE</t>
        </is>
      </c>
      <c r="F1810" s="51" t="n">
        <v>0.01</v>
      </c>
      <c r="G1810" s="52" t="n">
        <v>40</v>
      </c>
      <c r="H1810" s="52" t="n">
        <v>40</v>
      </c>
      <c r="I1810" s="29">
        <f>IF(OR(COUNTIF('Suivi des rencontres'!$A:$A,$A1810)&gt;0,COUNTIF('Suivi des rencontres'!$C:$C,$J1810)&gt;0),"Non","Oui")</f>
        <v/>
      </c>
      <c r="J1810" s="30" t="inlineStr">
        <is>
          <t>PTITARD</t>
        </is>
      </c>
    </row>
    <row r="1811">
      <c r="A1811" s="47" t="inlineStr">
        <is>
          <t>Route 22</t>
        </is>
      </c>
      <c r="B1811" s="47" t="inlineStr">
        <is>
          <t>Route22_hns</t>
        </is>
      </c>
      <c r="C1811" s="62" t="inlineStr">
        <is>
          <t>Nuit</t>
        </is>
      </c>
      <c r="D1811" s="56" t="inlineStr">
        <is>
          <t>Super Canne</t>
        </is>
      </c>
      <c r="E1811" s="50" t="inlineStr">
        <is>
          <t>PTITARD</t>
        </is>
      </c>
      <c r="F1811" s="51" t="n">
        <v>0.55</v>
      </c>
      <c r="G1811" s="52" t="n">
        <v>40</v>
      </c>
      <c r="H1811" s="52" t="n">
        <v>40</v>
      </c>
      <c r="I1811" s="29">
        <f>IF(OR(COUNTIF('Suivi des rencontres'!$A:$A,$A1811)&gt;0,COUNTIF('Suivi des rencontres'!$C:$C,$J1811)&gt;0),"Non","Oui")</f>
        <v/>
      </c>
      <c r="J1811" s="30" t="inlineStr">
        <is>
          <t>PTITARD</t>
        </is>
      </c>
    </row>
    <row r="1812">
      <c r="A1812" s="47" t="inlineStr">
        <is>
          <t>Route 22</t>
        </is>
      </c>
      <c r="B1812" s="47" t="inlineStr">
        <is>
          <t>Route22_hns</t>
        </is>
      </c>
      <c r="C1812" s="62" t="inlineStr">
        <is>
          <t>Nuit</t>
        </is>
      </c>
      <c r="D1812" s="56" t="inlineStr">
        <is>
          <t>Super Canne</t>
        </is>
      </c>
      <c r="E1812" s="50" t="inlineStr">
        <is>
          <t>MAGICARPE</t>
        </is>
      </c>
      <c r="F1812" s="51" t="n">
        <v>0.44</v>
      </c>
      <c r="G1812" s="52" t="n">
        <v>40</v>
      </c>
      <c r="H1812" s="52" t="n">
        <v>44</v>
      </c>
      <c r="I1812" s="29">
        <f>IF(OR(COUNTIF('Suivi des rencontres'!$A:$A,$A1812)&gt;0,COUNTIF('Suivi des rencontres'!$C:$C,$J1812)&gt;0),"Non","Oui")</f>
        <v/>
      </c>
      <c r="J1812" s="30" t="inlineStr">
        <is>
          <t>MAGICARPE</t>
        </is>
      </c>
    </row>
    <row r="1813">
      <c r="A1813" s="47" t="inlineStr">
        <is>
          <t>Route 22</t>
        </is>
      </c>
      <c r="B1813" s="47" t="inlineStr">
        <is>
          <t>Route22_hns</t>
        </is>
      </c>
      <c r="C1813" s="62" t="inlineStr">
        <is>
          <t>Nuit</t>
        </is>
      </c>
      <c r="D1813" s="56" t="inlineStr">
        <is>
          <t>Super Canne</t>
        </is>
      </c>
      <c r="E1813" s="50" t="inlineStr">
        <is>
          <t>TETARTE</t>
        </is>
      </c>
      <c r="F1813" s="51" t="n">
        <v>0.01</v>
      </c>
      <c r="G1813" s="52" t="n">
        <v>40</v>
      </c>
      <c r="H1813" s="52" t="n">
        <v>40</v>
      </c>
      <c r="I1813" s="29">
        <f>IF(OR(COUNTIF('Suivi des rencontres'!$A:$A,$A1813)&gt;0,COUNTIF('Suivi des rencontres'!$C:$C,$J1813)&gt;0),"Non","Oui")</f>
        <v/>
      </c>
      <c r="J1813" s="30" t="inlineStr">
        <is>
          <t>PTITARD</t>
        </is>
      </c>
    </row>
    <row r="1814">
      <c r="A1814" s="57" t="inlineStr">
        <is>
          <t>Route 24</t>
        </is>
      </c>
      <c r="B1814" s="57" t="inlineStr">
        <is>
          <t>Route24_hns</t>
        </is>
      </c>
      <c r="C1814" s="58" t="inlineStr">
        <is>
          <t>Matin, jour, soir</t>
        </is>
      </c>
      <c r="D1814" s="42" t="inlineStr">
        <is>
          <t>Herbe</t>
        </is>
      </c>
      <c r="E1814" s="59" t="inlineStr">
        <is>
          <t>CHENIPAN</t>
        </is>
      </c>
      <c r="F1814" s="60" t="n">
        <v>0.34</v>
      </c>
      <c r="G1814" s="61" t="n">
        <v>48</v>
      </c>
      <c r="H1814" s="61" t="n">
        <v>48</v>
      </c>
      <c r="I1814" s="46">
        <f>IF(OR(COUNTIF('Suivi des rencontres'!$A:$A,$A1814)&gt;0,COUNTIF('Suivi des rencontres'!$C:$C,$J1814)&gt;0),"Non","Oui")</f>
        <v/>
      </c>
      <c r="J1814" s="30" t="inlineStr">
        <is>
          <t>CHENIPAN</t>
        </is>
      </c>
    </row>
    <row r="1815">
      <c r="A1815" s="35" t="inlineStr">
        <is>
          <t>Route 24</t>
        </is>
      </c>
      <c r="B1815" s="35" t="inlineStr">
        <is>
          <t>Route24_hns</t>
        </is>
      </c>
      <c r="C1815" s="33" t="inlineStr">
        <is>
          <t>Matin, jour, soir</t>
        </is>
      </c>
      <c r="D1815" s="49" t="inlineStr">
        <is>
          <t>Herbe</t>
        </is>
      </c>
      <c r="E1815" s="37" t="inlineStr">
        <is>
          <t>TOURNEGRIN</t>
        </is>
      </c>
      <c r="F1815" s="38" t="n">
        <v>0.3</v>
      </c>
      <c r="G1815" s="39" t="n">
        <v>43</v>
      </c>
      <c r="H1815" s="39" t="n">
        <v>45</v>
      </c>
      <c r="I1815" s="29">
        <f>IF(OR(COUNTIF('Suivi des rencontres'!$A:$A,$A1815)&gt;0,COUNTIF('Suivi des rencontres'!$C:$C,$J1815)&gt;0),"Non","Oui")</f>
        <v/>
      </c>
      <c r="J1815" s="30" t="inlineStr">
        <is>
          <t>TOURNEGRIN</t>
        </is>
      </c>
    </row>
    <row r="1816">
      <c r="A1816" s="35" t="inlineStr">
        <is>
          <t>Route 24</t>
        </is>
      </c>
      <c r="B1816" s="35" t="inlineStr">
        <is>
          <t>Route24_hns</t>
        </is>
      </c>
      <c r="C1816" s="33" t="inlineStr">
        <is>
          <t>Matin, jour, soir</t>
        </is>
      </c>
      <c r="D1816" s="49" t="inlineStr">
        <is>
          <t>Herbe</t>
        </is>
      </c>
      <c r="E1816" s="37" t="inlineStr">
        <is>
          <t>ABRA</t>
        </is>
      </c>
      <c r="F1816" s="38" t="n">
        <v>0.14</v>
      </c>
      <c r="G1816" s="39" t="n">
        <v>43</v>
      </c>
      <c r="H1816" s="39" t="n">
        <v>45</v>
      </c>
      <c r="I1816" s="29">
        <f>IF(OR(COUNTIF('Suivi des rencontres'!$A:$A,$A1816)&gt;0,COUNTIF('Suivi des rencontres'!$C:$C,$J1816)&gt;0),"Non","Oui")</f>
        <v/>
      </c>
      <c r="J1816" s="30" t="inlineStr">
        <is>
          <t>ABRA</t>
        </is>
      </c>
    </row>
    <row r="1817">
      <c r="A1817" s="35" t="inlineStr">
        <is>
          <t>Route 24</t>
        </is>
      </c>
      <c r="B1817" s="35" t="inlineStr">
        <is>
          <t>Route24_hns</t>
        </is>
      </c>
      <c r="C1817" s="33" t="inlineStr">
        <is>
          <t>Matin, jour, soir</t>
        </is>
      </c>
      <c r="D1817" s="49" t="inlineStr">
        <is>
          <t>Herbe</t>
        </is>
      </c>
      <c r="E1817" s="37" t="inlineStr">
        <is>
          <t>CHETIFLOR</t>
        </is>
      </c>
      <c r="F1817" s="38" t="n">
        <v>0.1</v>
      </c>
      <c r="G1817" s="39" t="n">
        <v>41</v>
      </c>
      <c r="H1817" s="39" t="n">
        <v>43</v>
      </c>
      <c r="I1817" s="29">
        <f>IF(OR(COUNTIF('Suivi des rencontres'!$A:$A,$A1817)&gt;0,COUNTIF('Suivi des rencontres'!$C:$C,$J1817)&gt;0),"Non","Oui")</f>
        <v/>
      </c>
      <c r="J1817" s="30" t="inlineStr">
        <is>
          <t>CHETIFLOR</t>
        </is>
      </c>
    </row>
    <row r="1818">
      <c r="A1818" s="35" t="inlineStr">
        <is>
          <t>Route 24</t>
        </is>
      </c>
      <c r="B1818" s="35" t="inlineStr">
        <is>
          <t>Route24_hns</t>
        </is>
      </c>
      <c r="C1818" s="33" t="inlineStr">
        <is>
          <t>Matin, jour, soir</t>
        </is>
      </c>
      <c r="D1818" s="49" t="inlineStr">
        <is>
          <t>Herbe</t>
        </is>
      </c>
      <c r="E1818" s="37" t="inlineStr">
        <is>
          <t>ARAKDO</t>
        </is>
      </c>
      <c r="F1818" s="38" t="n">
        <v>0.05</v>
      </c>
      <c r="G1818" s="39" t="n">
        <v>48</v>
      </c>
      <c r="H1818" s="39" t="n">
        <v>48</v>
      </c>
      <c r="I1818" s="29">
        <f>IF(OR(COUNTIF('Suivi des rencontres'!$A:$A,$A1818)&gt;0,COUNTIF('Suivi des rencontres'!$C:$C,$J1818)&gt;0),"Non","Oui")</f>
        <v/>
      </c>
      <c r="J1818" s="30" t="inlineStr">
        <is>
          <t>ARAKDO</t>
        </is>
      </c>
    </row>
    <row r="1819">
      <c r="A1819" s="35" t="inlineStr">
        <is>
          <t>Route 24</t>
        </is>
      </c>
      <c r="B1819" s="35" t="inlineStr">
        <is>
          <t>Route24_hns</t>
        </is>
      </c>
      <c r="C1819" s="33" t="inlineStr">
        <is>
          <t>Matin, jour, soir</t>
        </is>
      </c>
      <c r="D1819" s="49" t="inlineStr">
        <is>
          <t>Herbe</t>
        </is>
      </c>
      <c r="E1819" s="37" t="inlineStr">
        <is>
          <t>CHRYSACIER</t>
        </is>
      </c>
      <c r="F1819" s="38" t="n">
        <v>0.05</v>
      </c>
      <c r="G1819" s="39" t="n">
        <v>43</v>
      </c>
      <c r="H1819" s="39" t="n">
        <v>45</v>
      </c>
      <c r="I1819" s="29">
        <f>IF(OR(COUNTIF('Suivi des rencontres'!$A:$A,$A1819)&gt;0,COUNTIF('Suivi des rencontres'!$C:$C,$J1819)&gt;0),"Non","Oui")</f>
        <v/>
      </c>
      <c r="J1819" s="30" t="inlineStr">
        <is>
          <t>CHENIPAN</t>
        </is>
      </c>
    </row>
    <row r="1820">
      <c r="A1820" s="35" t="inlineStr">
        <is>
          <t>Route 24</t>
        </is>
      </c>
      <c r="B1820" s="35" t="inlineStr">
        <is>
          <t>Route24_hns</t>
        </is>
      </c>
      <c r="C1820" s="33" t="inlineStr">
        <is>
          <t>Matin, jour, soir</t>
        </is>
      </c>
      <c r="D1820" s="49" t="inlineStr">
        <is>
          <t>Herbe</t>
        </is>
      </c>
      <c r="E1820" s="37" t="inlineStr">
        <is>
          <t>PAPILUSION</t>
        </is>
      </c>
      <c r="F1820" s="38" t="n">
        <v>0.02</v>
      </c>
      <c r="G1820" s="39" t="n">
        <v>45</v>
      </c>
      <c r="H1820" s="39" t="n">
        <v>47</v>
      </c>
      <c r="I1820" s="29">
        <f>IF(OR(COUNTIF('Suivi des rencontres'!$A:$A,$A1820)&gt;0,COUNTIF('Suivi des rencontres'!$C:$C,$J1820)&gt;0),"Non","Oui")</f>
        <v/>
      </c>
      <c r="J1820" s="30" t="inlineStr">
        <is>
          <t>CHENIPAN</t>
        </is>
      </c>
    </row>
    <row r="1821">
      <c r="A1821" s="35" t="inlineStr">
        <is>
          <t>Route 24</t>
        </is>
      </c>
      <c r="B1821" s="35" t="inlineStr">
        <is>
          <t>Route24_hns</t>
        </is>
      </c>
      <c r="C1821" s="62" t="inlineStr">
        <is>
          <t>Nuit</t>
        </is>
      </c>
      <c r="D1821" s="49" t="inlineStr">
        <is>
          <t>Herbe</t>
        </is>
      </c>
      <c r="E1821" s="37" t="inlineStr">
        <is>
          <t>MIMITOSS</t>
        </is>
      </c>
      <c r="F1821" s="38" t="n">
        <v>0.4</v>
      </c>
      <c r="G1821" s="39" t="n">
        <v>41</v>
      </c>
      <c r="H1821" s="39" t="n">
        <v>45</v>
      </c>
      <c r="I1821" s="29">
        <f>IF(OR(COUNTIF('Suivi des rencontres'!$A:$A,$A1821)&gt;0,COUNTIF('Suivi des rencontres'!$C:$C,$J1821)&gt;0),"Non","Oui")</f>
        <v/>
      </c>
      <c r="J1821" s="30" t="inlineStr">
        <is>
          <t>MIMITOSS</t>
        </is>
      </c>
    </row>
    <row r="1822">
      <c r="A1822" s="35" t="inlineStr">
        <is>
          <t>Route 24</t>
        </is>
      </c>
      <c r="B1822" s="35" t="inlineStr">
        <is>
          <t>Route24_hns</t>
        </is>
      </c>
      <c r="C1822" s="62" t="inlineStr">
        <is>
          <t>Nuit</t>
        </is>
      </c>
      <c r="D1822" s="49" t="inlineStr">
        <is>
          <t>Herbe</t>
        </is>
      </c>
      <c r="E1822" s="37" t="inlineStr">
        <is>
          <t>MYSTHERBE</t>
        </is>
      </c>
      <c r="F1822" s="38" t="n">
        <v>0.29</v>
      </c>
      <c r="G1822" s="39" t="n">
        <v>41</v>
      </c>
      <c r="H1822" s="39" t="n">
        <v>45</v>
      </c>
      <c r="I1822" s="29">
        <f>IF(OR(COUNTIF('Suivi des rencontres'!$A:$A,$A1822)&gt;0,COUNTIF('Suivi des rencontres'!$C:$C,$J1822)&gt;0),"Non","Oui")</f>
        <v/>
      </c>
      <c r="J1822" s="30" t="inlineStr">
        <is>
          <t>MYSTHERBE</t>
        </is>
      </c>
    </row>
    <row r="1823">
      <c r="A1823" s="35" t="inlineStr">
        <is>
          <t>Route 24</t>
        </is>
      </c>
      <c r="B1823" s="35" t="inlineStr">
        <is>
          <t>Route24_hns</t>
        </is>
      </c>
      <c r="C1823" s="62" t="inlineStr">
        <is>
          <t>Nuit</t>
        </is>
      </c>
      <c r="D1823" s="49" t="inlineStr">
        <is>
          <t>Herbe</t>
        </is>
      </c>
      <c r="E1823" s="37" t="inlineStr">
        <is>
          <t>ABRA</t>
        </is>
      </c>
      <c r="F1823" s="38" t="n">
        <v>0.14</v>
      </c>
      <c r="G1823" s="39" t="n">
        <v>43</v>
      </c>
      <c r="H1823" s="39" t="n">
        <v>45</v>
      </c>
      <c r="I1823" s="29">
        <f>IF(OR(COUNTIF('Suivi des rencontres'!$A:$A,$A1823)&gt;0,COUNTIF('Suivi des rencontres'!$C:$C,$J1823)&gt;0),"Non","Oui")</f>
        <v/>
      </c>
      <c r="J1823" s="30" t="inlineStr">
        <is>
          <t>ABRA</t>
        </is>
      </c>
    </row>
    <row r="1824">
      <c r="A1824" s="35" t="inlineStr">
        <is>
          <t>Route 24</t>
        </is>
      </c>
      <c r="B1824" s="35" t="inlineStr">
        <is>
          <t>Route24_hns</t>
        </is>
      </c>
      <c r="C1824" s="62" t="inlineStr">
        <is>
          <t>Nuit</t>
        </is>
      </c>
      <c r="D1824" s="49" t="inlineStr">
        <is>
          <t>Herbe</t>
        </is>
      </c>
      <c r="E1824" s="37" t="inlineStr">
        <is>
          <t>CHETIFLOR</t>
        </is>
      </c>
      <c r="F1824" s="38" t="n">
        <v>0.1</v>
      </c>
      <c r="G1824" s="39" t="n">
        <v>41</v>
      </c>
      <c r="H1824" s="39" t="n">
        <v>43</v>
      </c>
      <c r="I1824" s="29">
        <f>IF(OR(COUNTIF('Suivi des rencontres'!$A:$A,$A1824)&gt;0,COUNTIF('Suivi des rencontres'!$C:$C,$J1824)&gt;0),"Non","Oui")</f>
        <v/>
      </c>
      <c r="J1824" s="30" t="inlineStr">
        <is>
          <t>CHETIFLOR</t>
        </is>
      </c>
    </row>
    <row r="1825">
      <c r="A1825" s="35" t="inlineStr">
        <is>
          <t>Route 24</t>
        </is>
      </c>
      <c r="B1825" s="35" t="inlineStr">
        <is>
          <t>Route24_hns</t>
        </is>
      </c>
      <c r="C1825" s="62" t="inlineStr">
        <is>
          <t>Nuit</t>
        </is>
      </c>
      <c r="D1825" s="49" t="inlineStr">
        <is>
          <t>Herbe</t>
        </is>
      </c>
      <c r="E1825" s="37" t="inlineStr">
        <is>
          <t>SPOINK</t>
        </is>
      </c>
      <c r="F1825" s="38" t="n">
        <v>0.05</v>
      </c>
      <c r="G1825" s="39" t="n">
        <v>41</v>
      </c>
      <c r="H1825" s="39" t="n">
        <v>43</v>
      </c>
      <c r="I1825" s="29">
        <f>IF(OR(COUNTIF('Suivi des rencontres'!$A:$A,$A1825)&gt;0,COUNTIF('Suivi des rencontres'!$C:$C,$J1825)&gt;0),"Non","Oui")</f>
        <v/>
      </c>
      <c r="J1825" s="30" t="inlineStr">
        <is>
          <t>SPOINK</t>
        </is>
      </c>
    </row>
    <row r="1826">
      <c r="A1826" s="35" t="inlineStr">
        <is>
          <t>Route 24</t>
        </is>
      </c>
      <c r="B1826" s="35" t="inlineStr">
        <is>
          <t>Route24_hns</t>
        </is>
      </c>
      <c r="C1826" s="62" t="inlineStr">
        <is>
          <t>Nuit</t>
        </is>
      </c>
      <c r="D1826" s="49" t="inlineStr">
        <is>
          <t>Herbe</t>
        </is>
      </c>
      <c r="E1826" s="37" t="inlineStr">
        <is>
          <t>ORTIDE</t>
        </is>
      </c>
      <c r="F1826" s="38" t="n">
        <v>0.02</v>
      </c>
      <c r="G1826" s="39" t="n">
        <v>45</v>
      </c>
      <c r="H1826" s="39" t="n">
        <v>47</v>
      </c>
      <c r="I1826" s="29">
        <f>IF(OR(COUNTIF('Suivi des rencontres'!$A:$A,$A1826)&gt;0,COUNTIF('Suivi des rencontres'!$C:$C,$J1826)&gt;0),"Non","Oui")</f>
        <v/>
      </c>
      <c r="J1826" s="30" t="inlineStr">
        <is>
          <t>MYSTHERBE</t>
        </is>
      </c>
    </row>
    <row r="1827">
      <c r="A1827" s="35" t="inlineStr">
        <is>
          <t>Route 24</t>
        </is>
      </c>
      <c r="B1827" s="35" t="inlineStr">
        <is>
          <t>Route24_hns</t>
        </is>
      </c>
      <c r="C1827" s="33" t="inlineStr">
        <is>
          <t>Matin, jour, soir</t>
        </is>
      </c>
      <c r="D1827" s="53" t="inlineStr">
        <is>
          <t>Surf</t>
        </is>
      </c>
      <c r="E1827" s="37" t="inlineStr">
        <is>
          <t>POISSIRENE</t>
        </is>
      </c>
      <c r="F1827" s="38" t="n">
        <v>0.95</v>
      </c>
      <c r="G1827" s="39" t="n">
        <v>41</v>
      </c>
      <c r="H1827" s="39" t="n">
        <v>43</v>
      </c>
      <c r="I1827" s="29">
        <f>IF(OR(COUNTIF('Suivi des rencontres'!$A:$A,$A1827)&gt;0,COUNTIF('Suivi des rencontres'!$C:$C,$J1827)&gt;0),"Non","Oui")</f>
        <v/>
      </c>
      <c r="J1827" s="30" t="inlineStr">
        <is>
          <t>POISSIRENE</t>
        </is>
      </c>
    </row>
    <row r="1828">
      <c r="A1828" s="35" t="inlineStr">
        <is>
          <t>Route 24</t>
        </is>
      </c>
      <c r="B1828" s="35" t="inlineStr">
        <is>
          <t>Route24_hns</t>
        </is>
      </c>
      <c r="C1828" s="33" t="inlineStr">
        <is>
          <t>Matin, jour, soir</t>
        </is>
      </c>
      <c r="D1828" s="53" t="inlineStr">
        <is>
          <t>Surf</t>
        </is>
      </c>
      <c r="E1828" s="37" t="inlineStr">
        <is>
          <t>POISSOROY</t>
        </is>
      </c>
      <c r="F1828" s="38" t="n">
        <v>0.05</v>
      </c>
      <c r="G1828" s="39" t="n">
        <v>46</v>
      </c>
      <c r="H1828" s="39" t="n">
        <v>46</v>
      </c>
      <c r="I1828" s="29">
        <f>IF(OR(COUNTIF('Suivi des rencontres'!$A:$A,$A1828)&gt;0,COUNTIF('Suivi des rencontres'!$C:$C,$J1828)&gt;0),"Non","Oui")</f>
        <v/>
      </c>
      <c r="J1828" s="30" t="inlineStr">
        <is>
          <t>POISSIRENE</t>
        </is>
      </c>
    </row>
    <row r="1829">
      <c r="A1829" s="35" t="inlineStr">
        <is>
          <t>Route 24</t>
        </is>
      </c>
      <c r="B1829" s="35" t="inlineStr">
        <is>
          <t>Route24_hns</t>
        </is>
      </c>
      <c r="C1829" s="62" t="inlineStr">
        <is>
          <t>Nuit</t>
        </is>
      </c>
      <c r="D1829" s="53" t="inlineStr">
        <is>
          <t>Surf</t>
        </is>
      </c>
      <c r="E1829" s="37" t="inlineStr">
        <is>
          <t>POISSIRENE</t>
        </is>
      </c>
      <c r="F1829" s="38" t="n">
        <v>0.95</v>
      </c>
      <c r="G1829" s="39" t="n">
        <v>41</v>
      </c>
      <c r="H1829" s="39" t="n">
        <v>43</v>
      </c>
      <c r="I1829" s="29">
        <f>IF(OR(COUNTIF('Suivi des rencontres'!$A:$A,$A1829)&gt;0,COUNTIF('Suivi des rencontres'!$C:$C,$J1829)&gt;0),"Non","Oui")</f>
        <v/>
      </c>
      <c r="J1829" s="30" t="inlineStr">
        <is>
          <t>POISSIRENE</t>
        </is>
      </c>
    </row>
    <row r="1830">
      <c r="A1830" s="35" t="inlineStr">
        <is>
          <t>Route 24</t>
        </is>
      </c>
      <c r="B1830" s="35" t="inlineStr">
        <is>
          <t>Route24_hns</t>
        </is>
      </c>
      <c r="C1830" s="62" t="inlineStr">
        <is>
          <t>Nuit</t>
        </is>
      </c>
      <c r="D1830" s="53" t="inlineStr">
        <is>
          <t>Surf</t>
        </is>
      </c>
      <c r="E1830" s="37" t="inlineStr">
        <is>
          <t>POISSOROY</t>
        </is>
      </c>
      <c r="F1830" s="38" t="n">
        <v>0.05</v>
      </c>
      <c r="G1830" s="39" t="n">
        <v>46</v>
      </c>
      <c r="H1830" s="39" t="n">
        <v>46</v>
      </c>
      <c r="I1830" s="29">
        <f>IF(OR(COUNTIF('Suivi des rencontres'!$A:$A,$A1830)&gt;0,COUNTIF('Suivi des rencontres'!$C:$C,$J1830)&gt;0),"Non","Oui")</f>
        <v/>
      </c>
      <c r="J1830" s="30" t="inlineStr">
        <is>
          <t>POISSIRENE</t>
        </is>
      </c>
    </row>
    <row r="1831">
      <c r="A1831" s="35" t="inlineStr">
        <is>
          <t>Route 24</t>
        </is>
      </c>
      <c r="B1831" s="35" t="inlineStr">
        <is>
          <t>Route24_hns</t>
        </is>
      </c>
      <c r="C1831" s="33" t="inlineStr">
        <is>
          <t>Matin, jour, soir</t>
        </is>
      </c>
      <c r="D1831" s="54" t="inlineStr">
        <is>
          <t>Vieille Canne</t>
        </is>
      </c>
      <c r="E1831" s="37" t="inlineStr">
        <is>
          <t>MAGICARPE</t>
        </is>
      </c>
      <c r="F1831" s="38" t="n">
        <v>0.7</v>
      </c>
      <c r="G1831" s="39" t="n">
        <v>41</v>
      </c>
      <c r="H1831" s="39" t="n">
        <v>43</v>
      </c>
      <c r="I1831" s="29">
        <f>IF(OR(COUNTIF('Suivi des rencontres'!$A:$A,$A1831)&gt;0,COUNTIF('Suivi des rencontres'!$C:$C,$J1831)&gt;0),"Non","Oui")</f>
        <v/>
      </c>
      <c r="J1831" s="30" t="inlineStr">
        <is>
          <t>MAGICARPE</t>
        </is>
      </c>
    </row>
    <row r="1832">
      <c r="A1832" s="35" t="inlineStr">
        <is>
          <t>Route 24</t>
        </is>
      </c>
      <c r="B1832" s="35" t="inlineStr">
        <is>
          <t>Route24_hns</t>
        </is>
      </c>
      <c r="C1832" s="33" t="inlineStr">
        <is>
          <t>Matin, jour, soir</t>
        </is>
      </c>
      <c r="D1832" s="54" t="inlineStr">
        <is>
          <t>Vieille Canne</t>
        </is>
      </c>
      <c r="E1832" s="37" t="inlineStr">
        <is>
          <t>PTITARD</t>
        </is>
      </c>
      <c r="F1832" s="38" t="n">
        <v>0.3</v>
      </c>
      <c r="G1832" s="39" t="n">
        <v>41</v>
      </c>
      <c r="H1832" s="39" t="n">
        <v>43</v>
      </c>
      <c r="I1832" s="29">
        <f>IF(OR(COUNTIF('Suivi des rencontres'!$A:$A,$A1832)&gt;0,COUNTIF('Suivi des rencontres'!$C:$C,$J1832)&gt;0),"Non","Oui")</f>
        <v/>
      </c>
      <c r="J1832" s="30" t="inlineStr">
        <is>
          <t>PTITARD</t>
        </is>
      </c>
    </row>
    <row r="1833">
      <c r="A1833" s="35" t="inlineStr">
        <is>
          <t>Route 24</t>
        </is>
      </c>
      <c r="B1833" s="35" t="inlineStr">
        <is>
          <t>Route24_hns</t>
        </is>
      </c>
      <c r="C1833" s="62" t="inlineStr">
        <is>
          <t>Nuit</t>
        </is>
      </c>
      <c r="D1833" s="54" t="inlineStr">
        <is>
          <t>Vieille Canne</t>
        </is>
      </c>
      <c r="E1833" s="37" t="inlineStr">
        <is>
          <t>MAGICARPE</t>
        </is>
      </c>
      <c r="F1833" s="38" t="n">
        <v>0.7</v>
      </c>
      <c r="G1833" s="39" t="n">
        <v>41</v>
      </c>
      <c r="H1833" s="39" t="n">
        <v>43</v>
      </c>
      <c r="I1833" s="29">
        <f>IF(OR(COUNTIF('Suivi des rencontres'!$A:$A,$A1833)&gt;0,COUNTIF('Suivi des rencontres'!$C:$C,$J1833)&gt;0),"Non","Oui")</f>
        <v/>
      </c>
      <c r="J1833" s="30" t="inlineStr">
        <is>
          <t>MAGICARPE</t>
        </is>
      </c>
    </row>
    <row r="1834">
      <c r="A1834" s="35" t="inlineStr">
        <is>
          <t>Route 24</t>
        </is>
      </c>
      <c r="B1834" s="35" t="inlineStr">
        <is>
          <t>Route24_hns</t>
        </is>
      </c>
      <c r="C1834" s="62" t="inlineStr">
        <is>
          <t>Nuit</t>
        </is>
      </c>
      <c r="D1834" s="54" t="inlineStr">
        <is>
          <t>Vieille Canne</t>
        </is>
      </c>
      <c r="E1834" s="37" t="inlineStr">
        <is>
          <t>PTITARD</t>
        </is>
      </c>
      <c r="F1834" s="38" t="n">
        <v>0.3</v>
      </c>
      <c r="G1834" s="39" t="n">
        <v>41</v>
      </c>
      <c r="H1834" s="39" t="n">
        <v>43</v>
      </c>
      <c r="I1834" s="29">
        <f>IF(OR(COUNTIF('Suivi des rencontres'!$A:$A,$A1834)&gt;0,COUNTIF('Suivi des rencontres'!$C:$C,$J1834)&gt;0),"Non","Oui")</f>
        <v/>
      </c>
      <c r="J1834" s="30" t="inlineStr">
        <is>
          <t>PTITARD</t>
        </is>
      </c>
    </row>
    <row r="1835">
      <c r="A1835" s="35" t="inlineStr">
        <is>
          <t>Route 24</t>
        </is>
      </c>
      <c r="B1835" s="35" t="inlineStr">
        <is>
          <t>Route24_hns</t>
        </is>
      </c>
      <c r="C1835" s="33" t="inlineStr">
        <is>
          <t>Matin, jour, soir</t>
        </is>
      </c>
      <c r="D1835" s="55" t="inlineStr">
        <is>
          <t>Bonne Canne</t>
        </is>
      </c>
      <c r="E1835" s="37" t="inlineStr">
        <is>
          <t>PTITARD</t>
        </is>
      </c>
      <c r="F1835" s="38" t="n">
        <v>0.8</v>
      </c>
      <c r="G1835" s="39" t="n">
        <v>42</v>
      </c>
      <c r="H1835" s="39" t="n">
        <v>44</v>
      </c>
      <c r="I1835" s="29">
        <f>IF(OR(COUNTIF('Suivi des rencontres'!$A:$A,$A1835)&gt;0,COUNTIF('Suivi des rencontres'!$C:$C,$J1835)&gt;0),"Non","Oui")</f>
        <v/>
      </c>
      <c r="J1835" s="30" t="inlineStr">
        <is>
          <t>PTITARD</t>
        </is>
      </c>
    </row>
    <row r="1836">
      <c r="A1836" s="35" t="inlineStr">
        <is>
          <t>Route 24</t>
        </is>
      </c>
      <c r="B1836" s="35" t="inlineStr">
        <is>
          <t>Route24_hns</t>
        </is>
      </c>
      <c r="C1836" s="33" t="inlineStr">
        <is>
          <t>Matin, jour, soir</t>
        </is>
      </c>
      <c r="D1836" s="55" t="inlineStr">
        <is>
          <t>Bonne Canne</t>
        </is>
      </c>
      <c r="E1836" s="37" t="inlineStr">
        <is>
          <t>MAGICARPE</t>
        </is>
      </c>
      <c r="F1836" s="38" t="n">
        <v>0.2</v>
      </c>
      <c r="G1836" s="39" t="n">
        <v>42</v>
      </c>
      <c r="H1836" s="39" t="n">
        <v>44</v>
      </c>
      <c r="I1836" s="29">
        <f>IF(OR(COUNTIF('Suivi des rencontres'!$A:$A,$A1836)&gt;0,COUNTIF('Suivi des rencontres'!$C:$C,$J1836)&gt;0),"Non","Oui")</f>
        <v/>
      </c>
      <c r="J1836" s="30" t="inlineStr">
        <is>
          <t>MAGICARPE</t>
        </is>
      </c>
    </row>
    <row r="1837">
      <c r="A1837" s="35" t="inlineStr">
        <is>
          <t>Route 24</t>
        </is>
      </c>
      <c r="B1837" s="35" t="inlineStr">
        <is>
          <t>Route24_hns</t>
        </is>
      </c>
      <c r="C1837" s="62" t="inlineStr">
        <is>
          <t>Nuit</t>
        </is>
      </c>
      <c r="D1837" s="55" t="inlineStr">
        <is>
          <t>Bonne Canne</t>
        </is>
      </c>
      <c r="E1837" s="37" t="inlineStr">
        <is>
          <t>PTITARD</t>
        </is>
      </c>
      <c r="F1837" s="38" t="n">
        <v>0.8</v>
      </c>
      <c r="G1837" s="39" t="n">
        <v>42</v>
      </c>
      <c r="H1837" s="39" t="n">
        <v>44</v>
      </c>
      <c r="I1837" s="29">
        <f>IF(OR(COUNTIF('Suivi des rencontres'!$A:$A,$A1837)&gt;0,COUNTIF('Suivi des rencontres'!$C:$C,$J1837)&gt;0),"Non","Oui")</f>
        <v/>
      </c>
      <c r="J1837" s="30" t="inlineStr">
        <is>
          <t>PTITARD</t>
        </is>
      </c>
    </row>
    <row r="1838">
      <c r="A1838" s="35" t="inlineStr">
        <is>
          <t>Route 24</t>
        </is>
      </c>
      <c r="B1838" s="35" t="inlineStr">
        <is>
          <t>Route24_hns</t>
        </is>
      </c>
      <c r="C1838" s="62" t="inlineStr">
        <is>
          <t>Nuit</t>
        </is>
      </c>
      <c r="D1838" s="55" t="inlineStr">
        <is>
          <t>Bonne Canne</t>
        </is>
      </c>
      <c r="E1838" s="37" t="inlineStr">
        <is>
          <t>MAGICARPE</t>
        </is>
      </c>
      <c r="F1838" s="38" t="n">
        <v>0.2</v>
      </c>
      <c r="G1838" s="39" t="n">
        <v>42</v>
      </c>
      <c r="H1838" s="39" t="n">
        <v>44</v>
      </c>
      <c r="I1838" s="29">
        <f>IF(OR(COUNTIF('Suivi des rencontres'!$A:$A,$A1838)&gt;0,COUNTIF('Suivi des rencontres'!$C:$C,$J1838)&gt;0),"Non","Oui")</f>
        <v/>
      </c>
      <c r="J1838" s="30" t="inlineStr">
        <is>
          <t>MAGICARPE</t>
        </is>
      </c>
    </row>
    <row r="1839">
      <c r="A1839" s="35" t="inlineStr">
        <is>
          <t>Route 24</t>
        </is>
      </c>
      <c r="B1839" s="35" t="inlineStr">
        <is>
          <t>Route24_hns</t>
        </is>
      </c>
      <c r="C1839" s="33" t="inlineStr">
        <is>
          <t>Matin, jour, soir</t>
        </is>
      </c>
      <c r="D1839" s="56" t="inlineStr">
        <is>
          <t>Super Canne</t>
        </is>
      </c>
      <c r="E1839" s="37" t="inlineStr">
        <is>
          <t>PTITARD</t>
        </is>
      </c>
      <c r="F1839" s="38" t="n">
        <v>0.55</v>
      </c>
      <c r="G1839" s="39" t="n">
        <v>40</v>
      </c>
      <c r="H1839" s="39" t="n">
        <v>40</v>
      </c>
      <c r="I1839" s="29">
        <f>IF(OR(COUNTIF('Suivi des rencontres'!$A:$A,$A1839)&gt;0,COUNTIF('Suivi des rencontres'!$C:$C,$J1839)&gt;0),"Non","Oui")</f>
        <v/>
      </c>
      <c r="J1839" s="30" t="inlineStr">
        <is>
          <t>PTITARD</t>
        </is>
      </c>
    </row>
    <row r="1840">
      <c r="A1840" s="35" t="inlineStr">
        <is>
          <t>Route 24</t>
        </is>
      </c>
      <c r="B1840" s="35" t="inlineStr">
        <is>
          <t>Route24_hns</t>
        </is>
      </c>
      <c r="C1840" s="33" t="inlineStr">
        <is>
          <t>Matin, jour, soir</t>
        </is>
      </c>
      <c r="D1840" s="56" t="inlineStr">
        <is>
          <t>Super Canne</t>
        </is>
      </c>
      <c r="E1840" s="37" t="inlineStr">
        <is>
          <t>MAGICARPE</t>
        </is>
      </c>
      <c r="F1840" s="38" t="n">
        <v>0.44</v>
      </c>
      <c r="G1840" s="39" t="n">
        <v>40</v>
      </c>
      <c r="H1840" s="39" t="n">
        <v>44</v>
      </c>
      <c r="I1840" s="29">
        <f>IF(OR(COUNTIF('Suivi des rencontres'!$A:$A,$A1840)&gt;0,COUNTIF('Suivi des rencontres'!$C:$C,$J1840)&gt;0),"Non","Oui")</f>
        <v/>
      </c>
      <c r="J1840" s="30" t="inlineStr">
        <is>
          <t>MAGICARPE</t>
        </is>
      </c>
    </row>
    <row r="1841">
      <c r="A1841" s="35" t="inlineStr">
        <is>
          <t>Route 24</t>
        </is>
      </c>
      <c r="B1841" s="35" t="inlineStr">
        <is>
          <t>Route24_hns</t>
        </is>
      </c>
      <c r="C1841" s="33" t="inlineStr">
        <is>
          <t>Matin, jour, soir</t>
        </is>
      </c>
      <c r="D1841" s="56" t="inlineStr">
        <is>
          <t>Super Canne</t>
        </is>
      </c>
      <c r="E1841" s="37" t="inlineStr">
        <is>
          <t>TETARTE</t>
        </is>
      </c>
      <c r="F1841" s="38" t="n">
        <v>0.01</v>
      </c>
      <c r="G1841" s="39" t="n">
        <v>40</v>
      </c>
      <c r="H1841" s="39" t="n">
        <v>40</v>
      </c>
      <c r="I1841" s="29">
        <f>IF(OR(COUNTIF('Suivi des rencontres'!$A:$A,$A1841)&gt;0,COUNTIF('Suivi des rencontres'!$C:$C,$J1841)&gt;0),"Non","Oui")</f>
        <v/>
      </c>
      <c r="J1841" s="30" t="inlineStr">
        <is>
          <t>PTITARD</t>
        </is>
      </c>
    </row>
    <row r="1842">
      <c r="A1842" s="35" t="inlineStr">
        <is>
          <t>Route 24</t>
        </is>
      </c>
      <c r="B1842" s="35" t="inlineStr">
        <is>
          <t>Route24_hns</t>
        </is>
      </c>
      <c r="C1842" s="62" t="inlineStr">
        <is>
          <t>Nuit</t>
        </is>
      </c>
      <c r="D1842" s="56" t="inlineStr">
        <is>
          <t>Super Canne</t>
        </is>
      </c>
      <c r="E1842" s="37" t="inlineStr">
        <is>
          <t>PTITARD</t>
        </is>
      </c>
      <c r="F1842" s="38" t="n">
        <v>0.55</v>
      </c>
      <c r="G1842" s="39" t="n">
        <v>40</v>
      </c>
      <c r="H1842" s="39" t="n">
        <v>40</v>
      </c>
      <c r="I1842" s="29">
        <f>IF(OR(COUNTIF('Suivi des rencontres'!$A:$A,$A1842)&gt;0,COUNTIF('Suivi des rencontres'!$C:$C,$J1842)&gt;0),"Non","Oui")</f>
        <v/>
      </c>
      <c r="J1842" s="30" t="inlineStr">
        <is>
          <t>PTITARD</t>
        </is>
      </c>
    </row>
    <row r="1843">
      <c r="A1843" s="35" t="inlineStr">
        <is>
          <t>Route 24</t>
        </is>
      </c>
      <c r="B1843" s="35" t="inlineStr">
        <is>
          <t>Route24_hns</t>
        </is>
      </c>
      <c r="C1843" s="62" t="inlineStr">
        <is>
          <t>Nuit</t>
        </is>
      </c>
      <c r="D1843" s="56" t="inlineStr">
        <is>
          <t>Super Canne</t>
        </is>
      </c>
      <c r="E1843" s="37" t="inlineStr">
        <is>
          <t>MAGICARPE</t>
        </is>
      </c>
      <c r="F1843" s="38" t="n">
        <v>0.44</v>
      </c>
      <c r="G1843" s="39" t="n">
        <v>40</v>
      </c>
      <c r="H1843" s="39" t="n">
        <v>44</v>
      </c>
      <c r="I1843" s="29">
        <f>IF(OR(COUNTIF('Suivi des rencontres'!$A:$A,$A1843)&gt;0,COUNTIF('Suivi des rencontres'!$C:$C,$J1843)&gt;0),"Non","Oui")</f>
        <v/>
      </c>
      <c r="J1843" s="30" t="inlineStr">
        <is>
          <t>MAGICARPE</t>
        </is>
      </c>
    </row>
    <row r="1844">
      <c r="A1844" s="35" t="inlineStr">
        <is>
          <t>Route 24</t>
        </is>
      </c>
      <c r="B1844" s="35" t="inlineStr">
        <is>
          <t>Route24_hns</t>
        </is>
      </c>
      <c r="C1844" s="62" t="inlineStr">
        <is>
          <t>Nuit</t>
        </is>
      </c>
      <c r="D1844" s="56" t="inlineStr">
        <is>
          <t>Super Canne</t>
        </is>
      </c>
      <c r="E1844" s="37" t="inlineStr">
        <is>
          <t>TETARTE</t>
        </is>
      </c>
      <c r="F1844" s="38" t="n">
        <v>0.01</v>
      </c>
      <c r="G1844" s="39" t="n">
        <v>40</v>
      </c>
      <c r="H1844" s="39" t="n">
        <v>40</v>
      </c>
      <c r="I1844" s="29">
        <f>IF(OR(COUNTIF('Suivi des rencontres'!$A:$A,$A1844)&gt;0,COUNTIF('Suivi des rencontres'!$C:$C,$J1844)&gt;0),"Non","Oui")</f>
        <v/>
      </c>
      <c r="J1844" s="30" t="inlineStr">
        <is>
          <t>PTITARD</t>
        </is>
      </c>
    </row>
    <row r="1845">
      <c r="A1845" s="40" t="inlineStr">
        <is>
          <t>Route 25</t>
        </is>
      </c>
      <c r="B1845" s="40" t="inlineStr">
        <is>
          <t>Route25_hns</t>
        </is>
      </c>
      <c r="C1845" s="41" t="inlineStr">
        <is>
          <t>Matin, jour, soir</t>
        </is>
      </c>
      <c r="D1845" s="42" t="inlineStr">
        <is>
          <t>Herbe</t>
        </is>
      </c>
      <c r="E1845" s="43" t="inlineStr">
        <is>
          <t>ROUCOOL</t>
        </is>
      </c>
      <c r="F1845" s="44" t="n">
        <v>0.3</v>
      </c>
      <c r="G1845" s="45" t="n">
        <v>41</v>
      </c>
      <c r="H1845" s="45" t="n">
        <v>43</v>
      </c>
      <c r="I1845" s="46">
        <f>IF(OR(COUNTIF('Suivi des rencontres'!$A:$A,$A1845)&gt;0,COUNTIF('Suivi des rencontres'!$C:$C,$J1845)&gt;0),"Non","Oui")</f>
        <v/>
      </c>
      <c r="J1845" s="30" t="inlineStr">
        <is>
          <t>ROUCOOL</t>
        </is>
      </c>
    </row>
    <row r="1846">
      <c r="A1846" s="47" t="inlineStr">
        <is>
          <t>Route 25</t>
        </is>
      </c>
      <c r="B1846" s="47" t="inlineStr">
        <is>
          <t>Route25_hns</t>
        </is>
      </c>
      <c r="C1846" s="48" t="inlineStr">
        <is>
          <t>Matin, jour, soir</t>
        </is>
      </c>
      <c r="D1846" s="49" t="inlineStr">
        <is>
          <t>Herbe</t>
        </is>
      </c>
      <c r="E1846" s="50" t="inlineStr">
        <is>
          <t>CHENIPAN</t>
        </is>
      </c>
      <c r="F1846" s="51" t="n">
        <v>0.2</v>
      </c>
      <c r="G1846" s="52" t="n">
        <v>41</v>
      </c>
      <c r="H1846" s="52" t="n">
        <v>43</v>
      </c>
      <c r="I1846" s="29">
        <f>IF(OR(COUNTIF('Suivi des rencontres'!$A:$A,$A1846)&gt;0,COUNTIF('Suivi des rencontres'!$C:$C,$J1846)&gt;0),"Non","Oui")</f>
        <v/>
      </c>
      <c r="J1846" s="30" t="inlineStr">
        <is>
          <t>CHENIPAN</t>
        </is>
      </c>
    </row>
    <row r="1847">
      <c r="A1847" s="47" t="inlineStr">
        <is>
          <t>Route 25</t>
        </is>
      </c>
      <c r="B1847" s="47" t="inlineStr">
        <is>
          <t>Route25_hns</t>
        </is>
      </c>
      <c r="C1847" s="48" t="inlineStr">
        <is>
          <t>Matin, jour, soir</t>
        </is>
      </c>
      <c r="D1847" s="49" t="inlineStr">
        <is>
          <t>Herbe</t>
        </is>
      </c>
      <c r="E1847" s="50" t="inlineStr">
        <is>
          <t>ROUCOUPS</t>
        </is>
      </c>
      <c r="F1847" s="51" t="n">
        <v>0.15</v>
      </c>
      <c r="G1847" s="52" t="n">
        <v>43</v>
      </c>
      <c r="H1847" s="52" t="n">
        <v>45</v>
      </c>
      <c r="I1847" s="29">
        <f>IF(OR(COUNTIF('Suivi des rencontres'!$A:$A,$A1847)&gt;0,COUNTIF('Suivi des rencontres'!$C:$C,$J1847)&gt;0),"Non","Oui")</f>
        <v/>
      </c>
      <c r="J1847" s="30" t="inlineStr">
        <is>
          <t>ROUCOOL</t>
        </is>
      </c>
    </row>
    <row r="1848">
      <c r="A1848" s="47" t="inlineStr">
        <is>
          <t>Route 25</t>
        </is>
      </c>
      <c r="B1848" s="47" t="inlineStr">
        <is>
          <t>Route25_hns</t>
        </is>
      </c>
      <c r="C1848" s="48" t="inlineStr">
        <is>
          <t>Matin, jour, soir</t>
        </is>
      </c>
      <c r="D1848" s="49" t="inlineStr">
        <is>
          <t>Herbe</t>
        </is>
      </c>
      <c r="E1848" s="50" t="inlineStr">
        <is>
          <t>CHETIFLOR</t>
        </is>
      </c>
      <c r="F1848" s="51" t="n">
        <v>0.11</v>
      </c>
      <c r="G1848" s="52" t="n">
        <v>41</v>
      </c>
      <c r="H1848" s="52" t="n">
        <v>43</v>
      </c>
      <c r="I1848" s="29">
        <f>IF(OR(COUNTIF('Suivi des rencontres'!$A:$A,$A1848)&gt;0,COUNTIF('Suivi des rencontres'!$C:$C,$J1848)&gt;0),"Non","Oui")</f>
        <v/>
      </c>
      <c r="J1848" s="30" t="inlineStr">
        <is>
          <t>CHETIFLOR</t>
        </is>
      </c>
    </row>
    <row r="1849">
      <c r="A1849" s="47" t="inlineStr">
        <is>
          <t>Route 25</t>
        </is>
      </c>
      <c r="B1849" s="47" t="inlineStr">
        <is>
          <t>Route25_hns</t>
        </is>
      </c>
      <c r="C1849" s="48" t="inlineStr">
        <is>
          <t>Matin, jour, soir</t>
        </is>
      </c>
      <c r="D1849" s="49" t="inlineStr">
        <is>
          <t>Herbe</t>
        </is>
      </c>
      <c r="E1849" s="50" t="inlineStr">
        <is>
          <t>CHRYSACIER</t>
        </is>
      </c>
      <c r="F1849" s="51" t="n">
        <v>0.11</v>
      </c>
      <c r="G1849" s="52" t="n">
        <v>43</v>
      </c>
      <c r="H1849" s="52" t="n">
        <v>45</v>
      </c>
      <c r="I1849" s="29">
        <f>IF(OR(COUNTIF('Suivi des rencontres'!$A:$A,$A1849)&gt;0,COUNTIF('Suivi des rencontres'!$C:$C,$J1849)&gt;0),"Non","Oui")</f>
        <v/>
      </c>
      <c r="J1849" s="30" t="inlineStr">
        <is>
          <t>CHENIPAN</t>
        </is>
      </c>
    </row>
    <row r="1850">
      <c r="A1850" s="47" t="inlineStr">
        <is>
          <t>Route 25</t>
        </is>
      </c>
      <c r="B1850" s="47" t="inlineStr">
        <is>
          <t>Route25_hns</t>
        </is>
      </c>
      <c r="C1850" s="48" t="inlineStr">
        <is>
          <t>Matin, jour, soir</t>
        </is>
      </c>
      <c r="D1850" s="49" t="inlineStr">
        <is>
          <t>Herbe</t>
        </is>
      </c>
      <c r="E1850" s="50" t="inlineStr">
        <is>
          <t>PAPILUSION</t>
        </is>
      </c>
      <c r="F1850" s="51" t="n">
        <v>0.08</v>
      </c>
      <c r="G1850" s="52" t="n">
        <v>45</v>
      </c>
      <c r="H1850" s="52" t="n">
        <v>47</v>
      </c>
      <c r="I1850" s="29">
        <f>IF(OR(COUNTIF('Suivi des rencontres'!$A:$A,$A1850)&gt;0,COUNTIF('Suivi des rencontres'!$C:$C,$J1850)&gt;0),"Non","Oui")</f>
        <v/>
      </c>
      <c r="J1850" s="30" t="inlineStr">
        <is>
          <t>CHENIPAN</t>
        </is>
      </c>
    </row>
    <row r="1851">
      <c r="A1851" s="47" t="inlineStr">
        <is>
          <t>Route 25</t>
        </is>
      </c>
      <c r="B1851" s="47" t="inlineStr">
        <is>
          <t>Route25_hns</t>
        </is>
      </c>
      <c r="C1851" s="48" t="inlineStr">
        <is>
          <t>Matin, jour, soir</t>
        </is>
      </c>
      <c r="D1851" s="49" t="inlineStr">
        <is>
          <t>Herbe</t>
        </is>
      </c>
      <c r="E1851" s="50" t="inlineStr">
        <is>
          <t>TYLTON</t>
        </is>
      </c>
      <c r="F1851" s="51" t="n">
        <v>0.05</v>
      </c>
      <c r="G1851" s="52" t="n">
        <v>41</v>
      </c>
      <c r="H1851" s="52" t="n">
        <v>43</v>
      </c>
      <c r="I1851" s="29">
        <f>IF(OR(COUNTIF('Suivi des rencontres'!$A:$A,$A1851)&gt;0,COUNTIF('Suivi des rencontres'!$C:$C,$J1851)&gt;0),"Non","Oui")</f>
        <v/>
      </c>
      <c r="J1851" s="30" t="inlineStr">
        <is>
          <t>TYLTON</t>
        </is>
      </c>
    </row>
    <row r="1852">
      <c r="A1852" s="47" t="inlineStr">
        <is>
          <t>Route 25</t>
        </is>
      </c>
      <c r="B1852" s="47" t="inlineStr">
        <is>
          <t>Route25_hns</t>
        </is>
      </c>
      <c r="C1852" s="62" t="inlineStr">
        <is>
          <t>Nuit</t>
        </is>
      </c>
      <c r="D1852" s="49" t="inlineStr">
        <is>
          <t>Herbe</t>
        </is>
      </c>
      <c r="E1852" s="50" t="inlineStr">
        <is>
          <t>MYSTHERBE</t>
        </is>
      </c>
      <c r="F1852" s="51" t="n">
        <v>0.34</v>
      </c>
      <c r="G1852" s="52" t="n">
        <v>41</v>
      </c>
      <c r="H1852" s="52" t="n">
        <v>43</v>
      </c>
      <c r="I1852" s="29">
        <f>IF(OR(COUNTIF('Suivi des rencontres'!$A:$A,$A1852)&gt;0,COUNTIF('Suivi des rencontres'!$C:$C,$J1852)&gt;0),"Non","Oui")</f>
        <v/>
      </c>
      <c r="J1852" s="30" t="inlineStr">
        <is>
          <t>MYSTHERBE</t>
        </is>
      </c>
    </row>
    <row r="1853">
      <c r="A1853" s="47" t="inlineStr">
        <is>
          <t>Route 25</t>
        </is>
      </c>
      <c r="B1853" s="47" t="inlineStr">
        <is>
          <t>Route25_hns</t>
        </is>
      </c>
      <c r="C1853" s="62" t="inlineStr">
        <is>
          <t>Nuit</t>
        </is>
      </c>
      <c r="D1853" s="49" t="inlineStr">
        <is>
          <t>Herbe</t>
        </is>
      </c>
      <c r="E1853" s="50" t="inlineStr">
        <is>
          <t>HOOTHOOT</t>
        </is>
      </c>
      <c r="F1853" s="51" t="n">
        <v>0.2</v>
      </c>
      <c r="G1853" s="52" t="n">
        <v>41</v>
      </c>
      <c r="H1853" s="52" t="n">
        <v>43</v>
      </c>
      <c r="I1853" s="29">
        <f>IF(OR(COUNTIF('Suivi des rencontres'!$A:$A,$A1853)&gt;0,COUNTIF('Suivi des rencontres'!$C:$C,$J1853)&gt;0),"Non","Oui")</f>
        <v/>
      </c>
      <c r="J1853" s="30" t="inlineStr">
        <is>
          <t>HOOTHOOT</t>
        </is>
      </c>
    </row>
    <row r="1854">
      <c r="A1854" s="47" t="inlineStr">
        <is>
          <t>Route 25</t>
        </is>
      </c>
      <c r="B1854" s="47" t="inlineStr">
        <is>
          <t>Route25_hns</t>
        </is>
      </c>
      <c r="C1854" s="62" t="inlineStr">
        <is>
          <t>Nuit</t>
        </is>
      </c>
      <c r="D1854" s="49" t="inlineStr">
        <is>
          <t>Herbe</t>
        </is>
      </c>
      <c r="E1854" s="50" t="inlineStr">
        <is>
          <t>MIMITOSS</t>
        </is>
      </c>
      <c r="F1854" s="51" t="n">
        <v>0.2</v>
      </c>
      <c r="G1854" s="52" t="n">
        <v>41</v>
      </c>
      <c r="H1854" s="52" t="n">
        <v>43</v>
      </c>
      <c r="I1854" s="29">
        <f>IF(OR(COUNTIF('Suivi des rencontres'!$A:$A,$A1854)&gt;0,COUNTIF('Suivi des rencontres'!$C:$C,$J1854)&gt;0),"Non","Oui")</f>
        <v/>
      </c>
      <c r="J1854" s="30" t="inlineStr">
        <is>
          <t>MIMITOSS</t>
        </is>
      </c>
    </row>
    <row r="1855">
      <c r="A1855" s="47" t="inlineStr">
        <is>
          <t>Route 25</t>
        </is>
      </c>
      <c r="B1855" s="47" t="inlineStr">
        <is>
          <t>Route25_hns</t>
        </is>
      </c>
      <c r="C1855" s="62" t="inlineStr">
        <is>
          <t>Nuit</t>
        </is>
      </c>
      <c r="D1855" s="49" t="inlineStr">
        <is>
          <t>Herbe</t>
        </is>
      </c>
      <c r="E1855" s="50" t="inlineStr">
        <is>
          <t>NOARFANG</t>
        </is>
      </c>
      <c r="F1855" s="51" t="n">
        <v>0.19</v>
      </c>
      <c r="G1855" s="52" t="n">
        <v>43</v>
      </c>
      <c r="H1855" s="52" t="n">
        <v>47</v>
      </c>
      <c r="I1855" s="29">
        <f>IF(OR(COUNTIF('Suivi des rencontres'!$A:$A,$A1855)&gt;0,COUNTIF('Suivi des rencontres'!$C:$C,$J1855)&gt;0),"Non","Oui")</f>
        <v/>
      </c>
      <c r="J1855" s="30" t="inlineStr">
        <is>
          <t>HOOTHOOT</t>
        </is>
      </c>
    </row>
    <row r="1856">
      <c r="A1856" s="47" t="inlineStr">
        <is>
          <t>Route 25</t>
        </is>
      </c>
      <c r="B1856" s="47" t="inlineStr">
        <is>
          <t>Route25_hns</t>
        </is>
      </c>
      <c r="C1856" s="62" t="inlineStr">
        <is>
          <t>Nuit</t>
        </is>
      </c>
      <c r="D1856" s="49" t="inlineStr">
        <is>
          <t>Herbe</t>
        </is>
      </c>
      <c r="E1856" s="50" t="inlineStr">
        <is>
          <t>TYLTON</t>
        </is>
      </c>
      <c r="F1856" s="51" t="n">
        <v>0.05</v>
      </c>
      <c r="G1856" s="52" t="n">
        <v>41</v>
      </c>
      <c r="H1856" s="52" t="n">
        <v>43</v>
      </c>
      <c r="I1856" s="29">
        <f>IF(OR(COUNTIF('Suivi des rencontres'!$A:$A,$A1856)&gt;0,COUNTIF('Suivi des rencontres'!$C:$C,$J1856)&gt;0),"Non","Oui")</f>
        <v/>
      </c>
      <c r="J1856" s="30" t="inlineStr">
        <is>
          <t>TYLTON</t>
        </is>
      </c>
    </row>
    <row r="1857">
      <c r="A1857" s="47" t="inlineStr">
        <is>
          <t>Route 25</t>
        </is>
      </c>
      <c r="B1857" s="47" t="inlineStr">
        <is>
          <t>Route25_hns</t>
        </is>
      </c>
      <c r="C1857" s="62" t="inlineStr">
        <is>
          <t>Nuit</t>
        </is>
      </c>
      <c r="D1857" s="49" t="inlineStr">
        <is>
          <t>Herbe</t>
        </is>
      </c>
      <c r="E1857" s="50" t="inlineStr">
        <is>
          <t>CHETIFLOR</t>
        </is>
      </c>
      <c r="F1857" s="51" t="n">
        <v>0.02</v>
      </c>
      <c r="G1857" s="52" t="n">
        <v>41</v>
      </c>
      <c r="H1857" s="52" t="n">
        <v>43</v>
      </c>
      <c r="I1857" s="29">
        <f>IF(OR(COUNTIF('Suivi des rencontres'!$A:$A,$A1857)&gt;0,COUNTIF('Suivi des rencontres'!$C:$C,$J1857)&gt;0),"Non","Oui")</f>
        <v/>
      </c>
      <c r="J1857" s="30" t="inlineStr">
        <is>
          <t>CHETIFLOR</t>
        </is>
      </c>
    </row>
    <row r="1858">
      <c r="A1858" s="47" t="inlineStr">
        <is>
          <t>Route 25</t>
        </is>
      </c>
      <c r="B1858" s="47" t="inlineStr">
        <is>
          <t>Route25_hns</t>
        </is>
      </c>
      <c r="C1858" s="48" t="inlineStr">
        <is>
          <t>Matin, jour, soir</t>
        </is>
      </c>
      <c r="D1858" s="53" t="inlineStr">
        <is>
          <t>Surf</t>
        </is>
      </c>
      <c r="E1858" s="50" t="inlineStr">
        <is>
          <t>POISSIRENE</t>
        </is>
      </c>
      <c r="F1858" s="51" t="n">
        <v>0.95</v>
      </c>
      <c r="G1858" s="52" t="n">
        <v>41</v>
      </c>
      <c r="H1858" s="52" t="n">
        <v>43</v>
      </c>
      <c r="I1858" s="29">
        <f>IF(OR(COUNTIF('Suivi des rencontres'!$A:$A,$A1858)&gt;0,COUNTIF('Suivi des rencontres'!$C:$C,$J1858)&gt;0),"Non","Oui")</f>
        <v/>
      </c>
      <c r="J1858" s="30" t="inlineStr">
        <is>
          <t>POISSIRENE</t>
        </is>
      </c>
    </row>
    <row r="1859">
      <c r="A1859" s="47" t="inlineStr">
        <is>
          <t>Route 25</t>
        </is>
      </c>
      <c r="B1859" s="47" t="inlineStr">
        <is>
          <t>Route25_hns</t>
        </is>
      </c>
      <c r="C1859" s="48" t="inlineStr">
        <is>
          <t>Matin, jour, soir</t>
        </is>
      </c>
      <c r="D1859" s="53" t="inlineStr">
        <is>
          <t>Surf</t>
        </is>
      </c>
      <c r="E1859" s="50" t="inlineStr">
        <is>
          <t>POISSOROY</t>
        </is>
      </c>
      <c r="F1859" s="51" t="n">
        <v>0.05</v>
      </c>
      <c r="G1859" s="52" t="n">
        <v>46</v>
      </c>
      <c r="H1859" s="52" t="n">
        <v>46</v>
      </c>
      <c r="I1859" s="29">
        <f>IF(OR(COUNTIF('Suivi des rencontres'!$A:$A,$A1859)&gt;0,COUNTIF('Suivi des rencontres'!$C:$C,$J1859)&gt;0),"Non","Oui")</f>
        <v/>
      </c>
      <c r="J1859" s="30" t="inlineStr">
        <is>
          <t>POISSIRENE</t>
        </is>
      </c>
    </row>
    <row r="1860">
      <c r="A1860" s="47" t="inlineStr">
        <is>
          <t>Route 25</t>
        </is>
      </c>
      <c r="B1860" s="47" t="inlineStr">
        <is>
          <t>Route25_hns</t>
        </is>
      </c>
      <c r="C1860" s="62" t="inlineStr">
        <is>
          <t>Nuit</t>
        </is>
      </c>
      <c r="D1860" s="53" t="inlineStr">
        <is>
          <t>Surf</t>
        </is>
      </c>
      <c r="E1860" s="50" t="inlineStr">
        <is>
          <t>POISSIRENE</t>
        </is>
      </c>
      <c r="F1860" s="51" t="n">
        <v>0.95</v>
      </c>
      <c r="G1860" s="52" t="n">
        <v>41</v>
      </c>
      <c r="H1860" s="52" t="n">
        <v>43</v>
      </c>
      <c r="I1860" s="29">
        <f>IF(OR(COUNTIF('Suivi des rencontres'!$A:$A,$A1860)&gt;0,COUNTIF('Suivi des rencontres'!$C:$C,$J1860)&gt;0),"Non","Oui")</f>
        <v/>
      </c>
      <c r="J1860" s="30" t="inlineStr">
        <is>
          <t>POISSIRENE</t>
        </is>
      </c>
    </row>
    <row r="1861">
      <c r="A1861" s="47" t="inlineStr">
        <is>
          <t>Route 25</t>
        </is>
      </c>
      <c r="B1861" s="47" t="inlineStr">
        <is>
          <t>Route25_hns</t>
        </is>
      </c>
      <c r="C1861" s="62" t="inlineStr">
        <is>
          <t>Nuit</t>
        </is>
      </c>
      <c r="D1861" s="53" t="inlineStr">
        <is>
          <t>Surf</t>
        </is>
      </c>
      <c r="E1861" s="50" t="inlineStr">
        <is>
          <t>POISSOROY</t>
        </is>
      </c>
      <c r="F1861" s="51" t="n">
        <v>0.05</v>
      </c>
      <c r="G1861" s="52" t="n">
        <v>46</v>
      </c>
      <c r="H1861" s="52" t="n">
        <v>46</v>
      </c>
      <c r="I1861" s="29">
        <f>IF(OR(COUNTIF('Suivi des rencontres'!$A:$A,$A1861)&gt;0,COUNTIF('Suivi des rencontres'!$C:$C,$J1861)&gt;0),"Non","Oui")</f>
        <v/>
      </c>
      <c r="J1861" s="30" t="inlineStr">
        <is>
          <t>POISSIRENE</t>
        </is>
      </c>
    </row>
    <row r="1862">
      <c r="A1862" s="47" t="inlineStr">
        <is>
          <t>Route 25</t>
        </is>
      </c>
      <c r="B1862" s="47" t="inlineStr">
        <is>
          <t>Route25_hns</t>
        </is>
      </c>
      <c r="C1862" s="48" t="inlineStr">
        <is>
          <t>Matin, jour, soir</t>
        </is>
      </c>
      <c r="D1862" s="54" t="inlineStr">
        <is>
          <t>Vieille Canne</t>
        </is>
      </c>
      <c r="E1862" s="50" t="inlineStr">
        <is>
          <t>MAGICARPE</t>
        </is>
      </c>
      <c r="F1862" s="51" t="n">
        <v>0.7</v>
      </c>
      <c r="G1862" s="52" t="n">
        <v>41</v>
      </c>
      <c r="H1862" s="52" t="n">
        <v>43</v>
      </c>
      <c r="I1862" s="29">
        <f>IF(OR(COUNTIF('Suivi des rencontres'!$A:$A,$A1862)&gt;0,COUNTIF('Suivi des rencontres'!$C:$C,$J1862)&gt;0),"Non","Oui")</f>
        <v/>
      </c>
      <c r="J1862" s="30" t="inlineStr">
        <is>
          <t>MAGICARPE</t>
        </is>
      </c>
    </row>
    <row r="1863">
      <c r="A1863" s="47" t="inlineStr">
        <is>
          <t>Route 25</t>
        </is>
      </c>
      <c r="B1863" s="47" t="inlineStr">
        <is>
          <t>Route25_hns</t>
        </is>
      </c>
      <c r="C1863" s="48" t="inlineStr">
        <is>
          <t>Matin, jour, soir</t>
        </is>
      </c>
      <c r="D1863" s="54" t="inlineStr">
        <is>
          <t>Vieille Canne</t>
        </is>
      </c>
      <c r="E1863" s="50" t="inlineStr">
        <is>
          <t>PTITARD</t>
        </is>
      </c>
      <c r="F1863" s="51" t="n">
        <v>0.3</v>
      </c>
      <c r="G1863" s="52" t="n">
        <v>41</v>
      </c>
      <c r="H1863" s="52" t="n">
        <v>43</v>
      </c>
      <c r="I1863" s="29">
        <f>IF(OR(COUNTIF('Suivi des rencontres'!$A:$A,$A1863)&gt;0,COUNTIF('Suivi des rencontres'!$C:$C,$J1863)&gt;0),"Non","Oui")</f>
        <v/>
      </c>
      <c r="J1863" s="30" t="inlineStr">
        <is>
          <t>PTITARD</t>
        </is>
      </c>
    </row>
    <row r="1864">
      <c r="A1864" s="47" t="inlineStr">
        <is>
          <t>Route 25</t>
        </is>
      </c>
      <c r="B1864" s="47" t="inlineStr">
        <is>
          <t>Route25_hns</t>
        </is>
      </c>
      <c r="C1864" s="62" t="inlineStr">
        <is>
          <t>Nuit</t>
        </is>
      </c>
      <c r="D1864" s="54" t="inlineStr">
        <is>
          <t>Vieille Canne</t>
        </is>
      </c>
      <c r="E1864" s="50" t="inlineStr">
        <is>
          <t>MAGICARPE</t>
        </is>
      </c>
      <c r="F1864" s="51" t="n">
        <v>0.7</v>
      </c>
      <c r="G1864" s="52" t="n">
        <v>41</v>
      </c>
      <c r="H1864" s="52" t="n">
        <v>43</v>
      </c>
      <c r="I1864" s="29">
        <f>IF(OR(COUNTIF('Suivi des rencontres'!$A:$A,$A1864)&gt;0,COUNTIF('Suivi des rencontres'!$C:$C,$J1864)&gt;0),"Non","Oui")</f>
        <v/>
      </c>
      <c r="J1864" s="30" t="inlineStr">
        <is>
          <t>MAGICARPE</t>
        </is>
      </c>
    </row>
    <row r="1865">
      <c r="A1865" s="47" t="inlineStr">
        <is>
          <t>Route 25</t>
        </is>
      </c>
      <c r="B1865" s="47" t="inlineStr">
        <is>
          <t>Route25_hns</t>
        </is>
      </c>
      <c r="C1865" s="62" t="inlineStr">
        <is>
          <t>Nuit</t>
        </is>
      </c>
      <c r="D1865" s="54" t="inlineStr">
        <is>
          <t>Vieille Canne</t>
        </is>
      </c>
      <c r="E1865" s="50" t="inlineStr">
        <is>
          <t>PTITARD</t>
        </is>
      </c>
      <c r="F1865" s="51" t="n">
        <v>0.3</v>
      </c>
      <c r="G1865" s="52" t="n">
        <v>41</v>
      </c>
      <c r="H1865" s="52" t="n">
        <v>43</v>
      </c>
      <c r="I1865" s="29">
        <f>IF(OR(COUNTIF('Suivi des rencontres'!$A:$A,$A1865)&gt;0,COUNTIF('Suivi des rencontres'!$C:$C,$J1865)&gt;0),"Non","Oui")</f>
        <v/>
      </c>
      <c r="J1865" s="30" t="inlineStr">
        <is>
          <t>PTITARD</t>
        </is>
      </c>
    </row>
    <row r="1866">
      <c r="A1866" s="47" t="inlineStr">
        <is>
          <t>Route 25</t>
        </is>
      </c>
      <c r="B1866" s="47" t="inlineStr">
        <is>
          <t>Route25_hns</t>
        </is>
      </c>
      <c r="C1866" s="48" t="inlineStr">
        <is>
          <t>Matin, jour, soir</t>
        </is>
      </c>
      <c r="D1866" s="55" t="inlineStr">
        <is>
          <t>Bonne Canne</t>
        </is>
      </c>
      <c r="E1866" s="50" t="inlineStr">
        <is>
          <t>PTITARD</t>
        </is>
      </c>
      <c r="F1866" s="51" t="n">
        <v>0.6</v>
      </c>
      <c r="G1866" s="52" t="n">
        <v>42</v>
      </c>
      <c r="H1866" s="52" t="n">
        <v>44</v>
      </c>
      <c r="I1866" s="29">
        <f>IF(OR(COUNTIF('Suivi des rencontres'!$A:$A,$A1866)&gt;0,COUNTIF('Suivi des rencontres'!$C:$C,$J1866)&gt;0),"Non","Oui")</f>
        <v/>
      </c>
      <c r="J1866" s="30" t="inlineStr">
        <is>
          <t>PTITARD</t>
        </is>
      </c>
    </row>
    <row r="1867">
      <c r="A1867" s="47" t="inlineStr">
        <is>
          <t>Route 25</t>
        </is>
      </c>
      <c r="B1867" s="47" t="inlineStr">
        <is>
          <t>Route25_hns</t>
        </is>
      </c>
      <c r="C1867" s="48" t="inlineStr">
        <is>
          <t>Matin, jour, soir</t>
        </is>
      </c>
      <c r="D1867" s="55" t="inlineStr">
        <is>
          <t>Bonne Canne</t>
        </is>
      </c>
      <c r="E1867" s="50" t="inlineStr">
        <is>
          <t>LOVDISC</t>
        </is>
      </c>
      <c r="F1867" s="51" t="n">
        <v>0.2</v>
      </c>
      <c r="G1867" s="52" t="n">
        <v>42</v>
      </c>
      <c r="H1867" s="52" t="n">
        <v>44</v>
      </c>
      <c r="I1867" s="29">
        <f>IF(OR(COUNTIF('Suivi des rencontres'!$A:$A,$A1867)&gt;0,COUNTIF('Suivi des rencontres'!$C:$C,$J1867)&gt;0),"Non","Oui")</f>
        <v/>
      </c>
      <c r="J1867" s="30" t="inlineStr">
        <is>
          <t>LOVDISC</t>
        </is>
      </c>
    </row>
    <row r="1868">
      <c r="A1868" s="47" t="inlineStr">
        <is>
          <t>Route 25</t>
        </is>
      </c>
      <c r="B1868" s="47" t="inlineStr">
        <is>
          <t>Route25_hns</t>
        </is>
      </c>
      <c r="C1868" s="48" t="inlineStr">
        <is>
          <t>Matin, jour, soir</t>
        </is>
      </c>
      <c r="D1868" s="55" t="inlineStr">
        <is>
          <t>Bonne Canne</t>
        </is>
      </c>
      <c r="E1868" s="50" t="inlineStr">
        <is>
          <t>MAGICARPE</t>
        </is>
      </c>
      <c r="F1868" s="51" t="n">
        <v>0.2</v>
      </c>
      <c r="G1868" s="52" t="n">
        <v>42</v>
      </c>
      <c r="H1868" s="52" t="n">
        <v>44</v>
      </c>
      <c r="I1868" s="29">
        <f>IF(OR(COUNTIF('Suivi des rencontres'!$A:$A,$A1868)&gt;0,COUNTIF('Suivi des rencontres'!$C:$C,$J1868)&gt;0),"Non","Oui")</f>
        <v/>
      </c>
      <c r="J1868" s="30" t="inlineStr">
        <is>
          <t>MAGICARPE</t>
        </is>
      </c>
    </row>
    <row r="1869">
      <c r="A1869" s="47" t="inlineStr">
        <is>
          <t>Route 25</t>
        </is>
      </c>
      <c r="B1869" s="47" t="inlineStr">
        <is>
          <t>Route25_hns</t>
        </is>
      </c>
      <c r="C1869" s="62" t="inlineStr">
        <is>
          <t>Nuit</t>
        </is>
      </c>
      <c r="D1869" s="55" t="inlineStr">
        <is>
          <t>Bonne Canne</t>
        </is>
      </c>
      <c r="E1869" s="50" t="inlineStr">
        <is>
          <t>PTITARD</t>
        </is>
      </c>
      <c r="F1869" s="51" t="n">
        <v>0.6</v>
      </c>
      <c r="G1869" s="52" t="n">
        <v>42</v>
      </c>
      <c r="H1869" s="52" t="n">
        <v>44</v>
      </c>
      <c r="I1869" s="29">
        <f>IF(OR(COUNTIF('Suivi des rencontres'!$A:$A,$A1869)&gt;0,COUNTIF('Suivi des rencontres'!$C:$C,$J1869)&gt;0),"Non","Oui")</f>
        <v/>
      </c>
      <c r="J1869" s="30" t="inlineStr">
        <is>
          <t>PTITARD</t>
        </is>
      </c>
    </row>
    <row r="1870">
      <c r="A1870" s="47" t="inlineStr">
        <is>
          <t>Route 25</t>
        </is>
      </c>
      <c r="B1870" s="47" t="inlineStr">
        <is>
          <t>Route25_hns</t>
        </is>
      </c>
      <c r="C1870" s="62" t="inlineStr">
        <is>
          <t>Nuit</t>
        </is>
      </c>
      <c r="D1870" s="55" t="inlineStr">
        <is>
          <t>Bonne Canne</t>
        </is>
      </c>
      <c r="E1870" s="50" t="inlineStr">
        <is>
          <t>LOVDISC</t>
        </is>
      </c>
      <c r="F1870" s="51" t="n">
        <v>0.2</v>
      </c>
      <c r="G1870" s="52" t="n">
        <v>42</v>
      </c>
      <c r="H1870" s="52" t="n">
        <v>44</v>
      </c>
      <c r="I1870" s="29">
        <f>IF(OR(COUNTIF('Suivi des rencontres'!$A:$A,$A1870)&gt;0,COUNTIF('Suivi des rencontres'!$C:$C,$J1870)&gt;0),"Non","Oui")</f>
        <v/>
      </c>
      <c r="J1870" s="30" t="inlineStr">
        <is>
          <t>LOVDISC</t>
        </is>
      </c>
    </row>
    <row r="1871">
      <c r="A1871" s="47" t="inlineStr">
        <is>
          <t>Route 25</t>
        </is>
      </c>
      <c r="B1871" s="47" t="inlineStr">
        <is>
          <t>Route25_hns</t>
        </is>
      </c>
      <c r="C1871" s="62" t="inlineStr">
        <is>
          <t>Nuit</t>
        </is>
      </c>
      <c r="D1871" s="55" t="inlineStr">
        <is>
          <t>Bonne Canne</t>
        </is>
      </c>
      <c r="E1871" s="50" t="inlineStr">
        <is>
          <t>MAGICARPE</t>
        </is>
      </c>
      <c r="F1871" s="51" t="n">
        <v>0.2</v>
      </c>
      <c r="G1871" s="52" t="n">
        <v>42</v>
      </c>
      <c r="H1871" s="52" t="n">
        <v>44</v>
      </c>
      <c r="I1871" s="29">
        <f>IF(OR(COUNTIF('Suivi des rencontres'!$A:$A,$A1871)&gt;0,COUNTIF('Suivi des rencontres'!$C:$C,$J1871)&gt;0),"Non","Oui")</f>
        <v/>
      </c>
      <c r="J1871" s="30" t="inlineStr">
        <is>
          <t>MAGICARPE</t>
        </is>
      </c>
    </row>
    <row r="1872">
      <c r="A1872" s="47" t="inlineStr">
        <is>
          <t>Route 25</t>
        </is>
      </c>
      <c r="B1872" s="47" t="inlineStr">
        <is>
          <t>Route25_hns</t>
        </is>
      </c>
      <c r="C1872" s="48" t="inlineStr">
        <is>
          <t>Matin, jour, soir</t>
        </is>
      </c>
      <c r="D1872" s="56" t="inlineStr">
        <is>
          <t>Super Canne</t>
        </is>
      </c>
      <c r="E1872" s="50" t="inlineStr">
        <is>
          <t>LOVDISC</t>
        </is>
      </c>
      <c r="F1872" s="51" t="n">
        <v>1</v>
      </c>
      <c r="G1872" s="52" t="n">
        <v>40</v>
      </c>
      <c r="H1872" s="52" t="n">
        <v>44</v>
      </c>
      <c r="I1872" s="29">
        <f>IF(OR(COUNTIF('Suivi des rencontres'!$A:$A,$A1872)&gt;0,COUNTIF('Suivi des rencontres'!$C:$C,$J1872)&gt;0),"Non","Oui")</f>
        <v/>
      </c>
      <c r="J1872" s="30" t="inlineStr">
        <is>
          <t>LOVDISC</t>
        </is>
      </c>
    </row>
    <row r="1873">
      <c r="A1873" s="47" t="inlineStr">
        <is>
          <t>Route 25</t>
        </is>
      </c>
      <c r="B1873" s="47" t="inlineStr">
        <is>
          <t>Route25_hns</t>
        </is>
      </c>
      <c r="C1873" s="62" t="inlineStr">
        <is>
          <t>Nuit</t>
        </is>
      </c>
      <c r="D1873" s="56" t="inlineStr">
        <is>
          <t>Super Canne</t>
        </is>
      </c>
      <c r="E1873" s="50" t="inlineStr">
        <is>
          <t>LOVDISC</t>
        </is>
      </c>
      <c r="F1873" s="51" t="n">
        <v>1</v>
      </c>
      <c r="G1873" s="52" t="n">
        <v>40</v>
      </c>
      <c r="H1873" s="52" t="n">
        <v>44</v>
      </c>
      <c r="I1873" s="29">
        <f>IF(OR(COUNTIF('Suivi des rencontres'!$A:$A,$A1873)&gt;0,COUNTIF('Suivi des rencontres'!$C:$C,$J1873)&gt;0),"Non","Oui")</f>
        <v/>
      </c>
      <c r="J1873" s="30" t="inlineStr">
        <is>
          <t>LOVDISC</t>
        </is>
      </c>
    </row>
    <row r="1874">
      <c r="A1874" s="57" t="inlineStr">
        <is>
          <t>Route 26</t>
        </is>
      </c>
      <c r="B1874" s="57" t="inlineStr">
        <is>
          <t>Route26_hns</t>
        </is>
      </c>
      <c r="C1874" s="58" t="inlineStr">
        <is>
          <t>Matin, jour, soir</t>
        </is>
      </c>
      <c r="D1874" s="42" t="inlineStr">
        <is>
          <t>Herbe</t>
        </is>
      </c>
      <c r="E1874" s="59" t="inlineStr">
        <is>
          <t>DODRIO</t>
        </is>
      </c>
      <c r="F1874" s="60" t="n">
        <v>0.34</v>
      </c>
      <c r="G1874" s="61" t="n">
        <v>38</v>
      </c>
      <c r="H1874" s="61" t="n">
        <v>42</v>
      </c>
      <c r="I1874" s="46">
        <f>IF(OR(COUNTIF('Suivi des rencontres'!$A:$A,$A1874)&gt;0,COUNTIF('Suivi des rencontres'!$C:$C,$J1874)&gt;0),"Non","Oui")</f>
        <v/>
      </c>
      <c r="J1874" s="30" t="inlineStr">
        <is>
          <t>DODUO</t>
        </is>
      </c>
    </row>
    <row r="1875">
      <c r="A1875" s="35" t="inlineStr">
        <is>
          <t>Route 26</t>
        </is>
      </c>
      <c r="B1875" s="35" t="inlineStr">
        <is>
          <t>Route26_hns</t>
        </is>
      </c>
      <c r="C1875" s="33" t="inlineStr">
        <is>
          <t>Matin, jour, soir</t>
        </is>
      </c>
      <c r="D1875" s="49" t="inlineStr">
        <is>
          <t>Herbe</t>
        </is>
      </c>
      <c r="E1875" s="37" t="inlineStr">
        <is>
          <t>ARBOK</t>
        </is>
      </c>
      <c r="F1875" s="38" t="n">
        <v>0.3</v>
      </c>
      <c r="G1875" s="39" t="n">
        <v>38</v>
      </c>
      <c r="H1875" s="39" t="n">
        <v>38</v>
      </c>
      <c r="I1875" s="29">
        <f>IF(OR(COUNTIF('Suivi des rencontres'!$A:$A,$A1875)&gt;0,COUNTIF('Suivi des rencontres'!$C:$C,$J1875)&gt;0),"Non","Oui")</f>
        <v/>
      </c>
      <c r="J1875" s="30" t="inlineStr">
        <is>
          <t>ABO</t>
        </is>
      </c>
    </row>
    <row r="1876">
      <c r="A1876" s="35" t="inlineStr">
        <is>
          <t>Route 26</t>
        </is>
      </c>
      <c r="B1876" s="35" t="inlineStr">
        <is>
          <t>Route26_hns</t>
        </is>
      </c>
      <c r="C1876" s="33" t="inlineStr">
        <is>
          <t>Matin, jour, soir</t>
        </is>
      </c>
      <c r="D1876" s="49" t="inlineStr">
        <is>
          <t>Herbe</t>
        </is>
      </c>
      <c r="E1876" s="37" t="inlineStr">
        <is>
          <t>GALOPA</t>
        </is>
      </c>
      <c r="F1876" s="38" t="n">
        <v>0.14</v>
      </c>
      <c r="G1876" s="39" t="n">
        <v>42</v>
      </c>
      <c r="H1876" s="39" t="n">
        <v>42</v>
      </c>
      <c r="I1876" s="29">
        <f>IF(OR(COUNTIF('Suivi des rencontres'!$A:$A,$A1876)&gt;0,COUNTIF('Suivi des rencontres'!$C:$C,$J1876)&gt;0),"Non","Oui")</f>
        <v/>
      </c>
      <c r="J1876" s="30" t="inlineStr">
        <is>
          <t>PONYTA</t>
        </is>
      </c>
    </row>
    <row r="1877">
      <c r="A1877" s="35" t="inlineStr">
        <is>
          <t>Route 26</t>
        </is>
      </c>
      <c r="B1877" s="35" t="inlineStr">
        <is>
          <t>Route26_hns</t>
        </is>
      </c>
      <c r="C1877" s="33" t="inlineStr">
        <is>
          <t>Matin, jour, soir</t>
        </is>
      </c>
      <c r="D1877" s="49" t="inlineStr">
        <is>
          <t>Herbe</t>
        </is>
      </c>
      <c r="E1877" s="37" t="inlineStr">
        <is>
          <t>PONYTA</t>
        </is>
      </c>
      <c r="F1877" s="38" t="n">
        <v>0.11</v>
      </c>
      <c r="G1877" s="39" t="n">
        <v>39</v>
      </c>
      <c r="H1877" s="39" t="n">
        <v>39</v>
      </c>
      <c r="I1877" s="29">
        <f>IF(OR(COUNTIF('Suivi des rencontres'!$A:$A,$A1877)&gt;0,COUNTIF('Suivi des rencontres'!$C:$C,$J1877)&gt;0),"Non","Oui")</f>
        <v/>
      </c>
      <c r="J1877" s="30" t="inlineStr">
        <is>
          <t>PONYTA</t>
        </is>
      </c>
    </row>
    <row r="1878">
      <c r="A1878" s="35" t="inlineStr">
        <is>
          <t>Route 26</t>
        </is>
      </c>
      <c r="B1878" s="35" t="inlineStr">
        <is>
          <t>Route26_hns</t>
        </is>
      </c>
      <c r="C1878" s="33" t="inlineStr">
        <is>
          <t>Matin, jour, soir</t>
        </is>
      </c>
      <c r="D1878" s="49" t="inlineStr">
        <is>
          <t>Herbe</t>
        </is>
      </c>
      <c r="E1878" s="37" t="inlineStr">
        <is>
          <t>SALAMECHE</t>
        </is>
      </c>
      <c r="F1878" s="38" t="n">
        <v>0.06</v>
      </c>
      <c r="G1878" s="39" t="n">
        <v>5</v>
      </c>
      <c r="H1878" s="39" t="n">
        <v>5</v>
      </c>
      <c r="I1878" s="29">
        <f>IF(OR(COUNTIF('Suivi des rencontres'!$A:$A,$A1878)&gt;0,COUNTIF('Suivi des rencontres'!$C:$C,$J1878)&gt;0),"Non","Oui")</f>
        <v/>
      </c>
      <c r="J1878" s="30" t="inlineStr">
        <is>
          <t>SALAMECHE</t>
        </is>
      </c>
    </row>
    <row r="1879">
      <c r="A1879" s="35" t="inlineStr">
        <is>
          <t>Route 26</t>
        </is>
      </c>
      <c r="B1879" s="35" t="inlineStr">
        <is>
          <t>Route26_hns</t>
        </is>
      </c>
      <c r="C1879" s="33" t="inlineStr">
        <is>
          <t>Matin, jour, soir</t>
        </is>
      </c>
      <c r="D1879" s="49" t="inlineStr">
        <is>
          <t>Herbe</t>
        </is>
      </c>
      <c r="E1879" s="37" t="inlineStr">
        <is>
          <t>BULBIZARRE</t>
        </is>
      </c>
      <c r="F1879" s="38" t="n">
        <v>0.05</v>
      </c>
      <c r="G1879" s="39" t="n">
        <v>5</v>
      </c>
      <c r="H1879" s="39" t="n">
        <v>5</v>
      </c>
      <c r="I1879" s="29">
        <f>IF(OR(COUNTIF('Suivi des rencontres'!$A:$A,$A1879)&gt;0,COUNTIF('Suivi des rencontres'!$C:$C,$J1879)&gt;0),"Non","Oui")</f>
        <v/>
      </c>
      <c r="J1879" s="30" t="inlineStr">
        <is>
          <t>BULBIZARRE</t>
        </is>
      </c>
    </row>
    <row r="1880">
      <c r="A1880" s="35" t="inlineStr">
        <is>
          <t>Route 26</t>
        </is>
      </c>
      <c r="B1880" s="35" t="inlineStr">
        <is>
          <t>Route26_hns</t>
        </is>
      </c>
      <c r="C1880" s="62" t="inlineStr">
        <is>
          <t>Nuit</t>
        </is>
      </c>
      <c r="D1880" s="49" t="inlineStr">
        <is>
          <t>Herbe</t>
        </is>
      </c>
      <c r="E1880" s="37" t="inlineStr">
        <is>
          <t>ARBOK</t>
        </is>
      </c>
      <c r="F1880" s="38" t="n">
        <v>0.3</v>
      </c>
      <c r="G1880" s="39" t="n">
        <v>38</v>
      </c>
      <c r="H1880" s="39" t="n">
        <v>38</v>
      </c>
      <c r="I1880" s="29">
        <f>IF(OR(COUNTIF('Suivi des rencontres'!$A:$A,$A1880)&gt;0,COUNTIF('Suivi des rencontres'!$C:$C,$J1880)&gt;0),"Non","Oui")</f>
        <v/>
      </c>
      <c r="J1880" s="30" t="inlineStr">
        <is>
          <t>ABO</t>
        </is>
      </c>
    </row>
    <row r="1881">
      <c r="A1881" s="35" t="inlineStr">
        <is>
          <t>Route 26</t>
        </is>
      </c>
      <c r="B1881" s="35" t="inlineStr">
        <is>
          <t>Route26_hns</t>
        </is>
      </c>
      <c r="C1881" s="62" t="inlineStr">
        <is>
          <t>Nuit</t>
        </is>
      </c>
      <c r="D1881" s="49" t="inlineStr">
        <is>
          <t>Herbe</t>
        </is>
      </c>
      <c r="E1881" s="37" t="inlineStr">
        <is>
          <t>CORNEBRE</t>
        </is>
      </c>
      <c r="F1881" s="38" t="n">
        <v>0.3</v>
      </c>
      <c r="G1881" s="39" t="n">
        <v>38</v>
      </c>
      <c r="H1881" s="39" t="n">
        <v>38</v>
      </c>
      <c r="I1881" s="29">
        <f>IF(OR(COUNTIF('Suivi des rencontres'!$A:$A,$A1881)&gt;0,COUNTIF('Suivi des rencontres'!$C:$C,$J1881)&gt;0),"Non","Oui")</f>
        <v/>
      </c>
      <c r="J1881" s="30" t="inlineStr">
        <is>
          <t>CORNEBRE</t>
        </is>
      </c>
    </row>
    <row r="1882">
      <c r="A1882" s="35" t="inlineStr">
        <is>
          <t>Route 26</t>
        </is>
      </c>
      <c r="B1882" s="35" t="inlineStr">
        <is>
          <t>Route26_hns</t>
        </is>
      </c>
      <c r="C1882" s="62" t="inlineStr">
        <is>
          <t>Nuit</t>
        </is>
      </c>
      <c r="D1882" s="49" t="inlineStr">
        <is>
          <t>Herbe</t>
        </is>
      </c>
      <c r="E1882" s="37" t="inlineStr">
        <is>
          <t>GALOPA</t>
        </is>
      </c>
      <c r="F1882" s="38" t="n">
        <v>0.14</v>
      </c>
      <c r="G1882" s="39" t="n">
        <v>42</v>
      </c>
      <c r="H1882" s="39" t="n">
        <v>42</v>
      </c>
      <c r="I1882" s="29">
        <f>IF(OR(COUNTIF('Suivi des rencontres'!$A:$A,$A1882)&gt;0,COUNTIF('Suivi des rencontres'!$C:$C,$J1882)&gt;0),"Non","Oui")</f>
        <v/>
      </c>
      <c r="J1882" s="30" t="inlineStr">
        <is>
          <t>PONYTA</t>
        </is>
      </c>
    </row>
    <row r="1883">
      <c r="A1883" s="35" t="inlineStr">
        <is>
          <t>Route 26</t>
        </is>
      </c>
      <c r="B1883" s="35" t="inlineStr">
        <is>
          <t>Route26_hns</t>
        </is>
      </c>
      <c r="C1883" s="62" t="inlineStr">
        <is>
          <t>Nuit</t>
        </is>
      </c>
      <c r="D1883" s="49" t="inlineStr">
        <is>
          <t>Herbe</t>
        </is>
      </c>
      <c r="E1883" s="37" t="inlineStr">
        <is>
          <t>PONYTA</t>
        </is>
      </c>
      <c r="F1883" s="38" t="n">
        <v>0.1</v>
      </c>
      <c r="G1883" s="39" t="n">
        <v>39</v>
      </c>
      <c r="H1883" s="39" t="n">
        <v>39</v>
      </c>
      <c r="I1883" s="29">
        <f>IF(OR(COUNTIF('Suivi des rencontres'!$A:$A,$A1883)&gt;0,COUNTIF('Suivi des rencontres'!$C:$C,$J1883)&gt;0),"Non","Oui")</f>
        <v/>
      </c>
      <c r="J1883" s="30" t="inlineStr">
        <is>
          <t>PONYTA</t>
        </is>
      </c>
    </row>
    <row r="1884">
      <c r="A1884" s="35" t="inlineStr">
        <is>
          <t>Route 26</t>
        </is>
      </c>
      <c r="B1884" s="35" t="inlineStr">
        <is>
          <t>Route26_hns</t>
        </is>
      </c>
      <c r="C1884" s="62" t="inlineStr">
        <is>
          <t>Nuit</t>
        </is>
      </c>
      <c r="D1884" s="49" t="inlineStr">
        <is>
          <t>Herbe</t>
        </is>
      </c>
      <c r="E1884" s="37" t="inlineStr">
        <is>
          <t>DODRIO</t>
        </is>
      </c>
      <c r="F1884" s="38" t="n">
        <v>0.06</v>
      </c>
      <c r="G1884" s="39" t="n">
        <v>42</v>
      </c>
      <c r="H1884" s="39" t="n">
        <v>42</v>
      </c>
      <c r="I1884" s="29">
        <f>IF(OR(COUNTIF('Suivi des rencontres'!$A:$A,$A1884)&gt;0,COUNTIF('Suivi des rencontres'!$C:$C,$J1884)&gt;0),"Non","Oui")</f>
        <v/>
      </c>
      <c r="J1884" s="30" t="inlineStr">
        <is>
          <t>DODUO</t>
        </is>
      </c>
    </row>
    <row r="1885">
      <c r="A1885" s="35" t="inlineStr">
        <is>
          <t>Route 26</t>
        </is>
      </c>
      <c r="B1885" s="35" t="inlineStr">
        <is>
          <t>Route26_hns</t>
        </is>
      </c>
      <c r="C1885" s="62" t="inlineStr">
        <is>
          <t>Nuit</t>
        </is>
      </c>
      <c r="D1885" s="49" t="inlineStr">
        <is>
          <t>Herbe</t>
        </is>
      </c>
      <c r="E1885" s="37" t="inlineStr">
        <is>
          <t>BULBIZARRE</t>
        </is>
      </c>
      <c r="F1885" s="38" t="n">
        <v>0.05</v>
      </c>
      <c r="G1885" s="39" t="n">
        <v>5</v>
      </c>
      <c r="H1885" s="39" t="n">
        <v>5</v>
      </c>
      <c r="I1885" s="29">
        <f>IF(OR(COUNTIF('Suivi des rencontres'!$A:$A,$A1885)&gt;0,COUNTIF('Suivi des rencontres'!$C:$C,$J1885)&gt;0),"Non","Oui")</f>
        <v/>
      </c>
      <c r="J1885" s="30" t="inlineStr">
        <is>
          <t>BULBIZARRE</t>
        </is>
      </c>
    </row>
    <row r="1886">
      <c r="A1886" s="35" t="inlineStr">
        <is>
          <t>Route 26</t>
        </is>
      </c>
      <c r="B1886" s="35" t="inlineStr">
        <is>
          <t>Route26_hns</t>
        </is>
      </c>
      <c r="C1886" s="62" t="inlineStr">
        <is>
          <t>Nuit</t>
        </is>
      </c>
      <c r="D1886" s="49" t="inlineStr">
        <is>
          <t>Herbe</t>
        </is>
      </c>
      <c r="E1886" s="37" t="inlineStr">
        <is>
          <t>CARAPUCE</t>
        </is>
      </c>
      <c r="F1886" s="38" t="n">
        <v>0.05</v>
      </c>
      <c r="G1886" s="39" t="n">
        <v>5</v>
      </c>
      <c r="H1886" s="39" t="n">
        <v>5</v>
      </c>
      <c r="I1886" s="29">
        <f>IF(OR(COUNTIF('Suivi des rencontres'!$A:$A,$A1886)&gt;0,COUNTIF('Suivi des rencontres'!$C:$C,$J1886)&gt;0),"Non","Oui")</f>
        <v/>
      </c>
      <c r="J1886" s="30" t="inlineStr">
        <is>
          <t>CARAPUCE</t>
        </is>
      </c>
    </row>
    <row r="1887">
      <c r="A1887" s="35" t="inlineStr">
        <is>
          <t>Route 26</t>
        </is>
      </c>
      <c r="B1887" s="35" t="inlineStr">
        <is>
          <t>Route26_hns</t>
        </is>
      </c>
      <c r="C1887" s="33" t="inlineStr">
        <is>
          <t>Matin, jour, soir</t>
        </is>
      </c>
      <c r="D1887" s="53" t="inlineStr">
        <is>
          <t>Surf</t>
        </is>
      </c>
      <c r="E1887" s="37" t="inlineStr">
        <is>
          <t>TENTACOOL</t>
        </is>
      </c>
      <c r="F1887" s="38" t="n">
        <v>0.99</v>
      </c>
      <c r="G1887" s="39" t="n">
        <v>25</v>
      </c>
      <c r="H1887" s="39" t="n">
        <v>34</v>
      </c>
      <c r="I1887" s="29">
        <f>IF(OR(COUNTIF('Suivi des rencontres'!$A:$A,$A1887)&gt;0,COUNTIF('Suivi des rencontres'!$C:$C,$J1887)&gt;0),"Non","Oui")</f>
        <v/>
      </c>
      <c r="J1887" s="30" t="inlineStr">
        <is>
          <t>TENTACOOL</t>
        </is>
      </c>
    </row>
    <row r="1888">
      <c r="A1888" s="35" t="inlineStr">
        <is>
          <t>Route 26</t>
        </is>
      </c>
      <c r="B1888" s="35" t="inlineStr">
        <is>
          <t>Route26_hns</t>
        </is>
      </c>
      <c r="C1888" s="33" t="inlineStr">
        <is>
          <t>Matin, jour, soir</t>
        </is>
      </c>
      <c r="D1888" s="53" t="inlineStr">
        <is>
          <t>Surf</t>
        </is>
      </c>
      <c r="E1888" s="37" t="inlineStr">
        <is>
          <t>TENTACRUEL</t>
        </is>
      </c>
      <c r="F1888" s="38" t="n">
        <v>0.01</v>
      </c>
      <c r="G1888" s="39" t="n">
        <v>30</v>
      </c>
      <c r="H1888" s="39" t="n">
        <v>34</v>
      </c>
      <c r="I1888" s="29">
        <f>IF(OR(COUNTIF('Suivi des rencontres'!$A:$A,$A1888)&gt;0,COUNTIF('Suivi des rencontres'!$C:$C,$J1888)&gt;0),"Non","Oui")</f>
        <v/>
      </c>
      <c r="J1888" s="30" t="inlineStr">
        <is>
          <t>TENTACOOL</t>
        </is>
      </c>
    </row>
    <row r="1889">
      <c r="A1889" s="35" t="inlineStr">
        <is>
          <t>Route 26</t>
        </is>
      </c>
      <c r="B1889" s="35" t="inlineStr">
        <is>
          <t>Route26_hns</t>
        </is>
      </c>
      <c r="C1889" s="62" t="inlineStr">
        <is>
          <t>Nuit</t>
        </is>
      </c>
      <c r="D1889" s="53" t="inlineStr">
        <is>
          <t>Surf</t>
        </is>
      </c>
      <c r="E1889" s="37" t="inlineStr">
        <is>
          <t>TENTACOOL</t>
        </is>
      </c>
      <c r="F1889" s="38" t="n">
        <v>0.99</v>
      </c>
      <c r="G1889" s="39" t="n">
        <v>25</v>
      </c>
      <c r="H1889" s="39" t="n">
        <v>34</v>
      </c>
      <c r="I1889" s="29">
        <f>IF(OR(COUNTIF('Suivi des rencontres'!$A:$A,$A1889)&gt;0,COUNTIF('Suivi des rencontres'!$C:$C,$J1889)&gt;0),"Non","Oui")</f>
        <v/>
      </c>
      <c r="J1889" s="30" t="inlineStr">
        <is>
          <t>TENTACOOL</t>
        </is>
      </c>
    </row>
    <row r="1890">
      <c r="A1890" s="35" t="inlineStr">
        <is>
          <t>Route 26</t>
        </is>
      </c>
      <c r="B1890" s="35" t="inlineStr">
        <is>
          <t>Route26_hns</t>
        </is>
      </c>
      <c r="C1890" s="62" t="inlineStr">
        <is>
          <t>Nuit</t>
        </is>
      </c>
      <c r="D1890" s="53" t="inlineStr">
        <is>
          <t>Surf</t>
        </is>
      </c>
      <c r="E1890" s="37" t="inlineStr">
        <is>
          <t>TENTACRUEL</t>
        </is>
      </c>
      <c r="F1890" s="38" t="n">
        <v>0.01</v>
      </c>
      <c r="G1890" s="39" t="n">
        <v>30</v>
      </c>
      <c r="H1890" s="39" t="n">
        <v>34</v>
      </c>
      <c r="I1890" s="29">
        <f>IF(OR(COUNTIF('Suivi des rencontres'!$A:$A,$A1890)&gt;0,COUNTIF('Suivi des rencontres'!$C:$C,$J1890)&gt;0),"Non","Oui")</f>
        <v/>
      </c>
      <c r="J1890" s="30" t="inlineStr">
        <is>
          <t>TENTACOOL</t>
        </is>
      </c>
    </row>
    <row r="1891">
      <c r="A1891" s="35" t="inlineStr">
        <is>
          <t>Route 26</t>
        </is>
      </c>
      <c r="B1891" s="35" t="inlineStr">
        <is>
          <t>Route26_hns</t>
        </is>
      </c>
      <c r="C1891" s="33" t="inlineStr">
        <is>
          <t>Toute la journée</t>
        </is>
      </c>
      <c r="D1891" s="36" t="inlineStr">
        <is>
          <t>Éclate-Roc</t>
        </is>
      </c>
      <c r="E1891" s="37" t="inlineStr">
        <is>
          <t>POMDEPIK</t>
        </is>
      </c>
      <c r="F1891" s="38" t="n">
        <v>0.6</v>
      </c>
      <c r="G1891" s="39" t="n">
        <v>20</v>
      </c>
      <c r="H1891" s="39" t="n">
        <v>20</v>
      </c>
      <c r="I1891" s="29">
        <f>IF(OR(COUNTIF('Suivi des rencontres'!$A:$A,$A1891)&gt;0,COUNTIF('Suivi des rencontres'!$C:$C,$J1891)&gt;0),"Non","Oui")</f>
        <v/>
      </c>
      <c r="J1891" s="30" t="inlineStr">
        <is>
          <t>POMDEPIK</t>
        </is>
      </c>
    </row>
    <row r="1892">
      <c r="A1892" s="35" t="inlineStr">
        <is>
          <t>Route 26</t>
        </is>
      </c>
      <c r="B1892" s="35" t="inlineStr">
        <is>
          <t>Route26_hns</t>
        </is>
      </c>
      <c r="C1892" s="33" t="inlineStr">
        <is>
          <t>Toute la journée</t>
        </is>
      </c>
      <c r="D1892" s="36" t="inlineStr">
        <is>
          <t>Éclate-Roc</t>
        </is>
      </c>
      <c r="E1892" s="37" t="inlineStr">
        <is>
          <t>CAPUMAIN</t>
        </is>
      </c>
      <c r="F1892" s="38" t="n">
        <v>0.35</v>
      </c>
      <c r="G1892" s="39" t="n">
        <v>20</v>
      </c>
      <c r="H1892" s="39" t="n">
        <v>20</v>
      </c>
      <c r="I1892" s="29">
        <f>IF(OR(COUNTIF('Suivi des rencontres'!$A:$A,$A1892)&gt;0,COUNTIF('Suivi des rencontres'!$C:$C,$J1892)&gt;0),"Non","Oui")</f>
        <v/>
      </c>
      <c r="J1892" s="30" t="inlineStr">
        <is>
          <t>CAPUMAIN</t>
        </is>
      </c>
    </row>
    <row r="1893">
      <c r="A1893" s="35" t="inlineStr">
        <is>
          <t>Route 26</t>
        </is>
      </c>
      <c r="B1893" s="35" t="inlineStr">
        <is>
          <t>Route26_hns</t>
        </is>
      </c>
      <c r="C1893" s="33" t="inlineStr">
        <is>
          <t>Toute la journée</t>
        </is>
      </c>
      <c r="D1893" s="36" t="inlineStr">
        <is>
          <t>Éclate-Roc</t>
        </is>
      </c>
      <c r="E1893" s="37" t="inlineStr">
        <is>
          <t>SCARHINO</t>
        </is>
      </c>
      <c r="F1893" s="38" t="n">
        <v>0.05</v>
      </c>
      <c r="G1893" s="39" t="n">
        <v>20</v>
      </c>
      <c r="H1893" s="39" t="n">
        <v>20</v>
      </c>
      <c r="I1893" s="29">
        <f>IF(OR(COUNTIF('Suivi des rencontres'!$A:$A,$A1893)&gt;0,COUNTIF('Suivi des rencontres'!$C:$C,$J1893)&gt;0),"Non","Oui")</f>
        <v/>
      </c>
      <c r="J1893" s="30" t="inlineStr">
        <is>
          <t>SCARHINO</t>
        </is>
      </c>
    </row>
    <row r="1894">
      <c r="A1894" s="35" t="inlineStr">
        <is>
          <t>Route 26</t>
        </is>
      </c>
      <c r="B1894" s="35" t="inlineStr">
        <is>
          <t>Route26_hns</t>
        </is>
      </c>
      <c r="C1894" s="33" t="inlineStr">
        <is>
          <t>Matin, jour, soir</t>
        </is>
      </c>
      <c r="D1894" s="54" t="inlineStr">
        <is>
          <t>Vieille Canne</t>
        </is>
      </c>
      <c r="E1894" s="37" t="inlineStr">
        <is>
          <t>MAGICARPE</t>
        </is>
      </c>
      <c r="F1894" s="38" t="n">
        <v>0.7</v>
      </c>
      <c r="G1894" s="39" t="n">
        <v>10</v>
      </c>
      <c r="H1894" s="39" t="n">
        <v>10</v>
      </c>
      <c r="I1894" s="29">
        <f>IF(OR(COUNTIF('Suivi des rencontres'!$A:$A,$A1894)&gt;0,COUNTIF('Suivi des rencontres'!$C:$C,$J1894)&gt;0),"Non","Oui")</f>
        <v/>
      </c>
      <c r="J1894" s="30" t="inlineStr">
        <is>
          <t>MAGICARPE</t>
        </is>
      </c>
    </row>
    <row r="1895">
      <c r="A1895" s="35" t="inlineStr">
        <is>
          <t>Route 26</t>
        </is>
      </c>
      <c r="B1895" s="35" t="inlineStr">
        <is>
          <t>Route26_hns</t>
        </is>
      </c>
      <c r="C1895" s="33" t="inlineStr">
        <is>
          <t>Matin, jour, soir</t>
        </is>
      </c>
      <c r="D1895" s="54" t="inlineStr">
        <is>
          <t>Vieille Canne</t>
        </is>
      </c>
      <c r="E1895" s="37" t="inlineStr">
        <is>
          <t>TENTACOOL</t>
        </is>
      </c>
      <c r="F1895" s="38" t="n">
        <v>0.3</v>
      </c>
      <c r="G1895" s="39" t="n">
        <v>10</v>
      </c>
      <c r="H1895" s="39" t="n">
        <v>10</v>
      </c>
      <c r="I1895" s="29">
        <f>IF(OR(COUNTIF('Suivi des rencontres'!$A:$A,$A1895)&gt;0,COUNTIF('Suivi des rencontres'!$C:$C,$J1895)&gt;0),"Non","Oui")</f>
        <v/>
      </c>
      <c r="J1895" s="30" t="inlineStr">
        <is>
          <t>TENTACOOL</t>
        </is>
      </c>
    </row>
    <row r="1896">
      <c r="A1896" s="35" t="inlineStr">
        <is>
          <t>Route 26</t>
        </is>
      </c>
      <c r="B1896" s="35" t="inlineStr">
        <is>
          <t>Route26_hns</t>
        </is>
      </c>
      <c r="C1896" s="62" t="inlineStr">
        <is>
          <t>Nuit</t>
        </is>
      </c>
      <c r="D1896" s="54" t="inlineStr">
        <is>
          <t>Vieille Canne</t>
        </is>
      </c>
      <c r="E1896" s="37" t="inlineStr">
        <is>
          <t>MAGICARPE</t>
        </is>
      </c>
      <c r="F1896" s="38" t="n">
        <v>0.7</v>
      </c>
      <c r="G1896" s="39" t="n">
        <v>10</v>
      </c>
      <c r="H1896" s="39" t="n">
        <v>10</v>
      </c>
      <c r="I1896" s="29">
        <f>IF(OR(COUNTIF('Suivi des rencontres'!$A:$A,$A1896)&gt;0,COUNTIF('Suivi des rencontres'!$C:$C,$J1896)&gt;0),"Non","Oui")</f>
        <v/>
      </c>
      <c r="J1896" s="30" t="inlineStr">
        <is>
          <t>MAGICARPE</t>
        </is>
      </c>
    </row>
    <row r="1897">
      <c r="A1897" s="35" t="inlineStr">
        <is>
          <t>Route 26</t>
        </is>
      </c>
      <c r="B1897" s="35" t="inlineStr">
        <is>
          <t>Route26_hns</t>
        </is>
      </c>
      <c r="C1897" s="62" t="inlineStr">
        <is>
          <t>Nuit</t>
        </is>
      </c>
      <c r="D1897" s="54" t="inlineStr">
        <is>
          <t>Vieille Canne</t>
        </is>
      </c>
      <c r="E1897" s="37" t="inlineStr">
        <is>
          <t>TENTACOOL</t>
        </is>
      </c>
      <c r="F1897" s="38" t="n">
        <v>0.3</v>
      </c>
      <c r="G1897" s="39" t="n">
        <v>10</v>
      </c>
      <c r="H1897" s="39" t="n">
        <v>10</v>
      </c>
      <c r="I1897" s="29">
        <f>IF(OR(COUNTIF('Suivi des rencontres'!$A:$A,$A1897)&gt;0,COUNTIF('Suivi des rencontres'!$C:$C,$J1897)&gt;0),"Non","Oui")</f>
        <v/>
      </c>
      <c r="J1897" s="30" t="inlineStr">
        <is>
          <t>TENTACOOL</t>
        </is>
      </c>
    </row>
    <row r="1898">
      <c r="A1898" s="35" t="inlineStr">
        <is>
          <t>Route 26</t>
        </is>
      </c>
      <c r="B1898" s="35" t="inlineStr">
        <is>
          <t>Route26_hns</t>
        </is>
      </c>
      <c r="C1898" s="33" t="inlineStr">
        <is>
          <t>Matin, jour, soir</t>
        </is>
      </c>
      <c r="D1898" s="55" t="inlineStr">
        <is>
          <t>Bonne Canne</t>
        </is>
      </c>
      <c r="E1898" s="37" t="inlineStr">
        <is>
          <t>MAGICARPE</t>
        </is>
      </c>
      <c r="F1898" s="38" t="n">
        <v>0.6</v>
      </c>
      <c r="G1898" s="39" t="n">
        <v>20</v>
      </c>
      <c r="H1898" s="39" t="n">
        <v>20</v>
      </c>
      <c r="I1898" s="29">
        <f>IF(OR(COUNTIF('Suivi des rencontres'!$A:$A,$A1898)&gt;0,COUNTIF('Suivi des rencontres'!$C:$C,$J1898)&gt;0),"Non","Oui")</f>
        <v/>
      </c>
      <c r="J1898" s="30" t="inlineStr">
        <is>
          <t>MAGICARPE</t>
        </is>
      </c>
    </row>
    <row r="1899">
      <c r="A1899" s="35" t="inlineStr">
        <is>
          <t>Route 26</t>
        </is>
      </c>
      <c r="B1899" s="35" t="inlineStr">
        <is>
          <t>Route26_hns</t>
        </is>
      </c>
      <c r="C1899" s="33" t="inlineStr">
        <is>
          <t>Matin, jour, soir</t>
        </is>
      </c>
      <c r="D1899" s="55" t="inlineStr">
        <is>
          <t>Bonne Canne</t>
        </is>
      </c>
      <c r="E1899" s="37" t="inlineStr">
        <is>
          <t>TENTACOOL</t>
        </is>
      </c>
      <c r="F1899" s="38" t="n">
        <v>0.4</v>
      </c>
      <c r="G1899" s="39" t="n">
        <v>20</v>
      </c>
      <c r="H1899" s="39" t="n">
        <v>40</v>
      </c>
      <c r="I1899" s="29">
        <f>IF(OR(COUNTIF('Suivi des rencontres'!$A:$A,$A1899)&gt;0,COUNTIF('Suivi des rencontres'!$C:$C,$J1899)&gt;0),"Non","Oui")</f>
        <v/>
      </c>
      <c r="J1899" s="30" t="inlineStr">
        <is>
          <t>TENTACOOL</t>
        </is>
      </c>
    </row>
    <row r="1900">
      <c r="A1900" s="35" t="inlineStr">
        <is>
          <t>Route 26</t>
        </is>
      </c>
      <c r="B1900" s="35" t="inlineStr">
        <is>
          <t>Route26_hns</t>
        </is>
      </c>
      <c r="C1900" s="62" t="inlineStr">
        <is>
          <t>Nuit</t>
        </is>
      </c>
      <c r="D1900" s="55" t="inlineStr">
        <is>
          <t>Bonne Canne</t>
        </is>
      </c>
      <c r="E1900" s="37" t="inlineStr">
        <is>
          <t>MAGICARPE</t>
        </is>
      </c>
      <c r="F1900" s="38" t="n">
        <v>0.6</v>
      </c>
      <c r="G1900" s="39" t="n">
        <v>20</v>
      </c>
      <c r="H1900" s="39" t="n">
        <v>20</v>
      </c>
      <c r="I1900" s="29">
        <f>IF(OR(COUNTIF('Suivi des rencontres'!$A:$A,$A1900)&gt;0,COUNTIF('Suivi des rencontres'!$C:$C,$J1900)&gt;0),"Non","Oui")</f>
        <v/>
      </c>
      <c r="J1900" s="30" t="inlineStr">
        <is>
          <t>MAGICARPE</t>
        </is>
      </c>
    </row>
    <row r="1901">
      <c r="A1901" s="35" t="inlineStr">
        <is>
          <t>Route 26</t>
        </is>
      </c>
      <c r="B1901" s="35" t="inlineStr">
        <is>
          <t>Route26_hns</t>
        </is>
      </c>
      <c r="C1901" s="62" t="inlineStr">
        <is>
          <t>Nuit</t>
        </is>
      </c>
      <c r="D1901" s="55" t="inlineStr">
        <is>
          <t>Bonne Canne</t>
        </is>
      </c>
      <c r="E1901" s="37" t="inlineStr">
        <is>
          <t>TENTACOOL</t>
        </is>
      </c>
      <c r="F1901" s="38" t="n">
        <v>0.4</v>
      </c>
      <c r="G1901" s="39" t="n">
        <v>20</v>
      </c>
      <c r="H1901" s="39" t="n">
        <v>40</v>
      </c>
      <c r="I1901" s="29">
        <f>IF(OR(COUNTIF('Suivi des rencontres'!$A:$A,$A1901)&gt;0,COUNTIF('Suivi des rencontres'!$C:$C,$J1901)&gt;0),"Non","Oui")</f>
        <v/>
      </c>
      <c r="J1901" s="30" t="inlineStr">
        <is>
          <t>TENTACOOL</t>
        </is>
      </c>
    </row>
    <row r="1902">
      <c r="A1902" s="35" t="inlineStr">
        <is>
          <t>Route 26</t>
        </is>
      </c>
      <c r="B1902" s="35" t="inlineStr">
        <is>
          <t>Route26_hns</t>
        </is>
      </c>
      <c r="C1902" s="33" t="inlineStr">
        <is>
          <t>Matin, jour, soir</t>
        </is>
      </c>
      <c r="D1902" s="56" t="inlineStr">
        <is>
          <t>Super Canne</t>
        </is>
      </c>
      <c r="E1902" s="37" t="inlineStr">
        <is>
          <t>MAGICARPE</t>
        </is>
      </c>
      <c r="F1902" s="38" t="n">
        <v>0.45</v>
      </c>
      <c r="G1902" s="39" t="n">
        <v>20</v>
      </c>
      <c r="H1902" s="39" t="n">
        <v>40</v>
      </c>
      <c r="I1902" s="29">
        <f>IF(OR(COUNTIF('Suivi des rencontres'!$A:$A,$A1902)&gt;0,COUNTIF('Suivi des rencontres'!$C:$C,$J1902)&gt;0),"Non","Oui")</f>
        <v/>
      </c>
      <c r="J1902" s="30" t="inlineStr">
        <is>
          <t>MAGICARPE</t>
        </is>
      </c>
    </row>
    <row r="1903">
      <c r="A1903" s="35" t="inlineStr">
        <is>
          <t>Route 26</t>
        </is>
      </c>
      <c r="B1903" s="35" t="inlineStr">
        <is>
          <t>Route26_hns</t>
        </is>
      </c>
      <c r="C1903" s="33" t="inlineStr">
        <is>
          <t>Matin, jour, soir</t>
        </is>
      </c>
      <c r="D1903" s="56" t="inlineStr">
        <is>
          <t>Super Canne</t>
        </is>
      </c>
      <c r="E1903" s="37" t="inlineStr">
        <is>
          <t>TENTACRUEL</t>
        </is>
      </c>
      <c r="F1903" s="38" t="n">
        <v>0.4</v>
      </c>
      <c r="G1903" s="39" t="n">
        <v>40</v>
      </c>
      <c r="H1903" s="39" t="n">
        <v>40</v>
      </c>
      <c r="I1903" s="29">
        <f>IF(OR(COUNTIF('Suivi des rencontres'!$A:$A,$A1903)&gt;0,COUNTIF('Suivi des rencontres'!$C:$C,$J1903)&gt;0),"Non","Oui")</f>
        <v/>
      </c>
      <c r="J1903" s="30" t="inlineStr">
        <is>
          <t>TENTACOOL</t>
        </is>
      </c>
    </row>
    <row r="1904">
      <c r="A1904" s="35" t="inlineStr">
        <is>
          <t>Route 26</t>
        </is>
      </c>
      <c r="B1904" s="35" t="inlineStr">
        <is>
          <t>Route26_hns</t>
        </is>
      </c>
      <c r="C1904" s="33" t="inlineStr">
        <is>
          <t>Matin, jour, soir</t>
        </is>
      </c>
      <c r="D1904" s="56" t="inlineStr">
        <is>
          <t>Super Canne</t>
        </is>
      </c>
      <c r="E1904" s="37" t="inlineStr">
        <is>
          <t>TENTACOOL</t>
        </is>
      </c>
      <c r="F1904" s="38" t="n">
        <v>0.15</v>
      </c>
      <c r="G1904" s="39" t="n">
        <v>20</v>
      </c>
      <c r="H1904" s="39" t="n">
        <v>20</v>
      </c>
      <c r="I1904" s="29">
        <f>IF(OR(COUNTIF('Suivi des rencontres'!$A:$A,$A1904)&gt;0,COUNTIF('Suivi des rencontres'!$C:$C,$J1904)&gt;0),"Non","Oui")</f>
        <v/>
      </c>
      <c r="J1904" s="30" t="inlineStr">
        <is>
          <t>TENTACOOL</t>
        </is>
      </c>
    </row>
    <row r="1905">
      <c r="A1905" s="35" t="inlineStr">
        <is>
          <t>Route 26</t>
        </is>
      </c>
      <c r="B1905" s="35" t="inlineStr">
        <is>
          <t>Route26_hns</t>
        </is>
      </c>
      <c r="C1905" s="62" t="inlineStr">
        <is>
          <t>Nuit</t>
        </is>
      </c>
      <c r="D1905" s="56" t="inlineStr">
        <is>
          <t>Super Canne</t>
        </is>
      </c>
      <c r="E1905" s="37" t="inlineStr">
        <is>
          <t>MAGICARPE</t>
        </is>
      </c>
      <c r="F1905" s="38" t="n">
        <v>0.45</v>
      </c>
      <c r="G1905" s="39" t="n">
        <v>20</v>
      </c>
      <c r="H1905" s="39" t="n">
        <v>40</v>
      </c>
      <c r="I1905" s="29">
        <f>IF(OR(COUNTIF('Suivi des rencontres'!$A:$A,$A1905)&gt;0,COUNTIF('Suivi des rencontres'!$C:$C,$J1905)&gt;0),"Non","Oui")</f>
        <v/>
      </c>
      <c r="J1905" s="30" t="inlineStr">
        <is>
          <t>MAGICARPE</t>
        </is>
      </c>
    </row>
    <row r="1906">
      <c r="A1906" s="35" t="inlineStr">
        <is>
          <t>Route 26</t>
        </is>
      </c>
      <c r="B1906" s="35" t="inlineStr">
        <is>
          <t>Route26_hns</t>
        </is>
      </c>
      <c r="C1906" s="62" t="inlineStr">
        <is>
          <t>Nuit</t>
        </is>
      </c>
      <c r="D1906" s="56" t="inlineStr">
        <is>
          <t>Super Canne</t>
        </is>
      </c>
      <c r="E1906" s="37" t="inlineStr">
        <is>
          <t>TENTACRUEL</t>
        </is>
      </c>
      <c r="F1906" s="38" t="n">
        <v>0.4</v>
      </c>
      <c r="G1906" s="39" t="n">
        <v>40</v>
      </c>
      <c r="H1906" s="39" t="n">
        <v>40</v>
      </c>
      <c r="I1906" s="29">
        <f>IF(OR(COUNTIF('Suivi des rencontres'!$A:$A,$A1906)&gt;0,COUNTIF('Suivi des rencontres'!$C:$C,$J1906)&gt;0),"Non","Oui")</f>
        <v/>
      </c>
      <c r="J1906" s="30" t="inlineStr">
        <is>
          <t>TENTACOOL</t>
        </is>
      </c>
    </row>
    <row r="1907">
      <c r="A1907" s="35" t="inlineStr">
        <is>
          <t>Route 26</t>
        </is>
      </c>
      <c r="B1907" s="35" t="inlineStr">
        <is>
          <t>Route26_hns</t>
        </is>
      </c>
      <c r="C1907" s="62" t="inlineStr">
        <is>
          <t>Nuit</t>
        </is>
      </c>
      <c r="D1907" s="56" t="inlineStr">
        <is>
          <t>Super Canne</t>
        </is>
      </c>
      <c r="E1907" s="37" t="inlineStr">
        <is>
          <t>TENTACOOL</t>
        </is>
      </c>
      <c r="F1907" s="38" t="n">
        <v>0.15</v>
      </c>
      <c r="G1907" s="39" t="n">
        <v>20</v>
      </c>
      <c r="H1907" s="39" t="n">
        <v>20</v>
      </c>
      <c r="I1907" s="29">
        <f>IF(OR(COUNTIF('Suivi des rencontres'!$A:$A,$A1907)&gt;0,COUNTIF('Suivi des rencontres'!$C:$C,$J1907)&gt;0),"Non","Oui")</f>
        <v/>
      </c>
      <c r="J1907" s="30" t="inlineStr">
        <is>
          <t>TENTACOOL</t>
        </is>
      </c>
    </row>
    <row r="1908">
      <c r="A1908" s="40" t="inlineStr">
        <is>
          <t>Route 27</t>
        </is>
      </c>
      <c r="B1908" s="40" t="inlineStr">
        <is>
          <t>Route27_hns</t>
        </is>
      </c>
      <c r="C1908" s="41" t="inlineStr">
        <is>
          <t>Matin, jour, soir</t>
        </is>
      </c>
      <c r="D1908" s="42" t="inlineStr">
        <is>
          <t>Herbe</t>
        </is>
      </c>
      <c r="E1908" s="43" t="inlineStr">
        <is>
          <t>DODRIO</t>
        </is>
      </c>
      <c r="F1908" s="44" t="n">
        <v>0.34</v>
      </c>
      <c r="G1908" s="45" t="n">
        <v>38</v>
      </c>
      <c r="H1908" s="45" t="n">
        <v>42</v>
      </c>
      <c r="I1908" s="46">
        <f>IF(OR(COUNTIF('Suivi des rencontres'!$A:$A,$A1908)&gt;0,COUNTIF('Suivi des rencontres'!$C:$C,$J1908)&gt;0),"Non","Oui")</f>
        <v/>
      </c>
      <c r="J1908" s="30" t="inlineStr">
        <is>
          <t>DODUO</t>
        </is>
      </c>
    </row>
    <row r="1909">
      <c r="A1909" s="47" t="inlineStr">
        <is>
          <t>Route 27</t>
        </is>
      </c>
      <c r="B1909" s="47" t="inlineStr">
        <is>
          <t>Route27_hns</t>
        </is>
      </c>
      <c r="C1909" s="48" t="inlineStr">
        <is>
          <t>Matin, jour, soir</t>
        </is>
      </c>
      <c r="D1909" s="49" t="inlineStr">
        <is>
          <t>Herbe</t>
        </is>
      </c>
      <c r="E1909" s="50" t="inlineStr">
        <is>
          <t>ARBOK</t>
        </is>
      </c>
      <c r="F1909" s="51" t="n">
        <v>0.3</v>
      </c>
      <c r="G1909" s="52" t="n">
        <v>38</v>
      </c>
      <c r="H1909" s="52" t="n">
        <v>38</v>
      </c>
      <c r="I1909" s="29">
        <f>IF(OR(COUNTIF('Suivi des rencontres'!$A:$A,$A1909)&gt;0,COUNTIF('Suivi des rencontres'!$C:$C,$J1909)&gt;0),"Non","Oui")</f>
        <v/>
      </c>
      <c r="J1909" s="30" t="inlineStr">
        <is>
          <t>ABO</t>
        </is>
      </c>
    </row>
    <row r="1910">
      <c r="A1910" s="47" t="inlineStr">
        <is>
          <t>Route 27</t>
        </is>
      </c>
      <c r="B1910" s="47" t="inlineStr">
        <is>
          <t>Route27_hns</t>
        </is>
      </c>
      <c r="C1910" s="48" t="inlineStr">
        <is>
          <t>Matin, jour, soir</t>
        </is>
      </c>
      <c r="D1910" s="49" t="inlineStr">
        <is>
          <t>Herbe</t>
        </is>
      </c>
      <c r="E1910" s="50" t="inlineStr">
        <is>
          <t>GALOPA</t>
        </is>
      </c>
      <c r="F1910" s="51" t="n">
        <v>0.14</v>
      </c>
      <c r="G1910" s="52" t="n">
        <v>42</v>
      </c>
      <c r="H1910" s="52" t="n">
        <v>42</v>
      </c>
      <c r="I1910" s="29">
        <f>IF(OR(COUNTIF('Suivi des rencontres'!$A:$A,$A1910)&gt;0,COUNTIF('Suivi des rencontres'!$C:$C,$J1910)&gt;0),"Non","Oui")</f>
        <v/>
      </c>
      <c r="J1910" s="30" t="inlineStr">
        <is>
          <t>PONYTA</t>
        </is>
      </c>
    </row>
    <row r="1911">
      <c r="A1911" s="47" t="inlineStr">
        <is>
          <t>Route 27</t>
        </is>
      </c>
      <c r="B1911" s="47" t="inlineStr">
        <is>
          <t>Route27_hns</t>
        </is>
      </c>
      <c r="C1911" s="48" t="inlineStr">
        <is>
          <t>Matin, jour, soir</t>
        </is>
      </c>
      <c r="D1911" s="49" t="inlineStr">
        <is>
          <t>Herbe</t>
        </is>
      </c>
      <c r="E1911" s="50" t="inlineStr">
        <is>
          <t>PONYTA</t>
        </is>
      </c>
      <c r="F1911" s="51" t="n">
        <v>0.11</v>
      </c>
      <c r="G1911" s="52" t="n">
        <v>39</v>
      </c>
      <c r="H1911" s="52" t="n">
        <v>39</v>
      </c>
      <c r="I1911" s="29">
        <f>IF(OR(COUNTIF('Suivi des rencontres'!$A:$A,$A1911)&gt;0,COUNTIF('Suivi des rencontres'!$C:$C,$J1911)&gt;0),"Non","Oui")</f>
        <v/>
      </c>
      <c r="J1911" s="30" t="inlineStr">
        <is>
          <t>PONYTA</t>
        </is>
      </c>
    </row>
    <row r="1912">
      <c r="A1912" s="47" t="inlineStr">
        <is>
          <t>Route 27</t>
        </is>
      </c>
      <c r="B1912" s="47" t="inlineStr">
        <is>
          <t>Route27_hns</t>
        </is>
      </c>
      <c r="C1912" s="48" t="inlineStr">
        <is>
          <t>Matin, jour, soir</t>
        </is>
      </c>
      <c r="D1912" s="49" t="inlineStr">
        <is>
          <t>Herbe</t>
        </is>
      </c>
      <c r="E1912" s="50" t="inlineStr">
        <is>
          <t>HERICENDRE</t>
        </is>
      </c>
      <c r="F1912" s="51" t="n">
        <v>0.06</v>
      </c>
      <c r="G1912" s="52" t="n">
        <v>5</v>
      </c>
      <c r="H1912" s="52" t="n">
        <v>5</v>
      </c>
      <c r="I1912" s="29">
        <f>IF(OR(COUNTIF('Suivi des rencontres'!$A:$A,$A1912)&gt;0,COUNTIF('Suivi des rencontres'!$C:$C,$J1912)&gt;0),"Non","Oui")</f>
        <v/>
      </c>
      <c r="J1912" s="30" t="inlineStr">
        <is>
          <t>HERICENDRE</t>
        </is>
      </c>
    </row>
    <row r="1913">
      <c r="A1913" s="47" t="inlineStr">
        <is>
          <t>Route 27</t>
        </is>
      </c>
      <c r="B1913" s="47" t="inlineStr">
        <is>
          <t>Route27_hns</t>
        </is>
      </c>
      <c r="C1913" s="48" t="inlineStr">
        <is>
          <t>Matin, jour, soir</t>
        </is>
      </c>
      <c r="D1913" s="49" t="inlineStr">
        <is>
          <t>Herbe</t>
        </is>
      </c>
      <c r="E1913" s="50" t="inlineStr">
        <is>
          <t>GERMIGNON</t>
        </is>
      </c>
      <c r="F1913" s="51" t="n">
        <v>0.05</v>
      </c>
      <c r="G1913" s="52" t="n">
        <v>5</v>
      </c>
      <c r="H1913" s="52" t="n">
        <v>5</v>
      </c>
      <c r="I1913" s="29">
        <f>IF(OR(COUNTIF('Suivi des rencontres'!$A:$A,$A1913)&gt;0,COUNTIF('Suivi des rencontres'!$C:$C,$J1913)&gt;0),"Non","Oui")</f>
        <v/>
      </c>
      <c r="J1913" s="30" t="inlineStr">
        <is>
          <t>GERMIGNON</t>
        </is>
      </c>
    </row>
    <row r="1914">
      <c r="A1914" s="47" t="inlineStr">
        <is>
          <t>Route 27</t>
        </is>
      </c>
      <c r="B1914" s="47" t="inlineStr">
        <is>
          <t>Route27_hns</t>
        </is>
      </c>
      <c r="C1914" s="62" t="inlineStr">
        <is>
          <t>Nuit</t>
        </is>
      </c>
      <c r="D1914" s="49" t="inlineStr">
        <is>
          <t>Herbe</t>
        </is>
      </c>
      <c r="E1914" s="50" t="inlineStr">
        <is>
          <t>ARBOK</t>
        </is>
      </c>
      <c r="F1914" s="51" t="n">
        <v>0.3</v>
      </c>
      <c r="G1914" s="52" t="n">
        <v>38</v>
      </c>
      <c r="H1914" s="52" t="n">
        <v>38</v>
      </c>
      <c r="I1914" s="29">
        <f>IF(OR(COUNTIF('Suivi des rencontres'!$A:$A,$A1914)&gt;0,COUNTIF('Suivi des rencontres'!$C:$C,$J1914)&gt;0),"Non","Oui")</f>
        <v/>
      </c>
      <c r="J1914" s="30" t="inlineStr">
        <is>
          <t>ABO</t>
        </is>
      </c>
    </row>
    <row r="1915">
      <c r="A1915" s="47" t="inlineStr">
        <is>
          <t>Route 27</t>
        </is>
      </c>
      <c r="B1915" s="47" t="inlineStr">
        <is>
          <t>Route27_hns</t>
        </is>
      </c>
      <c r="C1915" s="62" t="inlineStr">
        <is>
          <t>Nuit</t>
        </is>
      </c>
      <c r="D1915" s="49" t="inlineStr">
        <is>
          <t>Herbe</t>
        </is>
      </c>
      <c r="E1915" s="50" t="inlineStr">
        <is>
          <t>CORNEBRE</t>
        </is>
      </c>
      <c r="F1915" s="51" t="n">
        <v>0.3</v>
      </c>
      <c r="G1915" s="52" t="n">
        <v>38</v>
      </c>
      <c r="H1915" s="52" t="n">
        <v>38</v>
      </c>
      <c r="I1915" s="29">
        <f>IF(OR(COUNTIF('Suivi des rencontres'!$A:$A,$A1915)&gt;0,COUNTIF('Suivi des rencontres'!$C:$C,$J1915)&gt;0),"Non","Oui")</f>
        <v/>
      </c>
      <c r="J1915" s="30" t="inlineStr">
        <is>
          <t>CORNEBRE</t>
        </is>
      </c>
    </row>
    <row r="1916">
      <c r="A1916" s="47" t="inlineStr">
        <is>
          <t>Route 27</t>
        </is>
      </c>
      <c r="B1916" s="47" t="inlineStr">
        <is>
          <t>Route27_hns</t>
        </is>
      </c>
      <c r="C1916" s="62" t="inlineStr">
        <is>
          <t>Nuit</t>
        </is>
      </c>
      <c r="D1916" s="49" t="inlineStr">
        <is>
          <t>Herbe</t>
        </is>
      </c>
      <c r="E1916" s="50" t="inlineStr">
        <is>
          <t>GALOPA</t>
        </is>
      </c>
      <c r="F1916" s="51" t="n">
        <v>0.14</v>
      </c>
      <c r="G1916" s="52" t="n">
        <v>42</v>
      </c>
      <c r="H1916" s="52" t="n">
        <v>42</v>
      </c>
      <c r="I1916" s="29">
        <f>IF(OR(COUNTIF('Suivi des rencontres'!$A:$A,$A1916)&gt;0,COUNTIF('Suivi des rencontres'!$C:$C,$J1916)&gt;0),"Non","Oui")</f>
        <v/>
      </c>
      <c r="J1916" s="30" t="inlineStr">
        <is>
          <t>PONYTA</t>
        </is>
      </c>
    </row>
    <row r="1917">
      <c r="A1917" s="47" t="inlineStr">
        <is>
          <t>Route 27</t>
        </is>
      </c>
      <c r="B1917" s="47" t="inlineStr">
        <is>
          <t>Route27_hns</t>
        </is>
      </c>
      <c r="C1917" s="62" t="inlineStr">
        <is>
          <t>Nuit</t>
        </is>
      </c>
      <c r="D1917" s="49" t="inlineStr">
        <is>
          <t>Herbe</t>
        </is>
      </c>
      <c r="E1917" s="50" t="inlineStr">
        <is>
          <t>PONYTA</t>
        </is>
      </c>
      <c r="F1917" s="51" t="n">
        <v>0.1</v>
      </c>
      <c r="G1917" s="52" t="n">
        <v>39</v>
      </c>
      <c r="H1917" s="52" t="n">
        <v>39</v>
      </c>
      <c r="I1917" s="29">
        <f>IF(OR(COUNTIF('Suivi des rencontres'!$A:$A,$A1917)&gt;0,COUNTIF('Suivi des rencontres'!$C:$C,$J1917)&gt;0),"Non","Oui")</f>
        <v/>
      </c>
      <c r="J1917" s="30" t="inlineStr">
        <is>
          <t>PONYTA</t>
        </is>
      </c>
    </row>
    <row r="1918">
      <c r="A1918" s="47" t="inlineStr">
        <is>
          <t>Route 27</t>
        </is>
      </c>
      <c r="B1918" s="47" t="inlineStr">
        <is>
          <t>Route27_hns</t>
        </is>
      </c>
      <c r="C1918" s="62" t="inlineStr">
        <is>
          <t>Nuit</t>
        </is>
      </c>
      <c r="D1918" s="49" t="inlineStr">
        <is>
          <t>Herbe</t>
        </is>
      </c>
      <c r="E1918" s="50" t="inlineStr">
        <is>
          <t>KAIMINUS</t>
        </is>
      </c>
      <c r="F1918" s="51" t="n">
        <v>0.06</v>
      </c>
      <c r="G1918" s="52" t="n">
        <v>5</v>
      </c>
      <c r="H1918" s="52" t="n">
        <v>5</v>
      </c>
      <c r="I1918" s="29">
        <f>IF(OR(COUNTIF('Suivi des rencontres'!$A:$A,$A1918)&gt;0,COUNTIF('Suivi des rencontres'!$C:$C,$J1918)&gt;0),"Non","Oui")</f>
        <v/>
      </c>
      <c r="J1918" s="30" t="inlineStr">
        <is>
          <t>KAIMINUS</t>
        </is>
      </c>
    </row>
    <row r="1919">
      <c r="A1919" s="47" t="inlineStr">
        <is>
          <t>Route 27</t>
        </is>
      </c>
      <c r="B1919" s="47" t="inlineStr">
        <is>
          <t>Route27_hns</t>
        </is>
      </c>
      <c r="C1919" s="62" t="inlineStr">
        <is>
          <t>Nuit</t>
        </is>
      </c>
      <c r="D1919" s="49" t="inlineStr">
        <is>
          <t>Herbe</t>
        </is>
      </c>
      <c r="E1919" s="50" t="inlineStr">
        <is>
          <t>DODRIO</t>
        </is>
      </c>
      <c r="F1919" s="51" t="n">
        <v>0.05</v>
      </c>
      <c r="G1919" s="52" t="n">
        <v>42</v>
      </c>
      <c r="H1919" s="52" t="n">
        <v>42</v>
      </c>
      <c r="I1919" s="29">
        <f>IF(OR(COUNTIF('Suivi des rencontres'!$A:$A,$A1919)&gt;0,COUNTIF('Suivi des rencontres'!$C:$C,$J1919)&gt;0),"Non","Oui")</f>
        <v/>
      </c>
      <c r="J1919" s="30" t="inlineStr">
        <is>
          <t>DODUO</t>
        </is>
      </c>
    </row>
    <row r="1920">
      <c r="A1920" s="47" t="inlineStr">
        <is>
          <t>Route 27</t>
        </is>
      </c>
      <c r="B1920" s="47" t="inlineStr">
        <is>
          <t>Route27_hns</t>
        </is>
      </c>
      <c r="C1920" s="62" t="inlineStr">
        <is>
          <t>Nuit</t>
        </is>
      </c>
      <c r="D1920" s="49" t="inlineStr">
        <is>
          <t>Herbe</t>
        </is>
      </c>
      <c r="E1920" s="50" t="inlineStr">
        <is>
          <t>GERMIGNON</t>
        </is>
      </c>
      <c r="F1920" s="51" t="n">
        <v>0.05</v>
      </c>
      <c r="G1920" s="52" t="n">
        <v>5</v>
      </c>
      <c r="H1920" s="52" t="n">
        <v>5</v>
      </c>
      <c r="I1920" s="29">
        <f>IF(OR(COUNTIF('Suivi des rencontres'!$A:$A,$A1920)&gt;0,COUNTIF('Suivi des rencontres'!$C:$C,$J1920)&gt;0),"Non","Oui")</f>
        <v/>
      </c>
      <c r="J1920" s="30" t="inlineStr">
        <is>
          <t>GERMIGNON</t>
        </is>
      </c>
    </row>
    <row r="1921">
      <c r="A1921" s="47" t="inlineStr">
        <is>
          <t>Route 27</t>
        </is>
      </c>
      <c r="B1921" s="47" t="inlineStr">
        <is>
          <t>Route27_hns</t>
        </is>
      </c>
      <c r="C1921" s="48" t="inlineStr">
        <is>
          <t>Matin, jour, soir</t>
        </is>
      </c>
      <c r="D1921" s="53" t="inlineStr">
        <is>
          <t>Surf</t>
        </is>
      </c>
      <c r="E1921" s="50" t="inlineStr">
        <is>
          <t>TENTACOOL</t>
        </is>
      </c>
      <c r="F1921" s="51" t="n">
        <v>0.99</v>
      </c>
      <c r="G1921" s="52" t="n">
        <v>15</v>
      </c>
      <c r="H1921" s="52" t="n">
        <v>24</v>
      </c>
      <c r="I1921" s="29">
        <f>IF(OR(COUNTIF('Suivi des rencontres'!$A:$A,$A1921)&gt;0,COUNTIF('Suivi des rencontres'!$C:$C,$J1921)&gt;0),"Non","Oui")</f>
        <v/>
      </c>
      <c r="J1921" s="30" t="inlineStr">
        <is>
          <t>TENTACOOL</t>
        </is>
      </c>
    </row>
    <row r="1922">
      <c r="A1922" s="47" t="inlineStr">
        <is>
          <t>Route 27</t>
        </is>
      </c>
      <c r="B1922" s="47" t="inlineStr">
        <is>
          <t>Route27_hns</t>
        </is>
      </c>
      <c r="C1922" s="48" t="inlineStr">
        <is>
          <t>Matin, jour, soir</t>
        </is>
      </c>
      <c r="D1922" s="53" t="inlineStr">
        <is>
          <t>Surf</t>
        </is>
      </c>
      <c r="E1922" s="50" t="inlineStr">
        <is>
          <t>TENTACRUEL</t>
        </is>
      </c>
      <c r="F1922" s="51" t="n">
        <v>0.01</v>
      </c>
      <c r="G1922" s="52" t="n">
        <v>20</v>
      </c>
      <c r="H1922" s="52" t="n">
        <v>24</v>
      </c>
      <c r="I1922" s="29">
        <f>IF(OR(COUNTIF('Suivi des rencontres'!$A:$A,$A1922)&gt;0,COUNTIF('Suivi des rencontres'!$C:$C,$J1922)&gt;0),"Non","Oui")</f>
        <v/>
      </c>
      <c r="J1922" s="30" t="inlineStr">
        <is>
          <t>TENTACOOL</t>
        </is>
      </c>
    </row>
    <row r="1923">
      <c r="A1923" s="47" t="inlineStr">
        <is>
          <t>Route 27</t>
        </is>
      </c>
      <c r="B1923" s="47" t="inlineStr">
        <is>
          <t>Route27_hns</t>
        </is>
      </c>
      <c r="C1923" s="62" t="inlineStr">
        <is>
          <t>Nuit</t>
        </is>
      </c>
      <c r="D1923" s="53" t="inlineStr">
        <is>
          <t>Surf</t>
        </is>
      </c>
      <c r="E1923" s="50" t="inlineStr">
        <is>
          <t>TENTACOOL</t>
        </is>
      </c>
      <c r="F1923" s="51" t="n">
        <v>0.99</v>
      </c>
      <c r="G1923" s="52" t="n">
        <v>15</v>
      </c>
      <c r="H1923" s="52" t="n">
        <v>24</v>
      </c>
      <c r="I1923" s="29">
        <f>IF(OR(COUNTIF('Suivi des rencontres'!$A:$A,$A1923)&gt;0,COUNTIF('Suivi des rencontres'!$C:$C,$J1923)&gt;0),"Non","Oui")</f>
        <v/>
      </c>
      <c r="J1923" s="30" t="inlineStr">
        <is>
          <t>TENTACOOL</t>
        </is>
      </c>
    </row>
    <row r="1924">
      <c r="A1924" s="47" t="inlineStr">
        <is>
          <t>Route 27</t>
        </is>
      </c>
      <c r="B1924" s="47" t="inlineStr">
        <is>
          <t>Route27_hns</t>
        </is>
      </c>
      <c r="C1924" s="62" t="inlineStr">
        <is>
          <t>Nuit</t>
        </is>
      </c>
      <c r="D1924" s="53" t="inlineStr">
        <is>
          <t>Surf</t>
        </is>
      </c>
      <c r="E1924" s="50" t="inlineStr">
        <is>
          <t>TENTACRUEL</t>
        </is>
      </c>
      <c r="F1924" s="51" t="n">
        <v>0.01</v>
      </c>
      <c r="G1924" s="52" t="n">
        <v>20</v>
      </c>
      <c r="H1924" s="52" t="n">
        <v>24</v>
      </c>
      <c r="I1924" s="29">
        <f>IF(OR(COUNTIF('Suivi des rencontres'!$A:$A,$A1924)&gt;0,COUNTIF('Suivi des rencontres'!$C:$C,$J1924)&gt;0),"Non","Oui")</f>
        <v/>
      </c>
      <c r="J1924" s="30" t="inlineStr">
        <is>
          <t>TENTACOOL</t>
        </is>
      </c>
    </row>
    <row r="1925">
      <c r="A1925" s="47" t="inlineStr">
        <is>
          <t>Route 27</t>
        </is>
      </c>
      <c r="B1925" s="47" t="inlineStr">
        <is>
          <t>Route27_hns</t>
        </is>
      </c>
      <c r="C1925" s="48" t="inlineStr">
        <is>
          <t>Matin, jour, soir</t>
        </is>
      </c>
      <c r="D1925" s="36" t="inlineStr">
        <is>
          <t>Éclate-Roc</t>
        </is>
      </c>
      <c r="E1925" s="50" t="inlineStr">
        <is>
          <t>POMDEPIK</t>
        </is>
      </c>
      <c r="F1925" s="51" t="n">
        <v>0.6</v>
      </c>
      <c r="G1925" s="52" t="n">
        <v>10</v>
      </c>
      <c r="H1925" s="52" t="n">
        <v>10</v>
      </c>
      <c r="I1925" s="29">
        <f>IF(OR(COUNTIF('Suivi des rencontres'!$A:$A,$A1925)&gt;0,COUNTIF('Suivi des rencontres'!$C:$C,$J1925)&gt;0),"Non","Oui")</f>
        <v/>
      </c>
      <c r="J1925" s="30" t="inlineStr">
        <is>
          <t>POMDEPIK</t>
        </is>
      </c>
    </row>
    <row r="1926">
      <c r="A1926" s="47" t="inlineStr">
        <is>
          <t>Route 27</t>
        </is>
      </c>
      <c r="B1926" s="47" t="inlineStr">
        <is>
          <t>Route27_hns</t>
        </is>
      </c>
      <c r="C1926" s="48" t="inlineStr">
        <is>
          <t>Matin, jour, soir</t>
        </is>
      </c>
      <c r="D1926" s="36" t="inlineStr">
        <is>
          <t>Éclate-Roc</t>
        </is>
      </c>
      <c r="E1926" s="50" t="inlineStr">
        <is>
          <t>NOEUNOEUF</t>
        </is>
      </c>
      <c r="F1926" s="51" t="n">
        <v>0.3</v>
      </c>
      <c r="G1926" s="52" t="n">
        <v>10</v>
      </c>
      <c r="H1926" s="52" t="n">
        <v>10</v>
      </c>
      <c r="I1926" s="29">
        <f>IF(OR(COUNTIF('Suivi des rencontres'!$A:$A,$A1926)&gt;0,COUNTIF('Suivi des rencontres'!$C:$C,$J1926)&gt;0),"Non","Oui")</f>
        <v/>
      </c>
      <c r="J1926" s="30" t="inlineStr">
        <is>
          <t>NOEUNOEUF</t>
        </is>
      </c>
    </row>
    <row r="1927">
      <c r="A1927" s="47" t="inlineStr">
        <is>
          <t>Route 27</t>
        </is>
      </c>
      <c r="B1927" s="47" t="inlineStr">
        <is>
          <t>Route27_hns</t>
        </is>
      </c>
      <c r="C1927" s="48" t="inlineStr">
        <is>
          <t>Matin, jour, soir</t>
        </is>
      </c>
      <c r="D1927" s="36" t="inlineStr">
        <is>
          <t>Éclate-Roc</t>
        </is>
      </c>
      <c r="E1927" s="50" t="inlineStr">
        <is>
          <t>ABO</t>
        </is>
      </c>
      <c r="F1927" s="51" t="n">
        <v>0.1</v>
      </c>
      <c r="G1927" s="52" t="n">
        <v>10</v>
      </c>
      <c r="H1927" s="52" t="n">
        <v>10</v>
      </c>
      <c r="I1927" s="29">
        <f>IF(OR(COUNTIF('Suivi des rencontres'!$A:$A,$A1927)&gt;0,COUNTIF('Suivi des rencontres'!$C:$C,$J1927)&gt;0),"Non","Oui")</f>
        <v/>
      </c>
      <c r="J1927" s="30" t="inlineStr">
        <is>
          <t>ABO</t>
        </is>
      </c>
    </row>
    <row r="1928">
      <c r="A1928" s="47" t="inlineStr">
        <is>
          <t>Route 27</t>
        </is>
      </c>
      <c r="B1928" s="47" t="inlineStr">
        <is>
          <t>Route27_hns</t>
        </is>
      </c>
      <c r="C1928" s="62" t="inlineStr">
        <is>
          <t>Nuit</t>
        </is>
      </c>
      <c r="D1928" s="36" t="inlineStr">
        <is>
          <t>Éclate-Roc</t>
        </is>
      </c>
      <c r="E1928" s="50" t="inlineStr">
        <is>
          <t>POMDEPIK</t>
        </is>
      </c>
      <c r="F1928" s="51" t="n">
        <v>0.6</v>
      </c>
      <c r="G1928" s="52" t="n">
        <v>10</v>
      </c>
      <c r="H1928" s="52" t="n">
        <v>10</v>
      </c>
      <c r="I1928" s="29">
        <f>IF(OR(COUNTIF('Suivi des rencontres'!$A:$A,$A1928)&gt;0,COUNTIF('Suivi des rencontres'!$C:$C,$J1928)&gt;0),"Non","Oui")</f>
        <v/>
      </c>
      <c r="J1928" s="30" t="inlineStr">
        <is>
          <t>POMDEPIK</t>
        </is>
      </c>
    </row>
    <row r="1929">
      <c r="A1929" s="47" t="inlineStr">
        <is>
          <t>Route 27</t>
        </is>
      </c>
      <c r="B1929" s="47" t="inlineStr">
        <is>
          <t>Route27_hns</t>
        </is>
      </c>
      <c r="C1929" s="62" t="inlineStr">
        <is>
          <t>Nuit</t>
        </is>
      </c>
      <c r="D1929" s="36" t="inlineStr">
        <is>
          <t>Éclate-Roc</t>
        </is>
      </c>
      <c r="E1929" s="50" t="inlineStr">
        <is>
          <t>NOEUNOEUF</t>
        </is>
      </c>
      <c r="F1929" s="51" t="n">
        <v>0.3</v>
      </c>
      <c r="G1929" s="52" t="n">
        <v>10</v>
      </c>
      <c r="H1929" s="52" t="n">
        <v>10</v>
      </c>
      <c r="I1929" s="29">
        <f>IF(OR(COUNTIF('Suivi des rencontres'!$A:$A,$A1929)&gt;0,COUNTIF('Suivi des rencontres'!$C:$C,$J1929)&gt;0),"Non","Oui")</f>
        <v/>
      </c>
      <c r="J1929" s="30" t="inlineStr">
        <is>
          <t>NOEUNOEUF</t>
        </is>
      </c>
    </row>
    <row r="1930">
      <c r="A1930" s="47" t="inlineStr">
        <is>
          <t>Route 27</t>
        </is>
      </c>
      <c r="B1930" s="47" t="inlineStr">
        <is>
          <t>Route27_hns</t>
        </is>
      </c>
      <c r="C1930" s="62" t="inlineStr">
        <is>
          <t>Nuit</t>
        </is>
      </c>
      <c r="D1930" s="36" t="inlineStr">
        <is>
          <t>Éclate-Roc</t>
        </is>
      </c>
      <c r="E1930" s="50" t="inlineStr">
        <is>
          <t>ABO</t>
        </is>
      </c>
      <c r="F1930" s="51" t="n">
        <v>0.1</v>
      </c>
      <c r="G1930" s="52" t="n">
        <v>10</v>
      </c>
      <c r="H1930" s="52" t="n">
        <v>10</v>
      </c>
      <c r="I1930" s="29">
        <f>IF(OR(COUNTIF('Suivi des rencontres'!$A:$A,$A1930)&gt;0,COUNTIF('Suivi des rencontres'!$C:$C,$J1930)&gt;0),"Non","Oui")</f>
        <v/>
      </c>
      <c r="J1930" s="30" t="inlineStr">
        <is>
          <t>ABO</t>
        </is>
      </c>
    </row>
    <row r="1931">
      <c r="A1931" s="47" t="inlineStr">
        <is>
          <t>Route 27</t>
        </is>
      </c>
      <c r="B1931" s="47" t="inlineStr">
        <is>
          <t>Route27_hns</t>
        </is>
      </c>
      <c r="C1931" s="48" t="inlineStr">
        <is>
          <t>Matin, jour, soir</t>
        </is>
      </c>
      <c r="D1931" s="54" t="inlineStr">
        <is>
          <t>Vieille Canne</t>
        </is>
      </c>
      <c r="E1931" s="50" t="inlineStr">
        <is>
          <t>MAGICARPE</t>
        </is>
      </c>
      <c r="F1931" s="51" t="n">
        <v>0.7</v>
      </c>
      <c r="G1931" s="52" t="n">
        <v>10</v>
      </c>
      <c r="H1931" s="52" t="n">
        <v>10</v>
      </c>
      <c r="I1931" s="29">
        <f>IF(OR(COUNTIF('Suivi des rencontres'!$A:$A,$A1931)&gt;0,COUNTIF('Suivi des rencontres'!$C:$C,$J1931)&gt;0),"Non","Oui")</f>
        <v/>
      </c>
      <c r="J1931" s="30" t="inlineStr">
        <is>
          <t>MAGICARPE</t>
        </is>
      </c>
    </row>
    <row r="1932">
      <c r="A1932" s="47" t="inlineStr">
        <is>
          <t>Route 27</t>
        </is>
      </c>
      <c r="B1932" s="47" t="inlineStr">
        <is>
          <t>Route27_hns</t>
        </is>
      </c>
      <c r="C1932" s="48" t="inlineStr">
        <is>
          <t>Matin, jour, soir</t>
        </is>
      </c>
      <c r="D1932" s="54" t="inlineStr">
        <is>
          <t>Vieille Canne</t>
        </is>
      </c>
      <c r="E1932" s="50" t="inlineStr">
        <is>
          <t>TENTACOOL</t>
        </is>
      </c>
      <c r="F1932" s="51" t="n">
        <v>0.3</v>
      </c>
      <c r="G1932" s="52" t="n">
        <v>10</v>
      </c>
      <c r="H1932" s="52" t="n">
        <v>10</v>
      </c>
      <c r="I1932" s="29">
        <f>IF(OR(COUNTIF('Suivi des rencontres'!$A:$A,$A1932)&gt;0,COUNTIF('Suivi des rencontres'!$C:$C,$J1932)&gt;0),"Non","Oui")</f>
        <v/>
      </c>
      <c r="J1932" s="30" t="inlineStr">
        <is>
          <t>TENTACOOL</t>
        </is>
      </c>
    </row>
    <row r="1933">
      <c r="A1933" s="47" t="inlineStr">
        <is>
          <t>Route 27</t>
        </is>
      </c>
      <c r="B1933" s="47" t="inlineStr">
        <is>
          <t>Route27_hns</t>
        </is>
      </c>
      <c r="C1933" s="62" t="inlineStr">
        <is>
          <t>Nuit</t>
        </is>
      </c>
      <c r="D1933" s="54" t="inlineStr">
        <is>
          <t>Vieille Canne</t>
        </is>
      </c>
      <c r="E1933" s="50" t="inlineStr">
        <is>
          <t>MAGICARPE</t>
        </is>
      </c>
      <c r="F1933" s="51" t="n">
        <v>0.7</v>
      </c>
      <c r="G1933" s="52" t="n">
        <v>10</v>
      </c>
      <c r="H1933" s="52" t="n">
        <v>10</v>
      </c>
      <c r="I1933" s="29">
        <f>IF(OR(COUNTIF('Suivi des rencontres'!$A:$A,$A1933)&gt;0,COUNTIF('Suivi des rencontres'!$C:$C,$J1933)&gt;0),"Non","Oui")</f>
        <v/>
      </c>
      <c r="J1933" s="30" t="inlineStr">
        <is>
          <t>MAGICARPE</t>
        </is>
      </c>
    </row>
    <row r="1934">
      <c r="A1934" s="47" t="inlineStr">
        <is>
          <t>Route 27</t>
        </is>
      </c>
      <c r="B1934" s="47" t="inlineStr">
        <is>
          <t>Route27_hns</t>
        </is>
      </c>
      <c r="C1934" s="62" t="inlineStr">
        <is>
          <t>Nuit</t>
        </is>
      </c>
      <c r="D1934" s="54" t="inlineStr">
        <is>
          <t>Vieille Canne</t>
        </is>
      </c>
      <c r="E1934" s="50" t="inlineStr">
        <is>
          <t>TENTACOOL</t>
        </is>
      </c>
      <c r="F1934" s="51" t="n">
        <v>0.3</v>
      </c>
      <c r="G1934" s="52" t="n">
        <v>10</v>
      </c>
      <c r="H1934" s="52" t="n">
        <v>10</v>
      </c>
      <c r="I1934" s="29">
        <f>IF(OR(COUNTIF('Suivi des rencontres'!$A:$A,$A1934)&gt;0,COUNTIF('Suivi des rencontres'!$C:$C,$J1934)&gt;0),"Non","Oui")</f>
        <v/>
      </c>
      <c r="J1934" s="30" t="inlineStr">
        <is>
          <t>TENTACOOL</t>
        </is>
      </c>
    </row>
    <row r="1935">
      <c r="A1935" s="47" t="inlineStr">
        <is>
          <t>Route 27</t>
        </is>
      </c>
      <c r="B1935" s="47" t="inlineStr">
        <is>
          <t>Route27_hns</t>
        </is>
      </c>
      <c r="C1935" s="48" t="inlineStr">
        <is>
          <t>Matin, jour, soir</t>
        </is>
      </c>
      <c r="D1935" s="55" t="inlineStr">
        <is>
          <t>Bonne Canne</t>
        </is>
      </c>
      <c r="E1935" s="50" t="inlineStr">
        <is>
          <t>MAGICARPE</t>
        </is>
      </c>
      <c r="F1935" s="51" t="n">
        <v>0.6</v>
      </c>
      <c r="G1935" s="52" t="n">
        <v>20</v>
      </c>
      <c r="H1935" s="52" t="n">
        <v>20</v>
      </c>
      <c r="I1935" s="29">
        <f>IF(OR(COUNTIF('Suivi des rencontres'!$A:$A,$A1935)&gt;0,COUNTIF('Suivi des rencontres'!$C:$C,$J1935)&gt;0),"Non","Oui")</f>
        <v/>
      </c>
      <c r="J1935" s="30" t="inlineStr">
        <is>
          <t>MAGICARPE</t>
        </is>
      </c>
    </row>
    <row r="1936">
      <c r="A1936" s="47" t="inlineStr">
        <is>
          <t>Route 27</t>
        </is>
      </c>
      <c r="B1936" s="47" t="inlineStr">
        <is>
          <t>Route27_hns</t>
        </is>
      </c>
      <c r="C1936" s="48" t="inlineStr">
        <is>
          <t>Matin, jour, soir</t>
        </is>
      </c>
      <c r="D1936" s="55" t="inlineStr">
        <is>
          <t>Bonne Canne</t>
        </is>
      </c>
      <c r="E1936" s="50" t="inlineStr">
        <is>
          <t>TENTACOOL</t>
        </is>
      </c>
      <c r="F1936" s="51" t="n">
        <v>0.4</v>
      </c>
      <c r="G1936" s="52" t="n">
        <v>20</v>
      </c>
      <c r="H1936" s="52" t="n">
        <v>40</v>
      </c>
      <c r="I1936" s="29">
        <f>IF(OR(COUNTIF('Suivi des rencontres'!$A:$A,$A1936)&gt;0,COUNTIF('Suivi des rencontres'!$C:$C,$J1936)&gt;0),"Non","Oui")</f>
        <v/>
      </c>
      <c r="J1936" s="30" t="inlineStr">
        <is>
          <t>TENTACOOL</t>
        </is>
      </c>
    </row>
    <row r="1937">
      <c r="A1937" s="47" t="inlineStr">
        <is>
          <t>Route 27</t>
        </is>
      </c>
      <c r="B1937" s="47" t="inlineStr">
        <is>
          <t>Route27_hns</t>
        </is>
      </c>
      <c r="C1937" s="62" t="inlineStr">
        <is>
          <t>Nuit</t>
        </is>
      </c>
      <c r="D1937" s="55" t="inlineStr">
        <is>
          <t>Bonne Canne</t>
        </is>
      </c>
      <c r="E1937" s="50" t="inlineStr">
        <is>
          <t>MAGICARPE</t>
        </is>
      </c>
      <c r="F1937" s="51" t="n">
        <v>0.6</v>
      </c>
      <c r="G1937" s="52" t="n">
        <v>20</v>
      </c>
      <c r="H1937" s="52" t="n">
        <v>20</v>
      </c>
      <c r="I1937" s="29">
        <f>IF(OR(COUNTIF('Suivi des rencontres'!$A:$A,$A1937)&gt;0,COUNTIF('Suivi des rencontres'!$C:$C,$J1937)&gt;0),"Non","Oui")</f>
        <v/>
      </c>
      <c r="J1937" s="30" t="inlineStr">
        <is>
          <t>MAGICARPE</t>
        </is>
      </c>
    </row>
    <row r="1938">
      <c r="A1938" s="47" t="inlineStr">
        <is>
          <t>Route 27</t>
        </is>
      </c>
      <c r="B1938" s="47" t="inlineStr">
        <is>
          <t>Route27_hns</t>
        </is>
      </c>
      <c r="C1938" s="62" t="inlineStr">
        <is>
          <t>Nuit</t>
        </is>
      </c>
      <c r="D1938" s="55" t="inlineStr">
        <is>
          <t>Bonne Canne</t>
        </is>
      </c>
      <c r="E1938" s="50" t="inlineStr">
        <is>
          <t>TENTACOOL</t>
        </is>
      </c>
      <c r="F1938" s="51" t="n">
        <v>0.4</v>
      </c>
      <c r="G1938" s="52" t="n">
        <v>20</v>
      </c>
      <c r="H1938" s="52" t="n">
        <v>40</v>
      </c>
      <c r="I1938" s="29">
        <f>IF(OR(COUNTIF('Suivi des rencontres'!$A:$A,$A1938)&gt;0,COUNTIF('Suivi des rencontres'!$C:$C,$J1938)&gt;0),"Non","Oui")</f>
        <v/>
      </c>
      <c r="J1938" s="30" t="inlineStr">
        <is>
          <t>TENTACOOL</t>
        </is>
      </c>
    </row>
    <row r="1939">
      <c r="A1939" s="47" t="inlineStr">
        <is>
          <t>Route 27</t>
        </is>
      </c>
      <c r="B1939" s="47" t="inlineStr">
        <is>
          <t>Route27_hns</t>
        </is>
      </c>
      <c r="C1939" s="48" t="inlineStr">
        <is>
          <t>Matin, jour, soir</t>
        </is>
      </c>
      <c r="D1939" s="56" t="inlineStr">
        <is>
          <t>Super Canne</t>
        </is>
      </c>
      <c r="E1939" s="50" t="inlineStr">
        <is>
          <t>MAGICARPE</t>
        </is>
      </c>
      <c r="F1939" s="51" t="n">
        <v>0.45</v>
      </c>
      <c r="G1939" s="52" t="n">
        <v>20</v>
      </c>
      <c r="H1939" s="52" t="n">
        <v>40</v>
      </c>
      <c r="I1939" s="29">
        <f>IF(OR(COUNTIF('Suivi des rencontres'!$A:$A,$A1939)&gt;0,COUNTIF('Suivi des rencontres'!$C:$C,$J1939)&gt;0),"Non","Oui")</f>
        <v/>
      </c>
      <c r="J1939" s="30" t="inlineStr">
        <is>
          <t>MAGICARPE</t>
        </is>
      </c>
    </row>
    <row r="1940">
      <c r="A1940" s="47" t="inlineStr">
        <is>
          <t>Route 27</t>
        </is>
      </c>
      <c r="B1940" s="47" t="inlineStr">
        <is>
          <t>Route27_hns</t>
        </is>
      </c>
      <c r="C1940" s="48" t="inlineStr">
        <is>
          <t>Matin, jour, soir</t>
        </is>
      </c>
      <c r="D1940" s="56" t="inlineStr">
        <is>
          <t>Super Canne</t>
        </is>
      </c>
      <c r="E1940" s="50" t="inlineStr">
        <is>
          <t>TENTACRUEL</t>
        </is>
      </c>
      <c r="F1940" s="51" t="n">
        <v>0.4</v>
      </c>
      <c r="G1940" s="52" t="n">
        <v>40</v>
      </c>
      <c r="H1940" s="52" t="n">
        <v>40</v>
      </c>
      <c r="I1940" s="29">
        <f>IF(OR(COUNTIF('Suivi des rencontres'!$A:$A,$A1940)&gt;0,COUNTIF('Suivi des rencontres'!$C:$C,$J1940)&gt;0),"Non","Oui")</f>
        <v/>
      </c>
      <c r="J1940" s="30" t="inlineStr">
        <is>
          <t>TENTACOOL</t>
        </is>
      </c>
    </row>
    <row r="1941">
      <c r="A1941" s="47" t="inlineStr">
        <is>
          <t>Route 27</t>
        </is>
      </c>
      <c r="B1941" s="47" t="inlineStr">
        <is>
          <t>Route27_hns</t>
        </is>
      </c>
      <c r="C1941" s="48" t="inlineStr">
        <is>
          <t>Matin, jour, soir</t>
        </is>
      </c>
      <c r="D1941" s="56" t="inlineStr">
        <is>
          <t>Super Canne</t>
        </is>
      </c>
      <c r="E1941" s="50" t="inlineStr">
        <is>
          <t>TENTACOOL</t>
        </is>
      </c>
      <c r="F1941" s="51" t="n">
        <v>0.15</v>
      </c>
      <c r="G1941" s="52" t="n">
        <v>20</v>
      </c>
      <c r="H1941" s="52" t="n">
        <v>20</v>
      </c>
      <c r="I1941" s="29">
        <f>IF(OR(COUNTIF('Suivi des rencontres'!$A:$A,$A1941)&gt;0,COUNTIF('Suivi des rencontres'!$C:$C,$J1941)&gt;0),"Non","Oui")</f>
        <v/>
      </c>
      <c r="J1941" s="30" t="inlineStr">
        <is>
          <t>TENTACOOL</t>
        </is>
      </c>
    </row>
    <row r="1942">
      <c r="A1942" s="47" t="inlineStr">
        <is>
          <t>Route 27</t>
        </is>
      </c>
      <c r="B1942" s="47" t="inlineStr">
        <is>
          <t>Route27_hns</t>
        </is>
      </c>
      <c r="C1942" s="62" t="inlineStr">
        <is>
          <t>Nuit</t>
        </is>
      </c>
      <c r="D1942" s="56" t="inlineStr">
        <is>
          <t>Super Canne</t>
        </is>
      </c>
      <c r="E1942" s="50" t="inlineStr">
        <is>
          <t>MAGICARPE</t>
        </is>
      </c>
      <c r="F1942" s="51" t="n">
        <v>0.45</v>
      </c>
      <c r="G1942" s="52" t="n">
        <v>20</v>
      </c>
      <c r="H1942" s="52" t="n">
        <v>40</v>
      </c>
      <c r="I1942" s="29">
        <f>IF(OR(COUNTIF('Suivi des rencontres'!$A:$A,$A1942)&gt;0,COUNTIF('Suivi des rencontres'!$C:$C,$J1942)&gt;0),"Non","Oui")</f>
        <v/>
      </c>
      <c r="J1942" s="30" t="inlineStr">
        <is>
          <t>MAGICARPE</t>
        </is>
      </c>
    </row>
    <row r="1943">
      <c r="A1943" s="47" t="inlineStr">
        <is>
          <t>Route 27</t>
        </is>
      </c>
      <c r="B1943" s="47" t="inlineStr">
        <is>
          <t>Route27_hns</t>
        </is>
      </c>
      <c r="C1943" s="62" t="inlineStr">
        <is>
          <t>Nuit</t>
        </is>
      </c>
      <c r="D1943" s="56" t="inlineStr">
        <is>
          <t>Super Canne</t>
        </is>
      </c>
      <c r="E1943" s="50" t="inlineStr">
        <is>
          <t>TENTACRUEL</t>
        </is>
      </c>
      <c r="F1943" s="51" t="n">
        <v>0.4</v>
      </c>
      <c r="G1943" s="52" t="n">
        <v>40</v>
      </c>
      <c r="H1943" s="52" t="n">
        <v>40</v>
      </c>
      <c r="I1943" s="29">
        <f>IF(OR(COUNTIF('Suivi des rencontres'!$A:$A,$A1943)&gt;0,COUNTIF('Suivi des rencontres'!$C:$C,$J1943)&gt;0),"Non","Oui")</f>
        <v/>
      </c>
      <c r="J1943" s="30" t="inlineStr">
        <is>
          <t>TENTACOOL</t>
        </is>
      </c>
    </row>
    <row r="1944">
      <c r="A1944" s="47" t="inlineStr">
        <is>
          <t>Route 27</t>
        </is>
      </c>
      <c r="B1944" s="47" t="inlineStr">
        <is>
          <t>Route27_hns</t>
        </is>
      </c>
      <c r="C1944" s="62" t="inlineStr">
        <is>
          <t>Nuit</t>
        </is>
      </c>
      <c r="D1944" s="56" t="inlineStr">
        <is>
          <t>Super Canne</t>
        </is>
      </c>
      <c r="E1944" s="50" t="inlineStr">
        <is>
          <t>TENTACOOL</t>
        </is>
      </c>
      <c r="F1944" s="51" t="n">
        <v>0.15</v>
      </c>
      <c r="G1944" s="52" t="n">
        <v>20</v>
      </c>
      <c r="H1944" s="52" t="n">
        <v>20</v>
      </c>
      <c r="I1944" s="29">
        <f>IF(OR(COUNTIF('Suivi des rencontres'!$A:$A,$A1944)&gt;0,COUNTIF('Suivi des rencontres'!$C:$C,$J1944)&gt;0),"Non","Oui")</f>
        <v/>
      </c>
      <c r="J1944" s="30" t="inlineStr">
        <is>
          <t>TENTACOOL</t>
        </is>
      </c>
    </row>
    <row r="1945">
      <c r="A1945" s="57" t="inlineStr">
        <is>
          <t>Route 28</t>
        </is>
      </c>
      <c r="B1945" s="57" t="inlineStr">
        <is>
          <t>Route28_hns</t>
        </is>
      </c>
      <c r="C1945" s="58" t="inlineStr">
        <is>
          <t>Matin, jour, soir</t>
        </is>
      </c>
      <c r="D1945" s="42" t="inlineStr">
        <is>
          <t>Herbe</t>
        </is>
      </c>
      <c r="E1945" s="59" t="inlineStr">
        <is>
          <t>PONYTA</t>
        </is>
      </c>
      <c r="F1945" s="60" t="n">
        <v>0.3</v>
      </c>
      <c r="G1945" s="61" t="n">
        <v>40</v>
      </c>
      <c r="H1945" s="61" t="n">
        <v>40</v>
      </c>
      <c r="I1945" s="46">
        <f>IF(OR(COUNTIF('Suivi des rencontres'!$A:$A,$A1945)&gt;0,COUNTIF('Suivi des rencontres'!$C:$C,$J1945)&gt;0),"Non","Oui")</f>
        <v/>
      </c>
      <c r="J1945" s="30" t="inlineStr">
        <is>
          <t>PONYTA</t>
        </is>
      </c>
    </row>
    <row r="1946">
      <c r="A1946" s="35" t="inlineStr">
        <is>
          <t>Route 28</t>
        </is>
      </c>
      <c r="B1946" s="35" t="inlineStr">
        <is>
          <t>Route28_hns</t>
        </is>
      </c>
      <c r="C1946" s="33" t="inlineStr">
        <is>
          <t>Matin, jour, soir</t>
        </is>
      </c>
      <c r="D1946" s="49" t="inlineStr">
        <is>
          <t>Herbe</t>
        </is>
      </c>
      <c r="E1946" s="37" t="inlineStr">
        <is>
          <t>SAQUEDENEU</t>
        </is>
      </c>
      <c r="F1946" s="38" t="n">
        <v>0.3</v>
      </c>
      <c r="G1946" s="39" t="n">
        <v>39</v>
      </c>
      <c r="H1946" s="39" t="n">
        <v>39</v>
      </c>
      <c r="I1946" s="29">
        <f>IF(OR(COUNTIF('Suivi des rencontres'!$A:$A,$A1946)&gt;0,COUNTIF('Suivi des rencontres'!$C:$C,$J1946)&gt;0),"Non","Oui")</f>
        <v/>
      </c>
      <c r="J1946" s="30" t="inlineStr">
        <is>
          <t>SAQUEDENEU</t>
        </is>
      </c>
    </row>
    <row r="1947">
      <c r="A1947" s="35" t="inlineStr">
        <is>
          <t>Route 28</t>
        </is>
      </c>
      <c r="B1947" s="35" t="inlineStr">
        <is>
          <t>Route28_hns</t>
        </is>
      </c>
      <c r="C1947" s="33" t="inlineStr">
        <is>
          <t>Matin, jour, soir</t>
        </is>
      </c>
      <c r="D1947" s="49" t="inlineStr">
        <is>
          <t>Herbe</t>
        </is>
      </c>
      <c r="E1947" s="37" t="inlineStr">
        <is>
          <t>GALOPA</t>
        </is>
      </c>
      <c r="F1947" s="38" t="n">
        <v>0.15</v>
      </c>
      <c r="G1947" s="39" t="n">
        <v>40</v>
      </c>
      <c r="H1947" s="39" t="n">
        <v>40</v>
      </c>
      <c r="I1947" s="29">
        <f>IF(OR(COUNTIF('Suivi des rencontres'!$A:$A,$A1947)&gt;0,COUNTIF('Suivi des rencontres'!$C:$C,$J1947)&gt;0),"Non","Oui")</f>
        <v/>
      </c>
      <c r="J1947" s="30" t="inlineStr">
        <is>
          <t>PONYTA</t>
        </is>
      </c>
    </row>
    <row r="1948">
      <c r="A1948" s="35" t="inlineStr">
        <is>
          <t>Route 28</t>
        </is>
      </c>
      <c r="B1948" s="35" t="inlineStr">
        <is>
          <t>Route28_hns</t>
        </is>
      </c>
      <c r="C1948" s="33" t="inlineStr">
        <is>
          <t>Matin, jour, soir</t>
        </is>
      </c>
      <c r="D1948" s="49" t="inlineStr">
        <is>
          <t>Herbe</t>
        </is>
      </c>
      <c r="E1948" s="37" t="inlineStr">
        <is>
          <t>ARBOK</t>
        </is>
      </c>
      <c r="F1948" s="38" t="n">
        <v>0.11</v>
      </c>
      <c r="G1948" s="39" t="n">
        <v>42</v>
      </c>
      <c r="H1948" s="39" t="n">
        <v>42</v>
      </c>
      <c r="I1948" s="29">
        <f>IF(OR(COUNTIF('Suivi des rencontres'!$A:$A,$A1948)&gt;0,COUNTIF('Suivi des rencontres'!$C:$C,$J1948)&gt;0),"Non","Oui")</f>
        <v/>
      </c>
      <c r="J1948" s="30" t="inlineStr">
        <is>
          <t>ABO</t>
        </is>
      </c>
    </row>
    <row r="1949">
      <c r="A1949" s="35" t="inlineStr">
        <is>
          <t>Route 28</t>
        </is>
      </c>
      <c r="B1949" s="35" t="inlineStr">
        <is>
          <t>Route28_hns</t>
        </is>
      </c>
      <c r="C1949" s="33" t="inlineStr">
        <is>
          <t>Matin, jour, soir</t>
        </is>
      </c>
      <c r="D1949" s="49" t="inlineStr">
        <is>
          <t>Herbe</t>
        </is>
      </c>
      <c r="E1949" s="37" t="inlineStr">
        <is>
          <t>DODUO</t>
        </is>
      </c>
      <c r="F1949" s="38" t="n">
        <v>0.09</v>
      </c>
      <c r="G1949" s="39" t="n">
        <v>41</v>
      </c>
      <c r="H1949" s="39" t="n">
        <v>41</v>
      </c>
      <c r="I1949" s="29">
        <f>IF(OR(COUNTIF('Suivi des rencontres'!$A:$A,$A1949)&gt;0,COUNTIF('Suivi des rencontres'!$C:$C,$J1949)&gt;0),"Non","Oui")</f>
        <v/>
      </c>
      <c r="J1949" s="30" t="inlineStr">
        <is>
          <t>DODUO</t>
        </is>
      </c>
    </row>
    <row r="1950">
      <c r="A1950" s="35" t="inlineStr">
        <is>
          <t>Route 28</t>
        </is>
      </c>
      <c r="B1950" s="35" t="inlineStr">
        <is>
          <t>Route28_hns</t>
        </is>
      </c>
      <c r="C1950" s="33" t="inlineStr">
        <is>
          <t>Matin, jour, soir</t>
        </is>
      </c>
      <c r="D1950" s="49" t="inlineStr">
        <is>
          <t>Herbe</t>
        </is>
      </c>
      <c r="E1950" s="37" t="inlineStr">
        <is>
          <t>DODRIO</t>
        </is>
      </c>
      <c r="F1950" s="38" t="n">
        <v>0.05</v>
      </c>
      <c r="G1950" s="39" t="n">
        <v>43</v>
      </c>
      <c r="H1950" s="39" t="n">
        <v>43</v>
      </c>
      <c r="I1950" s="29">
        <f>IF(OR(COUNTIF('Suivi des rencontres'!$A:$A,$A1950)&gt;0,COUNTIF('Suivi des rencontres'!$C:$C,$J1950)&gt;0),"Non","Oui")</f>
        <v/>
      </c>
      <c r="J1950" s="30" t="inlineStr">
        <is>
          <t>DODUO</t>
        </is>
      </c>
    </row>
    <row r="1951">
      <c r="A1951" s="35" t="inlineStr">
        <is>
          <t>Route 28</t>
        </is>
      </c>
      <c r="B1951" s="35" t="inlineStr">
        <is>
          <t>Route28_hns</t>
        </is>
      </c>
      <c r="C1951" s="62" t="inlineStr">
        <is>
          <t>Nuit</t>
        </is>
      </c>
      <c r="D1951" s="49" t="inlineStr">
        <is>
          <t>Herbe</t>
        </is>
      </c>
      <c r="E1951" s="37" t="inlineStr">
        <is>
          <t>TETARTE</t>
        </is>
      </c>
      <c r="F1951" s="38" t="n">
        <v>0.39</v>
      </c>
      <c r="G1951" s="39" t="n">
        <v>40</v>
      </c>
      <c r="H1951" s="39" t="n">
        <v>40</v>
      </c>
      <c r="I1951" s="29">
        <f>IF(OR(COUNTIF('Suivi des rencontres'!$A:$A,$A1951)&gt;0,COUNTIF('Suivi des rencontres'!$C:$C,$J1951)&gt;0),"Non","Oui")</f>
        <v/>
      </c>
      <c r="J1951" s="30" t="inlineStr">
        <is>
          <t>PTITARD</t>
        </is>
      </c>
    </row>
    <row r="1952">
      <c r="A1952" s="35" t="inlineStr">
        <is>
          <t>Route 28</t>
        </is>
      </c>
      <c r="B1952" s="35" t="inlineStr">
        <is>
          <t>Route28_hns</t>
        </is>
      </c>
      <c r="C1952" s="62" t="inlineStr">
        <is>
          <t>Nuit</t>
        </is>
      </c>
      <c r="D1952" s="49" t="inlineStr">
        <is>
          <t>Herbe</t>
        </is>
      </c>
      <c r="E1952" s="37" t="inlineStr">
        <is>
          <t>SAQUEDENEU</t>
        </is>
      </c>
      <c r="F1952" s="38" t="n">
        <v>0.31</v>
      </c>
      <c r="G1952" s="39" t="n">
        <v>39</v>
      </c>
      <c r="H1952" s="39" t="n">
        <v>39</v>
      </c>
      <c r="I1952" s="29">
        <f>IF(OR(COUNTIF('Suivi des rencontres'!$A:$A,$A1952)&gt;0,COUNTIF('Suivi des rencontres'!$C:$C,$J1952)&gt;0),"Non","Oui")</f>
        <v/>
      </c>
      <c r="J1952" s="30" t="inlineStr">
        <is>
          <t>SAQUEDENEU</t>
        </is>
      </c>
    </row>
    <row r="1953">
      <c r="A1953" s="35" t="inlineStr">
        <is>
          <t>Route 28</t>
        </is>
      </c>
      <c r="B1953" s="35" t="inlineStr">
        <is>
          <t>Route28_hns</t>
        </is>
      </c>
      <c r="C1953" s="62" t="inlineStr">
        <is>
          <t>Nuit</t>
        </is>
      </c>
      <c r="D1953" s="49" t="inlineStr">
        <is>
          <t>Herbe</t>
        </is>
      </c>
      <c r="E1953" s="37" t="inlineStr">
        <is>
          <t>NOSFERALTO</t>
        </is>
      </c>
      <c r="F1953" s="38" t="n">
        <v>0.3</v>
      </c>
      <c r="G1953" s="39" t="n">
        <v>40</v>
      </c>
      <c r="H1953" s="39" t="n">
        <v>42</v>
      </c>
      <c r="I1953" s="29">
        <f>IF(OR(COUNTIF('Suivi des rencontres'!$A:$A,$A1953)&gt;0,COUNTIF('Suivi des rencontres'!$C:$C,$J1953)&gt;0),"Non","Oui")</f>
        <v/>
      </c>
      <c r="J1953" s="30" t="inlineStr">
        <is>
          <t>NOSFERAPTI</t>
        </is>
      </c>
    </row>
    <row r="1954">
      <c r="A1954" s="35" t="inlineStr">
        <is>
          <t>Route 28</t>
        </is>
      </c>
      <c r="B1954" s="35" t="inlineStr">
        <is>
          <t>Route28_hns</t>
        </is>
      </c>
      <c r="C1954" s="33" t="inlineStr">
        <is>
          <t>Matin, jour, soir</t>
        </is>
      </c>
      <c r="D1954" s="53" t="inlineStr">
        <is>
          <t>Surf</t>
        </is>
      </c>
      <c r="E1954" s="37" t="inlineStr">
        <is>
          <t>PTITARD</t>
        </is>
      </c>
      <c r="F1954" s="38" t="n">
        <v>0.96</v>
      </c>
      <c r="G1954" s="39" t="n">
        <v>34</v>
      </c>
      <c r="H1954" s="39" t="n">
        <v>44</v>
      </c>
      <c r="I1954" s="29">
        <f>IF(OR(COUNTIF('Suivi des rencontres'!$A:$A,$A1954)&gt;0,COUNTIF('Suivi des rencontres'!$C:$C,$J1954)&gt;0),"Non","Oui")</f>
        <v/>
      </c>
      <c r="J1954" s="30" t="inlineStr">
        <is>
          <t>PTITARD</t>
        </is>
      </c>
    </row>
    <row r="1955">
      <c r="A1955" s="35" t="inlineStr">
        <is>
          <t>Route 28</t>
        </is>
      </c>
      <c r="B1955" s="35" t="inlineStr">
        <is>
          <t>Route28_hns</t>
        </is>
      </c>
      <c r="C1955" s="33" t="inlineStr">
        <is>
          <t>Matin, jour, soir</t>
        </is>
      </c>
      <c r="D1955" s="53" t="inlineStr">
        <is>
          <t>Surf</t>
        </is>
      </c>
      <c r="E1955" s="37" t="inlineStr">
        <is>
          <t>TETARTE</t>
        </is>
      </c>
      <c r="F1955" s="38" t="n">
        <v>0.04</v>
      </c>
      <c r="G1955" s="39" t="n">
        <v>40</v>
      </c>
      <c r="H1955" s="39" t="n">
        <v>44</v>
      </c>
      <c r="I1955" s="29">
        <f>IF(OR(COUNTIF('Suivi des rencontres'!$A:$A,$A1955)&gt;0,COUNTIF('Suivi des rencontres'!$C:$C,$J1955)&gt;0),"Non","Oui")</f>
        <v/>
      </c>
      <c r="J1955" s="30" t="inlineStr">
        <is>
          <t>PTITARD</t>
        </is>
      </c>
    </row>
    <row r="1956">
      <c r="A1956" s="35" t="inlineStr">
        <is>
          <t>Route 28</t>
        </is>
      </c>
      <c r="B1956" s="35" t="inlineStr">
        <is>
          <t>Route28_hns</t>
        </is>
      </c>
      <c r="C1956" s="62" t="inlineStr">
        <is>
          <t>Nuit</t>
        </is>
      </c>
      <c r="D1956" s="53" t="inlineStr">
        <is>
          <t>Surf</t>
        </is>
      </c>
      <c r="E1956" s="37" t="inlineStr">
        <is>
          <t>PTITARD</t>
        </is>
      </c>
      <c r="F1956" s="38" t="n">
        <v>0.96</v>
      </c>
      <c r="G1956" s="39" t="n">
        <v>34</v>
      </c>
      <c r="H1956" s="39" t="n">
        <v>44</v>
      </c>
      <c r="I1956" s="29">
        <f>IF(OR(COUNTIF('Suivi des rencontres'!$A:$A,$A1956)&gt;0,COUNTIF('Suivi des rencontres'!$C:$C,$J1956)&gt;0),"Non","Oui")</f>
        <v/>
      </c>
      <c r="J1956" s="30" t="inlineStr">
        <is>
          <t>PTITARD</t>
        </is>
      </c>
    </row>
    <row r="1957">
      <c r="A1957" s="35" t="inlineStr">
        <is>
          <t>Route 28</t>
        </is>
      </c>
      <c r="B1957" s="35" t="inlineStr">
        <is>
          <t>Route28_hns</t>
        </is>
      </c>
      <c r="C1957" s="62" t="inlineStr">
        <is>
          <t>Nuit</t>
        </is>
      </c>
      <c r="D1957" s="53" t="inlineStr">
        <is>
          <t>Surf</t>
        </is>
      </c>
      <c r="E1957" s="37" t="inlineStr">
        <is>
          <t>TETARTE</t>
        </is>
      </c>
      <c r="F1957" s="38" t="n">
        <v>0.04</v>
      </c>
      <c r="G1957" s="39" t="n">
        <v>40</v>
      </c>
      <c r="H1957" s="39" t="n">
        <v>44</v>
      </c>
      <c r="I1957" s="29">
        <f>IF(OR(COUNTIF('Suivi des rencontres'!$A:$A,$A1957)&gt;0,COUNTIF('Suivi des rencontres'!$C:$C,$J1957)&gt;0),"Non","Oui")</f>
        <v/>
      </c>
      <c r="J1957" s="30" t="inlineStr">
        <is>
          <t>PTITARD</t>
        </is>
      </c>
    </row>
    <row r="1958">
      <c r="A1958" s="35" t="inlineStr">
        <is>
          <t>Route 28</t>
        </is>
      </c>
      <c r="B1958" s="35" t="inlineStr">
        <is>
          <t>Route28_hns</t>
        </is>
      </c>
      <c r="C1958" s="33" t="inlineStr">
        <is>
          <t>Matin, jour, soir</t>
        </is>
      </c>
      <c r="D1958" s="36" t="inlineStr">
        <is>
          <t>Éclate-Roc</t>
        </is>
      </c>
      <c r="E1958" s="37" t="inlineStr">
        <is>
          <t>FORETRESS</t>
        </is>
      </c>
      <c r="F1958" s="38" t="n">
        <v>0.6</v>
      </c>
      <c r="G1958" s="39" t="n">
        <v>40</v>
      </c>
      <c r="H1958" s="39" t="n">
        <v>40</v>
      </c>
      <c r="I1958" s="29">
        <f>IF(OR(COUNTIF('Suivi des rencontres'!$A:$A,$A1958)&gt;0,COUNTIF('Suivi des rencontres'!$C:$C,$J1958)&gt;0),"Non","Oui")</f>
        <v/>
      </c>
      <c r="J1958" s="30" t="inlineStr">
        <is>
          <t>POMDEPIK</t>
        </is>
      </c>
    </row>
    <row r="1959">
      <c r="A1959" s="35" t="inlineStr">
        <is>
          <t>Route 28</t>
        </is>
      </c>
      <c r="B1959" s="35" t="inlineStr">
        <is>
          <t>Route28_hns</t>
        </is>
      </c>
      <c r="C1959" s="33" t="inlineStr">
        <is>
          <t>Matin, jour, soir</t>
        </is>
      </c>
      <c r="D1959" s="36" t="inlineStr">
        <is>
          <t>Éclate-Roc</t>
        </is>
      </c>
      <c r="E1959" s="37" t="inlineStr">
        <is>
          <t>CAPIDEXTRE</t>
        </is>
      </c>
      <c r="F1959" s="38" t="n">
        <v>0.3</v>
      </c>
      <c r="G1959" s="39" t="n">
        <v>40</v>
      </c>
      <c r="H1959" s="39" t="n">
        <v>40</v>
      </c>
      <c r="I1959" s="29">
        <f>IF(OR(COUNTIF('Suivi des rencontres'!$A:$A,$A1959)&gt;0,COUNTIF('Suivi des rencontres'!$C:$C,$J1959)&gt;0),"Non","Oui")</f>
        <v/>
      </c>
      <c r="J1959" s="30" t="inlineStr">
        <is>
          <t>CAPUMAIN</t>
        </is>
      </c>
    </row>
    <row r="1960">
      <c r="A1960" s="35" t="inlineStr">
        <is>
          <t>Route 28</t>
        </is>
      </c>
      <c r="B1960" s="35" t="inlineStr">
        <is>
          <t>Route28_hns</t>
        </is>
      </c>
      <c r="C1960" s="33" t="inlineStr">
        <is>
          <t>Matin, jour, soir</t>
        </is>
      </c>
      <c r="D1960" s="36" t="inlineStr">
        <is>
          <t>Éclate-Roc</t>
        </is>
      </c>
      <c r="E1960" s="37" t="inlineStr">
        <is>
          <t>INSECATEUR</t>
        </is>
      </c>
      <c r="F1960" s="38" t="n">
        <v>0.05</v>
      </c>
      <c r="G1960" s="39" t="n">
        <v>40</v>
      </c>
      <c r="H1960" s="39" t="n">
        <v>40</v>
      </c>
      <c r="I1960" s="29">
        <f>IF(OR(COUNTIF('Suivi des rencontres'!$A:$A,$A1960)&gt;0,COUNTIF('Suivi des rencontres'!$C:$C,$J1960)&gt;0),"Non","Oui")</f>
        <v/>
      </c>
      <c r="J1960" s="30" t="inlineStr">
        <is>
          <t>INSECATEUR</t>
        </is>
      </c>
    </row>
    <row r="1961">
      <c r="A1961" s="35" t="inlineStr">
        <is>
          <t>Route 28</t>
        </is>
      </c>
      <c r="B1961" s="35" t="inlineStr">
        <is>
          <t>Route28_hns</t>
        </is>
      </c>
      <c r="C1961" s="33" t="inlineStr">
        <is>
          <t>Matin, jour, soir</t>
        </is>
      </c>
      <c r="D1961" s="36" t="inlineStr">
        <is>
          <t>Éclate-Roc</t>
        </is>
      </c>
      <c r="E1961" s="37" t="inlineStr">
        <is>
          <t>SCARHINO</t>
        </is>
      </c>
      <c r="F1961" s="38" t="n">
        <v>0.05</v>
      </c>
      <c r="G1961" s="39" t="n">
        <v>40</v>
      </c>
      <c r="H1961" s="39" t="n">
        <v>40</v>
      </c>
      <c r="I1961" s="29">
        <f>IF(OR(COUNTIF('Suivi des rencontres'!$A:$A,$A1961)&gt;0,COUNTIF('Suivi des rencontres'!$C:$C,$J1961)&gt;0),"Non","Oui")</f>
        <v/>
      </c>
      <c r="J1961" s="30" t="inlineStr">
        <is>
          <t>SCARHINO</t>
        </is>
      </c>
    </row>
    <row r="1962">
      <c r="A1962" s="35" t="inlineStr">
        <is>
          <t>Route 28</t>
        </is>
      </c>
      <c r="B1962" s="35" t="inlineStr">
        <is>
          <t>Route28_hns</t>
        </is>
      </c>
      <c r="C1962" s="62" t="inlineStr">
        <is>
          <t>Nuit</t>
        </is>
      </c>
      <c r="D1962" s="36" t="inlineStr">
        <is>
          <t>Éclate-Roc</t>
        </is>
      </c>
      <c r="E1962" s="37" t="inlineStr">
        <is>
          <t>FORETRESS</t>
        </is>
      </c>
      <c r="F1962" s="38" t="n">
        <v>0.6</v>
      </c>
      <c r="G1962" s="39" t="n">
        <v>40</v>
      </c>
      <c r="H1962" s="39" t="n">
        <v>40</v>
      </c>
      <c r="I1962" s="29">
        <f>IF(OR(COUNTIF('Suivi des rencontres'!$A:$A,$A1962)&gt;0,COUNTIF('Suivi des rencontres'!$C:$C,$J1962)&gt;0),"Non","Oui")</f>
        <v/>
      </c>
      <c r="J1962" s="30" t="inlineStr">
        <is>
          <t>POMDEPIK</t>
        </is>
      </c>
    </row>
    <row r="1963">
      <c r="A1963" s="35" t="inlineStr">
        <is>
          <t>Route 28</t>
        </is>
      </c>
      <c r="B1963" s="35" t="inlineStr">
        <is>
          <t>Route28_hns</t>
        </is>
      </c>
      <c r="C1963" s="62" t="inlineStr">
        <is>
          <t>Nuit</t>
        </is>
      </c>
      <c r="D1963" s="36" t="inlineStr">
        <is>
          <t>Éclate-Roc</t>
        </is>
      </c>
      <c r="E1963" s="37" t="inlineStr">
        <is>
          <t>CAPIDEXTRE</t>
        </is>
      </c>
      <c r="F1963" s="38" t="n">
        <v>0.3</v>
      </c>
      <c r="G1963" s="39" t="n">
        <v>40</v>
      </c>
      <c r="H1963" s="39" t="n">
        <v>40</v>
      </c>
      <c r="I1963" s="29">
        <f>IF(OR(COUNTIF('Suivi des rencontres'!$A:$A,$A1963)&gt;0,COUNTIF('Suivi des rencontres'!$C:$C,$J1963)&gt;0),"Non","Oui")</f>
        <v/>
      </c>
      <c r="J1963" s="30" t="inlineStr">
        <is>
          <t>CAPUMAIN</t>
        </is>
      </c>
    </row>
    <row r="1964">
      <c r="A1964" s="35" t="inlineStr">
        <is>
          <t>Route 28</t>
        </is>
      </c>
      <c r="B1964" s="35" t="inlineStr">
        <is>
          <t>Route28_hns</t>
        </is>
      </c>
      <c r="C1964" s="62" t="inlineStr">
        <is>
          <t>Nuit</t>
        </is>
      </c>
      <c r="D1964" s="36" t="inlineStr">
        <is>
          <t>Éclate-Roc</t>
        </is>
      </c>
      <c r="E1964" s="37" t="inlineStr">
        <is>
          <t>INSECATEUR</t>
        </is>
      </c>
      <c r="F1964" s="38" t="n">
        <v>0.05</v>
      </c>
      <c r="G1964" s="39" t="n">
        <v>40</v>
      </c>
      <c r="H1964" s="39" t="n">
        <v>40</v>
      </c>
      <c r="I1964" s="29">
        <f>IF(OR(COUNTIF('Suivi des rencontres'!$A:$A,$A1964)&gt;0,COUNTIF('Suivi des rencontres'!$C:$C,$J1964)&gt;0),"Non","Oui")</f>
        <v/>
      </c>
      <c r="J1964" s="30" t="inlineStr">
        <is>
          <t>INSECATEUR</t>
        </is>
      </c>
    </row>
    <row r="1965">
      <c r="A1965" s="35" t="inlineStr">
        <is>
          <t>Route 28</t>
        </is>
      </c>
      <c r="B1965" s="35" t="inlineStr">
        <is>
          <t>Route28_hns</t>
        </is>
      </c>
      <c r="C1965" s="62" t="inlineStr">
        <is>
          <t>Nuit</t>
        </is>
      </c>
      <c r="D1965" s="36" t="inlineStr">
        <is>
          <t>Éclate-Roc</t>
        </is>
      </c>
      <c r="E1965" s="37" t="inlineStr">
        <is>
          <t>SCARHINO</t>
        </is>
      </c>
      <c r="F1965" s="38" t="n">
        <v>0.05</v>
      </c>
      <c r="G1965" s="39" t="n">
        <v>40</v>
      </c>
      <c r="H1965" s="39" t="n">
        <v>40</v>
      </c>
      <c r="I1965" s="29">
        <f>IF(OR(COUNTIF('Suivi des rencontres'!$A:$A,$A1965)&gt;0,COUNTIF('Suivi des rencontres'!$C:$C,$J1965)&gt;0),"Non","Oui")</f>
        <v/>
      </c>
      <c r="J1965" s="30" t="inlineStr">
        <is>
          <t>SCARHINO</t>
        </is>
      </c>
    </row>
    <row r="1966">
      <c r="A1966" s="35" t="inlineStr">
        <is>
          <t>Route 28</t>
        </is>
      </c>
      <c r="B1966" s="35" t="inlineStr">
        <is>
          <t>Route28_hns</t>
        </is>
      </c>
      <c r="C1966" s="33" t="inlineStr">
        <is>
          <t>Matin, jour, soir</t>
        </is>
      </c>
      <c r="D1966" s="54" t="inlineStr">
        <is>
          <t>Vieille Canne</t>
        </is>
      </c>
      <c r="E1966" s="37" t="inlineStr">
        <is>
          <t>MAGICARPE</t>
        </is>
      </c>
      <c r="F1966" s="38" t="n">
        <v>0.7</v>
      </c>
      <c r="G1966" s="39" t="n">
        <v>10</v>
      </c>
      <c r="H1966" s="39" t="n">
        <v>10</v>
      </c>
      <c r="I1966" s="29">
        <f>IF(OR(COUNTIF('Suivi des rencontres'!$A:$A,$A1966)&gt;0,COUNTIF('Suivi des rencontres'!$C:$C,$J1966)&gt;0),"Non","Oui")</f>
        <v/>
      </c>
      <c r="J1966" s="30" t="inlineStr">
        <is>
          <t>MAGICARPE</t>
        </is>
      </c>
    </row>
    <row r="1967">
      <c r="A1967" s="35" t="inlineStr">
        <is>
          <t>Route 28</t>
        </is>
      </c>
      <c r="B1967" s="35" t="inlineStr">
        <is>
          <t>Route28_hns</t>
        </is>
      </c>
      <c r="C1967" s="33" t="inlineStr">
        <is>
          <t>Matin, jour, soir</t>
        </is>
      </c>
      <c r="D1967" s="54" t="inlineStr">
        <is>
          <t>Vieille Canne</t>
        </is>
      </c>
      <c r="E1967" s="37" t="inlineStr">
        <is>
          <t>PTITARD</t>
        </is>
      </c>
      <c r="F1967" s="38" t="n">
        <v>0.3</v>
      </c>
      <c r="G1967" s="39" t="n">
        <v>10</v>
      </c>
      <c r="H1967" s="39" t="n">
        <v>10</v>
      </c>
      <c r="I1967" s="29">
        <f>IF(OR(COUNTIF('Suivi des rencontres'!$A:$A,$A1967)&gt;0,COUNTIF('Suivi des rencontres'!$C:$C,$J1967)&gt;0),"Non","Oui")</f>
        <v/>
      </c>
      <c r="J1967" s="30" t="inlineStr">
        <is>
          <t>PTITARD</t>
        </is>
      </c>
    </row>
    <row r="1968">
      <c r="A1968" s="35" t="inlineStr">
        <is>
          <t>Route 28</t>
        </is>
      </c>
      <c r="B1968" s="35" t="inlineStr">
        <is>
          <t>Route28_hns</t>
        </is>
      </c>
      <c r="C1968" s="62" t="inlineStr">
        <is>
          <t>Nuit</t>
        </is>
      </c>
      <c r="D1968" s="54" t="inlineStr">
        <is>
          <t>Vieille Canne</t>
        </is>
      </c>
      <c r="E1968" s="37" t="inlineStr">
        <is>
          <t>MAGICARPE</t>
        </is>
      </c>
      <c r="F1968" s="38" t="n">
        <v>0.7</v>
      </c>
      <c r="G1968" s="39" t="n">
        <v>10</v>
      </c>
      <c r="H1968" s="39" t="n">
        <v>10</v>
      </c>
      <c r="I1968" s="29">
        <f>IF(OR(COUNTIF('Suivi des rencontres'!$A:$A,$A1968)&gt;0,COUNTIF('Suivi des rencontres'!$C:$C,$J1968)&gt;0),"Non","Oui")</f>
        <v/>
      </c>
      <c r="J1968" s="30" t="inlineStr">
        <is>
          <t>MAGICARPE</t>
        </is>
      </c>
    </row>
    <row r="1969">
      <c r="A1969" s="35" t="inlineStr">
        <is>
          <t>Route 28</t>
        </is>
      </c>
      <c r="B1969" s="35" t="inlineStr">
        <is>
          <t>Route28_hns</t>
        </is>
      </c>
      <c r="C1969" s="62" t="inlineStr">
        <is>
          <t>Nuit</t>
        </is>
      </c>
      <c r="D1969" s="54" t="inlineStr">
        <is>
          <t>Vieille Canne</t>
        </is>
      </c>
      <c r="E1969" s="37" t="inlineStr">
        <is>
          <t>PTITARD</t>
        </is>
      </c>
      <c r="F1969" s="38" t="n">
        <v>0.3</v>
      </c>
      <c r="G1969" s="39" t="n">
        <v>10</v>
      </c>
      <c r="H1969" s="39" t="n">
        <v>10</v>
      </c>
      <c r="I1969" s="29">
        <f>IF(OR(COUNTIF('Suivi des rencontres'!$A:$A,$A1969)&gt;0,COUNTIF('Suivi des rencontres'!$C:$C,$J1969)&gt;0),"Non","Oui")</f>
        <v/>
      </c>
      <c r="J1969" s="30" t="inlineStr">
        <is>
          <t>PTITARD</t>
        </is>
      </c>
    </row>
    <row r="1970">
      <c r="A1970" s="35" t="inlineStr">
        <is>
          <t>Route 28</t>
        </is>
      </c>
      <c r="B1970" s="35" t="inlineStr">
        <is>
          <t>Route28_hns</t>
        </is>
      </c>
      <c r="C1970" s="33" t="inlineStr">
        <is>
          <t>Matin, jour, soir</t>
        </is>
      </c>
      <c r="D1970" s="55" t="inlineStr">
        <is>
          <t>Bonne Canne</t>
        </is>
      </c>
      <c r="E1970" s="37" t="inlineStr">
        <is>
          <t>PTITARD</t>
        </is>
      </c>
      <c r="F1970" s="38" t="n">
        <v>0.8</v>
      </c>
      <c r="G1970" s="39" t="n">
        <v>20</v>
      </c>
      <c r="H1970" s="39" t="n">
        <v>20</v>
      </c>
      <c r="I1970" s="29">
        <f>IF(OR(COUNTIF('Suivi des rencontres'!$A:$A,$A1970)&gt;0,COUNTIF('Suivi des rencontres'!$C:$C,$J1970)&gt;0),"Non","Oui")</f>
        <v/>
      </c>
      <c r="J1970" s="30" t="inlineStr">
        <is>
          <t>PTITARD</t>
        </is>
      </c>
    </row>
    <row r="1971">
      <c r="A1971" s="35" t="inlineStr">
        <is>
          <t>Route 28</t>
        </is>
      </c>
      <c r="B1971" s="35" t="inlineStr">
        <is>
          <t>Route28_hns</t>
        </is>
      </c>
      <c r="C1971" s="33" t="inlineStr">
        <is>
          <t>Matin, jour, soir</t>
        </is>
      </c>
      <c r="D1971" s="55" t="inlineStr">
        <is>
          <t>Bonne Canne</t>
        </is>
      </c>
      <c r="E1971" s="37" t="inlineStr">
        <is>
          <t>MAGICARPE</t>
        </is>
      </c>
      <c r="F1971" s="38" t="n">
        <v>0.2</v>
      </c>
      <c r="G1971" s="39" t="n">
        <v>20</v>
      </c>
      <c r="H1971" s="39" t="n">
        <v>20</v>
      </c>
      <c r="I1971" s="29">
        <f>IF(OR(COUNTIF('Suivi des rencontres'!$A:$A,$A1971)&gt;0,COUNTIF('Suivi des rencontres'!$C:$C,$J1971)&gt;0),"Non","Oui")</f>
        <v/>
      </c>
      <c r="J1971" s="30" t="inlineStr">
        <is>
          <t>MAGICARPE</t>
        </is>
      </c>
    </row>
    <row r="1972">
      <c r="A1972" s="35" t="inlineStr">
        <is>
          <t>Route 28</t>
        </is>
      </c>
      <c r="B1972" s="35" t="inlineStr">
        <is>
          <t>Route28_hns</t>
        </is>
      </c>
      <c r="C1972" s="62" t="inlineStr">
        <is>
          <t>Nuit</t>
        </is>
      </c>
      <c r="D1972" s="55" t="inlineStr">
        <is>
          <t>Bonne Canne</t>
        </is>
      </c>
      <c r="E1972" s="37" t="inlineStr">
        <is>
          <t>PTITARD</t>
        </is>
      </c>
      <c r="F1972" s="38" t="n">
        <v>0.8</v>
      </c>
      <c r="G1972" s="39" t="n">
        <v>20</v>
      </c>
      <c r="H1972" s="39" t="n">
        <v>20</v>
      </c>
      <c r="I1972" s="29">
        <f>IF(OR(COUNTIF('Suivi des rencontres'!$A:$A,$A1972)&gt;0,COUNTIF('Suivi des rencontres'!$C:$C,$J1972)&gt;0),"Non","Oui")</f>
        <v/>
      </c>
      <c r="J1972" s="30" t="inlineStr">
        <is>
          <t>PTITARD</t>
        </is>
      </c>
    </row>
    <row r="1973">
      <c r="A1973" s="35" t="inlineStr">
        <is>
          <t>Route 28</t>
        </is>
      </c>
      <c r="B1973" s="35" t="inlineStr">
        <is>
          <t>Route28_hns</t>
        </is>
      </c>
      <c r="C1973" s="62" t="inlineStr">
        <is>
          <t>Nuit</t>
        </is>
      </c>
      <c r="D1973" s="55" t="inlineStr">
        <is>
          <t>Bonne Canne</t>
        </is>
      </c>
      <c r="E1973" s="37" t="inlineStr">
        <is>
          <t>MAGICARPE</t>
        </is>
      </c>
      <c r="F1973" s="38" t="n">
        <v>0.2</v>
      </c>
      <c r="G1973" s="39" t="n">
        <v>20</v>
      </c>
      <c r="H1973" s="39" t="n">
        <v>20</v>
      </c>
      <c r="I1973" s="29">
        <f>IF(OR(COUNTIF('Suivi des rencontres'!$A:$A,$A1973)&gt;0,COUNTIF('Suivi des rencontres'!$C:$C,$J1973)&gt;0),"Non","Oui")</f>
        <v/>
      </c>
      <c r="J1973" s="30" t="inlineStr">
        <is>
          <t>MAGICARPE</t>
        </is>
      </c>
    </row>
    <row r="1974">
      <c r="A1974" s="35" t="inlineStr">
        <is>
          <t>Route 28</t>
        </is>
      </c>
      <c r="B1974" s="35" t="inlineStr">
        <is>
          <t>Route28_hns</t>
        </is>
      </c>
      <c r="C1974" s="33" t="inlineStr">
        <is>
          <t>Matin, jour, soir</t>
        </is>
      </c>
      <c r="D1974" s="56" t="inlineStr">
        <is>
          <t>Super Canne</t>
        </is>
      </c>
      <c r="E1974" s="37" t="inlineStr">
        <is>
          <t>PTITARD</t>
        </is>
      </c>
      <c r="F1974" s="38" t="n">
        <v>0.55</v>
      </c>
      <c r="G1974" s="39" t="n">
        <v>40</v>
      </c>
      <c r="H1974" s="39" t="n">
        <v>40</v>
      </c>
      <c r="I1974" s="29">
        <f>IF(OR(COUNTIF('Suivi des rencontres'!$A:$A,$A1974)&gt;0,COUNTIF('Suivi des rencontres'!$C:$C,$J1974)&gt;0),"Non","Oui")</f>
        <v/>
      </c>
      <c r="J1974" s="30" t="inlineStr">
        <is>
          <t>PTITARD</t>
        </is>
      </c>
    </row>
    <row r="1975">
      <c r="A1975" s="35" t="inlineStr">
        <is>
          <t>Route 28</t>
        </is>
      </c>
      <c r="B1975" s="35" t="inlineStr">
        <is>
          <t>Route28_hns</t>
        </is>
      </c>
      <c r="C1975" s="33" t="inlineStr">
        <is>
          <t>Matin, jour, soir</t>
        </is>
      </c>
      <c r="D1975" s="56" t="inlineStr">
        <is>
          <t>Super Canne</t>
        </is>
      </c>
      <c r="E1975" s="37" t="inlineStr">
        <is>
          <t>MAGICARPE</t>
        </is>
      </c>
      <c r="F1975" s="38" t="n">
        <v>0.44</v>
      </c>
      <c r="G1975" s="39" t="n">
        <v>20</v>
      </c>
      <c r="H1975" s="39" t="n">
        <v>40</v>
      </c>
      <c r="I1975" s="29">
        <f>IF(OR(COUNTIF('Suivi des rencontres'!$A:$A,$A1975)&gt;0,COUNTIF('Suivi des rencontres'!$C:$C,$J1975)&gt;0),"Non","Oui")</f>
        <v/>
      </c>
      <c r="J1975" s="30" t="inlineStr">
        <is>
          <t>MAGICARPE</t>
        </is>
      </c>
    </row>
    <row r="1976">
      <c r="A1976" s="35" t="inlineStr">
        <is>
          <t>Route 28</t>
        </is>
      </c>
      <c r="B1976" s="35" t="inlineStr">
        <is>
          <t>Route28_hns</t>
        </is>
      </c>
      <c r="C1976" s="33" t="inlineStr">
        <is>
          <t>Matin, jour, soir</t>
        </is>
      </c>
      <c r="D1976" s="56" t="inlineStr">
        <is>
          <t>Super Canne</t>
        </is>
      </c>
      <c r="E1976" s="37" t="inlineStr">
        <is>
          <t>TETARTE</t>
        </is>
      </c>
      <c r="F1976" s="38" t="n">
        <v>0.01</v>
      </c>
      <c r="G1976" s="39" t="n">
        <v>40</v>
      </c>
      <c r="H1976" s="39" t="n">
        <v>40</v>
      </c>
      <c r="I1976" s="29">
        <f>IF(OR(COUNTIF('Suivi des rencontres'!$A:$A,$A1976)&gt;0,COUNTIF('Suivi des rencontres'!$C:$C,$J1976)&gt;0),"Non","Oui")</f>
        <v/>
      </c>
      <c r="J1976" s="30" t="inlineStr">
        <is>
          <t>PTITARD</t>
        </is>
      </c>
    </row>
    <row r="1977">
      <c r="A1977" s="35" t="inlineStr">
        <is>
          <t>Route 28</t>
        </is>
      </c>
      <c r="B1977" s="35" t="inlineStr">
        <is>
          <t>Route28_hns</t>
        </is>
      </c>
      <c r="C1977" s="62" t="inlineStr">
        <is>
          <t>Nuit</t>
        </is>
      </c>
      <c r="D1977" s="56" t="inlineStr">
        <is>
          <t>Super Canne</t>
        </is>
      </c>
      <c r="E1977" s="37" t="inlineStr">
        <is>
          <t>PTITARD</t>
        </is>
      </c>
      <c r="F1977" s="38" t="n">
        <v>0.55</v>
      </c>
      <c r="G1977" s="39" t="n">
        <v>40</v>
      </c>
      <c r="H1977" s="39" t="n">
        <v>40</v>
      </c>
      <c r="I1977" s="29">
        <f>IF(OR(COUNTIF('Suivi des rencontres'!$A:$A,$A1977)&gt;0,COUNTIF('Suivi des rencontres'!$C:$C,$J1977)&gt;0),"Non","Oui")</f>
        <v/>
      </c>
      <c r="J1977" s="30" t="inlineStr">
        <is>
          <t>PTITARD</t>
        </is>
      </c>
    </row>
    <row r="1978">
      <c r="A1978" s="35" t="inlineStr">
        <is>
          <t>Route 28</t>
        </is>
      </c>
      <c r="B1978" s="35" t="inlineStr">
        <is>
          <t>Route28_hns</t>
        </is>
      </c>
      <c r="C1978" s="62" t="inlineStr">
        <is>
          <t>Nuit</t>
        </is>
      </c>
      <c r="D1978" s="56" t="inlineStr">
        <is>
          <t>Super Canne</t>
        </is>
      </c>
      <c r="E1978" s="37" t="inlineStr">
        <is>
          <t>MAGICARPE</t>
        </is>
      </c>
      <c r="F1978" s="38" t="n">
        <v>0.44</v>
      </c>
      <c r="G1978" s="39" t="n">
        <v>20</v>
      </c>
      <c r="H1978" s="39" t="n">
        <v>40</v>
      </c>
      <c r="I1978" s="29">
        <f>IF(OR(COUNTIF('Suivi des rencontres'!$A:$A,$A1978)&gt;0,COUNTIF('Suivi des rencontres'!$C:$C,$J1978)&gt;0),"Non","Oui")</f>
        <v/>
      </c>
      <c r="J1978" s="30" t="inlineStr">
        <is>
          <t>MAGICARPE</t>
        </is>
      </c>
    </row>
    <row r="1979">
      <c r="A1979" s="35" t="inlineStr">
        <is>
          <t>Route 28</t>
        </is>
      </c>
      <c r="B1979" s="35" t="inlineStr">
        <is>
          <t>Route28_hns</t>
        </is>
      </c>
      <c r="C1979" s="62" t="inlineStr">
        <is>
          <t>Nuit</t>
        </is>
      </c>
      <c r="D1979" s="56" t="inlineStr">
        <is>
          <t>Super Canne</t>
        </is>
      </c>
      <c r="E1979" s="37" t="inlineStr">
        <is>
          <t>TETARTE</t>
        </is>
      </c>
      <c r="F1979" s="38" t="n">
        <v>0.01</v>
      </c>
      <c r="G1979" s="39" t="n">
        <v>40</v>
      </c>
      <c r="H1979" s="39" t="n">
        <v>40</v>
      </c>
      <c r="I1979" s="29">
        <f>IF(OR(COUNTIF('Suivi des rencontres'!$A:$A,$A1979)&gt;0,COUNTIF('Suivi des rencontres'!$C:$C,$J1979)&gt;0),"Non","Oui")</f>
        <v/>
      </c>
      <c r="J1979" s="30" t="inlineStr">
        <is>
          <t>PTITARD</t>
        </is>
      </c>
    </row>
    <row r="1980">
      <c r="A1980" s="40" t="inlineStr">
        <is>
          <t>Route 29</t>
        </is>
      </c>
      <c r="B1980" s="40" t="inlineStr">
        <is>
          <t>Route29_hns</t>
        </is>
      </c>
      <c r="C1980" s="41" t="inlineStr">
        <is>
          <t>Matin, jour, soir</t>
        </is>
      </c>
      <c r="D1980" s="42" t="inlineStr">
        <is>
          <t>Herbe</t>
        </is>
      </c>
      <c r="E1980" s="43" t="inlineStr">
        <is>
          <t>ROUCOOL</t>
        </is>
      </c>
      <c r="F1980" s="44" t="n">
        <v>0.5</v>
      </c>
      <c r="G1980" s="45" t="n">
        <v>2</v>
      </c>
      <c r="H1980" s="45" t="n">
        <v>3</v>
      </c>
      <c r="I1980" s="46">
        <f>IF(OR(COUNTIF('Suivi des rencontres'!$A:$A,$A1980)&gt;0,COUNTIF('Suivi des rencontres'!$C:$C,$J1980)&gt;0),"Non","Oui")</f>
        <v/>
      </c>
      <c r="J1980" s="30" t="inlineStr">
        <is>
          <t>ROUCOOL</t>
        </is>
      </c>
    </row>
    <row r="1981">
      <c r="A1981" s="47" t="inlineStr">
        <is>
          <t>Route 29</t>
        </is>
      </c>
      <c r="B1981" s="47" t="inlineStr">
        <is>
          <t>Route29_hns</t>
        </is>
      </c>
      <c r="C1981" s="48" t="inlineStr">
        <is>
          <t>Matin, jour, soir</t>
        </is>
      </c>
      <c r="D1981" s="49" t="inlineStr">
        <is>
          <t>Herbe</t>
        </is>
      </c>
      <c r="E1981" s="50" t="inlineStr">
        <is>
          <t>FOUINETTE</t>
        </is>
      </c>
      <c r="F1981" s="51" t="n">
        <v>0.25</v>
      </c>
      <c r="G1981" s="52" t="n">
        <v>2</v>
      </c>
      <c r="H1981" s="52" t="n">
        <v>3</v>
      </c>
      <c r="I1981" s="29">
        <f>IF(OR(COUNTIF('Suivi des rencontres'!$A:$A,$A1981)&gt;0,COUNTIF('Suivi des rencontres'!$C:$C,$J1981)&gt;0),"Non","Oui")</f>
        <v/>
      </c>
      <c r="J1981" s="30" t="inlineStr">
        <is>
          <t>FOUINETTE</t>
        </is>
      </c>
    </row>
    <row r="1982">
      <c r="A1982" s="47" t="inlineStr">
        <is>
          <t>Route 29</t>
        </is>
      </c>
      <c r="B1982" s="47" t="inlineStr">
        <is>
          <t>Route29_hns</t>
        </is>
      </c>
      <c r="C1982" s="48" t="inlineStr">
        <is>
          <t>Matin, jour, soir</t>
        </is>
      </c>
      <c r="D1982" s="49" t="inlineStr">
        <is>
          <t>Herbe</t>
        </is>
      </c>
      <c r="E1982" s="50" t="inlineStr">
        <is>
          <t>GRANIVOL</t>
        </is>
      </c>
      <c r="F1982" s="51" t="n">
        <v>0.16</v>
      </c>
      <c r="G1982" s="52" t="n">
        <v>2</v>
      </c>
      <c r="H1982" s="52" t="n">
        <v>3</v>
      </c>
      <c r="I1982" s="29">
        <f>IF(OR(COUNTIF('Suivi des rencontres'!$A:$A,$A1982)&gt;0,COUNTIF('Suivi des rencontres'!$C:$C,$J1982)&gt;0),"Non","Oui")</f>
        <v/>
      </c>
      <c r="J1982" s="30" t="inlineStr">
        <is>
          <t>GRANIVOL</t>
        </is>
      </c>
    </row>
    <row r="1983">
      <c r="A1983" s="47" t="inlineStr">
        <is>
          <t>Route 29</t>
        </is>
      </c>
      <c r="B1983" s="47" t="inlineStr">
        <is>
          <t>Route29_hns</t>
        </is>
      </c>
      <c r="C1983" s="48" t="inlineStr">
        <is>
          <t>Matin, jour, soir</t>
        </is>
      </c>
      <c r="D1983" s="49" t="inlineStr">
        <is>
          <t>Herbe</t>
        </is>
      </c>
      <c r="E1983" s="50" t="inlineStr">
        <is>
          <t>RATTATA</t>
        </is>
      </c>
      <c r="F1983" s="51" t="n">
        <v>0.05</v>
      </c>
      <c r="G1983" s="52" t="n">
        <v>2</v>
      </c>
      <c r="H1983" s="52" t="n">
        <v>2</v>
      </c>
      <c r="I1983" s="29">
        <f>IF(OR(COUNTIF('Suivi des rencontres'!$A:$A,$A1983)&gt;0,COUNTIF('Suivi des rencontres'!$C:$C,$J1983)&gt;0),"Non","Oui")</f>
        <v/>
      </c>
      <c r="J1983" s="30" t="inlineStr">
        <is>
          <t>RATTATA</t>
        </is>
      </c>
    </row>
    <row r="1984">
      <c r="A1984" s="47" t="inlineStr">
        <is>
          <t>Route 29</t>
        </is>
      </c>
      <c r="B1984" s="47" t="inlineStr">
        <is>
          <t>Route29_hns</t>
        </is>
      </c>
      <c r="C1984" s="48" t="inlineStr">
        <is>
          <t>Matin, jour, soir</t>
        </is>
      </c>
      <c r="D1984" s="49" t="inlineStr">
        <is>
          <t>Herbe</t>
        </is>
      </c>
      <c r="E1984" s="50" t="inlineStr">
        <is>
          <t>HOOTHOOT</t>
        </is>
      </c>
      <c r="F1984" s="51" t="n">
        <v>0.04</v>
      </c>
      <c r="G1984" s="52" t="n">
        <v>2</v>
      </c>
      <c r="H1984" s="52" t="n">
        <v>2</v>
      </c>
      <c r="I1984" s="29">
        <f>IF(OR(COUNTIF('Suivi des rencontres'!$A:$A,$A1984)&gt;0,COUNTIF('Suivi des rencontres'!$C:$C,$J1984)&gt;0),"Non","Oui")</f>
        <v/>
      </c>
      <c r="J1984" s="30" t="inlineStr">
        <is>
          <t>HOOTHOOT</t>
        </is>
      </c>
    </row>
    <row r="1985">
      <c r="A1985" s="47" t="inlineStr">
        <is>
          <t>Route 29</t>
        </is>
      </c>
      <c r="B1985" s="47" t="inlineStr">
        <is>
          <t>Route29_hns</t>
        </is>
      </c>
      <c r="C1985" s="62" t="inlineStr">
        <is>
          <t>Nuit</t>
        </is>
      </c>
      <c r="D1985" s="49" t="inlineStr">
        <is>
          <t>Herbe</t>
        </is>
      </c>
      <c r="E1985" s="50" t="inlineStr">
        <is>
          <t>HOOTHOOT</t>
        </is>
      </c>
      <c r="F1985" s="51" t="n">
        <v>0.61</v>
      </c>
      <c r="G1985" s="52" t="n">
        <v>2</v>
      </c>
      <c r="H1985" s="52" t="n">
        <v>3</v>
      </c>
      <c r="I1985" s="29">
        <f>IF(OR(COUNTIF('Suivi des rencontres'!$A:$A,$A1985)&gt;0,COUNTIF('Suivi des rencontres'!$C:$C,$J1985)&gt;0),"Non","Oui")</f>
        <v/>
      </c>
      <c r="J1985" s="30" t="inlineStr">
        <is>
          <t>HOOTHOOT</t>
        </is>
      </c>
    </row>
    <row r="1986">
      <c r="A1986" s="47" t="inlineStr">
        <is>
          <t>Route 29</t>
        </is>
      </c>
      <c r="B1986" s="47" t="inlineStr">
        <is>
          <t>Route29_hns</t>
        </is>
      </c>
      <c r="C1986" s="62" t="inlineStr">
        <is>
          <t>Nuit</t>
        </is>
      </c>
      <c r="D1986" s="49" t="inlineStr">
        <is>
          <t>Herbe</t>
        </is>
      </c>
      <c r="E1986" s="50" t="inlineStr">
        <is>
          <t>RATTATA</t>
        </is>
      </c>
      <c r="F1986" s="51" t="n">
        <v>0.39</v>
      </c>
      <c r="G1986" s="52" t="n">
        <v>2</v>
      </c>
      <c r="H1986" s="52" t="n">
        <v>3</v>
      </c>
      <c r="I1986" s="29">
        <f>IF(OR(COUNTIF('Suivi des rencontres'!$A:$A,$A1986)&gt;0,COUNTIF('Suivi des rencontres'!$C:$C,$J1986)&gt;0),"Non","Oui")</f>
        <v/>
      </c>
      <c r="J1986" s="30" t="inlineStr">
        <is>
          <t>RATTATA</t>
        </is>
      </c>
    </row>
    <row r="1987">
      <c r="A1987" s="47" t="inlineStr">
        <is>
          <t>Route 29</t>
        </is>
      </c>
      <c r="B1987" s="47" t="inlineStr">
        <is>
          <t>Route29_hns</t>
        </is>
      </c>
      <c r="C1987" s="48" t="inlineStr">
        <is>
          <t>Matin, jour, soir</t>
        </is>
      </c>
      <c r="D1987" s="36" t="inlineStr">
        <is>
          <t>Éclate-Roc</t>
        </is>
      </c>
      <c r="E1987" s="50" t="inlineStr">
        <is>
          <t>POMDEPIK</t>
        </is>
      </c>
      <c r="F1987" s="51" t="n">
        <v>0.6</v>
      </c>
      <c r="G1987" s="52" t="n">
        <v>10</v>
      </c>
      <c r="H1987" s="52" t="n">
        <v>10</v>
      </c>
      <c r="I1987" s="29">
        <f>IF(OR(COUNTIF('Suivi des rencontres'!$A:$A,$A1987)&gt;0,COUNTIF('Suivi des rencontres'!$C:$C,$J1987)&gt;0),"Non","Oui")</f>
        <v/>
      </c>
      <c r="J1987" s="30" t="inlineStr">
        <is>
          <t>POMDEPIK</t>
        </is>
      </c>
    </row>
    <row r="1988">
      <c r="A1988" s="47" t="inlineStr">
        <is>
          <t>Route 29</t>
        </is>
      </c>
      <c r="B1988" s="47" t="inlineStr">
        <is>
          <t>Route29_hns</t>
        </is>
      </c>
      <c r="C1988" s="48" t="inlineStr">
        <is>
          <t>Matin, jour, soir</t>
        </is>
      </c>
      <c r="D1988" s="36" t="inlineStr">
        <is>
          <t>Éclate-Roc</t>
        </is>
      </c>
      <c r="E1988" s="50" t="inlineStr">
        <is>
          <t>NOEUNOEUF</t>
        </is>
      </c>
      <c r="F1988" s="51" t="n">
        <v>0.3</v>
      </c>
      <c r="G1988" s="52" t="n">
        <v>10</v>
      </c>
      <c r="H1988" s="52" t="n">
        <v>10</v>
      </c>
      <c r="I1988" s="29">
        <f>IF(OR(COUNTIF('Suivi des rencontres'!$A:$A,$A1988)&gt;0,COUNTIF('Suivi des rencontres'!$C:$C,$J1988)&gt;0),"Non","Oui")</f>
        <v/>
      </c>
      <c r="J1988" s="30" t="inlineStr">
        <is>
          <t>NOEUNOEUF</t>
        </is>
      </c>
    </row>
    <row r="1989">
      <c r="A1989" s="47" t="inlineStr">
        <is>
          <t>Route 29</t>
        </is>
      </c>
      <c r="B1989" s="47" t="inlineStr">
        <is>
          <t>Route29_hns</t>
        </is>
      </c>
      <c r="C1989" s="48" t="inlineStr">
        <is>
          <t>Matin, jour, soir</t>
        </is>
      </c>
      <c r="D1989" s="36" t="inlineStr">
        <is>
          <t>Éclate-Roc</t>
        </is>
      </c>
      <c r="E1989" s="50" t="inlineStr">
        <is>
          <t>COXY</t>
        </is>
      </c>
      <c r="F1989" s="51" t="n">
        <v>0.05</v>
      </c>
      <c r="G1989" s="52" t="n">
        <v>10</v>
      </c>
      <c r="H1989" s="52" t="n">
        <v>10</v>
      </c>
      <c r="I1989" s="29">
        <f>IF(OR(COUNTIF('Suivi des rencontres'!$A:$A,$A1989)&gt;0,COUNTIF('Suivi des rencontres'!$C:$C,$J1989)&gt;0),"Non","Oui")</f>
        <v/>
      </c>
      <c r="J1989" s="30" t="inlineStr">
        <is>
          <t>COXY</t>
        </is>
      </c>
    </row>
    <row r="1990">
      <c r="A1990" s="47" t="inlineStr">
        <is>
          <t>Route 29</t>
        </is>
      </c>
      <c r="B1990" s="47" t="inlineStr">
        <is>
          <t>Route29_hns</t>
        </is>
      </c>
      <c r="C1990" s="48" t="inlineStr">
        <is>
          <t>Matin, jour, soir</t>
        </is>
      </c>
      <c r="D1990" s="36" t="inlineStr">
        <is>
          <t>Éclate-Roc</t>
        </is>
      </c>
      <c r="E1990" s="50" t="inlineStr">
        <is>
          <t>MIMIGAL</t>
        </is>
      </c>
      <c r="F1990" s="51" t="n">
        <v>0.05</v>
      </c>
      <c r="G1990" s="52" t="n">
        <v>10</v>
      </c>
      <c r="H1990" s="52" t="n">
        <v>10</v>
      </c>
      <c r="I1990" s="29">
        <f>IF(OR(COUNTIF('Suivi des rencontres'!$A:$A,$A1990)&gt;0,COUNTIF('Suivi des rencontres'!$C:$C,$J1990)&gt;0),"Non","Oui")</f>
        <v/>
      </c>
      <c r="J1990" s="30" t="inlineStr">
        <is>
          <t>MIMIGAL</t>
        </is>
      </c>
    </row>
    <row r="1991">
      <c r="A1991" s="47" t="inlineStr">
        <is>
          <t>Route 29</t>
        </is>
      </c>
      <c r="B1991" s="47" t="inlineStr">
        <is>
          <t>Route29_hns</t>
        </is>
      </c>
      <c r="C1991" s="62" t="inlineStr">
        <is>
          <t>Nuit</t>
        </is>
      </c>
      <c r="D1991" s="36" t="inlineStr">
        <is>
          <t>Éclate-Roc</t>
        </is>
      </c>
      <c r="E1991" s="50" t="inlineStr">
        <is>
          <t>POMDEPIK</t>
        </is>
      </c>
      <c r="F1991" s="51" t="n">
        <v>0.6</v>
      </c>
      <c r="G1991" s="52" t="n">
        <v>10</v>
      </c>
      <c r="H1991" s="52" t="n">
        <v>10</v>
      </c>
      <c r="I1991" s="29">
        <f>IF(OR(COUNTIF('Suivi des rencontres'!$A:$A,$A1991)&gt;0,COUNTIF('Suivi des rencontres'!$C:$C,$J1991)&gt;0),"Non","Oui")</f>
        <v/>
      </c>
      <c r="J1991" s="30" t="inlineStr">
        <is>
          <t>POMDEPIK</t>
        </is>
      </c>
    </row>
    <row r="1992">
      <c r="A1992" s="47" t="inlineStr">
        <is>
          <t>Route 29</t>
        </is>
      </c>
      <c r="B1992" s="47" t="inlineStr">
        <is>
          <t>Route29_hns</t>
        </is>
      </c>
      <c r="C1992" s="62" t="inlineStr">
        <is>
          <t>Nuit</t>
        </is>
      </c>
      <c r="D1992" s="36" t="inlineStr">
        <is>
          <t>Éclate-Roc</t>
        </is>
      </c>
      <c r="E1992" s="50" t="inlineStr">
        <is>
          <t>NOEUNOEUF</t>
        </is>
      </c>
      <c r="F1992" s="51" t="n">
        <v>0.3</v>
      </c>
      <c r="G1992" s="52" t="n">
        <v>10</v>
      </c>
      <c r="H1992" s="52" t="n">
        <v>10</v>
      </c>
      <c r="I1992" s="29">
        <f>IF(OR(COUNTIF('Suivi des rencontres'!$A:$A,$A1992)&gt;0,COUNTIF('Suivi des rencontres'!$C:$C,$J1992)&gt;0),"Non","Oui")</f>
        <v/>
      </c>
      <c r="J1992" s="30" t="inlineStr">
        <is>
          <t>NOEUNOEUF</t>
        </is>
      </c>
    </row>
    <row r="1993">
      <c r="A1993" s="47" t="inlineStr">
        <is>
          <t>Route 29</t>
        </is>
      </c>
      <c r="B1993" s="47" t="inlineStr">
        <is>
          <t>Route29_hns</t>
        </is>
      </c>
      <c r="C1993" s="62" t="inlineStr">
        <is>
          <t>Nuit</t>
        </is>
      </c>
      <c r="D1993" s="36" t="inlineStr">
        <is>
          <t>Éclate-Roc</t>
        </is>
      </c>
      <c r="E1993" s="50" t="inlineStr">
        <is>
          <t>COXY</t>
        </is>
      </c>
      <c r="F1993" s="51" t="n">
        <v>0.05</v>
      </c>
      <c r="G1993" s="52" t="n">
        <v>10</v>
      </c>
      <c r="H1993" s="52" t="n">
        <v>10</v>
      </c>
      <c r="I1993" s="29">
        <f>IF(OR(COUNTIF('Suivi des rencontres'!$A:$A,$A1993)&gt;0,COUNTIF('Suivi des rencontres'!$C:$C,$J1993)&gt;0),"Non","Oui")</f>
        <v/>
      </c>
      <c r="J1993" s="30" t="inlineStr">
        <is>
          <t>COXY</t>
        </is>
      </c>
    </row>
    <row r="1994">
      <c r="A1994" s="47" t="inlineStr">
        <is>
          <t>Route 29</t>
        </is>
      </c>
      <c r="B1994" s="47" t="inlineStr">
        <is>
          <t>Route29_hns</t>
        </is>
      </c>
      <c r="C1994" s="62" t="inlineStr">
        <is>
          <t>Nuit</t>
        </is>
      </c>
      <c r="D1994" s="36" t="inlineStr">
        <is>
          <t>Éclate-Roc</t>
        </is>
      </c>
      <c r="E1994" s="50" t="inlineStr">
        <is>
          <t>MIMIGAL</t>
        </is>
      </c>
      <c r="F1994" s="51" t="n">
        <v>0.05</v>
      </c>
      <c r="G1994" s="52" t="n">
        <v>10</v>
      </c>
      <c r="H1994" s="52" t="n">
        <v>10</v>
      </c>
      <c r="I1994" s="29">
        <f>IF(OR(COUNTIF('Suivi des rencontres'!$A:$A,$A1994)&gt;0,COUNTIF('Suivi des rencontres'!$C:$C,$J1994)&gt;0),"Non","Oui")</f>
        <v/>
      </c>
      <c r="J1994" s="30" t="inlineStr">
        <is>
          <t>MIMIGAL</t>
        </is>
      </c>
    </row>
    <row r="1995">
      <c r="A1995" s="57" t="inlineStr">
        <is>
          <t>Route 3</t>
        </is>
      </c>
      <c r="B1995" s="57" t="inlineStr">
        <is>
          <t>Route3_hns</t>
        </is>
      </c>
      <c r="C1995" s="58" t="inlineStr">
        <is>
          <t>Matin, jour, soir</t>
        </is>
      </c>
      <c r="D1995" s="42" t="inlineStr">
        <is>
          <t>Herbe</t>
        </is>
      </c>
      <c r="E1995" s="59" t="inlineStr">
        <is>
          <t>RATTATA</t>
        </is>
      </c>
      <c r="F1995" s="60" t="n">
        <v>0.3</v>
      </c>
      <c r="G1995" s="61" t="n">
        <v>45</v>
      </c>
      <c r="H1995" s="61" t="n">
        <v>47</v>
      </c>
      <c r="I1995" s="46">
        <f>IF(OR(COUNTIF('Suivi des rencontres'!$A:$A,$A1995)&gt;0,COUNTIF('Suivi des rencontres'!$C:$C,$J1995)&gt;0),"Non","Oui")</f>
        <v/>
      </c>
      <c r="J1995" s="30" t="inlineStr">
        <is>
          <t>RATTATA</t>
        </is>
      </c>
    </row>
    <row r="1996">
      <c r="A1996" s="35" t="inlineStr">
        <is>
          <t>Route 3</t>
        </is>
      </c>
      <c r="B1996" s="35" t="inlineStr">
        <is>
          <t>Route3_hns</t>
        </is>
      </c>
      <c r="C1996" s="33" t="inlineStr">
        <is>
          <t>Matin, jour, soir</t>
        </is>
      </c>
      <c r="D1996" s="49" t="inlineStr">
        <is>
          <t>Herbe</t>
        </is>
      </c>
      <c r="E1996" s="37" t="inlineStr">
        <is>
          <t>RONDOUDOU</t>
        </is>
      </c>
      <c r="F1996" s="38" t="n">
        <v>0.25</v>
      </c>
      <c r="G1996" s="39" t="n">
        <v>41</v>
      </c>
      <c r="H1996" s="39" t="n">
        <v>50</v>
      </c>
      <c r="I1996" s="29">
        <f>IF(OR(COUNTIF('Suivi des rencontres'!$A:$A,$A1996)&gt;0,COUNTIF('Suivi des rencontres'!$C:$C,$J1996)&gt;0),"Non","Oui")</f>
        <v/>
      </c>
      <c r="J1996" s="30" t="inlineStr">
        <is>
          <t>TOUDOUDOU</t>
        </is>
      </c>
    </row>
    <row r="1997">
      <c r="A1997" s="35" t="inlineStr">
        <is>
          <t>Route 3</t>
        </is>
      </c>
      <c r="B1997" s="35" t="inlineStr">
        <is>
          <t>Route3_hns</t>
        </is>
      </c>
      <c r="C1997" s="33" t="inlineStr">
        <is>
          <t>Matin, jour, soir</t>
        </is>
      </c>
      <c r="D1997" s="49" t="inlineStr">
        <is>
          <t>Herbe</t>
        </is>
      </c>
      <c r="E1997" s="37" t="inlineStr">
        <is>
          <t>PIAFABEC</t>
        </is>
      </c>
      <c r="F1997" s="38" t="n">
        <v>0.2</v>
      </c>
      <c r="G1997" s="39" t="n">
        <v>45</v>
      </c>
      <c r="H1997" s="39" t="n">
        <v>47</v>
      </c>
      <c r="I1997" s="29">
        <f>IF(OR(COUNTIF('Suivi des rencontres'!$A:$A,$A1997)&gt;0,COUNTIF('Suivi des rencontres'!$C:$C,$J1997)&gt;0),"Non","Oui")</f>
        <v/>
      </c>
      <c r="J1997" s="30" t="inlineStr">
        <is>
          <t>PIAFABEC</t>
        </is>
      </c>
    </row>
    <row r="1998">
      <c r="A1998" s="35" t="inlineStr">
        <is>
          <t>Route 3</t>
        </is>
      </c>
      <c r="B1998" s="35" t="inlineStr">
        <is>
          <t>Route3_hns</t>
        </is>
      </c>
      <c r="C1998" s="33" t="inlineStr">
        <is>
          <t>Matin, jour, soir</t>
        </is>
      </c>
      <c r="D1998" s="49" t="inlineStr">
        <is>
          <t>Herbe</t>
        </is>
      </c>
      <c r="E1998" s="37" t="inlineStr">
        <is>
          <t>SABELETTE</t>
        </is>
      </c>
      <c r="F1998" s="38" t="n">
        <v>0.11</v>
      </c>
      <c r="G1998" s="39" t="n">
        <v>41</v>
      </c>
      <c r="H1998" s="39" t="n">
        <v>47</v>
      </c>
      <c r="I1998" s="29">
        <f>IF(OR(COUNTIF('Suivi des rencontres'!$A:$A,$A1998)&gt;0,COUNTIF('Suivi des rencontres'!$C:$C,$J1998)&gt;0),"Non","Oui")</f>
        <v/>
      </c>
      <c r="J1998" s="30" t="inlineStr">
        <is>
          <t>SABELETTE</t>
        </is>
      </c>
    </row>
    <row r="1999">
      <c r="A1999" s="35" t="inlineStr">
        <is>
          <t>Route 3</t>
        </is>
      </c>
      <c r="B1999" s="35" t="inlineStr">
        <is>
          <t>Route3_hns</t>
        </is>
      </c>
      <c r="C1999" s="33" t="inlineStr">
        <is>
          <t>Matin, jour, soir</t>
        </is>
      </c>
      <c r="D1999" s="49" t="inlineStr">
        <is>
          <t>Herbe</t>
        </is>
      </c>
      <c r="E1999" s="37" t="inlineStr">
        <is>
          <t>ARBOK</t>
        </is>
      </c>
      <c r="F1999" s="38" t="n">
        <v>0.08</v>
      </c>
      <c r="G1999" s="39" t="n">
        <v>41</v>
      </c>
      <c r="H1999" s="39" t="n">
        <v>43</v>
      </c>
      <c r="I1999" s="29">
        <f>IF(OR(COUNTIF('Suivi des rencontres'!$A:$A,$A1999)&gt;0,COUNTIF('Suivi des rencontres'!$C:$C,$J1999)&gt;0),"Non","Oui")</f>
        <v/>
      </c>
      <c r="J1999" s="30" t="inlineStr">
        <is>
          <t>ABO</t>
        </is>
      </c>
    </row>
    <row r="2000">
      <c r="A2000" s="35" t="inlineStr">
        <is>
          <t>Route 3</t>
        </is>
      </c>
      <c r="B2000" s="35" t="inlineStr">
        <is>
          <t>Route3_hns</t>
        </is>
      </c>
      <c r="C2000" s="33" t="inlineStr">
        <is>
          <t>Matin, jour, soir</t>
        </is>
      </c>
      <c r="D2000" s="49" t="inlineStr">
        <is>
          <t>Herbe</t>
        </is>
      </c>
      <c r="E2000" s="37" t="inlineStr">
        <is>
          <t>SKITTY</t>
        </is>
      </c>
      <c r="F2000" s="38" t="n">
        <v>0.05</v>
      </c>
      <c r="G2000" s="39" t="n">
        <v>41</v>
      </c>
      <c r="H2000" s="39" t="n">
        <v>43</v>
      </c>
      <c r="I2000" s="29">
        <f>IF(OR(COUNTIF('Suivi des rencontres'!$A:$A,$A2000)&gt;0,COUNTIF('Suivi des rencontres'!$C:$C,$J2000)&gt;0),"Non","Oui")</f>
        <v/>
      </c>
      <c r="J2000" s="30" t="inlineStr">
        <is>
          <t>SKITTY</t>
        </is>
      </c>
    </row>
    <row r="2001">
      <c r="A2001" s="35" t="inlineStr">
        <is>
          <t>Route 3</t>
        </is>
      </c>
      <c r="B2001" s="35" t="inlineStr">
        <is>
          <t>Route3_hns</t>
        </is>
      </c>
      <c r="C2001" s="33" t="inlineStr">
        <is>
          <t>Matin, jour, soir</t>
        </is>
      </c>
      <c r="D2001" s="49" t="inlineStr">
        <is>
          <t>Herbe</t>
        </is>
      </c>
      <c r="E2001" s="37" t="inlineStr">
        <is>
          <t>RATTATAC</t>
        </is>
      </c>
      <c r="F2001" s="38" t="n">
        <v>0.01</v>
      </c>
      <c r="G2001" s="39" t="n">
        <v>41</v>
      </c>
      <c r="H2001" s="39" t="n">
        <v>43</v>
      </c>
      <c r="I2001" s="29">
        <f>IF(OR(COUNTIF('Suivi des rencontres'!$A:$A,$A2001)&gt;0,COUNTIF('Suivi des rencontres'!$C:$C,$J2001)&gt;0),"Non","Oui")</f>
        <v/>
      </c>
      <c r="J2001" s="30" t="inlineStr">
        <is>
          <t>RATTATA</t>
        </is>
      </c>
    </row>
    <row r="2002">
      <c r="A2002" s="35" t="inlineStr">
        <is>
          <t>Route 3</t>
        </is>
      </c>
      <c r="B2002" s="35" t="inlineStr">
        <is>
          <t>Route3_hns</t>
        </is>
      </c>
      <c r="C2002" s="62" t="inlineStr">
        <is>
          <t>Nuit</t>
        </is>
      </c>
      <c r="D2002" s="49" t="inlineStr">
        <is>
          <t>Herbe</t>
        </is>
      </c>
      <c r="E2002" s="37" t="inlineStr">
        <is>
          <t>RATTATA</t>
        </is>
      </c>
      <c r="F2002" s="38" t="n">
        <v>0.42</v>
      </c>
      <c r="G2002" s="39" t="n">
        <v>45</v>
      </c>
      <c r="H2002" s="39" t="n">
        <v>45</v>
      </c>
      <c r="I2002" s="29">
        <f>IF(OR(COUNTIF('Suivi des rencontres'!$A:$A,$A2002)&gt;0,COUNTIF('Suivi des rencontres'!$C:$C,$J2002)&gt;0),"Non","Oui")</f>
        <v/>
      </c>
      <c r="J2002" s="30" t="inlineStr">
        <is>
          <t>RATTATA</t>
        </is>
      </c>
    </row>
    <row r="2003">
      <c r="A2003" s="35" t="inlineStr">
        <is>
          <t>Route 3</t>
        </is>
      </c>
      <c r="B2003" s="35" t="inlineStr">
        <is>
          <t>Route3_hns</t>
        </is>
      </c>
      <c r="C2003" s="62" t="inlineStr">
        <is>
          <t>Nuit</t>
        </is>
      </c>
      <c r="D2003" s="49" t="inlineStr">
        <is>
          <t>Herbe</t>
        </is>
      </c>
      <c r="E2003" s="37" t="inlineStr">
        <is>
          <t>RATTATAC</t>
        </is>
      </c>
      <c r="F2003" s="38" t="n">
        <v>0.24</v>
      </c>
      <c r="G2003" s="39" t="n">
        <v>41</v>
      </c>
      <c r="H2003" s="39" t="n">
        <v>43</v>
      </c>
      <c r="I2003" s="29">
        <f>IF(OR(COUNTIF('Suivi des rencontres'!$A:$A,$A2003)&gt;0,COUNTIF('Suivi des rencontres'!$C:$C,$J2003)&gt;0),"Non","Oui")</f>
        <v/>
      </c>
      <c r="J2003" s="30" t="inlineStr">
        <is>
          <t>RATTATA</t>
        </is>
      </c>
    </row>
    <row r="2004">
      <c r="A2004" s="35" t="inlineStr">
        <is>
          <t>Route 3</t>
        </is>
      </c>
      <c r="B2004" s="35" t="inlineStr">
        <is>
          <t>Route3_hns</t>
        </is>
      </c>
      <c r="C2004" s="62" t="inlineStr">
        <is>
          <t>Nuit</t>
        </is>
      </c>
      <c r="D2004" s="49" t="inlineStr">
        <is>
          <t>Herbe</t>
        </is>
      </c>
      <c r="E2004" s="37" t="inlineStr">
        <is>
          <t>NOSFERAPTI</t>
        </is>
      </c>
      <c r="F2004" s="38" t="n">
        <v>0.15</v>
      </c>
      <c r="G2004" s="39" t="n">
        <v>46</v>
      </c>
      <c r="H2004" s="39" t="n">
        <v>48</v>
      </c>
      <c r="I2004" s="29">
        <f>IF(OR(COUNTIF('Suivi des rencontres'!$A:$A,$A2004)&gt;0,COUNTIF('Suivi des rencontres'!$C:$C,$J2004)&gt;0),"Non","Oui")</f>
        <v/>
      </c>
      <c r="J2004" s="30" t="inlineStr">
        <is>
          <t>NOSFERAPTI</t>
        </is>
      </c>
    </row>
    <row r="2005">
      <c r="A2005" s="35" t="inlineStr">
        <is>
          <t>Route 3</t>
        </is>
      </c>
      <c r="B2005" s="35" t="inlineStr">
        <is>
          <t>Route3_hns</t>
        </is>
      </c>
      <c r="C2005" s="62" t="inlineStr">
        <is>
          <t>Nuit</t>
        </is>
      </c>
      <c r="D2005" s="49" t="inlineStr">
        <is>
          <t>Herbe</t>
        </is>
      </c>
      <c r="E2005" s="37" t="inlineStr">
        <is>
          <t>MELOFEE</t>
        </is>
      </c>
      <c r="F2005" s="38" t="n">
        <v>0.14</v>
      </c>
      <c r="G2005" s="39" t="n">
        <v>46</v>
      </c>
      <c r="H2005" s="39" t="n">
        <v>48</v>
      </c>
      <c r="I2005" s="29">
        <f>IF(OR(COUNTIF('Suivi des rencontres'!$A:$A,$A2005)&gt;0,COUNTIF('Suivi des rencontres'!$C:$C,$J2005)&gt;0),"Non","Oui")</f>
        <v/>
      </c>
      <c r="J2005" s="30" t="inlineStr">
        <is>
          <t>MELO</t>
        </is>
      </c>
    </row>
    <row r="2006">
      <c r="A2006" s="35" t="inlineStr">
        <is>
          <t>Route 3</t>
        </is>
      </c>
      <c r="B2006" s="35" t="inlineStr">
        <is>
          <t>Route3_hns</t>
        </is>
      </c>
      <c r="C2006" s="62" t="inlineStr">
        <is>
          <t>Nuit</t>
        </is>
      </c>
      <c r="D2006" s="49" t="inlineStr">
        <is>
          <t>Herbe</t>
        </is>
      </c>
      <c r="E2006" s="37" t="inlineStr">
        <is>
          <t>NINGALE</t>
        </is>
      </c>
      <c r="F2006" s="38" t="n">
        <v>0.05</v>
      </c>
      <c r="G2006" s="39" t="n">
        <v>45</v>
      </c>
      <c r="H2006" s="39" t="n">
        <v>45</v>
      </c>
      <c r="I2006" s="29">
        <f>IF(OR(COUNTIF('Suivi des rencontres'!$A:$A,$A2006)&gt;0,COUNTIF('Suivi des rencontres'!$C:$C,$J2006)&gt;0),"Non","Oui")</f>
        <v/>
      </c>
      <c r="J2006" s="30" t="inlineStr">
        <is>
          <t>NINGALE</t>
        </is>
      </c>
    </row>
    <row r="2007">
      <c r="A2007" s="35" t="inlineStr">
        <is>
          <t>Route 3</t>
        </is>
      </c>
      <c r="B2007" s="35" t="inlineStr">
        <is>
          <t>Route3_hns</t>
        </is>
      </c>
      <c r="C2007" s="33" t="inlineStr">
        <is>
          <t>Matin, jour, soir</t>
        </is>
      </c>
      <c r="D2007" s="36" t="inlineStr">
        <is>
          <t>Éclate-Roc</t>
        </is>
      </c>
      <c r="E2007" s="37" t="inlineStr">
        <is>
          <t>POMDEPIK</t>
        </is>
      </c>
      <c r="F2007" s="38" t="n">
        <v>0.6</v>
      </c>
      <c r="G2007" s="39" t="n">
        <v>41</v>
      </c>
      <c r="H2007" s="39" t="n">
        <v>43</v>
      </c>
      <c r="I2007" s="29">
        <f>IF(OR(COUNTIF('Suivi des rencontres'!$A:$A,$A2007)&gt;0,COUNTIF('Suivi des rencontres'!$C:$C,$J2007)&gt;0),"Non","Oui")</f>
        <v/>
      </c>
      <c r="J2007" s="30" t="inlineStr">
        <is>
          <t>POMDEPIK</t>
        </is>
      </c>
    </row>
    <row r="2008">
      <c r="A2008" s="35" t="inlineStr">
        <is>
          <t>Route 3</t>
        </is>
      </c>
      <c r="B2008" s="35" t="inlineStr">
        <is>
          <t>Route3_hns</t>
        </is>
      </c>
      <c r="C2008" s="33" t="inlineStr">
        <is>
          <t>Matin, jour, soir</t>
        </is>
      </c>
      <c r="D2008" s="36" t="inlineStr">
        <is>
          <t>Éclate-Roc</t>
        </is>
      </c>
      <c r="E2008" s="37" t="inlineStr">
        <is>
          <t>NOEUNOEUF</t>
        </is>
      </c>
      <c r="F2008" s="38" t="n">
        <v>0.3</v>
      </c>
      <c r="G2008" s="39" t="n">
        <v>41</v>
      </c>
      <c r="H2008" s="39" t="n">
        <v>43</v>
      </c>
      <c r="I2008" s="29">
        <f>IF(OR(COUNTIF('Suivi des rencontres'!$A:$A,$A2008)&gt;0,COUNTIF('Suivi des rencontres'!$C:$C,$J2008)&gt;0),"Non","Oui")</f>
        <v/>
      </c>
      <c r="J2008" s="30" t="inlineStr">
        <is>
          <t>NOEUNOEUF</t>
        </is>
      </c>
    </row>
    <row r="2009">
      <c r="A2009" s="35" t="inlineStr">
        <is>
          <t>Route 3</t>
        </is>
      </c>
      <c r="B2009" s="35" t="inlineStr">
        <is>
          <t>Route3_hns</t>
        </is>
      </c>
      <c r="C2009" s="33" t="inlineStr">
        <is>
          <t>Matin, jour, soir</t>
        </is>
      </c>
      <c r="D2009" s="36" t="inlineStr">
        <is>
          <t>Éclate-Roc</t>
        </is>
      </c>
      <c r="E2009" s="37" t="inlineStr">
        <is>
          <t>COXY</t>
        </is>
      </c>
      <c r="F2009" s="38" t="n">
        <v>0.05</v>
      </c>
      <c r="G2009" s="39" t="n">
        <v>41</v>
      </c>
      <c r="H2009" s="39" t="n">
        <v>43</v>
      </c>
      <c r="I2009" s="29">
        <f>IF(OR(COUNTIF('Suivi des rencontres'!$A:$A,$A2009)&gt;0,COUNTIF('Suivi des rencontres'!$C:$C,$J2009)&gt;0),"Non","Oui")</f>
        <v/>
      </c>
      <c r="J2009" s="30" t="inlineStr">
        <is>
          <t>COXY</t>
        </is>
      </c>
    </row>
    <row r="2010">
      <c r="A2010" s="35" t="inlineStr">
        <is>
          <t>Route 3</t>
        </is>
      </c>
      <c r="B2010" s="35" t="inlineStr">
        <is>
          <t>Route3_hns</t>
        </is>
      </c>
      <c r="C2010" s="33" t="inlineStr">
        <is>
          <t>Matin, jour, soir</t>
        </is>
      </c>
      <c r="D2010" s="36" t="inlineStr">
        <is>
          <t>Éclate-Roc</t>
        </is>
      </c>
      <c r="E2010" s="37" t="inlineStr">
        <is>
          <t>MIMIGAL</t>
        </is>
      </c>
      <c r="F2010" s="38" t="n">
        <v>0.05</v>
      </c>
      <c r="G2010" s="39" t="n">
        <v>41</v>
      </c>
      <c r="H2010" s="39" t="n">
        <v>43</v>
      </c>
      <c r="I2010" s="29">
        <f>IF(OR(COUNTIF('Suivi des rencontres'!$A:$A,$A2010)&gt;0,COUNTIF('Suivi des rencontres'!$C:$C,$J2010)&gt;0),"Non","Oui")</f>
        <v/>
      </c>
      <c r="J2010" s="30" t="inlineStr">
        <is>
          <t>MIMIGAL</t>
        </is>
      </c>
    </row>
    <row r="2011">
      <c r="A2011" s="35" t="inlineStr">
        <is>
          <t>Route 3</t>
        </is>
      </c>
      <c r="B2011" s="35" t="inlineStr">
        <is>
          <t>Route3_hns</t>
        </is>
      </c>
      <c r="C2011" s="62" t="inlineStr">
        <is>
          <t>Nuit</t>
        </is>
      </c>
      <c r="D2011" s="36" t="inlineStr">
        <is>
          <t>Éclate-Roc</t>
        </is>
      </c>
      <c r="E2011" s="37" t="inlineStr">
        <is>
          <t>POMDEPIK</t>
        </is>
      </c>
      <c r="F2011" s="38" t="n">
        <v>0.6</v>
      </c>
      <c r="G2011" s="39" t="n">
        <v>41</v>
      </c>
      <c r="H2011" s="39" t="n">
        <v>43</v>
      </c>
      <c r="I2011" s="29">
        <f>IF(OR(COUNTIF('Suivi des rencontres'!$A:$A,$A2011)&gt;0,COUNTIF('Suivi des rencontres'!$C:$C,$J2011)&gt;0),"Non","Oui")</f>
        <v/>
      </c>
      <c r="J2011" s="30" t="inlineStr">
        <is>
          <t>POMDEPIK</t>
        </is>
      </c>
    </row>
    <row r="2012">
      <c r="A2012" s="35" t="inlineStr">
        <is>
          <t>Route 3</t>
        </is>
      </c>
      <c r="B2012" s="35" t="inlineStr">
        <is>
          <t>Route3_hns</t>
        </is>
      </c>
      <c r="C2012" s="62" t="inlineStr">
        <is>
          <t>Nuit</t>
        </is>
      </c>
      <c r="D2012" s="36" t="inlineStr">
        <is>
          <t>Éclate-Roc</t>
        </is>
      </c>
      <c r="E2012" s="37" t="inlineStr">
        <is>
          <t>NOEUNOEUF</t>
        </is>
      </c>
      <c r="F2012" s="38" t="n">
        <v>0.3</v>
      </c>
      <c r="G2012" s="39" t="n">
        <v>41</v>
      </c>
      <c r="H2012" s="39" t="n">
        <v>43</v>
      </c>
      <c r="I2012" s="29">
        <f>IF(OR(COUNTIF('Suivi des rencontres'!$A:$A,$A2012)&gt;0,COUNTIF('Suivi des rencontres'!$C:$C,$J2012)&gt;0),"Non","Oui")</f>
        <v/>
      </c>
      <c r="J2012" s="30" t="inlineStr">
        <is>
          <t>NOEUNOEUF</t>
        </is>
      </c>
    </row>
    <row r="2013">
      <c r="A2013" s="35" t="inlineStr">
        <is>
          <t>Route 3</t>
        </is>
      </c>
      <c r="B2013" s="35" t="inlineStr">
        <is>
          <t>Route3_hns</t>
        </is>
      </c>
      <c r="C2013" s="62" t="inlineStr">
        <is>
          <t>Nuit</t>
        </is>
      </c>
      <c r="D2013" s="36" t="inlineStr">
        <is>
          <t>Éclate-Roc</t>
        </is>
      </c>
      <c r="E2013" s="37" t="inlineStr">
        <is>
          <t>COXY</t>
        </is>
      </c>
      <c r="F2013" s="38" t="n">
        <v>0.05</v>
      </c>
      <c r="G2013" s="39" t="n">
        <v>41</v>
      </c>
      <c r="H2013" s="39" t="n">
        <v>43</v>
      </c>
      <c r="I2013" s="29">
        <f>IF(OR(COUNTIF('Suivi des rencontres'!$A:$A,$A2013)&gt;0,COUNTIF('Suivi des rencontres'!$C:$C,$J2013)&gt;0),"Non","Oui")</f>
        <v/>
      </c>
      <c r="J2013" s="30" t="inlineStr">
        <is>
          <t>COXY</t>
        </is>
      </c>
    </row>
    <row r="2014">
      <c r="A2014" s="35" t="inlineStr">
        <is>
          <t>Route 3</t>
        </is>
      </c>
      <c r="B2014" s="35" t="inlineStr">
        <is>
          <t>Route3_hns</t>
        </is>
      </c>
      <c r="C2014" s="62" t="inlineStr">
        <is>
          <t>Nuit</t>
        </is>
      </c>
      <c r="D2014" s="36" t="inlineStr">
        <is>
          <t>Éclate-Roc</t>
        </is>
      </c>
      <c r="E2014" s="37" t="inlineStr">
        <is>
          <t>MIMIGAL</t>
        </is>
      </c>
      <c r="F2014" s="38" t="n">
        <v>0.05</v>
      </c>
      <c r="G2014" s="39" t="n">
        <v>41</v>
      </c>
      <c r="H2014" s="39" t="n">
        <v>43</v>
      </c>
      <c r="I2014" s="29">
        <f>IF(OR(COUNTIF('Suivi des rencontres'!$A:$A,$A2014)&gt;0,COUNTIF('Suivi des rencontres'!$C:$C,$J2014)&gt;0),"Non","Oui")</f>
        <v/>
      </c>
      <c r="J2014" s="30" t="inlineStr">
        <is>
          <t>MIMIGAL</t>
        </is>
      </c>
    </row>
    <row r="2015">
      <c r="A2015" s="40" t="inlineStr">
        <is>
          <t>Route 30</t>
        </is>
      </c>
      <c r="B2015" s="40" t="inlineStr">
        <is>
          <t>Route30_hns</t>
        </is>
      </c>
      <c r="C2015" s="41" t="inlineStr">
        <is>
          <t>Matin, jour, soir</t>
        </is>
      </c>
      <c r="D2015" s="42" t="inlineStr">
        <is>
          <t>Herbe</t>
        </is>
      </c>
      <c r="E2015" s="43" t="inlineStr">
        <is>
          <t>CHENIPAN</t>
        </is>
      </c>
      <c r="F2015" s="44" t="n">
        <v>0.5</v>
      </c>
      <c r="G2015" s="45" t="n">
        <v>3</v>
      </c>
      <c r="H2015" s="45" t="n">
        <v>4</v>
      </c>
      <c r="I2015" s="46">
        <f>IF(OR(COUNTIF('Suivi des rencontres'!$A:$A,$A2015)&gt;0,COUNTIF('Suivi des rencontres'!$C:$C,$J2015)&gt;0),"Non","Oui")</f>
        <v/>
      </c>
      <c r="J2015" s="30" t="inlineStr">
        <is>
          <t>CHENIPAN</t>
        </is>
      </c>
    </row>
    <row r="2016">
      <c r="A2016" s="47" t="inlineStr">
        <is>
          <t>Route 30</t>
        </is>
      </c>
      <c r="B2016" s="47" t="inlineStr">
        <is>
          <t>Route30_hns</t>
        </is>
      </c>
      <c r="C2016" s="48" t="inlineStr">
        <is>
          <t>Matin, jour, soir</t>
        </is>
      </c>
      <c r="D2016" s="49" t="inlineStr">
        <is>
          <t>Herbe</t>
        </is>
      </c>
      <c r="E2016" s="50" t="inlineStr">
        <is>
          <t>ROUCOOL</t>
        </is>
      </c>
      <c r="F2016" s="51" t="n">
        <v>0.3</v>
      </c>
      <c r="G2016" s="52" t="n">
        <v>3</v>
      </c>
      <c r="H2016" s="52" t="n">
        <v>4</v>
      </c>
      <c r="I2016" s="29">
        <f>IF(OR(COUNTIF('Suivi des rencontres'!$A:$A,$A2016)&gt;0,COUNTIF('Suivi des rencontres'!$C:$C,$J2016)&gt;0),"Non","Oui")</f>
        <v/>
      </c>
      <c r="J2016" s="30" t="inlineStr">
        <is>
          <t>ROUCOOL</t>
        </is>
      </c>
    </row>
    <row r="2017">
      <c r="A2017" s="47" t="inlineStr">
        <is>
          <t>Route 30</t>
        </is>
      </c>
      <c r="B2017" s="47" t="inlineStr">
        <is>
          <t>Route30_hns</t>
        </is>
      </c>
      <c r="C2017" s="48" t="inlineStr">
        <is>
          <t>Matin, jour, soir</t>
        </is>
      </c>
      <c r="D2017" s="49" t="inlineStr">
        <is>
          <t>Herbe</t>
        </is>
      </c>
      <c r="E2017" s="50" t="inlineStr">
        <is>
          <t>ASPICOT</t>
        </is>
      </c>
      <c r="F2017" s="51" t="n">
        <v>0.1</v>
      </c>
      <c r="G2017" s="52" t="n">
        <v>3</v>
      </c>
      <c r="H2017" s="52" t="n">
        <v>4</v>
      </c>
      <c r="I2017" s="29">
        <f>IF(OR(COUNTIF('Suivi des rencontres'!$A:$A,$A2017)&gt;0,COUNTIF('Suivi des rencontres'!$C:$C,$J2017)&gt;0),"Non","Oui")</f>
        <v/>
      </c>
      <c r="J2017" s="30" t="inlineStr">
        <is>
          <t>ASPICOT</t>
        </is>
      </c>
    </row>
    <row r="2018">
      <c r="A2018" s="47" t="inlineStr">
        <is>
          <t>Route 30</t>
        </is>
      </c>
      <c r="B2018" s="47" t="inlineStr">
        <is>
          <t>Route30_hns</t>
        </is>
      </c>
      <c r="C2018" s="48" t="inlineStr">
        <is>
          <t>Matin, jour, soir</t>
        </is>
      </c>
      <c r="D2018" s="49" t="inlineStr">
        <is>
          <t>Herbe</t>
        </is>
      </c>
      <c r="E2018" s="50" t="inlineStr">
        <is>
          <t>COXY</t>
        </is>
      </c>
      <c r="F2018" s="51" t="n">
        <v>0.1</v>
      </c>
      <c r="G2018" s="52" t="n">
        <v>4</v>
      </c>
      <c r="H2018" s="52" t="n">
        <v>4</v>
      </c>
      <c r="I2018" s="29">
        <f>IF(OR(COUNTIF('Suivi des rencontres'!$A:$A,$A2018)&gt;0,COUNTIF('Suivi des rencontres'!$C:$C,$J2018)&gt;0),"Non","Oui")</f>
        <v/>
      </c>
      <c r="J2018" s="30" t="inlineStr">
        <is>
          <t>COXY</t>
        </is>
      </c>
    </row>
    <row r="2019">
      <c r="A2019" s="47" t="inlineStr">
        <is>
          <t>Route 30</t>
        </is>
      </c>
      <c r="B2019" s="47" t="inlineStr">
        <is>
          <t>Route30_hns</t>
        </is>
      </c>
      <c r="C2019" s="62" t="inlineStr">
        <is>
          <t>Nuit</t>
        </is>
      </c>
      <c r="D2019" s="49" t="inlineStr">
        <is>
          <t>Herbe</t>
        </is>
      </c>
      <c r="E2019" s="50" t="inlineStr">
        <is>
          <t>HOOTHOOT</t>
        </is>
      </c>
      <c r="F2019" s="51" t="n">
        <v>0.51</v>
      </c>
      <c r="G2019" s="52" t="n">
        <v>3</v>
      </c>
      <c r="H2019" s="52" t="n">
        <v>4</v>
      </c>
      <c r="I2019" s="29">
        <f>IF(OR(COUNTIF('Suivi des rencontres'!$A:$A,$A2019)&gt;0,COUNTIF('Suivi des rencontres'!$C:$C,$J2019)&gt;0),"Non","Oui")</f>
        <v/>
      </c>
      <c r="J2019" s="30" t="inlineStr">
        <is>
          <t>HOOTHOOT</t>
        </is>
      </c>
    </row>
    <row r="2020">
      <c r="A2020" s="47" t="inlineStr">
        <is>
          <t>Route 30</t>
        </is>
      </c>
      <c r="B2020" s="47" t="inlineStr">
        <is>
          <t>Route30_hns</t>
        </is>
      </c>
      <c r="C2020" s="62" t="inlineStr">
        <is>
          <t>Nuit</t>
        </is>
      </c>
      <c r="D2020" s="49" t="inlineStr">
        <is>
          <t>Herbe</t>
        </is>
      </c>
      <c r="E2020" s="50" t="inlineStr">
        <is>
          <t>MIMIGAL</t>
        </is>
      </c>
      <c r="F2020" s="51" t="n">
        <v>0.3</v>
      </c>
      <c r="G2020" s="52" t="n">
        <v>3</v>
      </c>
      <c r="H2020" s="52" t="n">
        <v>3</v>
      </c>
      <c r="I2020" s="29">
        <f>IF(OR(COUNTIF('Suivi des rencontres'!$A:$A,$A2020)&gt;0,COUNTIF('Suivi des rencontres'!$C:$C,$J2020)&gt;0),"Non","Oui")</f>
        <v/>
      </c>
      <c r="J2020" s="30" t="inlineStr">
        <is>
          <t>MIMIGAL</t>
        </is>
      </c>
    </row>
    <row r="2021">
      <c r="A2021" s="47" t="inlineStr">
        <is>
          <t>Route 30</t>
        </is>
      </c>
      <c r="B2021" s="47" t="inlineStr">
        <is>
          <t>Route30_hns</t>
        </is>
      </c>
      <c r="C2021" s="62" t="inlineStr">
        <is>
          <t>Nuit</t>
        </is>
      </c>
      <c r="D2021" s="49" t="inlineStr">
        <is>
          <t>Herbe</t>
        </is>
      </c>
      <c r="E2021" s="50" t="inlineStr">
        <is>
          <t>PTITARD</t>
        </is>
      </c>
      <c r="F2021" s="51" t="n">
        <v>0.18</v>
      </c>
      <c r="G2021" s="52" t="n">
        <v>4</v>
      </c>
      <c r="H2021" s="52" t="n">
        <v>4</v>
      </c>
      <c r="I2021" s="29">
        <f>IF(OR(COUNTIF('Suivi des rencontres'!$A:$A,$A2021)&gt;0,COUNTIF('Suivi des rencontres'!$C:$C,$J2021)&gt;0),"Non","Oui")</f>
        <v/>
      </c>
      <c r="J2021" s="30" t="inlineStr">
        <is>
          <t>PTITARD</t>
        </is>
      </c>
    </row>
    <row r="2022">
      <c r="A2022" s="47" t="inlineStr">
        <is>
          <t>Route 30</t>
        </is>
      </c>
      <c r="B2022" s="47" t="inlineStr">
        <is>
          <t>Route30_hns</t>
        </is>
      </c>
      <c r="C2022" s="62" t="inlineStr">
        <is>
          <t>Nuit</t>
        </is>
      </c>
      <c r="D2022" s="49" t="inlineStr">
        <is>
          <t>Herbe</t>
        </is>
      </c>
      <c r="E2022" s="50" t="inlineStr">
        <is>
          <t>NOSFERAPTI</t>
        </is>
      </c>
      <c r="F2022" s="51" t="n">
        <v>0.01</v>
      </c>
      <c r="G2022" s="52" t="n">
        <v>3</v>
      </c>
      <c r="H2022" s="52" t="n">
        <v>3</v>
      </c>
      <c r="I2022" s="29">
        <f>IF(OR(COUNTIF('Suivi des rencontres'!$A:$A,$A2022)&gt;0,COUNTIF('Suivi des rencontres'!$C:$C,$J2022)&gt;0),"Non","Oui")</f>
        <v/>
      </c>
      <c r="J2022" s="30" t="inlineStr">
        <is>
          <t>NOSFERAPTI</t>
        </is>
      </c>
    </row>
    <row r="2023">
      <c r="A2023" s="47" t="inlineStr">
        <is>
          <t>Route 30</t>
        </is>
      </c>
      <c r="B2023" s="47" t="inlineStr">
        <is>
          <t>Route30_hns</t>
        </is>
      </c>
      <c r="C2023" s="48" t="inlineStr">
        <is>
          <t>Matin, jour, soir</t>
        </is>
      </c>
      <c r="D2023" s="53" t="inlineStr">
        <is>
          <t>Surf</t>
        </is>
      </c>
      <c r="E2023" s="50" t="inlineStr">
        <is>
          <t>PTITARD</t>
        </is>
      </c>
      <c r="F2023" s="51" t="n">
        <v>0.96</v>
      </c>
      <c r="G2023" s="52" t="n">
        <v>15</v>
      </c>
      <c r="H2023" s="52" t="n">
        <v>24</v>
      </c>
      <c r="I2023" s="29">
        <f>IF(OR(COUNTIF('Suivi des rencontres'!$A:$A,$A2023)&gt;0,COUNTIF('Suivi des rencontres'!$C:$C,$J2023)&gt;0),"Non","Oui")</f>
        <v/>
      </c>
      <c r="J2023" s="30" t="inlineStr">
        <is>
          <t>PTITARD</t>
        </is>
      </c>
    </row>
    <row r="2024">
      <c r="A2024" s="47" t="inlineStr">
        <is>
          <t>Route 30</t>
        </is>
      </c>
      <c r="B2024" s="47" t="inlineStr">
        <is>
          <t>Route30_hns</t>
        </is>
      </c>
      <c r="C2024" s="48" t="inlineStr">
        <is>
          <t>Matin, jour, soir</t>
        </is>
      </c>
      <c r="D2024" s="53" t="inlineStr">
        <is>
          <t>Surf</t>
        </is>
      </c>
      <c r="E2024" s="50" t="inlineStr">
        <is>
          <t>TETARTE</t>
        </is>
      </c>
      <c r="F2024" s="51" t="n">
        <v>0.04</v>
      </c>
      <c r="G2024" s="52" t="n">
        <v>20</v>
      </c>
      <c r="H2024" s="52" t="n">
        <v>24</v>
      </c>
      <c r="I2024" s="29">
        <f>IF(OR(COUNTIF('Suivi des rencontres'!$A:$A,$A2024)&gt;0,COUNTIF('Suivi des rencontres'!$C:$C,$J2024)&gt;0),"Non","Oui")</f>
        <v/>
      </c>
      <c r="J2024" s="30" t="inlineStr">
        <is>
          <t>PTITARD</t>
        </is>
      </c>
    </row>
    <row r="2025">
      <c r="A2025" s="47" t="inlineStr">
        <is>
          <t>Route 30</t>
        </is>
      </c>
      <c r="B2025" s="47" t="inlineStr">
        <is>
          <t>Route30_hns</t>
        </is>
      </c>
      <c r="C2025" s="62" t="inlineStr">
        <is>
          <t>Nuit</t>
        </is>
      </c>
      <c r="D2025" s="53" t="inlineStr">
        <is>
          <t>Surf</t>
        </is>
      </c>
      <c r="E2025" s="50" t="inlineStr">
        <is>
          <t>PTITARD</t>
        </is>
      </c>
      <c r="F2025" s="51" t="n">
        <v>0.96</v>
      </c>
      <c r="G2025" s="52" t="n">
        <v>15</v>
      </c>
      <c r="H2025" s="52" t="n">
        <v>24</v>
      </c>
      <c r="I2025" s="29">
        <f>IF(OR(COUNTIF('Suivi des rencontres'!$A:$A,$A2025)&gt;0,COUNTIF('Suivi des rencontres'!$C:$C,$J2025)&gt;0),"Non","Oui")</f>
        <v/>
      </c>
      <c r="J2025" s="30" t="inlineStr">
        <is>
          <t>PTITARD</t>
        </is>
      </c>
    </row>
    <row r="2026">
      <c r="A2026" s="47" t="inlineStr">
        <is>
          <t>Route 30</t>
        </is>
      </c>
      <c r="B2026" s="47" t="inlineStr">
        <is>
          <t>Route30_hns</t>
        </is>
      </c>
      <c r="C2026" s="62" t="inlineStr">
        <is>
          <t>Nuit</t>
        </is>
      </c>
      <c r="D2026" s="53" t="inlineStr">
        <is>
          <t>Surf</t>
        </is>
      </c>
      <c r="E2026" s="50" t="inlineStr">
        <is>
          <t>TETARTE</t>
        </is>
      </c>
      <c r="F2026" s="51" t="n">
        <v>0.04</v>
      </c>
      <c r="G2026" s="52" t="n">
        <v>20</v>
      </c>
      <c r="H2026" s="52" t="n">
        <v>24</v>
      </c>
      <c r="I2026" s="29">
        <f>IF(OR(COUNTIF('Suivi des rencontres'!$A:$A,$A2026)&gt;0,COUNTIF('Suivi des rencontres'!$C:$C,$J2026)&gt;0),"Non","Oui")</f>
        <v/>
      </c>
      <c r="J2026" s="30" t="inlineStr">
        <is>
          <t>PTITARD</t>
        </is>
      </c>
    </row>
    <row r="2027">
      <c r="A2027" s="47" t="inlineStr">
        <is>
          <t>Route 30</t>
        </is>
      </c>
      <c r="B2027" s="47" t="inlineStr">
        <is>
          <t>Route30_hns</t>
        </is>
      </c>
      <c r="C2027" s="48" t="inlineStr">
        <is>
          <t>Matin, jour, soir</t>
        </is>
      </c>
      <c r="D2027" s="36" t="inlineStr">
        <is>
          <t>Éclate-Roc</t>
        </is>
      </c>
      <c r="E2027" s="50" t="inlineStr">
        <is>
          <t>POMDEPIK</t>
        </is>
      </c>
      <c r="F2027" s="51" t="n">
        <v>0.6</v>
      </c>
      <c r="G2027" s="52" t="n">
        <v>10</v>
      </c>
      <c r="H2027" s="52" t="n">
        <v>10</v>
      </c>
      <c r="I2027" s="29">
        <f>IF(OR(COUNTIF('Suivi des rencontres'!$A:$A,$A2027)&gt;0,COUNTIF('Suivi des rencontres'!$C:$C,$J2027)&gt;0),"Non","Oui")</f>
        <v/>
      </c>
      <c r="J2027" s="30" t="inlineStr">
        <is>
          <t>POMDEPIK</t>
        </is>
      </c>
    </row>
    <row r="2028">
      <c r="A2028" s="47" t="inlineStr">
        <is>
          <t>Route 30</t>
        </is>
      </c>
      <c r="B2028" s="47" t="inlineStr">
        <is>
          <t>Route30_hns</t>
        </is>
      </c>
      <c r="C2028" s="48" t="inlineStr">
        <is>
          <t>Matin, jour, soir</t>
        </is>
      </c>
      <c r="D2028" s="36" t="inlineStr">
        <is>
          <t>Éclate-Roc</t>
        </is>
      </c>
      <c r="E2028" s="50" t="inlineStr">
        <is>
          <t>NOEUNOEUF</t>
        </is>
      </c>
      <c r="F2028" s="51" t="n">
        <v>0.3</v>
      </c>
      <c r="G2028" s="52" t="n">
        <v>10</v>
      </c>
      <c r="H2028" s="52" t="n">
        <v>10</v>
      </c>
      <c r="I2028" s="29">
        <f>IF(OR(COUNTIF('Suivi des rencontres'!$A:$A,$A2028)&gt;0,COUNTIF('Suivi des rencontres'!$C:$C,$J2028)&gt;0),"Non","Oui")</f>
        <v/>
      </c>
      <c r="J2028" s="30" t="inlineStr">
        <is>
          <t>NOEUNOEUF</t>
        </is>
      </c>
    </row>
    <row r="2029">
      <c r="A2029" s="47" t="inlineStr">
        <is>
          <t>Route 30</t>
        </is>
      </c>
      <c r="B2029" s="47" t="inlineStr">
        <is>
          <t>Route30_hns</t>
        </is>
      </c>
      <c r="C2029" s="48" t="inlineStr">
        <is>
          <t>Matin, jour, soir</t>
        </is>
      </c>
      <c r="D2029" s="36" t="inlineStr">
        <is>
          <t>Éclate-Roc</t>
        </is>
      </c>
      <c r="E2029" s="50" t="inlineStr">
        <is>
          <t>COXY</t>
        </is>
      </c>
      <c r="F2029" s="51" t="n">
        <v>0.05</v>
      </c>
      <c r="G2029" s="52" t="n">
        <v>10</v>
      </c>
      <c r="H2029" s="52" t="n">
        <v>10</v>
      </c>
      <c r="I2029" s="29">
        <f>IF(OR(COUNTIF('Suivi des rencontres'!$A:$A,$A2029)&gt;0,COUNTIF('Suivi des rencontres'!$C:$C,$J2029)&gt;0),"Non","Oui")</f>
        <v/>
      </c>
      <c r="J2029" s="30" t="inlineStr">
        <is>
          <t>COXY</t>
        </is>
      </c>
    </row>
    <row r="2030">
      <c r="A2030" s="47" t="inlineStr">
        <is>
          <t>Route 30</t>
        </is>
      </c>
      <c r="B2030" s="47" t="inlineStr">
        <is>
          <t>Route30_hns</t>
        </is>
      </c>
      <c r="C2030" s="48" t="inlineStr">
        <is>
          <t>Matin, jour, soir</t>
        </is>
      </c>
      <c r="D2030" s="36" t="inlineStr">
        <is>
          <t>Éclate-Roc</t>
        </is>
      </c>
      <c r="E2030" s="50" t="inlineStr">
        <is>
          <t>MIMIGAL</t>
        </is>
      </c>
      <c r="F2030" s="51" t="n">
        <v>0.05</v>
      </c>
      <c r="G2030" s="52" t="n">
        <v>10</v>
      </c>
      <c r="H2030" s="52" t="n">
        <v>10</v>
      </c>
      <c r="I2030" s="29">
        <f>IF(OR(COUNTIF('Suivi des rencontres'!$A:$A,$A2030)&gt;0,COUNTIF('Suivi des rencontres'!$C:$C,$J2030)&gt;0),"Non","Oui")</f>
        <v/>
      </c>
      <c r="J2030" s="30" t="inlineStr">
        <is>
          <t>MIMIGAL</t>
        </is>
      </c>
    </row>
    <row r="2031">
      <c r="A2031" s="47" t="inlineStr">
        <is>
          <t>Route 30</t>
        </is>
      </c>
      <c r="B2031" s="47" t="inlineStr">
        <is>
          <t>Route30_hns</t>
        </is>
      </c>
      <c r="C2031" s="62" t="inlineStr">
        <is>
          <t>Nuit</t>
        </is>
      </c>
      <c r="D2031" s="36" t="inlineStr">
        <is>
          <t>Éclate-Roc</t>
        </is>
      </c>
      <c r="E2031" s="50" t="inlineStr">
        <is>
          <t>POMDEPIK</t>
        </is>
      </c>
      <c r="F2031" s="51" t="n">
        <v>0.6</v>
      </c>
      <c r="G2031" s="52" t="n">
        <v>10</v>
      </c>
      <c r="H2031" s="52" t="n">
        <v>10</v>
      </c>
      <c r="I2031" s="29">
        <f>IF(OR(COUNTIF('Suivi des rencontres'!$A:$A,$A2031)&gt;0,COUNTIF('Suivi des rencontres'!$C:$C,$J2031)&gt;0),"Non","Oui")</f>
        <v/>
      </c>
      <c r="J2031" s="30" t="inlineStr">
        <is>
          <t>POMDEPIK</t>
        </is>
      </c>
    </row>
    <row r="2032">
      <c r="A2032" s="47" t="inlineStr">
        <is>
          <t>Route 30</t>
        </is>
      </c>
      <c r="B2032" s="47" t="inlineStr">
        <is>
          <t>Route30_hns</t>
        </is>
      </c>
      <c r="C2032" s="62" t="inlineStr">
        <is>
          <t>Nuit</t>
        </is>
      </c>
      <c r="D2032" s="36" t="inlineStr">
        <is>
          <t>Éclate-Roc</t>
        </is>
      </c>
      <c r="E2032" s="50" t="inlineStr">
        <is>
          <t>NOEUNOEUF</t>
        </is>
      </c>
      <c r="F2032" s="51" t="n">
        <v>0.3</v>
      </c>
      <c r="G2032" s="52" t="n">
        <v>10</v>
      </c>
      <c r="H2032" s="52" t="n">
        <v>10</v>
      </c>
      <c r="I2032" s="29">
        <f>IF(OR(COUNTIF('Suivi des rencontres'!$A:$A,$A2032)&gt;0,COUNTIF('Suivi des rencontres'!$C:$C,$J2032)&gt;0),"Non","Oui")</f>
        <v/>
      </c>
      <c r="J2032" s="30" t="inlineStr">
        <is>
          <t>NOEUNOEUF</t>
        </is>
      </c>
    </row>
    <row r="2033">
      <c r="A2033" s="47" t="inlineStr">
        <is>
          <t>Route 30</t>
        </is>
      </c>
      <c r="B2033" s="47" t="inlineStr">
        <is>
          <t>Route30_hns</t>
        </is>
      </c>
      <c r="C2033" s="62" t="inlineStr">
        <is>
          <t>Nuit</t>
        </is>
      </c>
      <c r="D2033" s="36" t="inlineStr">
        <is>
          <t>Éclate-Roc</t>
        </is>
      </c>
      <c r="E2033" s="50" t="inlineStr">
        <is>
          <t>COXY</t>
        </is>
      </c>
      <c r="F2033" s="51" t="n">
        <v>0.05</v>
      </c>
      <c r="G2033" s="52" t="n">
        <v>10</v>
      </c>
      <c r="H2033" s="52" t="n">
        <v>10</v>
      </c>
      <c r="I2033" s="29">
        <f>IF(OR(COUNTIF('Suivi des rencontres'!$A:$A,$A2033)&gt;0,COUNTIF('Suivi des rencontres'!$C:$C,$J2033)&gt;0),"Non","Oui")</f>
        <v/>
      </c>
      <c r="J2033" s="30" t="inlineStr">
        <is>
          <t>COXY</t>
        </is>
      </c>
    </row>
    <row r="2034">
      <c r="A2034" s="47" t="inlineStr">
        <is>
          <t>Route 30</t>
        </is>
      </c>
      <c r="B2034" s="47" t="inlineStr">
        <is>
          <t>Route30_hns</t>
        </is>
      </c>
      <c r="C2034" s="62" t="inlineStr">
        <is>
          <t>Nuit</t>
        </is>
      </c>
      <c r="D2034" s="36" t="inlineStr">
        <is>
          <t>Éclate-Roc</t>
        </is>
      </c>
      <c r="E2034" s="50" t="inlineStr">
        <is>
          <t>MIMIGAL</t>
        </is>
      </c>
      <c r="F2034" s="51" t="n">
        <v>0.05</v>
      </c>
      <c r="G2034" s="52" t="n">
        <v>10</v>
      </c>
      <c r="H2034" s="52" t="n">
        <v>10</v>
      </c>
      <c r="I2034" s="29">
        <f>IF(OR(COUNTIF('Suivi des rencontres'!$A:$A,$A2034)&gt;0,COUNTIF('Suivi des rencontres'!$C:$C,$J2034)&gt;0),"Non","Oui")</f>
        <v/>
      </c>
      <c r="J2034" s="30" t="inlineStr">
        <is>
          <t>MIMIGAL</t>
        </is>
      </c>
    </row>
    <row r="2035">
      <c r="A2035" s="47" t="inlineStr">
        <is>
          <t>Route 30</t>
        </is>
      </c>
      <c r="B2035" s="47" t="inlineStr">
        <is>
          <t>Route30_hns</t>
        </is>
      </c>
      <c r="C2035" s="48" t="inlineStr">
        <is>
          <t>Matin, jour, soir</t>
        </is>
      </c>
      <c r="D2035" s="54" t="inlineStr">
        <is>
          <t>Vieille Canne</t>
        </is>
      </c>
      <c r="E2035" s="50" t="inlineStr">
        <is>
          <t>MAGICARPE</t>
        </is>
      </c>
      <c r="F2035" s="51" t="n">
        <v>0.7</v>
      </c>
      <c r="G2035" s="52" t="n">
        <v>10</v>
      </c>
      <c r="H2035" s="52" t="n">
        <v>10</v>
      </c>
      <c r="I2035" s="29">
        <f>IF(OR(COUNTIF('Suivi des rencontres'!$A:$A,$A2035)&gt;0,COUNTIF('Suivi des rencontres'!$C:$C,$J2035)&gt;0),"Non","Oui")</f>
        <v/>
      </c>
      <c r="J2035" s="30" t="inlineStr">
        <is>
          <t>MAGICARPE</t>
        </is>
      </c>
    </row>
    <row r="2036">
      <c r="A2036" s="47" t="inlineStr">
        <is>
          <t>Route 30</t>
        </is>
      </c>
      <c r="B2036" s="47" t="inlineStr">
        <is>
          <t>Route30_hns</t>
        </is>
      </c>
      <c r="C2036" s="48" t="inlineStr">
        <is>
          <t>Matin, jour, soir</t>
        </is>
      </c>
      <c r="D2036" s="54" t="inlineStr">
        <is>
          <t>Vieille Canne</t>
        </is>
      </c>
      <c r="E2036" s="50" t="inlineStr">
        <is>
          <t>PTITARD</t>
        </is>
      </c>
      <c r="F2036" s="51" t="n">
        <v>0.3</v>
      </c>
      <c r="G2036" s="52" t="n">
        <v>10</v>
      </c>
      <c r="H2036" s="52" t="n">
        <v>10</v>
      </c>
      <c r="I2036" s="29">
        <f>IF(OR(COUNTIF('Suivi des rencontres'!$A:$A,$A2036)&gt;0,COUNTIF('Suivi des rencontres'!$C:$C,$J2036)&gt;0),"Non","Oui")</f>
        <v/>
      </c>
      <c r="J2036" s="30" t="inlineStr">
        <is>
          <t>PTITARD</t>
        </is>
      </c>
    </row>
    <row r="2037">
      <c r="A2037" s="47" t="inlineStr">
        <is>
          <t>Route 30</t>
        </is>
      </c>
      <c r="B2037" s="47" t="inlineStr">
        <is>
          <t>Route30_hns</t>
        </is>
      </c>
      <c r="C2037" s="62" t="inlineStr">
        <is>
          <t>Nuit</t>
        </is>
      </c>
      <c r="D2037" s="54" t="inlineStr">
        <is>
          <t>Vieille Canne</t>
        </is>
      </c>
      <c r="E2037" s="50" t="inlineStr">
        <is>
          <t>MAGICARPE</t>
        </is>
      </c>
      <c r="F2037" s="51" t="n">
        <v>0.7</v>
      </c>
      <c r="G2037" s="52" t="n">
        <v>10</v>
      </c>
      <c r="H2037" s="52" t="n">
        <v>10</v>
      </c>
      <c r="I2037" s="29">
        <f>IF(OR(COUNTIF('Suivi des rencontres'!$A:$A,$A2037)&gt;0,COUNTIF('Suivi des rencontres'!$C:$C,$J2037)&gt;0),"Non","Oui")</f>
        <v/>
      </c>
      <c r="J2037" s="30" t="inlineStr">
        <is>
          <t>MAGICARPE</t>
        </is>
      </c>
    </row>
    <row r="2038">
      <c r="A2038" s="47" t="inlineStr">
        <is>
          <t>Route 30</t>
        </is>
      </c>
      <c r="B2038" s="47" t="inlineStr">
        <is>
          <t>Route30_hns</t>
        </is>
      </c>
      <c r="C2038" s="62" t="inlineStr">
        <is>
          <t>Nuit</t>
        </is>
      </c>
      <c r="D2038" s="54" t="inlineStr">
        <is>
          <t>Vieille Canne</t>
        </is>
      </c>
      <c r="E2038" s="50" t="inlineStr">
        <is>
          <t>PTITARD</t>
        </is>
      </c>
      <c r="F2038" s="51" t="n">
        <v>0.3</v>
      </c>
      <c r="G2038" s="52" t="n">
        <v>10</v>
      </c>
      <c r="H2038" s="52" t="n">
        <v>10</v>
      </c>
      <c r="I2038" s="29">
        <f>IF(OR(COUNTIF('Suivi des rencontres'!$A:$A,$A2038)&gt;0,COUNTIF('Suivi des rencontres'!$C:$C,$J2038)&gt;0),"Non","Oui")</f>
        <v/>
      </c>
      <c r="J2038" s="30" t="inlineStr">
        <is>
          <t>PTITARD</t>
        </is>
      </c>
    </row>
    <row r="2039">
      <c r="A2039" s="47" t="inlineStr">
        <is>
          <t>Route 30</t>
        </is>
      </c>
      <c r="B2039" s="47" t="inlineStr">
        <is>
          <t>Route30_hns</t>
        </is>
      </c>
      <c r="C2039" s="48" t="inlineStr">
        <is>
          <t>Matin, jour, soir</t>
        </is>
      </c>
      <c r="D2039" s="55" t="inlineStr">
        <is>
          <t>Bonne Canne</t>
        </is>
      </c>
      <c r="E2039" s="50" t="inlineStr">
        <is>
          <t>PTITARD</t>
        </is>
      </c>
      <c r="F2039" s="51" t="n">
        <v>0.8</v>
      </c>
      <c r="G2039" s="52" t="n">
        <v>20</v>
      </c>
      <c r="H2039" s="52" t="n">
        <v>40</v>
      </c>
      <c r="I2039" s="29">
        <f>IF(OR(COUNTIF('Suivi des rencontres'!$A:$A,$A2039)&gt;0,COUNTIF('Suivi des rencontres'!$C:$C,$J2039)&gt;0),"Non","Oui")</f>
        <v/>
      </c>
      <c r="J2039" s="30" t="inlineStr">
        <is>
          <t>PTITARD</t>
        </is>
      </c>
    </row>
    <row r="2040">
      <c r="A2040" s="47" t="inlineStr">
        <is>
          <t>Route 30</t>
        </is>
      </c>
      <c r="B2040" s="47" t="inlineStr">
        <is>
          <t>Route30_hns</t>
        </is>
      </c>
      <c r="C2040" s="48" t="inlineStr">
        <is>
          <t>Matin, jour, soir</t>
        </is>
      </c>
      <c r="D2040" s="55" t="inlineStr">
        <is>
          <t>Bonne Canne</t>
        </is>
      </c>
      <c r="E2040" s="50" t="inlineStr">
        <is>
          <t>MAGICARPE</t>
        </is>
      </c>
      <c r="F2040" s="51" t="n">
        <v>0.2</v>
      </c>
      <c r="G2040" s="52" t="n">
        <v>20</v>
      </c>
      <c r="H2040" s="52" t="n">
        <v>20</v>
      </c>
      <c r="I2040" s="29">
        <f>IF(OR(COUNTIF('Suivi des rencontres'!$A:$A,$A2040)&gt;0,COUNTIF('Suivi des rencontres'!$C:$C,$J2040)&gt;0),"Non","Oui")</f>
        <v/>
      </c>
      <c r="J2040" s="30" t="inlineStr">
        <is>
          <t>MAGICARPE</t>
        </is>
      </c>
    </row>
    <row r="2041">
      <c r="A2041" s="47" t="inlineStr">
        <is>
          <t>Route 30</t>
        </is>
      </c>
      <c r="B2041" s="47" t="inlineStr">
        <is>
          <t>Route30_hns</t>
        </is>
      </c>
      <c r="C2041" s="62" t="inlineStr">
        <is>
          <t>Nuit</t>
        </is>
      </c>
      <c r="D2041" s="55" t="inlineStr">
        <is>
          <t>Bonne Canne</t>
        </is>
      </c>
      <c r="E2041" s="50" t="inlineStr">
        <is>
          <t>PTITARD</t>
        </is>
      </c>
      <c r="F2041" s="51" t="n">
        <v>0.8</v>
      </c>
      <c r="G2041" s="52" t="n">
        <v>20</v>
      </c>
      <c r="H2041" s="52" t="n">
        <v>40</v>
      </c>
      <c r="I2041" s="29">
        <f>IF(OR(COUNTIF('Suivi des rencontres'!$A:$A,$A2041)&gt;0,COUNTIF('Suivi des rencontres'!$C:$C,$J2041)&gt;0),"Non","Oui")</f>
        <v/>
      </c>
      <c r="J2041" s="30" t="inlineStr">
        <is>
          <t>PTITARD</t>
        </is>
      </c>
    </row>
    <row r="2042">
      <c r="A2042" s="47" t="inlineStr">
        <is>
          <t>Route 30</t>
        </is>
      </c>
      <c r="B2042" s="47" t="inlineStr">
        <is>
          <t>Route30_hns</t>
        </is>
      </c>
      <c r="C2042" s="62" t="inlineStr">
        <is>
          <t>Nuit</t>
        </is>
      </c>
      <c r="D2042" s="55" t="inlineStr">
        <is>
          <t>Bonne Canne</t>
        </is>
      </c>
      <c r="E2042" s="50" t="inlineStr">
        <is>
          <t>MAGICARPE</t>
        </is>
      </c>
      <c r="F2042" s="51" t="n">
        <v>0.2</v>
      </c>
      <c r="G2042" s="52" t="n">
        <v>20</v>
      </c>
      <c r="H2042" s="52" t="n">
        <v>20</v>
      </c>
      <c r="I2042" s="29">
        <f>IF(OR(COUNTIF('Suivi des rencontres'!$A:$A,$A2042)&gt;0,COUNTIF('Suivi des rencontres'!$C:$C,$J2042)&gt;0),"Non","Oui")</f>
        <v/>
      </c>
      <c r="J2042" s="30" t="inlineStr">
        <is>
          <t>MAGICARPE</t>
        </is>
      </c>
    </row>
    <row r="2043">
      <c r="A2043" s="47" t="inlineStr">
        <is>
          <t>Route 30</t>
        </is>
      </c>
      <c r="B2043" s="47" t="inlineStr">
        <is>
          <t>Route30_hns</t>
        </is>
      </c>
      <c r="C2043" s="48" t="inlineStr">
        <is>
          <t>Matin, jour, soir</t>
        </is>
      </c>
      <c r="D2043" s="56" t="inlineStr">
        <is>
          <t>Super Canne</t>
        </is>
      </c>
      <c r="E2043" s="50" t="inlineStr">
        <is>
          <t>MAGICARPE</t>
        </is>
      </c>
      <c r="F2043" s="51" t="n">
        <v>0.44</v>
      </c>
      <c r="G2043" s="52" t="n">
        <v>20</v>
      </c>
      <c r="H2043" s="52" t="n">
        <v>40</v>
      </c>
      <c r="I2043" s="29">
        <f>IF(OR(COUNTIF('Suivi des rencontres'!$A:$A,$A2043)&gt;0,COUNTIF('Suivi des rencontres'!$C:$C,$J2043)&gt;0),"Non","Oui")</f>
        <v/>
      </c>
      <c r="J2043" s="30" t="inlineStr">
        <is>
          <t>MAGICARPE</t>
        </is>
      </c>
    </row>
    <row r="2044">
      <c r="A2044" s="47" t="inlineStr">
        <is>
          <t>Route 30</t>
        </is>
      </c>
      <c r="B2044" s="47" t="inlineStr">
        <is>
          <t>Route30_hns</t>
        </is>
      </c>
      <c r="C2044" s="48" t="inlineStr">
        <is>
          <t>Matin, jour, soir</t>
        </is>
      </c>
      <c r="D2044" s="56" t="inlineStr">
        <is>
          <t>Super Canne</t>
        </is>
      </c>
      <c r="E2044" s="50" t="inlineStr">
        <is>
          <t>TETARTE</t>
        </is>
      </c>
      <c r="F2044" s="51" t="n">
        <v>0.4</v>
      </c>
      <c r="G2044" s="52" t="n">
        <v>40</v>
      </c>
      <c r="H2044" s="52" t="n">
        <v>40</v>
      </c>
      <c r="I2044" s="29">
        <f>IF(OR(COUNTIF('Suivi des rencontres'!$A:$A,$A2044)&gt;0,COUNTIF('Suivi des rencontres'!$C:$C,$J2044)&gt;0),"Non","Oui")</f>
        <v/>
      </c>
      <c r="J2044" s="30" t="inlineStr">
        <is>
          <t>PTITARD</t>
        </is>
      </c>
    </row>
    <row r="2045">
      <c r="A2045" s="47" t="inlineStr">
        <is>
          <t>Route 30</t>
        </is>
      </c>
      <c r="B2045" s="47" t="inlineStr">
        <is>
          <t>Route30_hns</t>
        </is>
      </c>
      <c r="C2045" s="48" t="inlineStr">
        <is>
          <t>Matin, jour, soir</t>
        </is>
      </c>
      <c r="D2045" s="56" t="inlineStr">
        <is>
          <t>Super Canne</t>
        </is>
      </c>
      <c r="E2045" s="50" t="inlineStr">
        <is>
          <t>PTITARD</t>
        </is>
      </c>
      <c r="F2045" s="51" t="n">
        <v>0.16</v>
      </c>
      <c r="G2045" s="52" t="n">
        <v>20</v>
      </c>
      <c r="H2045" s="52" t="n">
        <v>40</v>
      </c>
      <c r="I2045" s="29">
        <f>IF(OR(COUNTIF('Suivi des rencontres'!$A:$A,$A2045)&gt;0,COUNTIF('Suivi des rencontres'!$C:$C,$J2045)&gt;0),"Non","Oui")</f>
        <v/>
      </c>
      <c r="J2045" s="30" t="inlineStr">
        <is>
          <t>PTITARD</t>
        </is>
      </c>
    </row>
    <row r="2046">
      <c r="A2046" s="47" t="inlineStr">
        <is>
          <t>Route 30</t>
        </is>
      </c>
      <c r="B2046" s="47" t="inlineStr">
        <is>
          <t>Route30_hns</t>
        </is>
      </c>
      <c r="C2046" s="62" t="inlineStr">
        <is>
          <t>Nuit</t>
        </is>
      </c>
      <c r="D2046" s="56" t="inlineStr">
        <is>
          <t>Super Canne</t>
        </is>
      </c>
      <c r="E2046" s="50" t="inlineStr">
        <is>
          <t>MAGICARPE</t>
        </is>
      </c>
      <c r="F2046" s="51" t="n">
        <v>0.44</v>
      </c>
      <c r="G2046" s="52" t="n">
        <v>20</v>
      </c>
      <c r="H2046" s="52" t="n">
        <v>40</v>
      </c>
      <c r="I2046" s="29">
        <f>IF(OR(COUNTIF('Suivi des rencontres'!$A:$A,$A2046)&gt;0,COUNTIF('Suivi des rencontres'!$C:$C,$J2046)&gt;0),"Non","Oui")</f>
        <v/>
      </c>
      <c r="J2046" s="30" t="inlineStr">
        <is>
          <t>MAGICARPE</t>
        </is>
      </c>
    </row>
    <row r="2047">
      <c r="A2047" s="47" t="inlineStr">
        <is>
          <t>Route 30</t>
        </is>
      </c>
      <c r="B2047" s="47" t="inlineStr">
        <is>
          <t>Route30_hns</t>
        </is>
      </c>
      <c r="C2047" s="62" t="inlineStr">
        <is>
          <t>Nuit</t>
        </is>
      </c>
      <c r="D2047" s="56" t="inlineStr">
        <is>
          <t>Super Canne</t>
        </is>
      </c>
      <c r="E2047" s="50" t="inlineStr">
        <is>
          <t>TETARTE</t>
        </is>
      </c>
      <c r="F2047" s="51" t="n">
        <v>0.4</v>
      </c>
      <c r="G2047" s="52" t="n">
        <v>40</v>
      </c>
      <c r="H2047" s="52" t="n">
        <v>40</v>
      </c>
      <c r="I2047" s="29">
        <f>IF(OR(COUNTIF('Suivi des rencontres'!$A:$A,$A2047)&gt;0,COUNTIF('Suivi des rencontres'!$C:$C,$J2047)&gt;0),"Non","Oui")</f>
        <v/>
      </c>
      <c r="J2047" s="30" t="inlineStr">
        <is>
          <t>PTITARD</t>
        </is>
      </c>
    </row>
    <row r="2048">
      <c r="A2048" s="47" t="inlineStr">
        <is>
          <t>Route 30</t>
        </is>
      </c>
      <c r="B2048" s="47" t="inlineStr">
        <is>
          <t>Route30_hns</t>
        </is>
      </c>
      <c r="C2048" s="62" t="inlineStr">
        <is>
          <t>Nuit</t>
        </is>
      </c>
      <c r="D2048" s="56" t="inlineStr">
        <is>
          <t>Super Canne</t>
        </is>
      </c>
      <c r="E2048" s="50" t="inlineStr">
        <is>
          <t>PTITARD</t>
        </is>
      </c>
      <c r="F2048" s="51" t="n">
        <v>0.16</v>
      </c>
      <c r="G2048" s="52" t="n">
        <v>20</v>
      </c>
      <c r="H2048" s="52" t="n">
        <v>40</v>
      </c>
      <c r="I2048" s="29">
        <f>IF(OR(COUNTIF('Suivi des rencontres'!$A:$A,$A2048)&gt;0,COUNTIF('Suivi des rencontres'!$C:$C,$J2048)&gt;0),"Non","Oui")</f>
        <v/>
      </c>
      <c r="J2048" s="30" t="inlineStr">
        <is>
          <t>PTITARD</t>
        </is>
      </c>
    </row>
    <row r="2049">
      <c r="A2049" s="57" t="inlineStr">
        <is>
          <t>Route 31</t>
        </is>
      </c>
      <c r="B2049" s="57" t="inlineStr">
        <is>
          <t>Route31_hns</t>
        </is>
      </c>
      <c r="C2049" s="58" t="inlineStr">
        <is>
          <t>Matin, jour, soir</t>
        </is>
      </c>
      <c r="D2049" s="42" t="inlineStr">
        <is>
          <t>Herbe</t>
        </is>
      </c>
      <c r="E2049" s="59" t="inlineStr">
        <is>
          <t>CHETIFLOR</t>
        </is>
      </c>
      <c r="F2049" s="60" t="n">
        <v>0.3</v>
      </c>
      <c r="G2049" s="61" t="n">
        <v>4</v>
      </c>
      <c r="H2049" s="61" t="n">
        <v>5</v>
      </c>
      <c r="I2049" s="46">
        <f>IF(OR(COUNTIF('Suivi des rencontres'!$A:$A,$A2049)&gt;0,COUNTIF('Suivi des rencontres'!$C:$C,$J2049)&gt;0),"Non","Oui")</f>
        <v/>
      </c>
      <c r="J2049" s="30" t="inlineStr">
        <is>
          <t>CHETIFLOR</t>
        </is>
      </c>
    </row>
    <row r="2050">
      <c r="A2050" s="35" t="inlineStr">
        <is>
          <t>Route 31</t>
        </is>
      </c>
      <c r="B2050" s="35" t="inlineStr">
        <is>
          <t>Route31_hns</t>
        </is>
      </c>
      <c r="C2050" s="33" t="inlineStr">
        <is>
          <t>Matin, jour, soir</t>
        </is>
      </c>
      <c r="D2050" s="49" t="inlineStr">
        <is>
          <t>Herbe</t>
        </is>
      </c>
      <c r="E2050" s="37" t="inlineStr">
        <is>
          <t>COXY</t>
        </is>
      </c>
      <c r="F2050" s="38" t="n">
        <v>0.3</v>
      </c>
      <c r="G2050" s="39" t="n">
        <v>4</v>
      </c>
      <c r="H2050" s="39" t="n">
        <v>4</v>
      </c>
      <c r="I2050" s="29">
        <f>IF(OR(COUNTIF('Suivi des rencontres'!$A:$A,$A2050)&gt;0,COUNTIF('Suivi des rencontres'!$C:$C,$J2050)&gt;0),"Non","Oui")</f>
        <v/>
      </c>
      <c r="J2050" s="30" t="inlineStr">
        <is>
          <t>COXY</t>
        </is>
      </c>
    </row>
    <row r="2051">
      <c r="A2051" s="35" t="inlineStr">
        <is>
          <t>Route 31</t>
        </is>
      </c>
      <c r="B2051" s="35" t="inlineStr">
        <is>
          <t>Route31_hns</t>
        </is>
      </c>
      <c r="C2051" s="33" t="inlineStr">
        <is>
          <t>Matin, jour, soir</t>
        </is>
      </c>
      <c r="D2051" s="49" t="inlineStr">
        <is>
          <t>Herbe</t>
        </is>
      </c>
      <c r="E2051" s="37" t="inlineStr">
        <is>
          <t>CHENIPAN</t>
        </is>
      </c>
      <c r="F2051" s="38" t="n">
        <v>0.2</v>
      </c>
      <c r="G2051" s="39" t="n">
        <v>5</v>
      </c>
      <c r="H2051" s="39" t="n">
        <v>5</v>
      </c>
      <c r="I2051" s="29">
        <f>IF(OR(COUNTIF('Suivi des rencontres'!$A:$A,$A2051)&gt;0,COUNTIF('Suivi des rencontres'!$C:$C,$J2051)&gt;0),"Non","Oui")</f>
        <v/>
      </c>
      <c r="J2051" s="30" t="inlineStr">
        <is>
          <t>CHENIPAN</t>
        </is>
      </c>
    </row>
    <row r="2052">
      <c r="A2052" s="35" t="inlineStr">
        <is>
          <t>Route 31</t>
        </is>
      </c>
      <c r="B2052" s="35" t="inlineStr">
        <is>
          <t>Route31_hns</t>
        </is>
      </c>
      <c r="C2052" s="33" t="inlineStr">
        <is>
          <t>Matin, jour, soir</t>
        </is>
      </c>
      <c r="D2052" s="49" t="inlineStr">
        <is>
          <t>Herbe</t>
        </is>
      </c>
      <c r="E2052" s="37" t="inlineStr">
        <is>
          <t>WATTOUAT</t>
        </is>
      </c>
      <c r="F2052" s="38" t="n">
        <v>0.1</v>
      </c>
      <c r="G2052" s="39" t="n">
        <v>5</v>
      </c>
      <c r="H2052" s="39" t="n">
        <v>5</v>
      </c>
      <c r="I2052" s="29">
        <f>IF(OR(COUNTIF('Suivi des rencontres'!$A:$A,$A2052)&gt;0,COUNTIF('Suivi des rencontres'!$C:$C,$J2052)&gt;0),"Non","Oui")</f>
        <v/>
      </c>
      <c r="J2052" s="30" t="inlineStr">
        <is>
          <t>WATTOUAT</t>
        </is>
      </c>
    </row>
    <row r="2053">
      <c r="A2053" s="35" t="inlineStr">
        <is>
          <t>Route 31</t>
        </is>
      </c>
      <c r="B2053" s="35" t="inlineStr">
        <is>
          <t>Route31_hns</t>
        </is>
      </c>
      <c r="C2053" s="33" t="inlineStr">
        <is>
          <t>Matin, jour, soir</t>
        </is>
      </c>
      <c r="D2053" s="49" t="inlineStr">
        <is>
          <t>Herbe</t>
        </is>
      </c>
      <c r="E2053" s="37" t="inlineStr">
        <is>
          <t>ASPICOT</t>
        </is>
      </c>
      <c r="F2053" s="38" t="n">
        <v>0.05</v>
      </c>
      <c r="G2053" s="39" t="n">
        <v>4</v>
      </c>
      <c r="H2053" s="39" t="n">
        <v>4</v>
      </c>
      <c r="I2053" s="29">
        <f>IF(OR(COUNTIF('Suivi des rencontres'!$A:$A,$A2053)&gt;0,COUNTIF('Suivi des rencontres'!$C:$C,$J2053)&gt;0),"Non","Oui")</f>
        <v/>
      </c>
      <c r="J2053" s="30" t="inlineStr">
        <is>
          <t>ASPICOT</t>
        </is>
      </c>
    </row>
    <row r="2054">
      <c r="A2054" s="35" t="inlineStr">
        <is>
          <t>Route 31</t>
        </is>
      </c>
      <c r="B2054" s="35" t="inlineStr">
        <is>
          <t>Route31_hns</t>
        </is>
      </c>
      <c r="C2054" s="33" t="inlineStr">
        <is>
          <t>Matin, jour, soir</t>
        </is>
      </c>
      <c r="D2054" s="49" t="inlineStr">
        <is>
          <t>Herbe</t>
        </is>
      </c>
      <c r="E2054" s="37" t="inlineStr">
        <is>
          <t>PICHU</t>
        </is>
      </c>
      <c r="F2054" s="38" t="n">
        <v>0.05</v>
      </c>
      <c r="G2054" s="39" t="n">
        <v>5</v>
      </c>
      <c r="H2054" s="39" t="n">
        <v>5</v>
      </c>
      <c r="I2054" s="29">
        <f>IF(OR(COUNTIF('Suivi des rencontres'!$A:$A,$A2054)&gt;0,COUNTIF('Suivi des rencontres'!$C:$C,$J2054)&gt;0),"Non","Oui")</f>
        <v/>
      </c>
      <c r="J2054" s="30" t="inlineStr">
        <is>
          <t>PICHU</t>
        </is>
      </c>
    </row>
    <row r="2055">
      <c r="A2055" s="35" t="inlineStr">
        <is>
          <t>Route 31</t>
        </is>
      </c>
      <c r="B2055" s="35" t="inlineStr">
        <is>
          <t>Route31_hns</t>
        </is>
      </c>
      <c r="C2055" s="62" t="inlineStr">
        <is>
          <t>Nuit</t>
        </is>
      </c>
      <c r="D2055" s="49" t="inlineStr">
        <is>
          <t>Herbe</t>
        </is>
      </c>
      <c r="E2055" s="37" t="inlineStr">
        <is>
          <t>PTITARD</t>
        </is>
      </c>
      <c r="F2055" s="38" t="n">
        <v>0.31</v>
      </c>
      <c r="G2055" s="39" t="n">
        <v>4</v>
      </c>
      <c r="H2055" s="39" t="n">
        <v>5</v>
      </c>
      <c r="I2055" s="29">
        <f>IF(OR(COUNTIF('Suivi des rencontres'!$A:$A,$A2055)&gt;0,COUNTIF('Suivi des rencontres'!$C:$C,$J2055)&gt;0),"Non","Oui")</f>
        <v/>
      </c>
      <c r="J2055" s="30" t="inlineStr">
        <is>
          <t>PTITARD</t>
        </is>
      </c>
    </row>
    <row r="2056">
      <c r="A2056" s="35" t="inlineStr">
        <is>
          <t>Route 31</t>
        </is>
      </c>
      <c r="B2056" s="35" t="inlineStr">
        <is>
          <t>Route31_hns</t>
        </is>
      </c>
      <c r="C2056" s="62" t="inlineStr">
        <is>
          <t>Nuit</t>
        </is>
      </c>
      <c r="D2056" s="49" t="inlineStr">
        <is>
          <t>Herbe</t>
        </is>
      </c>
      <c r="E2056" s="37" t="inlineStr">
        <is>
          <t>MIMIGAL</t>
        </is>
      </c>
      <c r="F2056" s="38" t="n">
        <v>0.3</v>
      </c>
      <c r="G2056" s="39" t="n">
        <v>4</v>
      </c>
      <c r="H2056" s="39" t="n">
        <v>4</v>
      </c>
      <c r="I2056" s="29">
        <f>IF(OR(COUNTIF('Suivi des rencontres'!$A:$A,$A2056)&gt;0,COUNTIF('Suivi des rencontres'!$C:$C,$J2056)&gt;0),"Non","Oui")</f>
        <v/>
      </c>
      <c r="J2056" s="30" t="inlineStr">
        <is>
          <t>MIMIGAL</t>
        </is>
      </c>
    </row>
    <row r="2057">
      <c r="A2057" s="35" t="inlineStr">
        <is>
          <t>Route 31</t>
        </is>
      </c>
      <c r="B2057" s="35" t="inlineStr">
        <is>
          <t>Route31_hns</t>
        </is>
      </c>
      <c r="C2057" s="62" t="inlineStr">
        <is>
          <t>Nuit</t>
        </is>
      </c>
      <c r="D2057" s="49" t="inlineStr">
        <is>
          <t>Herbe</t>
        </is>
      </c>
      <c r="E2057" s="37" t="inlineStr">
        <is>
          <t>CHETIFLOR</t>
        </is>
      </c>
      <c r="F2057" s="38" t="n">
        <v>0.2</v>
      </c>
      <c r="G2057" s="39" t="n">
        <v>5</v>
      </c>
      <c r="H2057" s="39" t="n">
        <v>5</v>
      </c>
      <c r="I2057" s="29">
        <f>IF(OR(COUNTIF('Suivi des rencontres'!$A:$A,$A2057)&gt;0,COUNTIF('Suivi des rencontres'!$C:$C,$J2057)&gt;0),"Non","Oui")</f>
        <v/>
      </c>
      <c r="J2057" s="30" t="inlineStr">
        <is>
          <t>CHETIFLOR</t>
        </is>
      </c>
    </row>
    <row r="2058">
      <c r="A2058" s="35" t="inlineStr">
        <is>
          <t>Route 31</t>
        </is>
      </c>
      <c r="B2058" s="35" t="inlineStr">
        <is>
          <t>Route31_hns</t>
        </is>
      </c>
      <c r="C2058" s="62" t="inlineStr">
        <is>
          <t>Nuit</t>
        </is>
      </c>
      <c r="D2058" s="49" t="inlineStr">
        <is>
          <t>Herbe</t>
        </is>
      </c>
      <c r="E2058" s="37" t="inlineStr">
        <is>
          <t>HOOTHOOT</t>
        </is>
      </c>
      <c r="F2058" s="38" t="n">
        <v>0.1</v>
      </c>
      <c r="G2058" s="39" t="n">
        <v>5</v>
      </c>
      <c r="H2058" s="39" t="n">
        <v>5</v>
      </c>
      <c r="I2058" s="29">
        <f>IF(OR(COUNTIF('Suivi des rencontres'!$A:$A,$A2058)&gt;0,COUNTIF('Suivi des rencontres'!$C:$C,$J2058)&gt;0),"Non","Oui")</f>
        <v/>
      </c>
      <c r="J2058" s="30" t="inlineStr">
        <is>
          <t>HOOTHOOT</t>
        </is>
      </c>
    </row>
    <row r="2059">
      <c r="A2059" s="35" t="inlineStr">
        <is>
          <t>Route 31</t>
        </is>
      </c>
      <c r="B2059" s="35" t="inlineStr">
        <is>
          <t>Route31_hns</t>
        </is>
      </c>
      <c r="C2059" s="62" t="inlineStr">
        <is>
          <t>Nuit</t>
        </is>
      </c>
      <c r="D2059" s="49" t="inlineStr">
        <is>
          <t>Herbe</t>
        </is>
      </c>
      <c r="E2059" s="37" t="inlineStr">
        <is>
          <t>FANTOMINUS</t>
        </is>
      </c>
      <c r="F2059" s="38" t="n">
        <v>0.05</v>
      </c>
      <c r="G2059" s="39" t="n">
        <v>4</v>
      </c>
      <c r="H2059" s="39" t="n">
        <v>5</v>
      </c>
      <c r="I2059" s="29">
        <f>IF(OR(COUNTIF('Suivi des rencontres'!$A:$A,$A2059)&gt;0,COUNTIF('Suivi des rencontres'!$C:$C,$J2059)&gt;0),"Non","Oui")</f>
        <v/>
      </c>
      <c r="J2059" s="30" t="inlineStr">
        <is>
          <t>FANTOMINUS</t>
        </is>
      </c>
    </row>
    <row r="2060">
      <c r="A2060" s="35" t="inlineStr">
        <is>
          <t>Route 31</t>
        </is>
      </c>
      <c r="B2060" s="35" t="inlineStr">
        <is>
          <t>Route31_hns</t>
        </is>
      </c>
      <c r="C2060" s="62" t="inlineStr">
        <is>
          <t>Nuit</t>
        </is>
      </c>
      <c r="D2060" s="49" t="inlineStr">
        <is>
          <t>Herbe</t>
        </is>
      </c>
      <c r="E2060" s="37" t="inlineStr">
        <is>
          <t>NOSFERAPTI</t>
        </is>
      </c>
      <c r="F2060" s="38" t="n">
        <v>0.04</v>
      </c>
      <c r="G2060" s="39" t="n">
        <v>4</v>
      </c>
      <c r="H2060" s="39" t="n">
        <v>4</v>
      </c>
      <c r="I2060" s="29">
        <f>IF(OR(COUNTIF('Suivi des rencontres'!$A:$A,$A2060)&gt;0,COUNTIF('Suivi des rencontres'!$C:$C,$J2060)&gt;0),"Non","Oui")</f>
        <v/>
      </c>
      <c r="J2060" s="30" t="inlineStr">
        <is>
          <t>NOSFERAPTI</t>
        </is>
      </c>
    </row>
    <row r="2061">
      <c r="A2061" s="35" t="inlineStr">
        <is>
          <t>Route 31</t>
        </is>
      </c>
      <c r="B2061" s="35" t="inlineStr">
        <is>
          <t>Route31_hns</t>
        </is>
      </c>
      <c r="C2061" s="33" t="inlineStr">
        <is>
          <t>Matin, jour, soir</t>
        </is>
      </c>
      <c r="D2061" s="53" t="inlineStr">
        <is>
          <t>Surf</t>
        </is>
      </c>
      <c r="E2061" s="37" t="inlineStr">
        <is>
          <t>PTITARD</t>
        </is>
      </c>
      <c r="F2061" s="38" t="n">
        <v>0.96</v>
      </c>
      <c r="G2061" s="39" t="n">
        <v>15</v>
      </c>
      <c r="H2061" s="39" t="n">
        <v>24</v>
      </c>
      <c r="I2061" s="29">
        <f>IF(OR(COUNTIF('Suivi des rencontres'!$A:$A,$A2061)&gt;0,COUNTIF('Suivi des rencontres'!$C:$C,$J2061)&gt;0),"Non","Oui")</f>
        <v/>
      </c>
      <c r="J2061" s="30" t="inlineStr">
        <is>
          <t>PTITARD</t>
        </is>
      </c>
    </row>
    <row r="2062">
      <c r="A2062" s="35" t="inlineStr">
        <is>
          <t>Route 31</t>
        </is>
      </c>
      <c r="B2062" s="35" t="inlineStr">
        <is>
          <t>Route31_hns</t>
        </is>
      </c>
      <c r="C2062" s="33" t="inlineStr">
        <is>
          <t>Matin, jour, soir</t>
        </is>
      </c>
      <c r="D2062" s="53" t="inlineStr">
        <is>
          <t>Surf</t>
        </is>
      </c>
      <c r="E2062" s="37" t="inlineStr">
        <is>
          <t>TETARTE</t>
        </is>
      </c>
      <c r="F2062" s="38" t="n">
        <v>0.04</v>
      </c>
      <c r="G2062" s="39" t="n">
        <v>20</v>
      </c>
      <c r="H2062" s="39" t="n">
        <v>24</v>
      </c>
      <c r="I2062" s="29">
        <f>IF(OR(COUNTIF('Suivi des rencontres'!$A:$A,$A2062)&gt;0,COUNTIF('Suivi des rencontres'!$C:$C,$J2062)&gt;0),"Non","Oui")</f>
        <v/>
      </c>
      <c r="J2062" s="30" t="inlineStr">
        <is>
          <t>PTITARD</t>
        </is>
      </c>
    </row>
    <row r="2063">
      <c r="A2063" s="35" t="inlineStr">
        <is>
          <t>Route 31</t>
        </is>
      </c>
      <c r="B2063" s="35" t="inlineStr">
        <is>
          <t>Route31_hns</t>
        </is>
      </c>
      <c r="C2063" s="62" t="inlineStr">
        <is>
          <t>Nuit</t>
        </is>
      </c>
      <c r="D2063" s="53" t="inlineStr">
        <is>
          <t>Surf</t>
        </is>
      </c>
      <c r="E2063" s="37" t="inlineStr">
        <is>
          <t>PTITARD</t>
        </is>
      </c>
      <c r="F2063" s="38" t="n">
        <v>0.96</v>
      </c>
      <c r="G2063" s="39" t="n">
        <v>15</v>
      </c>
      <c r="H2063" s="39" t="n">
        <v>24</v>
      </c>
      <c r="I2063" s="29">
        <f>IF(OR(COUNTIF('Suivi des rencontres'!$A:$A,$A2063)&gt;0,COUNTIF('Suivi des rencontres'!$C:$C,$J2063)&gt;0),"Non","Oui")</f>
        <v/>
      </c>
      <c r="J2063" s="30" t="inlineStr">
        <is>
          <t>PTITARD</t>
        </is>
      </c>
    </row>
    <row r="2064">
      <c r="A2064" s="35" t="inlineStr">
        <is>
          <t>Route 31</t>
        </is>
      </c>
      <c r="B2064" s="35" t="inlineStr">
        <is>
          <t>Route31_hns</t>
        </is>
      </c>
      <c r="C2064" s="62" t="inlineStr">
        <is>
          <t>Nuit</t>
        </is>
      </c>
      <c r="D2064" s="53" t="inlineStr">
        <is>
          <t>Surf</t>
        </is>
      </c>
      <c r="E2064" s="37" t="inlineStr">
        <is>
          <t>TETARTE</t>
        </is>
      </c>
      <c r="F2064" s="38" t="n">
        <v>0.04</v>
      </c>
      <c r="G2064" s="39" t="n">
        <v>20</v>
      </c>
      <c r="H2064" s="39" t="n">
        <v>24</v>
      </c>
      <c r="I2064" s="29">
        <f>IF(OR(COUNTIF('Suivi des rencontres'!$A:$A,$A2064)&gt;0,COUNTIF('Suivi des rencontres'!$C:$C,$J2064)&gt;0),"Non","Oui")</f>
        <v/>
      </c>
      <c r="J2064" s="30" t="inlineStr">
        <is>
          <t>PTITARD</t>
        </is>
      </c>
    </row>
    <row r="2065">
      <c r="A2065" s="35" t="inlineStr">
        <is>
          <t>Route 31</t>
        </is>
      </c>
      <c r="B2065" s="35" t="inlineStr">
        <is>
          <t>Route31_hns</t>
        </is>
      </c>
      <c r="C2065" s="33" t="inlineStr">
        <is>
          <t>Matin, jour, soir</t>
        </is>
      </c>
      <c r="D2065" s="36" t="inlineStr">
        <is>
          <t>Éclate-Roc</t>
        </is>
      </c>
      <c r="E2065" s="37" t="inlineStr">
        <is>
          <t>POMDEPIK</t>
        </is>
      </c>
      <c r="F2065" s="38" t="n">
        <v>0.6</v>
      </c>
      <c r="G2065" s="39" t="n">
        <v>10</v>
      </c>
      <c r="H2065" s="39" t="n">
        <v>10</v>
      </c>
      <c r="I2065" s="29">
        <f>IF(OR(COUNTIF('Suivi des rencontres'!$A:$A,$A2065)&gt;0,COUNTIF('Suivi des rencontres'!$C:$C,$J2065)&gt;0),"Non","Oui")</f>
        <v/>
      </c>
      <c r="J2065" s="30" t="inlineStr">
        <is>
          <t>POMDEPIK</t>
        </is>
      </c>
    </row>
    <row r="2066">
      <c r="A2066" s="35" t="inlineStr">
        <is>
          <t>Route 31</t>
        </is>
      </c>
      <c r="B2066" s="35" t="inlineStr">
        <is>
          <t>Route31_hns</t>
        </is>
      </c>
      <c r="C2066" s="33" t="inlineStr">
        <is>
          <t>Matin, jour, soir</t>
        </is>
      </c>
      <c r="D2066" s="36" t="inlineStr">
        <is>
          <t>Éclate-Roc</t>
        </is>
      </c>
      <c r="E2066" s="37" t="inlineStr">
        <is>
          <t>NOEUNOEUF</t>
        </is>
      </c>
      <c r="F2066" s="38" t="n">
        <v>0.3</v>
      </c>
      <c r="G2066" s="39" t="n">
        <v>10</v>
      </c>
      <c r="H2066" s="39" t="n">
        <v>10</v>
      </c>
      <c r="I2066" s="29">
        <f>IF(OR(COUNTIF('Suivi des rencontres'!$A:$A,$A2066)&gt;0,COUNTIF('Suivi des rencontres'!$C:$C,$J2066)&gt;0),"Non","Oui")</f>
        <v/>
      </c>
      <c r="J2066" s="30" t="inlineStr">
        <is>
          <t>NOEUNOEUF</t>
        </is>
      </c>
    </row>
    <row r="2067">
      <c r="A2067" s="35" t="inlineStr">
        <is>
          <t>Route 31</t>
        </is>
      </c>
      <c r="B2067" s="35" t="inlineStr">
        <is>
          <t>Route31_hns</t>
        </is>
      </c>
      <c r="C2067" s="33" t="inlineStr">
        <is>
          <t>Matin, jour, soir</t>
        </is>
      </c>
      <c r="D2067" s="36" t="inlineStr">
        <is>
          <t>Éclate-Roc</t>
        </is>
      </c>
      <c r="E2067" s="37" t="inlineStr">
        <is>
          <t>COXY</t>
        </is>
      </c>
      <c r="F2067" s="38" t="n">
        <v>0.05</v>
      </c>
      <c r="G2067" s="39" t="n">
        <v>10</v>
      </c>
      <c r="H2067" s="39" t="n">
        <v>10</v>
      </c>
      <c r="I2067" s="29">
        <f>IF(OR(COUNTIF('Suivi des rencontres'!$A:$A,$A2067)&gt;0,COUNTIF('Suivi des rencontres'!$C:$C,$J2067)&gt;0),"Non","Oui")</f>
        <v/>
      </c>
      <c r="J2067" s="30" t="inlineStr">
        <is>
          <t>COXY</t>
        </is>
      </c>
    </row>
    <row r="2068">
      <c r="A2068" s="35" t="inlineStr">
        <is>
          <t>Route 31</t>
        </is>
      </c>
      <c r="B2068" s="35" t="inlineStr">
        <is>
          <t>Route31_hns</t>
        </is>
      </c>
      <c r="C2068" s="33" t="inlineStr">
        <is>
          <t>Matin, jour, soir</t>
        </is>
      </c>
      <c r="D2068" s="36" t="inlineStr">
        <is>
          <t>Éclate-Roc</t>
        </is>
      </c>
      <c r="E2068" s="37" t="inlineStr">
        <is>
          <t>MIMIGAL</t>
        </is>
      </c>
      <c r="F2068" s="38" t="n">
        <v>0.05</v>
      </c>
      <c r="G2068" s="39" t="n">
        <v>10</v>
      </c>
      <c r="H2068" s="39" t="n">
        <v>10</v>
      </c>
      <c r="I2068" s="29">
        <f>IF(OR(COUNTIF('Suivi des rencontres'!$A:$A,$A2068)&gt;0,COUNTIF('Suivi des rencontres'!$C:$C,$J2068)&gt;0),"Non","Oui")</f>
        <v/>
      </c>
      <c r="J2068" s="30" t="inlineStr">
        <is>
          <t>MIMIGAL</t>
        </is>
      </c>
    </row>
    <row r="2069">
      <c r="A2069" s="35" t="inlineStr">
        <is>
          <t>Route 31</t>
        </is>
      </c>
      <c r="B2069" s="35" t="inlineStr">
        <is>
          <t>Route31_hns</t>
        </is>
      </c>
      <c r="C2069" s="62" t="inlineStr">
        <is>
          <t>Nuit</t>
        </is>
      </c>
      <c r="D2069" s="36" t="inlineStr">
        <is>
          <t>Éclate-Roc</t>
        </is>
      </c>
      <c r="E2069" s="37" t="inlineStr">
        <is>
          <t>POMDEPIK</t>
        </is>
      </c>
      <c r="F2069" s="38" t="n">
        <v>0.6</v>
      </c>
      <c r="G2069" s="39" t="n">
        <v>10</v>
      </c>
      <c r="H2069" s="39" t="n">
        <v>10</v>
      </c>
      <c r="I2069" s="29">
        <f>IF(OR(COUNTIF('Suivi des rencontres'!$A:$A,$A2069)&gt;0,COUNTIF('Suivi des rencontres'!$C:$C,$J2069)&gt;0),"Non","Oui")</f>
        <v/>
      </c>
      <c r="J2069" s="30" t="inlineStr">
        <is>
          <t>POMDEPIK</t>
        </is>
      </c>
    </row>
    <row r="2070">
      <c r="A2070" s="35" t="inlineStr">
        <is>
          <t>Route 31</t>
        </is>
      </c>
      <c r="B2070" s="35" t="inlineStr">
        <is>
          <t>Route31_hns</t>
        </is>
      </c>
      <c r="C2070" s="62" t="inlineStr">
        <is>
          <t>Nuit</t>
        </is>
      </c>
      <c r="D2070" s="36" t="inlineStr">
        <is>
          <t>Éclate-Roc</t>
        </is>
      </c>
      <c r="E2070" s="37" t="inlineStr">
        <is>
          <t>NOEUNOEUF</t>
        </is>
      </c>
      <c r="F2070" s="38" t="n">
        <v>0.3</v>
      </c>
      <c r="G2070" s="39" t="n">
        <v>10</v>
      </c>
      <c r="H2070" s="39" t="n">
        <v>10</v>
      </c>
      <c r="I2070" s="29">
        <f>IF(OR(COUNTIF('Suivi des rencontres'!$A:$A,$A2070)&gt;0,COUNTIF('Suivi des rencontres'!$C:$C,$J2070)&gt;0),"Non","Oui")</f>
        <v/>
      </c>
      <c r="J2070" s="30" t="inlineStr">
        <is>
          <t>NOEUNOEUF</t>
        </is>
      </c>
    </row>
    <row r="2071">
      <c r="A2071" s="35" t="inlineStr">
        <is>
          <t>Route 31</t>
        </is>
      </c>
      <c r="B2071" s="35" t="inlineStr">
        <is>
          <t>Route31_hns</t>
        </is>
      </c>
      <c r="C2071" s="62" t="inlineStr">
        <is>
          <t>Nuit</t>
        </is>
      </c>
      <c r="D2071" s="36" t="inlineStr">
        <is>
          <t>Éclate-Roc</t>
        </is>
      </c>
      <c r="E2071" s="37" t="inlineStr">
        <is>
          <t>COXY</t>
        </is>
      </c>
      <c r="F2071" s="38" t="n">
        <v>0.05</v>
      </c>
      <c r="G2071" s="39" t="n">
        <v>10</v>
      </c>
      <c r="H2071" s="39" t="n">
        <v>10</v>
      </c>
      <c r="I2071" s="29">
        <f>IF(OR(COUNTIF('Suivi des rencontres'!$A:$A,$A2071)&gt;0,COUNTIF('Suivi des rencontres'!$C:$C,$J2071)&gt;0),"Non","Oui")</f>
        <v/>
      </c>
      <c r="J2071" s="30" t="inlineStr">
        <is>
          <t>COXY</t>
        </is>
      </c>
    </row>
    <row r="2072">
      <c r="A2072" s="35" t="inlineStr">
        <is>
          <t>Route 31</t>
        </is>
      </c>
      <c r="B2072" s="35" t="inlineStr">
        <is>
          <t>Route31_hns</t>
        </is>
      </c>
      <c r="C2072" s="62" t="inlineStr">
        <is>
          <t>Nuit</t>
        </is>
      </c>
      <c r="D2072" s="36" t="inlineStr">
        <is>
          <t>Éclate-Roc</t>
        </is>
      </c>
      <c r="E2072" s="37" t="inlineStr">
        <is>
          <t>MIMIGAL</t>
        </is>
      </c>
      <c r="F2072" s="38" t="n">
        <v>0.05</v>
      </c>
      <c r="G2072" s="39" t="n">
        <v>10</v>
      </c>
      <c r="H2072" s="39" t="n">
        <v>10</v>
      </c>
      <c r="I2072" s="29">
        <f>IF(OR(COUNTIF('Suivi des rencontres'!$A:$A,$A2072)&gt;0,COUNTIF('Suivi des rencontres'!$C:$C,$J2072)&gt;0),"Non","Oui")</f>
        <v/>
      </c>
      <c r="J2072" s="30" t="inlineStr">
        <is>
          <t>MIMIGAL</t>
        </is>
      </c>
    </row>
    <row r="2073">
      <c r="A2073" s="35" t="inlineStr">
        <is>
          <t>Route 31</t>
        </is>
      </c>
      <c r="B2073" s="35" t="inlineStr">
        <is>
          <t>Route31_hns</t>
        </is>
      </c>
      <c r="C2073" s="33" t="inlineStr">
        <is>
          <t>Matin, jour, soir</t>
        </is>
      </c>
      <c r="D2073" s="54" t="inlineStr">
        <is>
          <t>Vieille Canne</t>
        </is>
      </c>
      <c r="E2073" s="37" t="inlineStr">
        <is>
          <t>MAGICARPE</t>
        </is>
      </c>
      <c r="F2073" s="38" t="n">
        <v>0.7</v>
      </c>
      <c r="G2073" s="39" t="n">
        <v>10</v>
      </c>
      <c r="H2073" s="39" t="n">
        <v>10</v>
      </c>
      <c r="I2073" s="29">
        <f>IF(OR(COUNTIF('Suivi des rencontres'!$A:$A,$A2073)&gt;0,COUNTIF('Suivi des rencontres'!$C:$C,$J2073)&gt;0),"Non","Oui")</f>
        <v/>
      </c>
      <c r="J2073" s="30" t="inlineStr">
        <is>
          <t>MAGICARPE</t>
        </is>
      </c>
    </row>
    <row r="2074">
      <c r="A2074" s="35" t="inlineStr">
        <is>
          <t>Route 31</t>
        </is>
      </c>
      <c r="B2074" s="35" t="inlineStr">
        <is>
          <t>Route31_hns</t>
        </is>
      </c>
      <c r="C2074" s="33" t="inlineStr">
        <is>
          <t>Matin, jour, soir</t>
        </is>
      </c>
      <c r="D2074" s="54" t="inlineStr">
        <is>
          <t>Vieille Canne</t>
        </is>
      </c>
      <c r="E2074" s="37" t="inlineStr">
        <is>
          <t>PTITARD</t>
        </is>
      </c>
      <c r="F2074" s="38" t="n">
        <v>0.3</v>
      </c>
      <c r="G2074" s="39" t="n">
        <v>10</v>
      </c>
      <c r="H2074" s="39" t="n">
        <v>10</v>
      </c>
      <c r="I2074" s="29">
        <f>IF(OR(COUNTIF('Suivi des rencontres'!$A:$A,$A2074)&gt;0,COUNTIF('Suivi des rencontres'!$C:$C,$J2074)&gt;0),"Non","Oui")</f>
        <v/>
      </c>
      <c r="J2074" s="30" t="inlineStr">
        <is>
          <t>PTITARD</t>
        </is>
      </c>
    </row>
    <row r="2075">
      <c r="A2075" s="35" t="inlineStr">
        <is>
          <t>Route 31</t>
        </is>
      </c>
      <c r="B2075" s="35" t="inlineStr">
        <is>
          <t>Route31_hns</t>
        </is>
      </c>
      <c r="C2075" s="62" t="inlineStr">
        <is>
          <t>Nuit</t>
        </is>
      </c>
      <c r="D2075" s="54" t="inlineStr">
        <is>
          <t>Vieille Canne</t>
        </is>
      </c>
      <c r="E2075" s="37" t="inlineStr">
        <is>
          <t>MAGICARPE</t>
        </is>
      </c>
      <c r="F2075" s="38" t="n">
        <v>0.7</v>
      </c>
      <c r="G2075" s="39" t="n">
        <v>10</v>
      </c>
      <c r="H2075" s="39" t="n">
        <v>10</v>
      </c>
      <c r="I2075" s="29">
        <f>IF(OR(COUNTIF('Suivi des rencontres'!$A:$A,$A2075)&gt;0,COUNTIF('Suivi des rencontres'!$C:$C,$J2075)&gt;0),"Non","Oui")</f>
        <v/>
      </c>
      <c r="J2075" s="30" t="inlineStr">
        <is>
          <t>MAGICARPE</t>
        </is>
      </c>
    </row>
    <row r="2076">
      <c r="A2076" s="35" t="inlineStr">
        <is>
          <t>Route 31</t>
        </is>
      </c>
      <c r="B2076" s="35" t="inlineStr">
        <is>
          <t>Route31_hns</t>
        </is>
      </c>
      <c r="C2076" s="62" t="inlineStr">
        <is>
          <t>Nuit</t>
        </is>
      </c>
      <c r="D2076" s="54" t="inlineStr">
        <is>
          <t>Vieille Canne</t>
        </is>
      </c>
      <c r="E2076" s="37" t="inlineStr">
        <is>
          <t>PTITARD</t>
        </is>
      </c>
      <c r="F2076" s="38" t="n">
        <v>0.3</v>
      </c>
      <c r="G2076" s="39" t="n">
        <v>10</v>
      </c>
      <c r="H2076" s="39" t="n">
        <v>10</v>
      </c>
      <c r="I2076" s="29">
        <f>IF(OR(COUNTIF('Suivi des rencontres'!$A:$A,$A2076)&gt;0,COUNTIF('Suivi des rencontres'!$C:$C,$J2076)&gt;0),"Non","Oui")</f>
        <v/>
      </c>
      <c r="J2076" s="30" t="inlineStr">
        <is>
          <t>PTITARD</t>
        </is>
      </c>
    </row>
    <row r="2077">
      <c r="A2077" s="35" t="inlineStr">
        <is>
          <t>Route 31</t>
        </is>
      </c>
      <c r="B2077" s="35" t="inlineStr">
        <is>
          <t>Route31_hns</t>
        </is>
      </c>
      <c r="C2077" s="33" t="inlineStr">
        <is>
          <t>Matin, jour, soir</t>
        </is>
      </c>
      <c r="D2077" s="55" t="inlineStr">
        <is>
          <t>Bonne Canne</t>
        </is>
      </c>
      <c r="E2077" s="37" t="inlineStr">
        <is>
          <t>PTITARD</t>
        </is>
      </c>
      <c r="F2077" s="38" t="n">
        <v>0.8</v>
      </c>
      <c r="G2077" s="39" t="n">
        <v>20</v>
      </c>
      <c r="H2077" s="39" t="n">
        <v>40</v>
      </c>
      <c r="I2077" s="29">
        <f>IF(OR(COUNTIF('Suivi des rencontres'!$A:$A,$A2077)&gt;0,COUNTIF('Suivi des rencontres'!$C:$C,$J2077)&gt;0),"Non","Oui")</f>
        <v/>
      </c>
      <c r="J2077" s="30" t="inlineStr">
        <is>
          <t>PTITARD</t>
        </is>
      </c>
    </row>
    <row r="2078">
      <c r="A2078" s="35" t="inlineStr">
        <is>
          <t>Route 31</t>
        </is>
      </c>
      <c r="B2078" s="35" t="inlineStr">
        <is>
          <t>Route31_hns</t>
        </is>
      </c>
      <c r="C2078" s="33" t="inlineStr">
        <is>
          <t>Matin, jour, soir</t>
        </is>
      </c>
      <c r="D2078" s="55" t="inlineStr">
        <is>
          <t>Bonne Canne</t>
        </is>
      </c>
      <c r="E2078" s="37" t="inlineStr">
        <is>
          <t>MAGICARPE</t>
        </is>
      </c>
      <c r="F2078" s="38" t="n">
        <v>0.2</v>
      </c>
      <c r="G2078" s="39" t="n">
        <v>20</v>
      </c>
      <c r="H2078" s="39" t="n">
        <v>20</v>
      </c>
      <c r="I2078" s="29">
        <f>IF(OR(COUNTIF('Suivi des rencontres'!$A:$A,$A2078)&gt;0,COUNTIF('Suivi des rencontres'!$C:$C,$J2078)&gt;0),"Non","Oui")</f>
        <v/>
      </c>
      <c r="J2078" s="30" t="inlineStr">
        <is>
          <t>MAGICARPE</t>
        </is>
      </c>
    </row>
    <row r="2079">
      <c r="A2079" s="35" t="inlineStr">
        <is>
          <t>Route 31</t>
        </is>
      </c>
      <c r="B2079" s="35" t="inlineStr">
        <is>
          <t>Route31_hns</t>
        </is>
      </c>
      <c r="C2079" s="62" t="inlineStr">
        <is>
          <t>Nuit</t>
        </is>
      </c>
      <c r="D2079" s="55" t="inlineStr">
        <is>
          <t>Bonne Canne</t>
        </is>
      </c>
      <c r="E2079" s="37" t="inlineStr">
        <is>
          <t>PTITARD</t>
        </is>
      </c>
      <c r="F2079" s="38" t="n">
        <v>0.8</v>
      </c>
      <c r="G2079" s="39" t="n">
        <v>20</v>
      </c>
      <c r="H2079" s="39" t="n">
        <v>40</v>
      </c>
      <c r="I2079" s="29">
        <f>IF(OR(COUNTIF('Suivi des rencontres'!$A:$A,$A2079)&gt;0,COUNTIF('Suivi des rencontres'!$C:$C,$J2079)&gt;0),"Non","Oui")</f>
        <v/>
      </c>
      <c r="J2079" s="30" t="inlineStr">
        <is>
          <t>PTITARD</t>
        </is>
      </c>
    </row>
    <row r="2080">
      <c r="A2080" s="35" t="inlineStr">
        <is>
          <t>Route 31</t>
        </is>
      </c>
      <c r="B2080" s="35" t="inlineStr">
        <is>
          <t>Route31_hns</t>
        </is>
      </c>
      <c r="C2080" s="62" t="inlineStr">
        <is>
          <t>Nuit</t>
        </is>
      </c>
      <c r="D2080" s="55" t="inlineStr">
        <is>
          <t>Bonne Canne</t>
        </is>
      </c>
      <c r="E2080" s="37" t="inlineStr">
        <is>
          <t>MAGICARPE</t>
        </is>
      </c>
      <c r="F2080" s="38" t="n">
        <v>0.2</v>
      </c>
      <c r="G2080" s="39" t="n">
        <v>20</v>
      </c>
      <c r="H2080" s="39" t="n">
        <v>20</v>
      </c>
      <c r="I2080" s="29">
        <f>IF(OR(COUNTIF('Suivi des rencontres'!$A:$A,$A2080)&gt;0,COUNTIF('Suivi des rencontres'!$C:$C,$J2080)&gt;0),"Non","Oui")</f>
        <v/>
      </c>
      <c r="J2080" s="30" t="inlineStr">
        <is>
          <t>MAGICARPE</t>
        </is>
      </c>
    </row>
    <row r="2081">
      <c r="A2081" s="35" t="inlineStr">
        <is>
          <t>Route 31</t>
        </is>
      </c>
      <c r="B2081" s="35" t="inlineStr">
        <is>
          <t>Route31_hns</t>
        </is>
      </c>
      <c r="C2081" s="33" t="inlineStr">
        <is>
          <t>Matin, jour, soir</t>
        </is>
      </c>
      <c r="D2081" s="56" t="inlineStr">
        <is>
          <t>Super Canne</t>
        </is>
      </c>
      <c r="E2081" s="37" t="inlineStr">
        <is>
          <t>MAGICARPE</t>
        </is>
      </c>
      <c r="F2081" s="38" t="n">
        <v>0.44</v>
      </c>
      <c r="G2081" s="39" t="n">
        <v>10</v>
      </c>
      <c r="H2081" s="39" t="n">
        <v>40</v>
      </c>
      <c r="I2081" s="29">
        <f>IF(OR(COUNTIF('Suivi des rencontres'!$A:$A,$A2081)&gt;0,COUNTIF('Suivi des rencontres'!$C:$C,$J2081)&gt;0),"Non","Oui")</f>
        <v/>
      </c>
      <c r="J2081" s="30" t="inlineStr">
        <is>
          <t>MAGICARPE</t>
        </is>
      </c>
    </row>
    <row r="2082">
      <c r="A2082" s="35" t="inlineStr">
        <is>
          <t>Route 31</t>
        </is>
      </c>
      <c r="B2082" s="35" t="inlineStr">
        <is>
          <t>Route31_hns</t>
        </is>
      </c>
      <c r="C2082" s="33" t="inlineStr">
        <is>
          <t>Matin, jour, soir</t>
        </is>
      </c>
      <c r="D2082" s="56" t="inlineStr">
        <is>
          <t>Super Canne</t>
        </is>
      </c>
      <c r="E2082" s="37" t="inlineStr">
        <is>
          <t>TETARTE</t>
        </is>
      </c>
      <c r="F2082" s="38" t="n">
        <v>0.4</v>
      </c>
      <c r="G2082" s="39" t="n">
        <v>40</v>
      </c>
      <c r="H2082" s="39" t="n">
        <v>40</v>
      </c>
      <c r="I2082" s="29">
        <f>IF(OR(COUNTIF('Suivi des rencontres'!$A:$A,$A2082)&gt;0,COUNTIF('Suivi des rencontres'!$C:$C,$J2082)&gt;0),"Non","Oui")</f>
        <v/>
      </c>
      <c r="J2082" s="30" t="inlineStr">
        <is>
          <t>PTITARD</t>
        </is>
      </c>
    </row>
    <row r="2083">
      <c r="A2083" s="35" t="inlineStr">
        <is>
          <t>Route 31</t>
        </is>
      </c>
      <c r="B2083" s="35" t="inlineStr">
        <is>
          <t>Route31_hns</t>
        </is>
      </c>
      <c r="C2083" s="33" t="inlineStr">
        <is>
          <t>Matin, jour, soir</t>
        </is>
      </c>
      <c r="D2083" s="56" t="inlineStr">
        <is>
          <t>Super Canne</t>
        </is>
      </c>
      <c r="E2083" s="37" t="inlineStr">
        <is>
          <t>PTITARD</t>
        </is>
      </c>
      <c r="F2083" s="38" t="n">
        <v>0.16</v>
      </c>
      <c r="G2083" s="39" t="n">
        <v>20</v>
      </c>
      <c r="H2083" s="39" t="n">
        <v>40</v>
      </c>
      <c r="I2083" s="29">
        <f>IF(OR(COUNTIF('Suivi des rencontres'!$A:$A,$A2083)&gt;0,COUNTIF('Suivi des rencontres'!$C:$C,$J2083)&gt;0),"Non","Oui")</f>
        <v/>
      </c>
      <c r="J2083" s="30" t="inlineStr">
        <is>
          <t>PTITARD</t>
        </is>
      </c>
    </row>
    <row r="2084">
      <c r="A2084" s="35" t="inlineStr">
        <is>
          <t>Route 31</t>
        </is>
      </c>
      <c r="B2084" s="35" t="inlineStr">
        <is>
          <t>Route31_hns</t>
        </is>
      </c>
      <c r="C2084" s="62" t="inlineStr">
        <is>
          <t>Nuit</t>
        </is>
      </c>
      <c r="D2084" s="56" t="inlineStr">
        <is>
          <t>Super Canne</t>
        </is>
      </c>
      <c r="E2084" s="37" t="inlineStr">
        <is>
          <t>MAGICARPE</t>
        </is>
      </c>
      <c r="F2084" s="38" t="n">
        <v>0.44</v>
      </c>
      <c r="G2084" s="39" t="n">
        <v>10</v>
      </c>
      <c r="H2084" s="39" t="n">
        <v>40</v>
      </c>
      <c r="I2084" s="29">
        <f>IF(OR(COUNTIF('Suivi des rencontres'!$A:$A,$A2084)&gt;0,COUNTIF('Suivi des rencontres'!$C:$C,$J2084)&gt;0),"Non","Oui")</f>
        <v/>
      </c>
      <c r="J2084" s="30" t="inlineStr">
        <is>
          <t>MAGICARPE</t>
        </is>
      </c>
    </row>
    <row r="2085">
      <c r="A2085" s="35" t="inlineStr">
        <is>
          <t>Route 31</t>
        </is>
      </c>
      <c r="B2085" s="35" t="inlineStr">
        <is>
          <t>Route31_hns</t>
        </is>
      </c>
      <c r="C2085" s="62" t="inlineStr">
        <is>
          <t>Nuit</t>
        </is>
      </c>
      <c r="D2085" s="56" t="inlineStr">
        <is>
          <t>Super Canne</t>
        </is>
      </c>
      <c r="E2085" s="37" t="inlineStr">
        <is>
          <t>TETARTE</t>
        </is>
      </c>
      <c r="F2085" s="38" t="n">
        <v>0.4</v>
      </c>
      <c r="G2085" s="39" t="n">
        <v>40</v>
      </c>
      <c r="H2085" s="39" t="n">
        <v>40</v>
      </c>
      <c r="I2085" s="29">
        <f>IF(OR(COUNTIF('Suivi des rencontres'!$A:$A,$A2085)&gt;0,COUNTIF('Suivi des rencontres'!$C:$C,$J2085)&gt;0),"Non","Oui")</f>
        <v/>
      </c>
      <c r="J2085" s="30" t="inlineStr">
        <is>
          <t>PTITARD</t>
        </is>
      </c>
    </row>
    <row r="2086">
      <c r="A2086" s="35" t="inlineStr">
        <is>
          <t>Route 31</t>
        </is>
      </c>
      <c r="B2086" s="35" t="inlineStr">
        <is>
          <t>Route31_hns</t>
        </is>
      </c>
      <c r="C2086" s="62" t="inlineStr">
        <is>
          <t>Nuit</t>
        </is>
      </c>
      <c r="D2086" s="56" t="inlineStr">
        <is>
          <t>Super Canne</t>
        </is>
      </c>
      <c r="E2086" s="37" t="inlineStr">
        <is>
          <t>PTITARD</t>
        </is>
      </c>
      <c r="F2086" s="38" t="n">
        <v>0.16</v>
      </c>
      <c r="G2086" s="39" t="n">
        <v>20</v>
      </c>
      <c r="H2086" s="39" t="n">
        <v>40</v>
      </c>
      <c r="I2086" s="29">
        <f>IF(OR(COUNTIF('Suivi des rencontres'!$A:$A,$A2086)&gt;0,COUNTIF('Suivi des rencontres'!$C:$C,$J2086)&gt;0),"Non","Oui")</f>
        <v/>
      </c>
      <c r="J2086" s="30" t="inlineStr">
        <is>
          <t>PTITARD</t>
        </is>
      </c>
    </row>
    <row r="2087">
      <c r="A2087" s="40" t="inlineStr">
        <is>
          <t>Route 32</t>
        </is>
      </c>
      <c r="B2087" s="40" t="inlineStr">
        <is>
          <t>Route32_hns</t>
        </is>
      </c>
      <c r="C2087" s="41" t="inlineStr">
        <is>
          <t>Matin, jour, soir</t>
        </is>
      </c>
      <c r="D2087" s="42" t="inlineStr">
        <is>
          <t>Herbe</t>
        </is>
      </c>
      <c r="E2087" s="43" t="inlineStr">
        <is>
          <t>WATTOUAT</t>
        </is>
      </c>
      <c r="F2087" s="44" t="n">
        <v>0.5</v>
      </c>
      <c r="G2087" s="45" t="n">
        <v>5</v>
      </c>
      <c r="H2087" s="45" t="n">
        <v>7</v>
      </c>
      <c r="I2087" s="46">
        <f>IF(OR(COUNTIF('Suivi des rencontres'!$A:$A,$A2087)&gt;0,COUNTIF('Suivi des rencontres'!$C:$C,$J2087)&gt;0),"Non","Oui")</f>
        <v/>
      </c>
      <c r="J2087" s="30" t="inlineStr">
        <is>
          <t>WATTOUAT</t>
        </is>
      </c>
    </row>
    <row r="2088">
      <c r="A2088" s="47" t="inlineStr">
        <is>
          <t>Route 32</t>
        </is>
      </c>
      <c r="B2088" s="47" t="inlineStr">
        <is>
          <t>Route32_hns</t>
        </is>
      </c>
      <c r="C2088" s="48" t="inlineStr">
        <is>
          <t>Matin, jour, soir</t>
        </is>
      </c>
      <c r="D2088" s="49" t="inlineStr">
        <is>
          <t>Herbe</t>
        </is>
      </c>
      <c r="E2088" s="50" t="inlineStr">
        <is>
          <t>AXOLOTO</t>
        </is>
      </c>
      <c r="F2088" s="51" t="n">
        <v>0.3</v>
      </c>
      <c r="G2088" s="52" t="n">
        <v>7</v>
      </c>
      <c r="H2088" s="52" t="n">
        <v>7</v>
      </c>
      <c r="I2088" s="29">
        <f>IF(OR(COUNTIF('Suivi des rencontres'!$A:$A,$A2088)&gt;0,COUNTIF('Suivi des rencontres'!$C:$C,$J2088)&gt;0),"Non","Oui")</f>
        <v/>
      </c>
      <c r="J2088" s="30" t="inlineStr">
        <is>
          <t>AXOLOTO</t>
        </is>
      </c>
    </row>
    <row r="2089">
      <c r="A2089" s="47" t="inlineStr">
        <is>
          <t>Route 32</t>
        </is>
      </c>
      <c r="B2089" s="47" t="inlineStr">
        <is>
          <t>Route32_hns</t>
        </is>
      </c>
      <c r="C2089" s="48" t="inlineStr">
        <is>
          <t>Matin, jour, soir</t>
        </is>
      </c>
      <c r="D2089" s="49" t="inlineStr">
        <is>
          <t>Herbe</t>
        </is>
      </c>
      <c r="E2089" s="50" t="inlineStr">
        <is>
          <t>ABO</t>
        </is>
      </c>
      <c r="F2089" s="51" t="n">
        <v>0.1</v>
      </c>
      <c r="G2089" s="52" t="n">
        <v>6</v>
      </c>
      <c r="H2089" s="52" t="n">
        <v>6</v>
      </c>
      <c r="I2089" s="29">
        <f>IF(OR(COUNTIF('Suivi des rencontres'!$A:$A,$A2089)&gt;0,COUNTIF('Suivi des rencontres'!$C:$C,$J2089)&gt;0),"Non","Oui")</f>
        <v/>
      </c>
      <c r="J2089" s="30" t="inlineStr">
        <is>
          <t>ABO</t>
        </is>
      </c>
    </row>
    <row r="2090">
      <c r="A2090" s="47" t="inlineStr">
        <is>
          <t>Route 32</t>
        </is>
      </c>
      <c r="B2090" s="47" t="inlineStr">
        <is>
          <t>Route32_hns</t>
        </is>
      </c>
      <c r="C2090" s="48" t="inlineStr">
        <is>
          <t>Matin, jour, soir</t>
        </is>
      </c>
      <c r="D2090" s="49" t="inlineStr">
        <is>
          <t>Herbe</t>
        </is>
      </c>
      <c r="E2090" s="50" t="inlineStr">
        <is>
          <t>CHETIFLOR</t>
        </is>
      </c>
      <c r="F2090" s="51" t="n">
        <v>0.05</v>
      </c>
      <c r="G2090" s="52" t="n">
        <v>7</v>
      </c>
      <c r="H2090" s="52" t="n">
        <v>7</v>
      </c>
      <c r="I2090" s="29">
        <f>IF(OR(COUNTIF('Suivi des rencontres'!$A:$A,$A2090)&gt;0,COUNTIF('Suivi des rencontres'!$C:$C,$J2090)&gt;0),"Non","Oui")</f>
        <v/>
      </c>
      <c r="J2090" s="30" t="inlineStr">
        <is>
          <t>CHETIFLOR</t>
        </is>
      </c>
    </row>
    <row r="2091">
      <c r="A2091" s="47" t="inlineStr">
        <is>
          <t>Route 32</t>
        </is>
      </c>
      <c r="B2091" s="47" t="inlineStr">
        <is>
          <t>Route32_hns</t>
        </is>
      </c>
      <c r="C2091" s="48" t="inlineStr">
        <is>
          <t>Matin, jour, soir</t>
        </is>
      </c>
      <c r="D2091" s="49" t="inlineStr">
        <is>
          <t>Herbe</t>
        </is>
      </c>
      <c r="E2091" s="50" t="inlineStr">
        <is>
          <t>ROUCOOL</t>
        </is>
      </c>
      <c r="F2091" s="51" t="n">
        <v>0.05</v>
      </c>
      <c r="G2091" s="52" t="n">
        <v>7</v>
      </c>
      <c r="H2091" s="52" t="n">
        <v>7</v>
      </c>
      <c r="I2091" s="29">
        <f>IF(OR(COUNTIF('Suivi des rencontres'!$A:$A,$A2091)&gt;0,COUNTIF('Suivi des rencontres'!$C:$C,$J2091)&gt;0),"Non","Oui")</f>
        <v/>
      </c>
      <c r="J2091" s="30" t="inlineStr">
        <is>
          <t>ROUCOOL</t>
        </is>
      </c>
    </row>
    <row r="2092">
      <c r="A2092" s="47" t="inlineStr">
        <is>
          <t>Route 32</t>
        </is>
      </c>
      <c r="B2092" s="47" t="inlineStr">
        <is>
          <t>Route32_hns</t>
        </is>
      </c>
      <c r="C2092" s="62" t="inlineStr">
        <is>
          <t>Nuit</t>
        </is>
      </c>
      <c r="D2092" s="49" t="inlineStr">
        <is>
          <t>Herbe</t>
        </is>
      </c>
      <c r="E2092" s="50" t="inlineStr">
        <is>
          <t>AXOLOTO</t>
        </is>
      </c>
      <c r="F2092" s="51" t="n">
        <v>0.5</v>
      </c>
      <c r="G2092" s="52" t="n">
        <v>5</v>
      </c>
      <c r="H2092" s="52" t="n">
        <v>7</v>
      </c>
      <c r="I2092" s="29">
        <f>IF(OR(COUNTIF('Suivi des rencontres'!$A:$A,$A2092)&gt;0,COUNTIF('Suivi des rencontres'!$C:$C,$J2092)&gt;0),"Non","Oui")</f>
        <v/>
      </c>
      <c r="J2092" s="30" t="inlineStr">
        <is>
          <t>AXOLOTO</t>
        </is>
      </c>
    </row>
    <row r="2093">
      <c r="A2093" s="47" t="inlineStr">
        <is>
          <t>Route 32</t>
        </is>
      </c>
      <c r="B2093" s="47" t="inlineStr">
        <is>
          <t>Route32_hns</t>
        </is>
      </c>
      <c r="C2093" s="62" t="inlineStr">
        <is>
          <t>Nuit</t>
        </is>
      </c>
      <c r="D2093" s="49" t="inlineStr">
        <is>
          <t>Herbe</t>
        </is>
      </c>
      <c r="E2093" s="50" t="inlineStr">
        <is>
          <t>NOSFERAPTI</t>
        </is>
      </c>
      <c r="F2093" s="51" t="n">
        <v>0.3</v>
      </c>
      <c r="G2093" s="52" t="n">
        <v>7</v>
      </c>
      <c r="H2093" s="52" t="n">
        <v>7</v>
      </c>
      <c r="I2093" s="29">
        <f>IF(OR(COUNTIF('Suivi des rencontres'!$A:$A,$A2093)&gt;0,COUNTIF('Suivi des rencontres'!$C:$C,$J2093)&gt;0),"Non","Oui")</f>
        <v/>
      </c>
      <c r="J2093" s="30" t="inlineStr">
        <is>
          <t>NOSFERAPTI</t>
        </is>
      </c>
    </row>
    <row r="2094">
      <c r="A2094" s="47" t="inlineStr">
        <is>
          <t>Route 32</t>
        </is>
      </c>
      <c r="B2094" s="47" t="inlineStr">
        <is>
          <t>Route32_hns</t>
        </is>
      </c>
      <c r="C2094" s="62" t="inlineStr">
        <is>
          <t>Nuit</t>
        </is>
      </c>
      <c r="D2094" s="49" t="inlineStr">
        <is>
          <t>Herbe</t>
        </is>
      </c>
      <c r="E2094" s="50" t="inlineStr">
        <is>
          <t>FANTOMINUS</t>
        </is>
      </c>
      <c r="F2094" s="51" t="n">
        <v>0.15</v>
      </c>
      <c r="G2094" s="52" t="n">
        <v>6</v>
      </c>
      <c r="H2094" s="52" t="n">
        <v>6</v>
      </c>
      <c r="I2094" s="29">
        <f>IF(OR(COUNTIF('Suivi des rencontres'!$A:$A,$A2094)&gt;0,COUNTIF('Suivi des rencontres'!$C:$C,$J2094)&gt;0),"Non","Oui")</f>
        <v/>
      </c>
      <c r="J2094" s="30" t="inlineStr">
        <is>
          <t>FANTOMINUS</t>
        </is>
      </c>
    </row>
    <row r="2095">
      <c r="A2095" s="47" t="inlineStr">
        <is>
          <t>Route 32</t>
        </is>
      </c>
      <c r="B2095" s="47" t="inlineStr">
        <is>
          <t>Route32_hns</t>
        </is>
      </c>
      <c r="C2095" s="62" t="inlineStr">
        <is>
          <t>Nuit</t>
        </is>
      </c>
      <c r="D2095" s="49" t="inlineStr">
        <is>
          <t>Herbe</t>
        </is>
      </c>
      <c r="E2095" s="50" t="inlineStr">
        <is>
          <t>WATTOUAT</t>
        </is>
      </c>
      <c r="F2095" s="51" t="n">
        <v>0.05</v>
      </c>
      <c r="G2095" s="52" t="n">
        <v>7</v>
      </c>
      <c r="H2095" s="52" t="n">
        <v>7</v>
      </c>
      <c r="I2095" s="29">
        <f>IF(OR(COUNTIF('Suivi des rencontres'!$A:$A,$A2095)&gt;0,COUNTIF('Suivi des rencontres'!$C:$C,$J2095)&gt;0),"Non","Oui")</f>
        <v/>
      </c>
      <c r="J2095" s="30" t="inlineStr">
        <is>
          <t>WATTOUAT</t>
        </is>
      </c>
    </row>
    <row r="2096">
      <c r="A2096" s="47" t="inlineStr">
        <is>
          <t>Route 32</t>
        </is>
      </c>
      <c r="B2096" s="47" t="inlineStr">
        <is>
          <t>Route32_hns</t>
        </is>
      </c>
      <c r="C2096" s="48" t="inlineStr">
        <is>
          <t>Matin, jour, soir</t>
        </is>
      </c>
      <c r="D2096" s="53" t="inlineStr">
        <is>
          <t>Surf</t>
        </is>
      </c>
      <c r="E2096" s="50" t="inlineStr">
        <is>
          <t>TENTACOOL</t>
        </is>
      </c>
      <c r="F2096" s="51" t="n">
        <v>0.9</v>
      </c>
      <c r="G2096" s="52" t="n">
        <v>15</v>
      </c>
      <c r="H2096" s="52" t="n">
        <v>19</v>
      </c>
      <c r="I2096" s="29">
        <f>IF(OR(COUNTIF('Suivi des rencontres'!$A:$A,$A2096)&gt;0,COUNTIF('Suivi des rencontres'!$C:$C,$J2096)&gt;0),"Non","Oui")</f>
        <v/>
      </c>
      <c r="J2096" s="30" t="inlineStr">
        <is>
          <t>TENTACOOL</t>
        </is>
      </c>
    </row>
    <row r="2097">
      <c r="A2097" s="47" t="inlineStr">
        <is>
          <t>Route 32</t>
        </is>
      </c>
      <c r="B2097" s="47" t="inlineStr">
        <is>
          <t>Route32_hns</t>
        </is>
      </c>
      <c r="C2097" s="48" t="inlineStr">
        <is>
          <t>Matin, jour, soir</t>
        </is>
      </c>
      <c r="D2097" s="53" t="inlineStr">
        <is>
          <t>Surf</t>
        </is>
      </c>
      <c r="E2097" s="50" t="inlineStr">
        <is>
          <t>MARAISTE</t>
        </is>
      </c>
      <c r="F2097" s="51" t="n">
        <v>0.06</v>
      </c>
      <c r="G2097" s="52" t="n">
        <v>20</v>
      </c>
      <c r="H2097" s="52" t="n">
        <v>24</v>
      </c>
      <c r="I2097" s="29">
        <f>IF(OR(COUNTIF('Suivi des rencontres'!$A:$A,$A2097)&gt;0,COUNTIF('Suivi des rencontres'!$C:$C,$J2097)&gt;0),"Non","Oui")</f>
        <v/>
      </c>
      <c r="J2097" s="30" t="inlineStr">
        <is>
          <t>AXOLOTO</t>
        </is>
      </c>
    </row>
    <row r="2098">
      <c r="A2098" s="47" t="inlineStr">
        <is>
          <t>Route 32</t>
        </is>
      </c>
      <c r="B2098" s="47" t="inlineStr">
        <is>
          <t>Route32_hns</t>
        </is>
      </c>
      <c r="C2098" s="48" t="inlineStr">
        <is>
          <t>Matin, jour, soir</t>
        </is>
      </c>
      <c r="D2098" s="53" t="inlineStr">
        <is>
          <t>Surf</t>
        </is>
      </c>
      <c r="E2098" s="50" t="inlineStr">
        <is>
          <t>TENTACRUEL</t>
        </is>
      </c>
      <c r="F2098" s="51" t="n">
        <v>0.04</v>
      </c>
      <c r="G2098" s="52" t="n">
        <v>20</v>
      </c>
      <c r="H2098" s="52" t="n">
        <v>24</v>
      </c>
      <c r="I2098" s="29">
        <f>IF(OR(COUNTIF('Suivi des rencontres'!$A:$A,$A2098)&gt;0,COUNTIF('Suivi des rencontres'!$C:$C,$J2098)&gt;0),"Non","Oui")</f>
        <v/>
      </c>
      <c r="J2098" s="30" t="inlineStr">
        <is>
          <t>TENTACOOL</t>
        </is>
      </c>
    </row>
    <row r="2099">
      <c r="A2099" s="47" t="inlineStr">
        <is>
          <t>Route 32</t>
        </is>
      </c>
      <c r="B2099" s="47" t="inlineStr">
        <is>
          <t>Route32_hns</t>
        </is>
      </c>
      <c r="C2099" s="62" t="inlineStr">
        <is>
          <t>Nuit</t>
        </is>
      </c>
      <c r="D2099" s="53" t="inlineStr">
        <is>
          <t>Surf</t>
        </is>
      </c>
      <c r="E2099" s="50" t="inlineStr">
        <is>
          <t>TENTACOOL</t>
        </is>
      </c>
      <c r="F2099" s="51" t="n">
        <v>0.9</v>
      </c>
      <c r="G2099" s="52" t="n">
        <v>15</v>
      </c>
      <c r="H2099" s="52" t="n">
        <v>19</v>
      </c>
      <c r="I2099" s="29">
        <f>IF(OR(COUNTIF('Suivi des rencontres'!$A:$A,$A2099)&gt;0,COUNTIF('Suivi des rencontres'!$C:$C,$J2099)&gt;0),"Non","Oui")</f>
        <v/>
      </c>
      <c r="J2099" s="30" t="inlineStr">
        <is>
          <t>TENTACOOL</t>
        </is>
      </c>
    </row>
    <row r="2100">
      <c r="A2100" s="47" t="inlineStr">
        <is>
          <t>Route 32</t>
        </is>
      </c>
      <c r="B2100" s="47" t="inlineStr">
        <is>
          <t>Route32_hns</t>
        </is>
      </c>
      <c r="C2100" s="62" t="inlineStr">
        <is>
          <t>Nuit</t>
        </is>
      </c>
      <c r="D2100" s="53" t="inlineStr">
        <is>
          <t>Surf</t>
        </is>
      </c>
      <c r="E2100" s="50" t="inlineStr">
        <is>
          <t>MARAISTE</t>
        </is>
      </c>
      <c r="F2100" s="51" t="n">
        <v>0.06</v>
      </c>
      <c r="G2100" s="52" t="n">
        <v>20</v>
      </c>
      <c r="H2100" s="52" t="n">
        <v>24</v>
      </c>
      <c r="I2100" s="29">
        <f>IF(OR(COUNTIF('Suivi des rencontres'!$A:$A,$A2100)&gt;0,COUNTIF('Suivi des rencontres'!$C:$C,$J2100)&gt;0),"Non","Oui")</f>
        <v/>
      </c>
      <c r="J2100" s="30" t="inlineStr">
        <is>
          <t>AXOLOTO</t>
        </is>
      </c>
    </row>
    <row r="2101">
      <c r="A2101" s="47" t="inlineStr">
        <is>
          <t>Route 32</t>
        </is>
      </c>
      <c r="B2101" s="47" t="inlineStr">
        <is>
          <t>Route32_hns</t>
        </is>
      </c>
      <c r="C2101" s="62" t="inlineStr">
        <is>
          <t>Nuit</t>
        </is>
      </c>
      <c r="D2101" s="53" t="inlineStr">
        <is>
          <t>Surf</t>
        </is>
      </c>
      <c r="E2101" s="50" t="inlineStr">
        <is>
          <t>TENTACRUEL</t>
        </is>
      </c>
      <c r="F2101" s="51" t="n">
        <v>0.04</v>
      </c>
      <c r="G2101" s="52" t="n">
        <v>20</v>
      </c>
      <c r="H2101" s="52" t="n">
        <v>24</v>
      </c>
      <c r="I2101" s="29">
        <f>IF(OR(COUNTIF('Suivi des rencontres'!$A:$A,$A2101)&gt;0,COUNTIF('Suivi des rencontres'!$C:$C,$J2101)&gt;0),"Non","Oui")</f>
        <v/>
      </c>
      <c r="J2101" s="30" t="inlineStr">
        <is>
          <t>TENTACOOL</t>
        </is>
      </c>
    </row>
    <row r="2102">
      <c r="A2102" s="47" t="inlineStr">
        <is>
          <t>Route 32</t>
        </is>
      </c>
      <c r="B2102" s="47" t="inlineStr">
        <is>
          <t>Route32_hns</t>
        </is>
      </c>
      <c r="C2102" s="48" t="inlineStr">
        <is>
          <t>Matin, jour, soir</t>
        </is>
      </c>
      <c r="D2102" s="36" t="inlineStr">
        <is>
          <t>Éclate-Roc</t>
        </is>
      </c>
      <c r="E2102" s="50" t="inlineStr">
        <is>
          <t>POMDEPIK</t>
        </is>
      </c>
      <c r="F2102" s="51" t="n">
        <v>0.6</v>
      </c>
      <c r="G2102" s="52" t="n">
        <v>10</v>
      </c>
      <c r="H2102" s="52" t="n">
        <v>10</v>
      </c>
      <c r="I2102" s="29">
        <f>IF(OR(COUNTIF('Suivi des rencontres'!$A:$A,$A2102)&gt;0,COUNTIF('Suivi des rencontres'!$C:$C,$J2102)&gt;0),"Non","Oui")</f>
        <v/>
      </c>
      <c r="J2102" s="30" t="inlineStr">
        <is>
          <t>POMDEPIK</t>
        </is>
      </c>
    </row>
    <row r="2103">
      <c r="A2103" s="47" t="inlineStr">
        <is>
          <t>Route 32</t>
        </is>
      </c>
      <c r="B2103" s="47" t="inlineStr">
        <is>
          <t>Route32_hns</t>
        </is>
      </c>
      <c r="C2103" s="48" t="inlineStr">
        <is>
          <t>Matin, jour, soir</t>
        </is>
      </c>
      <c r="D2103" s="36" t="inlineStr">
        <is>
          <t>Éclate-Roc</t>
        </is>
      </c>
      <c r="E2103" s="50" t="inlineStr">
        <is>
          <t>NOEUNOEUF</t>
        </is>
      </c>
      <c r="F2103" s="51" t="n">
        <v>0.3</v>
      </c>
      <c r="G2103" s="52" t="n">
        <v>10</v>
      </c>
      <c r="H2103" s="52" t="n">
        <v>10</v>
      </c>
      <c r="I2103" s="29">
        <f>IF(OR(COUNTIF('Suivi des rencontres'!$A:$A,$A2103)&gt;0,COUNTIF('Suivi des rencontres'!$C:$C,$J2103)&gt;0),"Non","Oui")</f>
        <v/>
      </c>
      <c r="J2103" s="30" t="inlineStr">
        <is>
          <t>NOEUNOEUF</t>
        </is>
      </c>
    </row>
    <row r="2104">
      <c r="A2104" s="47" t="inlineStr">
        <is>
          <t>Route 32</t>
        </is>
      </c>
      <c r="B2104" s="47" t="inlineStr">
        <is>
          <t>Route32_hns</t>
        </is>
      </c>
      <c r="C2104" s="48" t="inlineStr">
        <is>
          <t>Matin, jour, soir</t>
        </is>
      </c>
      <c r="D2104" s="36" t="inlineStr">
        <is>
          <t>Éclate-Roc</t>
        </is>
      </c>
      <c r="E2104" s="50" t="inlineStr">
        <is>
          <t>ABO</t>
        </is>
      </c>
      <c r="F2104" s="51" t="n">
        <v>0.1</v>
      </c>
      <c r="G2104" s="52" t="n">
        <v>10</v>
      </c>
      <c r="H2104" s="52" t="n">
        <v>10</v>
      </c>
      <c r="I2104" s="29">
        <f>IF(OR(COUNTIF('Suivi des rencontres'!$A:$A,$A2104)&gt;0,COUNTIF('Suivi des rencontres'!$C:$C,$J2104)&gt;0),"Non","Oui")</f>
        <v/>
      </c>
      <c r="J2104" s="30" t="inlineStr">
        <is>
          <t>ABO</t>
        </is>
      </c>
    </row>
    <row r="2105">
      <c r="A2105" s="47" t="inlineStr">
        <is>
          <t>Route 32</t>
        </is>
      </c>
      <c r="B2105" s="47" t="inlineStr">
        <is>
          <t>Route32_hns</t>
        </is>
      </c>
      <c r="C2105" s="62" t="inlineStr">
        <is>
          <t>Nuit</t>
        </is>
      </c>
      <c r="D2105" s="36" t="inlineStr">
        <is>
          <t>Éclate-Roc</t>
        </is>
      </c>
      <c r="E2105" s="50" t="inlineStr">
        <is>
          <t>POMDEPIK</t>
        </is>
      </c>
      <c r="F2105" s="51" t="n">
        <v>0.6</v>
      </c>
      <c r="G2105" s="52" t="n">
        <v>10</v>
      </c>
      <c r="H2105" s="52" t="n">
        <v>10</v>
      </c>
      <c r="I2105" s="29">
        <f>IF(OR(COUNTIF('Suivi des rencontres'!$A:$A,$A2105)&gt;0,COUNTIF('Suivi des rencontres'!$C:$C,$J2105)&gt;0),"Non","Oui")</f>
        <v/>
      </c>
      <c r="J2105" s="30" t="inlineStr">
        <is>
          <t>POMDEPIK</t>
        </is>
      </c>
    </row>
    <row r="2106">
      <c r="A2106" s="47" t="inlineStr">
        <is>
          <t>Route 32</t>
        </is>
      </c>
      <c r="B2106" s="47" t="inlineStr">
        <is>
          <t>Route32_hns</t>
        </is>
      </c>
      <c r="C2106" s="62" t="inlineStr">
        <is>
          <t>Nuit</t>
        </is>
      </c>
      <c r="D2106" s="36" t="inlineStr">
        <is>
          <t>Éclate-Roc</t>
        </is>
      </c>
      <c r="E2106" s="50" t="inlineStr">
        <is>
          <t>NOEUNOEUF</t>
        </is>
      </c>
      <c r="F2106" s="51" t="n">
        <v>0.3</v>
      </c>
      <c r="G2106" s="52" t="n">
        <v>10</v>
      </c>
      <c r="H2106" s="52" t="n">
        <v>10</v>
      </c>
      <c r="I2106" s="29">
        <f>IF(OR(COUNTIF('Suivi des rencontres'!$A:$A,$A2106)&gt;0,COUNTIF('Suivi des rencontres'!$C:$C,$J2106)&gt;0),"Non","Oui")</f>
        <v/>
      </c>
      <c r="J2106" s="30" t="inlineStr">
        <is>
          <t>NOEUNOEUF</t>
        </is>
      </c>
    </row>
    <row r="2107">
      <c r="A2107" s="47" t="inlineStr">
        <is>
          <t>Route 32</t>
        </is>
      </c>
      <c r="B2107" s="47" t="inlineStr">
        <is>
          <t>Route32_hns</t>
        </is>
      </c>
      <c r="C2107" s="62" t="inlineStr">
        <is>
          <t>Nuit</t>
        </is>
      </c>
      <c r="D2107" s="36" t="inlineStr">
        <is>
          <t>Éclate-Roc</t>
        </is>
      </c>
      <c r="E2107" s="50" t="inlineStr">
        <is>
          <t>ABO</t>
        </is>
      </c>
      <c r="F2107" s="51" t="n">
        <v>0.1</v>
      </c>
      <c r="G2107" s="52" t="n">
        <v>10</v>
      </c>
      <c r="H2107" s="52" t="n">
        <v>10</v>
      </c>
      <c r="I2107" s="29">
        <f>IF(OR(COUNTIF('Suivi des rencontres'!$A:$A,$A2107)&gt;0,COUNTIF('Suivi des rencontres'!$C:$C,$J2107)&gt;0),"Non","Oui")</f>
        <v/>
      </c>
      <c r="J2107" s="30" t="inlineStr">
        <is>
          <t>ABO</t>
        </is>
      </c>
    </row>
    <row r="2108">
      <c r="A2108" s="47" t="inlineStr">
        <is>
          <t>Route 32</t>
        </is>
      </c>
      <c r="B2108" s="47" t="inlineStr">
        <is>
          <t>Route32_hns</t>
        </is>
      </c>
      <c r="C2108" s="48" t="inlineStr">
        <is>
          <t>Matin, jour, soir</t>
        </is>
      </c>
      <c r="D2108" s="54" t="inlineStr">
        <is>
          <t>Vieille Canne</t>
        </is>
      </c>
      <c r="E2108" s="50" t="inlineStr">
        <is>
          <t>MAGICARPE</t>
        </is>
      </c>
      <c r="F2108" s="51" t="n">
        <v>0.7</v>
      </c>
      <c r="G2108" s="52" t="n">
        <v>10</v>
      </c>
      <c r="H2108" s="52" t="n">
        <v>10</v>
      </c>
      <c r="I2108" s="29">
        <f>IF(OR(COUNTIF('Suivi des rencontres'!$A:$A,$A2108)&gt;0,COUNTIF('Suivi des rencontres'!$C:$C,$J2108)&gt;0),"Non","Oui")</f>
        <v/>
      </c>
      <c r="J2108" s="30" t="inlineStr">
        <is>
          <t>MAGICARPE</t>
        </is>
      </c>
    </row>
    <row r="2109">
      <c r="A2109" s="47" t="inlineStr">
        <is>
          <t>Route 32</t>
        </is>
      </c>
      <c r="B2109" s="47" t="inlineStr">
        <is>
          <t>Route32_hns</t>
        </is>
      </c>
      <c r="C2109" s="48" t="inlineStr">
        <is>
          <t>Matin, jour, soir</t>
        </is>
      </c>
      <c r="D2109" s="54" t="inlineStr">
        <is>
          <t>Vieille Canne</t>
        </is>
      </c>
      <c r="E2109" s="50" t="inlineStr">
        <is>
          <t>TENTACOOL</t>
        </is>
      </c>
      <c r="F2109" s="51" t="n">
        <v>0.3</v>
      </c>
      <c r="G2109" s="52" t="n">
        <v>10</v>
      </c>
      <c r="H2109" s="52" t="n">
        <v>10</v>
      </c>
      <c r="I2109" s="29">
        <f>IF(OR(COUNTIF('Suivi des rencontres'!$A:$A,$A2109)&gt;0,COUNTIF('Suivi des rencontres'!$C:$C,$J2109)&gt;0),"Non","Oui")</f>
        <v/>
      </c>
      <c r="J2109" s="30" t="inlineStr">
        <is>
          <t>TENTACOOL</t>
        </is>
      </c>
    </row>
    <row r="2110">
      <c r="A2110" s="47" t="inlineStr">
        <is>
          <t>Route 32</t>
        </is>
      </c>
      <c r="B2110" s="47" t="inlineStr">
        <is>
          <t>Route32_hns</t>
        </is>
      </c>
      <c r="C2110" s="62" t="inlineStr">
        <is>
          <t>Nuit</t>
        </is>
      </c>
      <c r="D2110" s="54" t="inlineStr">
        <is>
          <t>Vieille Canne</t>
        </is>
      </c>
      <c r="E2110" s="50" t="inlineStr">
        <is>
          <t>MAGICARPE</t>
        </is>
      </c>
      <c r="F2110" s="51" t="n">
        <v>0.7</v>
      </c>
      <c r="G2110" s="52" t="n">
        <v>10</v>
      </c>
      <c r="H2110" s="52" t="n">
        <v>10</v>
      </c>
      <c r="I2110" s="29">
        <f>IF(OR(COUNTIF('Suivi des rencontres'!$A:$A,$A2110)&gt;0,COUNTIF('Suivi des rencontres'!$C:$C,$J2110)&gt;0),"Non","Oui")</f>
        <v/>
      </c>
      <c r="J2110" s="30" t="inlineStr">
        <is>
          <t>MAGICARPE</t>
        </is>
      </c>
    </row>
    <row r="2111">
      <c r="A2111" s="47" t="inlineStr">
        <is>
          <t>Route 32</t>
        </is>
      </c>
      <c r="B2111" s="47" t="inlineStr">
        <is>
          <t>Route32_hns</t>
        </is>
      </c>
      <c r="C2111" s="62" t="inlineStr">
        <is>
          <t>Nuit</t>
        </is>
      </c>
      <c r="D2111" s="54" t="inlineStr">
        <is>
          <t>Vieille Canne</t>
        </is>
      </c>
      <c r="E2111" s="50" t="inlineStr">
        <is>
          <t>TENTACOOL</t>
        </is>
      </c>
      <c r="F2111" s="51" t="n">
        <v>0.3</v>
      </c>
      <c r="G2111" s="52" t="n">
        <v>10</v>
      </c>
      <c r="H2111" s="52" t="n">
        <v>10</v>
      </c>
      <c r="I2111" s="29">
        <f>IF(OR(COUNTIF('Suivi des rencontres'!$A:$A,$A2111)&gt;0,COUNTIF('Suivi des rencontres'!$C:$C,$J2111)&gt;0),"Non","Oui")</f>
        <v/>
      </c>
      <c r="J2111" s="30" t="inlineStr">
        <is>
          <t>TENTACOOL</t>
        </is>
      </c>
    </row>
    <row r="2112">
      <c r="A2112" s="47" t="inlineStr">
        <is>
          <t>Route 32</t>
        </is>
      </c>
      <c r="B2112" s="47" t="inlineStr">
        <is>
          <t>Route32_hns</t>
        </is>
      </c>
      <c r="C2112" s="48" t="inlineStr">
        <is>
          <t>Matin, jour, soir</t>
        </is>
      </c>
      <c r="D2112" s="55" t="inlineStr">
        <is>
          <t>Bonne Canne</t>
        </is>
      </c>
      <c r="E2112" s="50" t="inlineStr">
        <is>
          <t>TENTACOOL</t>
        </is>
      </c>
      <c r="F2112" s="51" t="n">
        <v>0.6</v>
      </c>
      <c r="G2112" s="52" t="n">
        <v>20</v>
      </c>
      <c r="H2112" s="52" t="n">
        <v>20</v>
      </c>
      <c r="I2112" s="29">
        <f>IF(OR(COUNTIF('Suivi des rencontres'!$A:$A,$A2112)&gt;0,COUNTIF('Suivi des rencontres'!$C:$C,$J2112)&gt;0),"Non","Oui")</f>
        <v/>
      </c>
      <c r="J2112" s="30" t="inlineStr">
        <is>
          <t>TENTACOOL</t>
        </is>
      </c>
    </row>
    <row r="2113">
      <c r="A2113" s="47" t="inlineStr">
        <is>
          <t>Route 32</t>
        </is>
      </c>
      <c r="B2113" s="47" t="inlineStr">
        <is>
          <t>Route32_hns</t>
        </is>
      </c>
      <c r="C2113" s="48" t="inlineStr">
        <is>
          <t>Matin, jour, soir</t>
        </is>
      </c>
      <c r="D2113" s="55" t="inlineStr">
        <is>
          <t>Bonne Canne</t>
        </is>
      </c>
      <c r="E2113" s="50" t="inlineStr">
        <is>
          <t>MAGICARPE</t>
        </is>
      </c>
      <c r="F2113" s="51" t="n">
        <v>0.2</v>
      </c>
      <c r="G2113" s="52" t="n">
        <v>20</v>
      </c>
      <c r="H2113" s="52" t="n">
        <v>20</v>
      </c>
      <c r="I2113" s="29">
        <f>IF(OR(COUNTIF('Suivi des rencontres'!$A:$A,$A2113)&gt;0,COUNTIF('Suivi des rencontres'!$C:$C,$J2113)&gt;0),"Non","Oui")</f>
        <v/>
      </c>
      <c r="J2113" s="30" t="inlineStr">
        <is>
          <t>MAGICARPE</t>
        </is>
      </c>
    </row>
    <row r="2114">
      <c r="A2114" s="47" t="inlineStr">
        <is>
          <t>Route 32</t>
        </is>
      </c>
      <c r="B2114" s="47" t="inlineStr">
        <is>
          <t>Route32_hns</t>
        </is>
      </c>
      <c r="C2114" s="48" t="inlineStr">
        <is>
          <t>Matin, jour, soir</t>
        </is>
      </c>
      <c r="D2114" s="55" t="inlineStr">
        <is>
          <t>Bonne Canne</t>
        </is>
      </c>
      <c r="E2114" s="50" t="inlineStr">
        <is>
          <t>QWILFISH</t>
        </is>
      </c>
      <c r="F2114" s="51" t="n">
        <v>0.2</v>
      </c>
      <c r="G2114" s="52" t="n">
        <v>20</v>
      </c>
      <c r="H2114" s="52" t="n">
        <v>20</v>
      </c>
      <c r="I2114" s="29">
        <f>IF(OR(COUNTIF('Suivi des rencontres'!$A:$A,$A2114)&gt;0,COUNTIF('Suivi des rencontres'!$C:$C,$J2114)&gt;0),"Non","Oui")</f>
        <v/>
      </c>
      <c r="J2114" s="30" t="inlineStr">
        <is>
          <t>QWILFISH</t>
        </is>
      </c>
    </row>
    <row r="2115">
      <c r="A2115" s="47" t="inlineStr">
        <is>
          <t>Route 32</t>
        </is>
      </c>
      <c r="B2115" s="47" t="inlineStr">
        <is>
          <t>Route32_hns</t>
        </is>
      </c>
      <c r="C2115" s="62" t="inlineStr">
        <is>
          <t>Nuit</t>
        </is>
      </c>
      <c r="D2115" s="55" t="inlineStr">
        <is>
          <t>Bonne Canne</t>
        </is>
      </c>
      <c r="E2115" s="50" t="inlineStr">
        <is>
          <t>TENTACOOL</t>
        </is>
      </c>
      <c r="F2115" s="51" t="n">
        <v>0.6</v>
      </c>
      <c r="G2115" s="52" t="n">
        <v>20</v>
      </c>
      <c r="H2115" s="52" t="n">
        <v>20</v>
      </c>
      <c r="I2115" s="29">
        <f>IF(OR(COUNTIF('Suivi des rencontres'!$A:$A,$A2115)&gt;0,COUNTIF('Suivi des rencontres'!$C:$C,$J2115)&gt;0),"Non","Oui")</f>
        <v/>
      </c>
      <c r="J2115" s="30" t="inlineStr">
        <is>
          <t>TENTACOOL</t>
        </is>
      </c>
    </row>
    <row r="2116">
      <c r="A2116" s="47" t="inlineStr">
        <is>
          <t>Route 32</t>
        </is>
      </c>
      <c r="B2116" s="47" t="inlineStr">
        <is>
          <t>Route32_hns</t>
        </is>
      </c>
      <c r="C2116" s="62" t="inlineStr">
        <is>
          <t>Nuit</t>
        </is>
      </c>
      <c r="D2116" s="55" t="inlineStr">
        <is>
          <t>Bonne Canne</t>
        </is>
      </c>
      <c r="E2116" s="50" t="inlineStr">
        <is>
          <t>MAGICARPE</t>
        </is>
      </c>
      <c r="F2116" s="51" t="n">
        <v>0.2</v>
      </c>
      <c r="G2116" s="52" t="n">
        <v>20</v>
      </c>
      <c r="H2116" s="52" t="n">
        <v>20</v>
      </c>
      <c r="I2116" s="29">
        <f>IF(OR(COUNTIF('Suivi des rencontres'!$A:$A,$A2116)&gt;0,COUNTIF('Suivi des rencontres'!$C:$C,$J2116)&gt;0),"Non","Oui")</f>
        <v/>
      </c>
      <c r="J2116" s="30" t="inlineStr">
        <is>
          <t>MAGICARPE</t>
        </is>
      </c>
    </row>
    <row r="2117">
      <c r="A2117" s="47" t="inlineStr">
        <is>
          <t>Route 32</t>
        </is>
      </c>
      <c r="B2117" s="47" t="inlineStr">
        <is>
          <t>Route32_hns</t>
        </is>
      </c>
      <c r="C2117" s="62" t="inlineStr">
        <is>
          <t>Nuit</t>
        </is>
      </c>
      <c r="D2117" s="55" t="inlineStr">
        <is>
          <t>Bonne Canne</t>
        </is>
      </c>
      <c r="E2117" s="50" t="inlineStr">
        <is>
          <t>QWILFISH</t>
        </is>
      </c>
      <c r="F2117" s="51" t="n">
        <v>0.2</v>
      </c>
      <c r="G2117" s="52" t="n">
        <v>20</v>
      </c>
      <c r="H2117" s="52" t="n">
        <v>20</v>
      </c>
      <c r="I2117" s="29">
        <f>IF(OR(COUNTIF('Suivi des rencontres'!$A:$A,$A2117)&gt;0,COUNTIF('Suivi des rencontres'!$C:$C,$J2117)&gt;0),"Non","Oui")</f>
        <v/>
      </c>
      <c r="J2117" s="30" t="inlineStr">
        <is>
          <t>QWILFISH</t>
        </is>
      </c>
    </row>
    <row r="2118">
      <c r="A2118" s="47" t="inlineStr">
        <is>
          <t>Route 32</t>
        </is>
      </c>
      <c r="B2118" s="47" t="inlineStr">
        <is>
          <t>Route32_hns</t>
        </is>
      </c>
      <c r="C2118" s="48" t="inlineStr">
        <is>
          <t>Matin, jour, soir</t>
        </is>
      </c>
      <c r="D2118" s="56" t="inlineStr">
        <is>
          <t>Super Canne</t>
        </is>
      </c>
      <c r="E2118" s="50" t="inlineStr">
        <is>
          <t>MAGICARPE</t>
        </is>
      </c>
      <c r="F2118" s="51" t="n">
        <v>0.44</v>
      </c>
      <c r="G2118" s="52" t="n">
        <v>10</v>
      </c>
      <c r="H2118" s="52" t="n">
        <v>40</v>
      </c>
      <c r="I2118" s="29">
        <f>IF(OR(COUNTIF('Suivi des rencontres'!$A:$A,$A2118)&gt;0,COUNTIF('Suivi des rencontres'!$C:$C,$J2118)&gt;0),"Non","Oui")</f>
        <v/>
      </c>
      <c r="J2118" s="30" t="inlineStr">
        <is>
          <t>MAGICARPE</t>
        </is>
      </c>
    </row>
    <row r="2119">
      <c r="A2119" s="47" t="inlineStr">
        <is>
          <t>Route 32</t>
        </is>
      </c>
      <c r="B2119" s="47" t="inlineStr">
        <is>
          <t>Route32_hns</t>
        </is>
      </c>
      <c r="C2119" s="48" t="inlineStr">
        <is>
          <t>Matin, jour, soir</t>
        </is>
      </c>
      <c r="D2119" s="56" t="inlineStr">
        <is>
          <t>Super Canne</t>
        </is>
      </c>
      <c r="E2119" s="50" t="inlineStr">
        <is>
          <t>QWILFISH</t>
        </is>
      </c>
      <c r="F2119" s="51" t="n">
        <v>0.4</v>
      </c>
      <c r="G2119" s="52" t="n">
        <v>40</v>
      </c>
      <c r="H2119" s="52" t="n">
        <v>40</v>
      </c>
      <c r="I2119" s="29">
        <f>IF(OR(COUNTIF('Suivi des rencontres'!$A:$A,$A2119)&gt;0,COUNTIF('Suivi des rencontres'!$C:$C,$J2119)&gt;0),"Non","Oui")</f>
        <v/>
      </c>
      <c r="J2119" s="30" t="inlineStr">
        <is>
          <t>QWILFISH</t>
        </is>
      </c>
    </row>
    <row r="2120">
      <c r="A2120" s="47" t="inlineStr">
        <is>
          <t>Route 32</t>
        </is>
      </c>
      <c r="B2120" s="47" t="inlineStr">
        <is>
          <t>Route32_hns</t>
        </is>
      </c>
      <c r="C2120" s="48" t="inlineStr">
        <is>
          <t>Matin, jour, soir</t>
        </is>
      </c>
      <c r="D2120" s="56" t="inlineStr">
        <is>
          <t>Super Canne</t>
        </is>
      </c>
      <c r="E2120" s="50" t="inlineStr">
        <is>
          <t>TENTACOOL</t>
        </is>
      </c>
      <c r="F2120" s="51" t="n">
        <v>0.16</v>
      </c>
      <c r="G2120" s="52" t="n">
        <v>20</v>
      </c>
      <c r="H2120" s="52" t="n">
        <v>40</v>
      </c>
      <c r="I2120" s="29">
        <f>IF(OR(COUNTIF('Suivi des rencontres'!$A:$A,$A2120)&gt;0,COUNTIF('Suivi des rencontres'!$C:$C,$J2120)&gt;0),"Non","Oui")</f>
        <v/>
      </c>
      <c r="J2120" s="30" t="inlineStr">
        <is>
          <t>TENTACOOL</t>
        </is>
      </c>
    </row>
    <row r="2121">
      <c r="A2121" s="47" t="inlineStr">
        <is>
          <t>Route 32</t>
        </is>
      </c>
      <c r="B2121" s="47" t="inlineStr">
        <is>
          <t>Route32_hns</t>
        </is>
      </c>
      <c r="C2121" s="62" t="inlineStr">
        <is>
          <t>Nuit</t>
        </is>
      </c>
      <c r="D2121" s="56" t="inlineStr">
        <is>
          <t>Super Canne</t>
        </is>
      </c>
      <c r="E2121" s="50" t="inlineStr">
        <is>
          <t>MAGICARPE</t>
        </is>
      </c>
      <c r="F2121" s="51" t="n">
        <v>0.44</v>
      </c>
      <c r="G2121" s="52" t="n">
        <v>10</v>
      </c>
      <c r="H2121" s="52" t="n">
        <v>40</v>
      </c>
      <c r="I2121" s="29">
        <f>IF(OR(COUNTIF('Suivi des rencontres'!$A:$A,$A2121)&gt;0,COUNTIF('Suivi des rencontres'!$C:$C,$J2121)&gt;0),"Non","Oui")</f>
        <v/>
      </c>
      <c r="J2121" s="30" t="inlineStr">
        <is>
          <t>MAGICARPE</t>
        </is>
      </c>
    </row>
    <row r="2122">
      <c r="A2122" s="47" t="inlineStr">
        <is>
          <t>Route 32</t>
        </is>
      </c>
      <c r="B2122" s="47" t="inlineStr">
        <is>
          <t>Route32_hns</t>
        </is>
      </c>
      <c r="C2122" s="62" t="inlineStr">
        <is>
          <t>Nuit</t>
        </is>
      </c>
      <c r="D2122" s="56" t="inlineStr">
        <is>
          <t>Super Canne</t>
        </is>
      </c>
      <c r="E2122" s="50" t="inlineStr">
        <is>
          <t>QWILFISH</t>
        </is>
      </c>
      <c r="F2122" s="51" t="n">
        <v>0.4</v>
      </c>
      <c r="G2122" s="52" t="n">
        <v>40</v>
      </c>
      <c r="H2122" s="52" t="n">
        <v>40</v>
      </c>
      <c r="I2122" s="29">
        <f>IF(OR(COUNTIF('Suivi des rencontres'!$A:$A,$A2122)&gt;0,COUNTIF('Suivi des rencontres'!$C:$C,$J2122)&gt;0),"Non","Oui")</f>
        <v/>
      </c>
      <c r="J2122" s="30" t="inlineStr">
        <is>
          <t>QWILFISH</t>
        </is>
      </c>
    </row>
    <row r="2123">
      <c r="A2123" s="47" t="inlineStr">
        <is>
          <t>Route 32</t>
        </is>
      </c>
      <c r="B2123" s="47" t="inlineStr">
        <is>
          <t>Route32_hns</t>
        </is>
      </c>
      <c r="C2123" s="62" t="inlineStr">
        <is>
          <t>Nuit</t>
        </is>
      </c>
      <c r="D2123" s="56" t="inlineStr">
        <is>
          <t>Super Canne</t>
        </is>
      </c>
      <c r="E2123" s="50" t="inlineStr">
        <is>
          <t>TENTACOOL</t>
        </is>
      </c>
      <c r="F2123" s="51" t="n">
        <v>0.16</v>
      </c>
      <c r="G2123" s="52" t="n">
        <v>20</v>
      </c>
      <c r="H2123" s="52" t="n">
        <v>40</v>
      </c>
      <c r="I2123" s="29">
        <f>IF(OR(COUNTIF('Suivi des rencontres'!$A:$A,$A2123)&gt;0,COUNTIF('Suivi des rencontres'!$C:$C,$J2123)&gt;0),"Non","Oui")</f>
        <v/>
      </c>
      <c r="J2123" s="30" t="inlineStr">
        <is>
          <t>TENTACOOL</t>
        </is>
      </c>
    </row>
    <row r="2124">
      <c r="A2124" s="57" t="inlineStr">
        <is>
          <t>Route 33</t>
        </is>
      </c>
      <c r="B2124" s="57" t="inlineStr">
        <is>
          <t>Route33_hns</t>
        </is>
      </c>
      <c r="C2124" s="58" t="inlineStr">
        <is>
          <t>Matin, jour, soir</t>
        </is>
      </c>
      <c r="D2124" s="42" t="inlineStr">
        <is>
          <t>Herbe</t>
        </is>
      </c>
      <c r="E2124" s="59" t="inlineStr">
        <is>
          <t>MACHOC</t>
        </is>
      </c>
      <c r="F2124" s="60" t="n">
        <v>0.4</v>
      </c>
      <c r="G2124" s="61" t="n">
        <v>8</v>
      </c>
      <c r="H2124" s="61" t="n">
        <v>9</v>
      </c>
      <c r="I2124" s="46">
        <f>IF(OR(COUNTIF('Suivi des rencontres'!$A:$A,$A2124)&gt;0,COUNTIF('Suivi des rencontres'!$C:$C,$J2124)&gt;0),"Non","Oui")</f>
        <v/>
      </c>
      <c r="J2124" s="30" t="inlineStr">
        <is>
          <t>MACHOC</t>
        </is>
      </c>
    </row>
    <row r="2125">
      <c r="A2125" s="35" t="inlineStr">
        <is>
          <t>Route 33</t>
        </is>
      </c>
      <c r="B2125" s="35" t="inlineStr">
        <is>
          <t>Route33_hns</t>
        </is>
      </c>
      <c r="C2125" s="33" t="inlineStr">
        <is>
          <t>Matin, jour, soir</t>
        </is>
      </c>
      <c r="D2125" s="49" t="inlineStr">
        <is>
          <t>Herbe</t>
        </is>
      </c>
      <c r="E2125" s="37" t="inlineStr">
        <is>
          <t>ABO</t>
        </is>
      </c>
      <c r="F2125" s="38" t="n">
        <v>0.34</v>
      </c>
      <c r="G2125" s="39" t="n">
        <v>8</v>
      </c>
      <c r="H2125" s="39" t="n">
        <v>9</v>
      </c>
      <c r="I2125" s="29">
        <f>IF(OR(COUNTIF('Suivi des rencontres'!$A:$A,$A2125)&gt;0,COUNTIF('Suivi des rencontres'!$C:$C,$J2125)&gt;0),"Non","Oui")</f>
        <v/>
      </c>
      <c r="J2125" s="30" t="inlineStr">
        <is>
          <t>ABO</t>
        </is>
      </c>
    </row>
    <row r="2126">
      <c r="A2126" s="35" t="inlineStr">
        <is>
          <t>Route 33</t>
        </is>
      </c>
      <c r="B2126" s="35" t="inlineStr">
        <is>
          <t>Route33_hns</t>
        </is>
      </c>
      <c r="C2126" s="33" t="inlineStr">
        <is>
          <t>Matin, jour, soir</t>
        </is>
      </c>
      <c r="D2126" s="49" t="inlineStr">
        <is>
          <t>Herbe</t>
        </is>
      </c>
      <c r="E2126" s="37" t="inlineStr">
        <is>
          <t>RATTATA</t>
        </is>
      </c>
      <c r="F2126" s="38" t="n">
        <v>0.19</v>
      </c>
      <c r="G2126" s="39" t="n">
        <v>8</v>
      </c>
      <c r="H2126" s="39" t="n">
        <v>8</v>
      </c>
      <c r="I2126" s="29">
        <f>IF(OR(COUNTIF('Suivi des rencontres'!$A:$A,$A2126)&gt;0,COUNTIF('Suivi des rencontres'!$C:$C,$J2126)&gt;0),"Non","Oui")</f>
        <v/>
      </c>
      <c r="J2126" s="30" t="inlineStr">
        <is>
          <t>RATTATA</t>
        </is>
      </c>
    </row>
    <row r="2127">
      <c r="A2127" s="35" t="inlineStr">
        <is>
          <t>Route 33</t>
        </is>
      </c>
      <c r="B2127" s="35" t="inlineStr">
        <is>
          <t>Route33_hns</t>
        </is>
      </c>
      <c r="C2127" s="33" t="inlineStr">
        <is>
          <t>Matin, jour, soir</t>
        </is>
      </c>
      <c r="D2127" s="49" t="inlineStr">
        <is>
          <t>Herbe</t>
        </is>
      </c>
      <c r="E2127" s="37" t="inlineStr">
        <is>
          <t>PIAFABEC</t>
        </is>
      </c>
      <c r="F2127" s="38" t="n">
        <v>0.07000000000000001</v>
      </c>
      <c r="G2127" s="39" t="n">
        <v>8</v>
      </c>
      <c r="H2127" s="39" t="n">
        <v>9</v>
      </c>
      <c r="I2127" s="29">
        <f>IF(OR(COUNTIF('Suivi des rencontres'!$A:$A,$A2127)&gt;0,COUNTIF('Suivi des rencontres'!$C:$C,$J2127)&gt;0),"Non","Oui")</f>
        <v/>
      </c>
      <c r="J2127" s="30" t="inlineStr">
        <is>
          <t>PIAFABEC</t>
        </is>
      </c>
    </row>
    <row r="2128">
      <c r="A2128" s="35" t="inlineStr">
        <is>
          <t>Route 33</t>
        </is>
      </c>
      <c r="B2128" s="35" t="inlineStr">
        <is>
          <t>Route33_hns</t>
        </is>
      </c>
      <c r="C2128" s="62" t="inlineStr">
        <is>
          <t>Nuit</t>
        </is>
      </c>
      <c r="D2128" s="49" t="inlineStr">
        <is>
          <t>Herbe</t>
        </is>
      </c>
      <c r="E2128" s="37" t="inlineStr">
        <is>
          <t>NOSFERAPTI</t>
        </is>
      </c>
      <c r="F2128" s="38" t="n">
        <v>0.46</v>
      </c>
      <c r="G2128" s="39" t="n">
        <v>8</v>
      </c>
      <c r="H2128" s="39" t="n">
        <v>9</v>
      </c>
      <c r="I2128" s="29">
        <f>IF(OR(COUNTIF('Suivi des rencontres'!$A:$A,$A2128)&gt;0,COUNTIF('Suivi des rencontres'!$C:$C,$J2128)&gt;0),"Non","Oui")</f>
        <v/>
      </c>
      <c r="J2128" s="30" t="inlineStr">
        <is>
          <t>NOSFERAPTI</t>
        </is>
      </c>
    </row>
    <row r="2129">
      <c r="A2129" s="35" t="inlineStr">
        <is>
          <t>Route 33</t>
        </is>
      </c>
      <c r="B2129" s="35" t="inlineStr">
        <is>
          <t>Route33_hns</t>
        </is>
      </c>
      <c r="C2129" s="62" t="inlineStr">
        <is>
          <t>Nuit</t>
        </is>
      </c>
      <c r="D2129" s="49" t="inlineStr">
        <is>
          <t>Herbe</t>
        </is>
      </c>
      <c r="E2129" s="37" t="inlineStr">
        <is>
          <t>ABO</t>
        </is>
      </c>
      <c r="F2129" s="38" t="n">
        <v>0.3</v>
      </c>
      <c r="G2129" s="39" t="n">
        <v>8</v>
      </c>
      <c r="H2129" s="39" t="n">
        <v>9</v>
      </c>
      <c r="I2129" s="29">
        <f>IF(OR(COUNTIF('Suivi des rencontres'!$A:$A,$A2129)&gt;0,COUNTIF('Suivi des rencontres'!$C:$C,$J2129)&gt;0),"Non","Oui")</f>
        <v/>
      </c>
      <c r="J2129" s="30" t="inlineStr">
        <is>
          <t>ABO</t>
        </is>
      </c>
    </row>
    <row r="2130">
      <c r="A2130" s="35" t="inlineStr">
        <is>
          <t>Route 33</t>
        </is>
      </c>
      <c r="B2130" s="35" t="inlineStr">
        <is>
          <t>Route33_hns</t>
        </is>
      </c>
      <c r="C2130" s="62" t="inlineStr">
        <is>
          <t>Nuit</t>
        </is>
      </c>
      <c r="D2130" s="49" t="inlineStr">
        <is>
          <t>Herbe</t>
        </is>
      </c>
      <c r="E2130" s="37" t="inlineStr">
        <is>
          <t>RATTATA</t>
        </is>
      </c>
      <c r="F2130" s="38" t="n">
        <v>0.15</v>
      </c>
      <c r="G2130" s="39" t="n">
        <v>8</v>
      </c>
      <c r="H2130" s="39" t="n">
        <v>8</v>
      </c>
      <c r="I2130" s="29">
        <f>IF(OR(COUNTIF('Suivi des rencontres'!$A:$A,$A2130)&gt;0,COUNTIF('Suivi des rencontres'!$C:$C,$J2130)&gt;0),"Non","Oui")</f>
        <v/>
      </c>
      <c r="J2130" s="30" t="inlineStr">
        <is>
          <t>RATTATA</t>
        </is>
      </c>
    </row>
    <row r="2131">
      <c r="A2131" s="35" t="inlineStr">
        <is>
          <t>Route 33</t>
        </is>
      </c>
      <c r="B2131" s="35" t="inlineStr">
        <is>
          <t>Route33_hns</t>
        </is>
      </c>
      <c r="C2131" s="62" t="inlineStr">
        <is>
          <t>Nuit</t>
        </is>
      </c>
      <c r="D2131" s="49" t="inlineStr">
        <is>
          <t>Herbe</t>
        </is>
      </c>
      <c r="E2131" s="37" t="inlineStr">
        <is>
          <t>MACHOC</t>
        </is>
      </c>
      <c r="F2131" s="38" t="n">
        <v>0.09</v>
      </c>
      <c r="G2131" s="39" t="n">
        <v>8</v>
      </c>
      <c r="H2131" s="39" t="n">
        <v>9</v>
      </c>
      <c r="I2131" s="29">
        <f>IF(OR(COUNTIF('Suivi des rencontres'!$A:$A,$A2131)&gt;0,COUNTIF('Suivi des rencontres'!$C:$C,$J2131)&gt;0),"Non","Oui")</f>
        <v/>
      </c>
      <c r="J2131" s="30" t="inlineStr">
        <is>
          <t>MACHOC</t>
        </is>
      </c>
    </row>
    <row r="2132">
      <c r="A2132" s="35" t="inlineStr">
        <is>
          <t>Route 33</t>
        </is>
      </c>
      <c r="B2132" s="35" t="inlineStr">
        <is>
          <t>Route33_hns</t>
        </is>
      </c>
      <c r="C2132" s="33" t="inlineStr">
        <is>
          <t>Matin, jour, soir</t>
        </is>
      </c>
      <c r="D2132" s="36" t="inlineStr">
        <is>
          <t>Éclate-Roc</t>
        </is>
      </c>
      <c r="E2132" s="37" t="inlineStr">
        <is>
          <t>POMDEPIK</t>
        </is>
      </c>
      <c r="F2132" s="38" t="n">
        <v>0.6</v>
      </c>
      <c r="G2132" s="39" t="n">
        <v>10</v>
      </c>
      <c r="H2132" s="39" t="n">
        <v>10</v>
      </c>
      <c r="I2132" s="29">
        <f>IF(OR(COUNTIF('Suivi des rencontres'!$A:$A,$A2132)&gt;0,COUNTIF('Suivi des rencontres'!$C:$C,$J2132)&gt;0),"Non","Oui")</f>
        <v/>
      </c>
      <c r="J2132" s="30" t="inlineStr">
        <is>
          <t>POMDEPIK</t>
        </is>
      </c>
    </row>
    <row r="2133">
      <c r="A2133" s="35" t="inlineStr">
        <is>
          <t>Route 33</t>
        </is>
      </c>
      <c r="B2133" s="35" t="inlineStr">
        <is>
          <t>Route33_hns</t>
        </is>
      </c>
      <c r="C2133" s="33" t="inlineStr">
        <is>
          <t>Matin, jour, soir</t>
        </is>
      </c>
      <c r="D2133" s="36" t="inlineStr">
        <is>
          <t>Éclate-Roc</t>
        </is>
      </c>
      <c r="E2133" s="37" t="inlineStr">
        <is>
          <t>CAPUMAIN</t>
        </is>
      </c>
      <c r="F2133" s="38" t="n">
        <v>0.3</v>
      </c>
      <c r="G2133" s="39" t="n">
        <v>10</v>
      </c>
      <c r="H2133" s="39" t="n">
        <v>10</v>
      </c>
      <c r="I2133" s="29">
        <f>IF(OR(COUNTIF('Suivi des rencontres'!$A:$A,$A2133)&gt;0,COUNTIF('Suivi des rencontres'!$C:$C,$J2133)&gt;0),"Non","Oui")</f>
        <v/>
      </c>
      <c r="J2133" s="30" t="inlineStr">
        <is>
          <t>CAPUMAIN</t>
        </is>
      </c>
    </row>
    <row r="2134">
      <c r="A2134" s="35" t="inlineStr">
        <is>
          <t>Route 33</t>
        </is>
      </c>
      <c r="B2134" s="35" t="inlineStr">
        <is>
          <t>Route33_hns</t>
        </is>
      </c>
      <c r="C2134" s="33" t="inlineStr">
        <is>
          <t>Matin, jour, soir</t>
        </is>
      </c>
      <c r="D2134" s="36" t="inlineStr">
        <is>
          <t>Éclate-Roc</t>
        </is>
      </c>
      <c r="E2134" s="37" t="inlineStr">
        <is>
          <t>ABO</t>
        </is>
      </c>
      <c r="F2134" s="38" t="n">
        <v>0.1</v>
      </c>
      <c r="G2134" s="39" t="n">
        <v>10</v>
      </c>
      <c r="H2134" s="39" t="n">
        <v>10</v>
      </c>
      <c r="I2134" s="29">
        <f>IF(OR(COUNTIF('Suivi des rencontres'!$A:$A,$A2134)&gt;0,COUNTIF('Suivi des rencontres'!$C:$C,$J2134)&gt;0),"Non","Oui")</f>
        <v/>
      </c>
      <c r="J2134" s="30" t="inlineStr">
        <is>
          <t>ABO</t>
        </is>
      </c>
    </row>
    <row r="2135">
      <c r="A2135" s="35" t="inlineStr">
        <is>
          <t>Route 33</t>
        </is>
      </c>
      <c r="B2135" s="35" t="inlineStr">
        <is>
          <t>Route33_hns</t>
        </is>
      </c>
      <c r="C2135" s="62" t="inlineStr">
        <is>
          <t>Nuit</t>
        </is>
      </c>
      <c r="D2135" s="36" t="inlineStr">
        <is>
          <t>Éclate-Roc</t>
        </is>
      </c>
      <c r="E2135" s="37" t="inlineStr">
        <is>
          <t>POMDEPIK</t>
        </is>
      </c>
      <c r="F2135" s="38" t="n">
        <v>0.6</v>
      </c>
      <c r="G2135" s="39" t="n">
        <v>10</v>
      </c>
      <c r="H2135" s="39" t="n">
        <v>10</v>
      </c>
      <c r="I2135" s="29">
        <f>IF(OR(COUNTIF('Suivi des rencontres'!$A:$A,$A2135)&gt;0,COUNTIF('Suivi des rencontres'!$C:$C,$J2135)&gt;0),"Non","Oui")</f>
        <v/>
      </c>
      <c r="J2135" s="30" t="inlineStr">
        <is>
          <t>POMDEPIK</t>
        </is>
      </c>
    </row>
    <row r="2136">
      <c r="A2136" s="35" t="inlineStr">
        <is>
          <t>Route 33</t>
        </is>
      </c>
      <c r="B2136" s="35" t="inlineStr">
        <is>
          <t>Route33_hns</t>
        </is>
      </c>
      <c r="C2136" s="62" t="inlineStr">
        <is>
          <t>Nuit</t>
        </is>
      </c>
      <c r="D2136" s="36" t="inlineStr">
        <is>
          <t>Éclate-Roc</t>
        </is>
      </c>
      <c r="E2136" s="37" t="inlineStr">
        <is>
          <t>CAPUMAIN</t>
        </is>
      </c>
      <c r="F2136" s="38" t="n">
        <v>0.3</v>
      </c>
      <c r="G2136" s="39" t="n">
        <v>10</v>
      </c>
      <c r="H2136" s="39" t="n">
        <v>10</v>
      </c>
      <c r="I2136" s="29">
        <f>IF(OR(COUNTIF('Suivi des rencontres'!$A:$A,$A2136)&gt;0,COUNTIF('Suivi des rencontres'!$C:$C,$J2136)&gt;0),"Non","Oui")</f>
        <v/>
      </c>
      <c r="J2136" s="30" t="inlineStr">
        <is>
          <t>CAPUMAIN</t>
        </is>
      </c>
    </row>
    <row r="2137">
      <c r="A2137" s="35" t="inlineStr">
        <is>
          <t>Route 33</t>
        </is>
      </c>
      <c r="B2137" s="35" t="inlineStr">
        <is>
          <t>Route33_hns</t>
        </is>
      </c>
      <c r="C2137" s="62" t="inlineStr">
        <is>
          <t>Nuit</t>
        </is>
      </c>
      <c r="D2137" s="36" t="inlineStr">
        <is>
          <t>Éclate-Roc</t>
        </is>
      </c>
      <c r="E2137" s="37" t="inlineStr">
        <is>
          <t>ABO</t>
        </is>
      </c>
      <c r="F2137" s="38" t="n">
        <v>0.1</v>
      </c>
      <c r="G2137" s="39" t="n">
        <v>10</v>
      </c>
      <c r="H2137" s="39" t="n">
        <v>10</v>
      </c>
      <c r="I2137" s="29">
        <f>IF(OR(COUNTIF('Suivi des rencontres'!$A:$A,$A2137)&gt;0,COUNTIF('Suivi des rencontres'!$C:$C,$J2137)&gt;0),"Non","Oui")</f>
        <v/>
      </c>
      <c r="J2137" s="30" t="inlineStr">
        <is>
          <t>ABO</t>
        </is>
      </c>
    </row>
    <row r="2138">
      <c r="A2138" s="40" t="inlineStr">
        <is>
          <t>Route 34</t>
        </is>
      </c>
      <c r="B2138" s="40" t="inlineStr">
        <is>
          <t>Route34_hns</t>
        </is>
      </c>
      <c r="C2138" s="41" t="inlineStr">
        <is>
          <t>Matin, jour, soir</t>
        </is>
      </c>
      <c r="D2138" s="42" t="inlineStr">
        <is>
          <t>Herbe</t>
        </is>
      </c>
      <c r="E2138" s="43" t="inlineStr">
        <is>
          <t>ABRA</t>
        </is>
      </c>
      <c r="F2138" s="44" t="n">
        <v>0.3</v>
      </c>
      <c r="G2138" s="45" t="n">
        <v>13</v>
      </c>
      <c r="H2138" s="45" t="n">
        <v>13</v>
      </c>
      <c r="I2138" s="46">
        <f>IF(OR(COUNTIF('Suivi des rencontres'!$A:$A,$A2138)&gt;0,COUNTIF('Suivi des rencontres'!$C:$C,$J2138)&gt;0),"Non","Oui")</f>
        <v/>
      </c>
      <c r="J2138" s="30" t="inlineStr">
        <is>
          <t>ABRA</t>
        </is>
      </c>
    </row>
    <row r="2139">
      <c r="A2139" s="47" t="inlineStr">
        <is>
          <t>Route 34</t>
        </is>
      </c>
      <c r="B2139" s="47" t="inlineStr">
        <is>
          <t>Route34_hns</t>
        </is>
      </c>
      <c r="C2139" s="48" t="inlineStr">
        <is>
          <t>Matin, jour, soir</t>
        </is>
      </c>
      <c r="D2139" s="49" t="inlineStr">
        <is>
          <t>Herbe</t>
        </is>
      </c>
      <c r="E2139" s="50" t="inlineStr">
        <is>
          <t>FEROSINGE</t>
        </is>
      </c>
      <c r="F2139" s="51" t="n">
        <v>0.3</v>
      </c>
      <c r="G2139" s="52" t="n">
        <v>14</v>
      </c>
      <c r="H2139" s="52" t="n">
        <v>14</v>
      </c>
      <c r="I2139" s="29">
        <f>IF(OR(COUNTIF('Suivi des rencontres'!$A:$A,$A2139)&gt;0,COUNTIF('Suivi des rencontres'!$C:$C,$J2139)&gt;0),"Non","Oui")</f>
        <v/>
      </c>
      <c r="J2139" s="30" t="inlineStr">
        <is>
          <t>FEROSINGE</t>
        </is>
      </c>
    </row>
    <row r="2140">
      <c r="A2140" s="47" t="inlineStr">
        <is>
          <t>Route 34</t>
        </is>
      </c>
      <c r="B2140" s="47" t="inlineStr">
        <is>
          <t>Route34_hns</t>
        </is>
      </c>
      <c r="C2140" s="48" t="inlineStr">
        <is>
          <t>Matin, jour, soir</t>
        </is>
      </c>
      <c r="D2140" s="49" t="inlineStr">
        <is>
          <t>Herbe</t>
        </is>
      </c>
      <c r="E2140" s="50" t="inlineStr">
        <is>
          <t>SNUBBULL</t>
        </is>
      </c>
      <c r="F2140" s="51" t="n">
        <v>0.2</v>
      </c>
      <c r="G2140" s="52" t="n">
        <v>14</v>
      </c>
      <c r="H2140" s="52" t="n">
        <v>14</v>
      </c>
      <c r="I2140" s="29">
        <f>IF(OR(COUNTIF('Suivi des rencontres'!$A:$A,$A2140)&gt;0,COUNTIF('Suivi des rencontres'!$C:$C,$J2140)&gt;0),"Non","Oui")</f>
        <v/>
      </c>
      <c r="J2140" s="30" t="inlineStr">
        <is>
          <t>SNUBBULL</t>
        </is>
      </c>
    </row>
    <row r="2141">
      <c r="A2141" s="47" t="inlineStr">
        <is>
          <t>Route 34</t>
        </is>
      </c>
      <c r="B2141" s="47" t="inlineStr">
        <is>
          <t>Route34_hns</t>
        </is>
      </c>
      <c r="C2141" s="48" t="inlineStr">
        <is>
          <t>Matin, jour, soir</t>
        </is>
      </c>
      <c r="D2141" s="49" t="inlineStr">
        <is>
          <t>Herbe</t>
        </is>
      </c>
      <c r="E2141" s="50" t="inlineStr">
        <is>
          <t>TADMORV</t>
        </is>
      </c>
      <c r="F2141" s="51" t="n">
        <v>0.1</v>
      </c>
      <c r="G2141" s="52" t="n">
        <v>13</v>
      </c>
      <c r="H2141" s="52" t="n">
        <v>13</v>
      </c>
      <c r="I2141" s="29">
        <f>IF(OR(COUNTIF('Suivi des rencontres'!$A:$A,$A2141)&gt;0,COUNTIF('Suivi des rencontres'!$C:$C,$J2141)&gt;0),"Non","Oui")</f>
        <v/>
      </c>
      <c r="J2141" s="30" t="inlineStr">
        <is>
          <t>TADMORV</t>
        </is>
      </c>
    </row>
    <row r="2142">
      <c r="A2142" s="47" t="inlineStr">
        <is>
          <t>Route 34</t>
        </is>
      </c>
      <c r="B2142" s="47" t="inlineStr">
        <is>
          <t>Route34_hns</t>
        </is>
      </c>
      <c r="C2142" s="48" t="inlineStr">
        <is>
          <t>Matin, jour, soir</t>
        </is>
      </c>
      <c r="D2142" s="49" t="inlineStr">
        <is>
          <t>Herbe</t>
        </is>
      </c>
      <c r="E2142" s="50" t="inlineStr">
        <is>
          <t>METAMORPH</t>
        </is>
      </c>
      <c r="F2142" s="51" t="n">
        <v>0.05</v>
      </c>
      <c r="G2142" s="52" t="n">
        <v>10</v>
      </c>
      <c r="H2142" s="52" t="n">
        <v>10</v>
      </c>
      <c r="I2142" s="29">
        <f>IF(OR(COUNTIF('Suivi des rencontres'!$A:$A,$A2142)&gt;0,COUNTIF('Suivi des rencontres'!$C:$C,$J2142)&gt;0),"Non","Oui")</f>
        <v/>
      </c>
      <c r="J2142" s="30" t="inlineStr">
        <is>
          <t>METAMORPH</t>
        </is>
      </c>
    </row>
    <row r="2143">
      <c r="A2143" s="47" t="inlineStr">
        <is>
          <t>Route 34</t>
        </is>
      </c>
      <c r="B2143" s="47" t="inlineStr">
        <is>
          <t>Route34_hns</t>
        </is>
      </c>
      <c r="C2143" s="48" t="inlineStr">
        <is>
          <t>Matin, jour, soir</t>
        </is>
      </c>
      <c r="D2143" s="49" t="inlineStr">
        <is>
          <t>Herbe</t>
        </is>
      </c>
      <c r="E2143" s="50" t="inlineStr">
        <is>
          <t>RONDOUDOU</t>
        </is>
      </c>
      <c r="F2143" s="51" t="n">
        <v>0.05</v>
      </c>
      <c r="G2143" s="52" t="n">
        <v>14</v>
      </c>
      <c r="H2143" s="52" t="n">
        <v>14</v>
      </c>
      <c r="I2143" s="29">
        <f>IF(OR(COUNTIF('Suivi des rencontres'!$A:$A,$A2143)&gt;0,COUNTIF('Suivi des rencontres'!$C:$C,$J2143)&gt;0),"Non","Oui")</f>
        <v/>
      </c>
      <c r="J2143" s="30" t="inlineStr">
        <is>
          <t>TOUDOUDOU</t>
        </is>
      </c>
    </row>
    <row r="2144">
      <c r="A2144" s="47" t="inlineStr">
        <is>
          <t>Route 34</t>
        </is>
      </c>
      <c r="B2144" s="47" t="inlineStr">
        <is>
          <t>Route34_hns</t>
        </is>
      </c>
      <c r="C2144" s="62" t="inlineStr">
        <is>
          <t>Nuit</t>
        </is>
      </c>
      <c r="D2144" s="49" t="inlineStr">
        <is>
          <t>Herbe</t>
        </is>
      </c>
      <c r="E2144" s="50" t="inlineStr">
        <is>
          <t>SOPORIFIK</t>
        </is>
      </c>
      <c r="F2144" s="51" t="n">
        <v>0.3</v>
      </c>
      <c r="G2144" s="52" t="n">
        <v>14</v>
      </c>
      <c r="H2144" s="52" t="n">
        <v>14</v>
      </c>
      <c r="I2144" s="29">
        <f>IF(OR(COUNTIF('Suivi des rencontres'!$A:$A,$A2144)&gt;0,COUNTIF('Suivi des rencontres'!$C:$C,$J2144)&gt;0),"Non","Oui")</f>
        <v/>
      </c>
      <c r="J2144" s="30" t="inlineStr">
        <is>
          <t>SOPORIFIK</t>
        </is>
      </c>
    </row>
    <row r="2145">
      <c r="A2145" s="47" t="inlineStr">
        <is>
          <t>Route 34</t>
        </is>
      </c>
      <c r="B2145" s="47" t="inlineStr">
        <is>
          <t>Route34_hns</t>
        </is>
      </c>
      <c r="C2145" s="62" t="inlineStr">
        <is>
          <t>Nuit</t>
        </is>
      </c>
      <c r="D2145" s="49" t="inlineStr">
        <is>
          <t>Herbe</t>
        </is>
      </c>
      <c r="E2145" s="50" t="inlineStr">
        <is>
          <t>TADMORV</t>
        </is>
      </c>
      <c r="F2145" s="51" t="n">
        <v>0.3</v>
      </c>
      <c r="G2145" s="52" t="n">
        <v>13</v>
      </c>
      <c r="H2145" s="52" t="n">
        <v>13</v>
      </c>
      <c r="I2145" s="29">
        <f>IF(OR(COUNTIF('Suivi des rencontres'!$A:$A,$A2145)&gt;0,COUNTIF('Suivi des rencontres'!$C:$C,$J2145)&gt;0),"Non","Oui")</f>
        <v/>
      </c>
      <c r="J2145" s="30" t="inlineStr">
        <is>
          <t>TADMORV</t>
        </is>
      </c>
    </row>
    <row r="2146">
      <c r="A2146" s="47" t="inlineStr">
        <is>
          <t>Route 34</t>
        </is>
      </c>
      <c r="B2146" s="47" t="inlineStr">
        <is>
          <t>Route34_hns</t>
        </is>
      </c>
      <c r="C2146" s="62" t="inlineStr">
        <is>
          <t>Nuit</t>
        </is>
      </c>
      <c r="D2146" s="49" t="inlineStr">
        <is>
          <t>Herbe</t>
        </is>
      </c>
      <c r="E2146" s="50" t="inlineStr">
        <is>
          <t>ABRA</t>
        </is>
      </c>
      <c r="F2146" s="51" t="n">
        <v>0.2</v>
      </c>
      <c r="G2146" s="52" t="n">
        <v>13</v>
      </c>
      <c r="H2146" s="52" t="n">
        <v>14</v>
      </c>
      <c r="I2146" s="29">
        <f>IF(OR(COUNTIF('Suivi des rencontres'!$A:$A,$A2146)&gt;0,COUNTIF('Suivi des rencontres'!$C:$C,$J2146)&gt;0),"Non","Oui")</f>
        <v/>
      </c>
      <c r="J2146" s="30" t="inlineStr">
        <is>
          <t>ABRA</t>
        </is>
      </c>
    </row>
    <row r="2147">
      <c r="A2147" s="47" t="inlineStr">
        <is>
          <t>Route 34</t>
        </is>
      </c>
      <c r="B2147" s="47" t="inlineStr">
        <is>
          <t>Route34_hns</t>
        </is>
      </c>
      <c r="C2147" s="62" t="inlineStr">
        <is>
          <t>Nuit</t>
        </is>
      </c>
      <c r="D2147" s="49" t="inlineStr">
        <is>
          <t>Herbe</t>
        </is>
      </c>
      <c r="E2147" s="50" t="inlineStr">
        <is>
          <t>SNUBBULL</t>
        </is>
      </c>
      <c r="F2147" s="51" t="n">
        <v>0.1</v>
      </c>
      <c r="G2147" s="52" t="n">
        <v>13</v>
      </c>
      <c r="H2147" s="52" t="n">
        <v>13</v>
      </c>
      <c r="I2147" s="29">
        <f>IF(OR(COUNTIF('Suivi des rencontres'!$A:$A,$A2147)&gt;0,COUNTIF('Suivi des rencontres'!$C:$C,$J2147)&gt;0),"Non","Oui")</f>
        <v/>
      </c>
      <c r="J2147" s="30" t="inlineStr">
        <is>
          <t>SNUBBULL</t>
        </is>
      </c>
    </row>
    <row r="2148">
      <c r="A2148" s="47" t="inlineStr">
        <is>
          <t>Route 34</t>
        </is>
      </c>
      <c r="B2148" s="47" t="inlineStr">
        <is>
          <t>Route34_hns</t>
        </is>
      </c>
      <c r="C2148" s="62" t="inlineStr">
        <is>
          <t>Nuit</t>
        </is>
      </c>
      <c r="D2148" s="49" t="inlineStr">
        <is>
          <t>Herbe</t>
        </is>
      </c>
      <c r="E2148" s="50" t="inlineStr">
        <is>
          <t>METAMORPH</t>
        </is>
      </c>
      <c r="F2148" s="51" t="n">
        <v>0.05</v>
      </c>
      <c r="G2148" s="52" t="n">
        <v>10</v>
      </c>
      <c r="H2148" s="52" t="n">
        <v>10</v>
      </c>
      <c r="I2148" s="29">
        <f>IF(OR(COUNTIF('Suivi des rencontres'!$A:$A,$A2148)&gt;0,COUNTIF('Suivi des rencontres'!$C:$C,$J2148)&gt;0),"Non","Oui")</f>
        <v/>
      </c>
      <c r="J2148" s="30" t="inlineStr">
        <is>
          <t>METAMORPH</t>
        </is>
      </c>
    </row>
    <row r="2149">
      <c r="A2149" s="47" t="inlineStr">
        <is>
          <t>Route 34</t>
        </is>
      </c>
      <c r="B2149" s="47" t="inlineStr">
        <is>
          <t>Route34_hns</t>
        </is>
      </c>
      <c r="C2149" s="62" t="inlineStr">
        <is>
          <t>Nuit</t>
        </is>
      </c>
      <c r="D2149" s="49" t="inlineStr">
        <is>
          <t>Herbe</t>
        </is>
      </c>
      <c r="E2149" s="50" t="inlineStr">
        <is>
          <t>RONDOUDOU</t>
        </is>
      </c>
      <c r="F2149" s="51" t="n">
        <v>0.05</v>
      </c>
      <c r="G2149" s="52" t="n">
        <v>14</v>
      </c>
      <c r="H2149" s="52" t="n">
        <v>14</v>
      </c>
      <c r="I2149" s="29">
        <f>IF(OR(COUNTIF('Suivi des rencontres'!$A:$A,$A2149)&gt;0,COUNTIF('Suivi des rencontres'!$C:$C,$J2149)&gt;0),"Non","Oui")</f>
        <v/>
      </c>
      <c r="J2149" s="30" t="inlineStr">
        <is>
          <t>TOUDOUDOU</t>
        </is>
      </c>
    </row>
    <row r="2150">
      <c r="A2150" s="47" t="inlineStr">
        <is>
          <t>Route 34</t>
        </is>
      </c>
      <c r="B2150" s="47" t="inlineStr">
        <is>
          <t>Route34_hns</t>
        </is>
      </c>
      <c r="C2150" s="48" t="inlineStr">
        <is>
          <t>Matin, jour, soir</t>
        </is>
      </c>
      <c r="D2150" s="53" t="inlineStr">
        <is>
          <t>Surf</t>
        </is>
      </c>
      <c r="E2150" s="50" t="inlineStr">
        <is>
          <t>TENTACOOL</t>
        </is>
      </c>
      <c r="F2150" s="51" t="n">
        <v>0.9399999999999999</v>
      </c>
      <c r="G2150" s="52" t="n">
        <v>15</v>
      </c>
      <c r="H2150" s="52" t="n">
        <v>24</v>
      </c>
      <c r="I2150" s="29">
        <f>IF(OR(COUNTIF('Suivi des rencontres'!$A:$A,$A2150)&gt;0,COUNTIF('Suivi des rencontres'!$C:$C,$J2150)&gt;0),"Non","Oui")</f>
        <v/>
      </c>
      <c r="J2150" s="30" t="inlineStr">
        <is>
          <t>TENTACOOL</t>
        </is>
      </c>
    </row>
    <row r="2151">
      <c r="A2151" s="47" t="inlineStr">
        <is>
          <t>Route 34</t>
        </is>
      </c>
      <c r="B2151" s="47" t="inlineStr">
        <is>
          <t>Route34_hns</t>
        </is>
      </c>
      <c r="C2151" s="48" t="inlineStr">
        <is>
          <t>Matin, jour, soir</t>
        </is>
      </c>
      <c r="D2151" s="53" t="inlineStr">
        <is>
          <t>Surf</t>
        </is>
      </c>
      <c r="E2151" s="50" t="inlineStr">
        <is>
          <t>TENTACRUEL</t>
        </is>
      </c>
      <c r="F2151" s="51" t="n">
        <v>0.06</v>
      </c>
      <c r="G2151" s="52" t="n">
        <v>20</v>
      </c>
      <c r="H2151" s="52" t="n">
        <v>24</v>
      </c>
      <c r="I2151" s="29">
        <f>IF(OR(COUNTIF('Suivi des rencontres'!$A:$A,$A2151)&gt;0,COUNTIF('Suivi des rencontres'!$C:$C,$J2151)&gt;0),"Non","Oui")</f>
        <v/>
      </c>
      <c r="J2151" s="30" t="inlineStr">
        <is>
          <t>TENTACOOL</t>
        </is>
      </c>
    </row>
    <row r="2152">
      <c r="A2152" s="47" t="inlineStr">
        <is>
          <t>Route 34</t>
        </is>
      </c>
      <c r="B2152" s="47" t="inlineStr">
        <is>
          <t>Route34_hns</t>
        </is>
      </c>
      <c r="C2152" s="62" t="inlineStr">
        <is>
          <t>Nuit</t>
        </is>
      </c>
      <c r="D2152" s="53" t="inlineStr">
        <is>
          <t>Surf</t>
        </is>
      </c>
      <c r="E2152" s="50" t="inlineStr">
        <is>
          <t>TENTACOOL</t>
        </is>
      </c>
      <c r="F2152" s="51" t="n">
        <v>0.9399999999999999</v>
      </c>
      <c r="G2152" s="52" t="n">
        <v>15</v>
      </c>
      <c r="H2152" s="52" t="n">
        <v>24</v>
      </c>
      <c r="I2152" s="29">
        <f>IF(OR(COUNTIF('Suivi des rencontres'!$A:$A,$A2152)&gt;0,COUNTIF('Suivi des rencontres'!$C:$C,$J2152)&gt;0),"Non","Oui")</f>
        <v/>
      </c>
      <c r="J2152" s="30" t="inlineStr">
        <is>
          <t>TENTACOOL</t>
        </is>
      </c>
    </row>
    <row r="2153">
      <c r="A2153" s="47" t="inlineStr">
        <is>
          <t>Route 34</t>
        </is>
      </c>
      <c r="B2153" s="47" t="inlineStr">
        <is>
          <t>Route34_hns</t>
        </is>
      </c>
      <c r="C2153" s="62" t="inlineStr">
        <is>
          <t>Nuit</t>
        </is>
      </c>
      <c r="D2153" s="53" t="inlineStr">
        <is>
          <t>Surf</t>
        </is>
      </c>
      <c r="E2153" s="50" t="inlineStr">
        <is>
          <t>TENTACRUEL</t>
        </is>
      </c>
      <c r="F2153" s="51" t="n">
        <v>0.06</v>
      </c>
      <c r="G2153" s="52" t="n">
        <v>20</v>
      </c>
      <c r="H2153" s="52" t="n">
        <v>24</v>
      </c>
      <c r="I2153" s="29">
        <f>IF(OR(COUNTIF('Suivi des rencontres'!$A:$A,$A2153)&gt;0,COUNTIF('Suivi des rencontres'!$C:$C,$J2153)&gt;0),"Non","Oui")</f>
        <v/>
      </c>
      <c r="J2153" s="30" t="inlineStr">
        <is>
          <t>TENTACOOL</t>
        </is>
      </c>
    </row>
    <row r="2154">
      <c r="A2154" s="47" t="inlineStr">
        <is>
          <t>Route 34</t>
        </is>
      </c>
      <c r="B2154" s="47" t="inlineStr">
        <is>
          <t>Route34_hns</t>
        </is>
      </c>
      <c r="C2154" s="48" t="inlineStr">
        <is>
          <t>Matin, jour, soir</t>
        </is>
      </c>
      <c r="D2154" s="36" t="inlineStr">
        <is>
          <t>Éclate-Roc</t>
        </is>
      </c>
      <c r="E2154" s="50" t="inlineStr">
        <is>
          <t>POMDEPIK</t>
        </is>
      </c>
      <c r="F2154" s="51" t="n">
        <v>0.6</v>
      </c>
      <c r="G2154" s="52" t="n">
        <v>10</v>
      </c>
      <c r="H2154" s="52" t="n">
        <v>10</v>
      </c>
      <c r="I2154" s="29">
        <f>IF(OR(COUNTIF('Suivi des rencontres'!$A:$A,$A2154)&gt;0,COUNTIF('Suivi des rencontres'!$C:$C,$J2154)&gt;0),"Non","Oui")</f>
        <v/>
      </c>
      <c r="J2154" s="30" t="inlineStr">
        <is>
          <t>POMDEPIK</t>
        </is>
      </c>
    </row>
    <row r="2155">
      <c r="A2155" s="47" t="inlineStr">
        <is>
          <t>Route 34</t>
        </is>
      </c>
      <c r="B2155" s="47" t="inlineStr">
        <is>
          <t>Route34_hns</t>
        </is>
      </c>
      <c r="C2155" s="48" t="inlineStr">
        <is>
          <t>Matin, jour, soir</t>
        </is>
      </c>
      <c r="D2155" s="36" t="inlineStr">
        <is>
          <t>Éclate-Roc</t>
        </is>
      </c>
      <c r="E2155" s="50" t="inlineStr">
        <is>
          <t>NOEUNOEUF</t>
        </is>
      </c>
      <c r="F2155" s="51" t="n">
        <v>0.3</v>
      </c>
      <c r="G2155" s="52" t="n">
        <v>10</v>
      </c>
      <c r="H2155" s="52" t="n">
        <v>10</v>
      </c>
      <c r="I2155" s="29">
        <f>IF(OR(COUNTIF('Suivi des rencontres'!$A:$A,$A2155)&gt;0,COUNTIF('Suivi des rencontres'!$C:$C,$J2155)&gt;0),"Non","Oui")</f>
        <v/>
      </c>
      <c r="J2155" s="30" t="inlineStr">
        <is>
          <t>NOEUNOEUF</t>
        </is>
      </c>
    </row>
    <row r="2156">
      <c r="A2156" s="47" t="inlineStr">
        <is>
          <t>Route 34</t>
        </is>
      </c>
      <c r="B2156" s="47" t="inlineStr">
        <is>
          <t>Route34_hns</t>
        </is>
      </c>
      <c r="C2156" s="48" t="inlineStr">
        <is>
          <t>Matin, jour, soir</t>
        </is>
      </c>
      <c r="D2156" s="36" t="inlineStr">
        <is>
          <t>Éclate-Roc</t>
        </is>
      </c>
      <c r="E2156" s="50" t="inlineStr">
        <is>
          <t>COXY</t>
        </is>
      </c>
      <c r="F2156" s="51" t="n">
        <v>0.05</v>
      </c>
      <c r="G2156" s="52" t="n">
        <v>10</v>
      </c>
      <c r="H2156" s="52" t="n">
        <v>10</v>
      </c>
      <c r="I2156" s="29">
        <f>IF(OR(COUNTIF('Suivi des rencontres'!$A:$A,$A2156)&gt;0,COUNTIF('Suivi des rencontres'!$C:$C,$J2156)&gt;0),"Non","Oui")</f>
        <v/>
      </c>
      <c r="J2156" s="30" t="inlineStr">
        <is>
          <t>COXY</t>
        </is>
      </c>
    </row>
    <row r="2157">
      <c r="A2157" s="47" t="inlineStr">
        <is>
          <t>Route 34</t>
        </is>
      </c>
      <c r="B2157" s="47" t="inlineStr">
        <is>
          <t>Route34_hns</t>
        </is>
      </c>
      <c r="C2157" s="48" t="inlineStr">
        <is>
          <t>Matin, jour, soir</t>
        </is>
      </c>
      <c r="D2157" s="36" t="inlineStr">
        <is>
          <t>Éclate-Roc</t>
        </is>
      </c>
      <c r="E2157" s="50" t="inlineStr">
        <is>
          <t>MIMIGAL</t>
        </is>
      </c>
      <c r="F2157" s="51" t="n">
        <v>0.05</v>
      </c>
      <c r="G2157" s="52" t="n">
        <v>10</v>
      </c>
      <c r="H2157" s="52" t="n">
        <v>10</v>
      </c>
      <c r="I2157" s="29">
        <f>IF(OR(COUNTIF('Suivi des rencontres'!$A:$A,$A2157)&gt;0,COUNTIF('Suivi des rencontres'!$C:$C,$J2157)&gt;0),"Non","Oui")</f>
        <v/>
      </c>
      <c r="J2157" s="30" t="inlineStr">
        <is>
          <t>MIMIGAL</t>
        </is>
      </c>
    </row>
    <row r="2158">
      <c r="A2158" s="47" t="inlineStr">
        <is>
          <t>Route 34</t>
        </is>
      </c>
      <c r="B2158" s="47" t="inlineStr">
        <is>
          <t>Route34_hns</t>
        </is>
      </c>
      <c r="C2158" s="62" t="inlineStr">
        <is>
          <t>Nuit</t>
        </is>
      </c>
      <c r="D2158" s="36" t="inlineStr">
        <is>
          <t>Éclate-Roc</t>
        </is>
      </c>
      <c r="E2158" s="50" t="inlineStr">
        <is>
          <t>POMDEPIK</t>
        </is>
      </c>
      <c r="F2158" s="51" t="n">
        <v>0.6</v>
      </c>
      <c r="G2158" s="52" t="n">
        <v>10</v>
      </c>
      <c r="H2158" s="52" t="n">
        <v>10</v>
      </c>
      <c r="I2158" s="29">
        <f>IF(OR(COUNTIF('Suivi des rencontres'!$A:$A,$A2158)&gt;0,COUNTIF('Suivi des rencontres'!$C:$C,$J2158)&gt;0),"Non","Oui")</f>
        <v/>
      </c>
      <c r="J2158" s="30" t="inlineStr">
        <is>
          <t>POMDEPIK</t>
        </is>
      </c>
    </row>
    <row r="2159">
      <c r="A2159" s="47" t="inlineStr">
        <is>
          <t>Route 34</t>
        </is>
      </c>
      <c r="B2159" s="47" t="inlineStr">
        <is>
          <t>Route34_hns</t>
        </is>
      </c>
      <c r="C2159" s="62" t="inlineStr">
        <is>
          <t>Nuit</t>
        </is>
      </c>
      <c r="D2159" s="36" t="inlineStr">
        <is>
          <t>Éclate-Roc</t>
        </is>
      </c>
      <c r="E2159" s="50" t="inlineStr">
        <is>
          <t>NOEUNOEUF</t>
        </is>
      </c>
      <c r="F2159" s="51" t="n">
        <v>0.3</v>
      </c>
      <c r="G2159" s="52" t="n">
        <v>10</v>
      </c>
      <c r="H2159" s="52" t="n">
        <v>10</v>
      </c>
      <c r="I2159" s="29">
        <f>IF(OR(COUNTIF('Suivi des rencontres'!$A:$A,$A2159)&gt;0,COUNTIF('Suivi des rencontres'!$C:$C,$J2159)&gt;0),"Non","Oui")</f>
        <v/>
      </c>
      <c r="J2159" s="30" t="inlineStr">
        <is>
          <t>NOEUNOEUF</t>
        </is>
      </c>
    </row>
    <row r="2160">
      <c r="A2160" s="47" t="inlineStr">
        <is>
          <t>Route 34</t>
        </is>
      </c>
      <c r="B2160" s="47" t="inlineStr">
        <is>
          <t>Route34_hns</t>
        </is>
      </c>
      <c r="C2160" s="62" t="inlineStr">
        <is>
          <t>Nuit</t>
        </is>
      </c>
      <c r="D2160" s="36" t="inlineStr">
        <is>
          <t>Éclate-Roc</t>
        </is>
      </c>
      <c r="E2160" s="50" t="inlineStr">
        <is>
          <t>COXY</t>
        </is>
      </c>
      <c r="F2160" s="51" t="n">
        <v>0.05</v>
      </c>
      <c r="G2160" s="52" t="n">
        <v>10</v>
      </c>
      <c r="H2160" s="52" t="n">
        <v>10</v>
      </c>
      <c r="I2160" s="29">
        <f>IF(OR(COUNTIF('Suivi des rencontres'!$A:$A,$A2160)&gt;0,COUNTIF('Suivi des rencontres'!$C:$C,$J2160)&gt;0),"Non","Oui")</f>
        <v/>
      </c>
      <c r="J2160" s="30" t="inlineStr">
        <is>
          <t>COXY</t>
        </is>
      </c>
    </row>
    <row r="2161">
      <c r="A2161" s="47" t="inlineStr">
        <is>
          <t>Route 34</t>
        </is>
      </c>
      <c r="B2161" s="47" t="inlineStr">
        <is>
          <t>Route34_hns</t>
        </is>
      </c>
      <c r="C2161" s="62" t="inlineStr">
        <is>
          <t>Nuit</t>
        </is>
      </c>
      <c r="D2161" s="36" t="inlineStr">
        <is>
          <t>Éclate-Roc</t>
        </is>
      </c>
      <c r="E2161" s="50" t="inlineStr">
        <is>
          <t>MIMIGAL</t>
        </is>
      </c>
      <c r="F2161" s="51" t="n">
        <v>0.05</v>
      </c>
      <c r="G2161" s="52" t="n">
        <v>10</v>
      </c>
      <c r="H2161" s="52" t="n">
        <v>10</v>
      </c>
      <c r="I2161" s="29">
        <f>IF(OR(COUNTIF('Suivi des rencontres'!$A:$A,$A2161)&gt;0,COUNTIF('Suivi des rencontres'!$C:$C,$J2161)&gt;0),"Non","Oui")</f>
        <v/>
      </c>
      <c r="J2161" s="30" t="inlineStr">
        <is>
          <t>MIMIGAL</t>
        </is>
      </c>
    </row>
    <row r="2162">
      <c r="A2162" s="47" t="inlineStr">
        <is>
          <t>Route 34</t>
        </is>
      </c>
      <c r="B2162" s="47" t="inlineStr">
        <is>
          <t>Route34_hns</t>
        </is>
      </c>
      <c r="C2162" s="48" t="inlineStr">
        <is>
          <t>Matin, jour, soir</t>
        </is>
      </c>
      <c r="D2162" s="54" t="inlineStr">
        <is>
          <t>Vieille Canne</t>
        </is>
      </c>
      <c r="E2162" s="50" t="inlineStr">
        <is>
          <t>MAGICARPE</t>
        </is>
      </c>
      <c r="F2162" s="51" t="n">
        <v>0.7</v>
      </c>
      <c r="G2162" s="52" t="n">
        <v>10</v>
      </c>
      <c r="H2162" s="52" t="n">
        <v>10</v>
      </c>
      <c r="I2162" s="29">
        <f>IF(OR(COUNTIF('Suivi des rencontres'!$A:$A,$A2162)&gt;0,COUNTIF('Suivi des rencontres'!$C:$C,$J2162)&gt;0),"Non","Oui")</f>
        <v/>
      </c>
      <c r="J2162" s="30" t="inlineStr">
        <is>
          <t>MAGICARPE</t>
        </is>
      </c>
    </row>
    <row r="2163">
      <c r="A2163" s="47" t="inlineStr">
        <is>
          <t>Route 34</t>
        </is>
      </c>
      <c r="B2163" s="47" t="inlineStr">
        <is>
          <t>Route34_hns</t>
        </is>
      </c>
      <c r="C2163" s="48" t="inlineStr">
        <is>
          <t>Matin, jour, soir</t>
        </is>
      </c>
      <c r="D2163" s="54" t="inlineStr">
        <is>
          <t>Vieille Canne</t>
        </is>
      </c>
      <c r="E2163" s="50" t="inlineStr">
        <is>
          <t>KRABBY</t>
        </is>
      </c>
      <c r="F2163" s="51" t="n">
        <v>0.3</v>
      </c>
      <c r="G2163" s="52" t="n">
        <v>10</v>
      </c>
      <c r="H2163" s="52" t="n">
        <v>10</v>
      </c>
      <c r="I2163" s="29">
        <f>IF(OR(COUNTIF('Suivi des rencontres'!$A:$A,$A2163)&gt;0,COUNTIF('Suivi des rencontres'!$C:$C,$J2163)&gt;0),"Non","Oui")</f>
        <v/>
      </c>
      <c r="J2163" s="30" t="inlineStr">
        <is>
          <t>KRABBY</t>
        </is>
      </c>
    </row>
    <row r="2164">
      <c r="A2164" s="47" t="inlineStr">
        <is>
          <t>Route 34</t>
        </is>
      </c>
      <c r="B2164" s="47" t="inlineStr">
        <is>
          <t>Route34_hns</t>
        </is>
      </c>
      <c r="C2164" s="62" t="inlineStr">
        <is>
          <t>Nuit</t>
        </is>
      </c>
      <c r="D2164" s="54" t="inlineStr">
        <is>
          <t>Vieille Canne</t>
        </is>
      </c>
      <c r="E2164" s="50" t="inlineStr">
        <is>
          <t>MAGICARPE</t>
        </is>
      </c>
      <c r="F2164" s="51" t="n">
        <v>0.7</v>
      </c>
      <c r="G2164" s="52" t="n">
        <v>10</v>
      </c>
      <c r="H2164" s="52" t="n">
        <v>10</v>
      </c>
      <c r="I2164" s="29">
        <f>IF(OR(COUNTIF('Suivi des rencontres'!$A:$A,$A2164)&gt;0,COUNTIF('Suivi des rencontres'!$C:$C,$J2164)&gt;0),"Non","Oui")</f>
        <v/>
      </c>
      <c r="J2164" s="30" t="inlineStr">
        <is>
          <t>MAGICARPE</t>
        </is>
      </c>
    </row>
    <row r="2165">
      <c r="A2165" s="47" t="inlineStr">
        <is>
          <t>Route 34</t>
        </is>
      </c>
      <c r="B2165" s="47" t="inlineStr">
        <is>
          <t>Route34_hns</t>
        </is>
      </c>
      <c r="C2165" s="62" t="inlineStr">
        <is>
          <t>Nuit</t>
        </is>
      </c>
      <c r="D2165" s="54" t="inlineStr">
        <is>
          <t>Vieille Canne</t>
        </is>
      </c>
      <c r="E2165" s="50" t="inlineStr">
        <is>
          <t>KRABBY</t>
        </is>
      </c>
      <c r="F2165" s="51" t="n">
        <v>0.3</v>
      </c>
      <c r="G2165" s="52" t="n">
        <v>10</v>
      </c>
      <c r="H2165" s="52" t="n">
        <v>10</v>
      </c>
      <c r="I2165" s="29">
        <f>IF(OR(COUNTIF('Suivi des rencontres'!$A:$A,$A2165)&gt;0,COUNTIF('Suivi des rencontres'!$C:$C,$J2165)&gt;0),"Non","Oui")</f>
        <v/>
      </c>
      <c r="J2165" s="30" t="inlineStr">
        <is>
          <t>KRABBY</t>
        </is>
      </c>
    </row>
    <row r="2166">
      <c r="A2166" s="47" t="inlineStr">
        <is>
          <t>Route 34</t>
        </is>
      </c>
      <c r="B2166" s="47" t="inlineStr">
        <is>
          <t>Route34_hns</t>
        </is>
      </c>
      <c r="C2166" s="48" t="inlineStr">
        <is>
          <t>Matin, jour, soir</t>
        </is>
      </c>
      <c r="D2166" s="55" t="inlineStr">
        <is>
          <t>Bonne Canne</t>
        </is>
      </c>
      <c r="E2166" s="50" t="inlineStr">
        <is>
          <t>KRABBY</t>
        </is>
      </c>
      <c r="F2166" s="51" t="n">
        <v>0.6</v>
      </c>
      <c r="G2166" s="52" t="n">
        <v>20</v>
      </c>
      <c r="H2166" s="52" t="n">
        <v>20</v>
      </c>
      <c r="I2166" s="29">
        <f>IF(OR(COUNTIF('Suivi des rencontres'!$A:$A,$A2166)&gt;0,COUNTIF('Suivi des rencontres'!$C:$C,$J2166)&gt;0),"Non","Oui")</f>
        <v/>
      </c>
      <c r="J2166" s="30" t="inlineStr">
        <is>
          <t>KRABBY</t>
        </is>
      </c>
    </row>
    <row r="2167">
      <c r="A2167" s="47" t="inlineStr">
        <is>
          <t>Route 34</t>
        </is>
      </c>
      <c r="B2167" s="47" t="inlineStr">
        <is>
          <t>Route34_hns</t>
        </is>
      </c>
      <c r="C2167" s="48" t="inlineStr">
        <is>
          <t>Matin, jour, soir</t>
        </is>
      </c>
      <c r="D2167" s="55" t="inlineStr">
        <is>
          <t>Bonne Canne</t>
        </is>
      </c>
      <c r="E2167" s="50" t="inlineStr">
        <is>
          <t>CORAYON</t>
        </is>
      </c>
      <c r="F2167" s="51" t="n">
        <v>0.2</v>
      </c>
      <c r="G2167" s="52" t="n">
        <v>20</v>
      </c>
      <c r="H2167" s="52" t="n">
        <v>20</v>
      </c>
      <c r="I2167" s="29">
        <f>IF(OR(COUNTIF('Suivi des rencontres'!$A:$A,$A2167)&gt;0,COUNTIF('Suivi des rencontres'!$C:$C,$J2167)&gt;0),"Non","Oui")</f>
        <v/>
      </c>
      <c r="J2167" s="30" t="inlineStr">
        <is>
          <t>CORAYON</t>
        </is>
      </c>
    </row>
    <row r="2168">
      <c r="A2168" s="47" t="inlineStr">
        <is>
          <t>Route 34</t>
        </is>
      </c>
      <c r="B2168" s="47" t="inlineStr">
        <is>
          <t>Route34_hns</t>
        </is>
      </c>
      <c r="C2168" s="48" t="inlineStr">
        <is>
          <t>Matin, jour, soir</t>
        </is>
      </c>
      <c r="D2168" s="55" t="inlineStr">
        <is>
          <t>Bonne Canne</t>
        </is>
      </c>
      <c r="E2168" s="50" t="inlineStr">
        <is>
          <t>MAGICARPE</t>
        </is>
      </c>
      <c r="F2168" s="51" t="n">
        <v>0.2</v>
      </c>
      <c r="G2168" s="52" t="n">
        <v>20</v>
      </c>
      <c r="H2168" s="52" t="n">
        <v>20</v>
      </c>
      <c r="I2168" s="29">
        <f>IF(OR(COUNTIF('Suivi des rencontres'!$A:$A,$A2168)&gt;0,COUNTIF('Suivi des rencontres'!$C:$C,$J2168)&gt;0),"Non","Oui")</f>
        <v/>
      </c>
      <c r="J2168" s="30" t="inlineStr">
        <is>
          <t>MAGICARPE</t>
        </is>
      </c>
    </row>
    <row r="2169">
      <c r="A2169" s="47" t="inlineStr">
        <is>
          <t>Route 34</t>
        </is>
      </c>
      <c r="B2169" s="47" t="inlineStr">
        <is>
          <t>Route34_hns</t>
        </is>
      </c>
      <c r="C2169" s="62" t="inlineStr">
        <is>
          <t>Nuit</t>
        </is>
      </c>
      <c r="D2169" s="55" t="inlineStr">
        <is>
          <t>Bonne Canne</t>
        </is>
      </c>
      <c r="E2169" s="50" t="inlineStr">
        <is>
          <t>KRABBY</t>
        </is>
      </c>
      <c r="F2169" s="51" t="n">
        <v>0.6</v>
      </c>
      <c r="G2169" s="52" t="n">
        <v>20</v>
      </c>
      <c r="H2169" s="52" t="n">
        <v>20</v>
      </c>
      <c r="I2169" s="29">
        <f>IF(OR(COUNTIF('Suivi des rencontres'!$A:$A,$A2169)&gt;0,COUNTIF('Suivi des rencontres'!$C:$C,$J2169)&gt;0),"Non","Oui")</f>
        <v/>
      </c>
      <c r="J2169" s="30" t="inlineStr">
        <is>
          <t>KRABBY</t>
        </is>
      </c>
    </row>
    <row r="2170">
      <c r="A2170" s="47" t="inlineStr">
        <is>
          <t>Route 34</t>
        </is>
      </c>
      <c r="B2170" s="47" t="inlineStr">
        <is>
          <t>Route34_hns</t>
        </is>
      </c>
      <c r="C2170" s="62" t="inlineStr">
        <is>
          <t>Nuit</t>
        </is>
      </c>
      <c r="D2170" s="55" t="inlineStr">
        <is>
          <t>Bonne Canne</t>
        </is>
      </c>
      <c r="E2170" s="50" t="inlineStr">
        <is>
          <t>CORAYON</t>
        </is>
      </c>
      <c r="F2170" s="51" t="n">
        <v>0.2</v>
      </c>
      <c r="G2170" s="52" t="n">
        <v>20</v>
      </c>
      <c r="H2170" s="52" t="n">
        <v>20</v>
      </c>
      <c r="I2170" s="29">
        <f>IF(OR(COUNTIF('Suivi des rencontres'!$A:$A,$A2170)&gt;0,COUNTIF('Suivi des rencontres'!$C:$C,$J2170)&gt;0),"Non","Oui")</f>
        <v/>
      </c>
      <c r="J2170" s="30" t="inlineStr">
        <is>
          <t>CORAYON</t>
        </is>
      </c>
    </row>
    <row r="2171">
      <c r="A2171" s="47" t="inlineStr">
        <is>
          <t>Route 34</t>
        </is>
      </c>
      <c r="B2171" s="47" t="inlineStr">
        <is>
          <t>Route34_hns</t>
        </is>
      </c>
      <c r="C2171" s="62" t="inlineStr">
        <is>
          <t>Nuit</t>
        </is>
      </c>
      <c r="D2171" s="55" t="inlineStr">
        <is>
          <t>Bonne Canne</t>
        </is>
      </c>
      <c r="E2171" s="50" t="inlineStr">
        <is>
          <t>MAGICARPE</t>
        </is>
      </c>
      <c r="F2171" s="51" t="n">
        <v>0.2</v>
      </c>
      <c r="G2171" s="52" t="n">
        <v>20</v>
      </c>
      <c r="H2171" s="52" t="n">
        <v>20</v>
      </c>
      <c r="I2171" s="29">
        <f>IF(OR(COUNTIF('Suivi des rencontres'!$A:$A,$A2171)&gt;0,COUNTIF('Suivi des rencontres'!$C:$C,$J2171)&gt;0),"Non","Oui")</f>
        <v/>
      </c>
      <c r="J2171" s="30" t="inlineStr">
        <is>
          <t>MAGICARPE</t>
        </is>
      </c>
    </row>
    <row r="2172">
      <c r="A2172" s="47" t="inlineStr">
        <is>
          <t>Route 34</t>
        </is>
      </c>
      <c r="B2172" s="47" t="inlineStr">
        <is>
          <t>Route34_hns</t>
        </is>
      </c>
      <c r="C2172" s="48" t="inlineStr">
        <is>
          <t>Matin, jour, soir</t>
        </is>
      </c>
      <c r="D2172" s="56" t="inlineStr">
        <is>
          <t>Super Canne</t>
        </is>
      </c>
      <c r="E2172" s="50" t="inlineStr">
        <is>
          <t>STARI</t>
        </is>
      </c>
      <c r="F2172" s="51" t="n">
        <v>0.44</v>
      </c>
      <c r="G2172" s="52" t="n">
        <v>20</v>
      </c>
      <c r="H2172" s="52" t="n">
        <v>40</v>
      </c>
      <c r="I2172" s="29">
        <f>IF(OR(COUNTIF('Suivi des rencontres'!$A:$A,$A2172)&gt;0,COUNTIF('Suivi des rencontres'!$C:$C,$J2172)&gt;0),"Non","Oui")</f>
        <v/>
      </c>
      <c r="J2172" s="30" t="inlineStr">
        <is>
          <t>STARI</t>
        </is>
      </c>
    </row>
    <row r="2173">
      <c r="A2173" s="47" t="inlineStr">
        <is>
          <t>Route 34</t>
        </is>
      </c>
      <c r="B2173" s="47" t="inlineStr">
        <is>
          <t>Route34_hns</t>
        </is>
      </c>
      <c r="C2173" s="48" t="inlineStr">
        <is>
          <t>Matin, jour, soir</t>
        </is>
      </c>
      <c r="D2173" s="56" t="inlineStr">
        <is>
          <t>Super Canne</t>
        </is>
      </c>
      <c r="E2173" s="50" t="inlineStr">
        <is>
          <t>KRABBY</t>
        </is>
      </c>
      <c r="F2173" s="51" t="n">
        <v>0.4</v>
      </c>
      <c r="G2173" s="52" t="n">
        <v>40</v>
      </c>
      <c r="H2173" s="52" t="n">
        <v>40</v>
      </c>
      <c r="I2173" s="29">
        <f>IF(OR(COUNTIF('Suivi des rencontres'!$A:$A,$A2173)&gt;0,COUNTIF('Suivi des rencontres'!$C:$C,$J2173)&gt;0),"Non","Oui")</f>
        <v/>
      </c>
      <c r="J2173" s="30" t="inlineStr">
        <is>
          <t>KRABBY</t>
        </is>
      </c>
    </row>
    <row r="2174">
      <c r="A2174" s="47" t="inlineStr">
        <is>
          <t>Route 34</t>
        </is>
      </c>
      <c r="B2174" s="47" t="inlineStr">
        <is>
          <t>Route34_hns</t>
        </is>
      </c>
      <c r="C2174" s="48" t="inlineStr">
        <is>
          <t>Matin, jour, soir</t>
        </is>
      </c>
      <c r="D2174" s="56" t="inlineStr">
        <is>
          <t>Super Canne</t>
        </is>
      </c>
      <c r="E2174" s="50" t="inlineStr">
        <is>
          <t>CORAYON</t>
        </is>
      </c>
      <c r="F2174" s="51" t="n">
        <v>0.15</v>
      </c>
      <c r="G2174" s="52" t="n">
        <v>40</v>
      </c>
      <c r="H2174" s="52" t="n">
        <v>40</v>
      </c>
      <c r="I2174" s="29">
        <f>IF(OR(COUNTIF('Suivi des rencontres'!$A:$A,$A2174)&gt;0,COUNTIF('Suivi des rencontres'!$C:$C,$J2174)&gt;0),"Non","Oui")</f>
        <v/>
      </c>
      <c r="J2174" s="30" t="inlineStr">
        <is>
          <t>CORAYON</t>
        </is>
      </c>
    </row>
    <row r="2175">
      <c r="A2175" s="47" t="inlineStr">
        <is>
          <t>Route 34</t>
        </is>
      </c>
      <c r="B2175" s="47" t="inlineStr">
        <is>
          <t>Route34_hns</t>
        </is>
      </c>
      <c r="C2175" s="48" t="inlineStr">
        <is>
          <t>Matin, jour, soir</t>
        </is>
      </c>
      <c r="D2175" s="56" t="inlineStr">
        <is>
          <t>Super Canne</t>
        </is>
      </c>
      <c r="E2175" s="50" t="inlineStr">
        <is>
          <t>KRABBOSS</t>
        </is>
      </c>
      <c r="F2175" s="51" t="n">
        <v>0.01</v>
      </c>
      <c r="G2175" s="52" t="n">
        <v>40</v>
      </c>
      <c r="H2175" s="52" t="n">
        <v>40</v>
      </c>
      <c r="I2175" s="29">
        <f>IF(OR(COUNTIF('Suivi des rencontres'!$A:$A,$A2175)&gt;0,COUNTIF('Suivi des rencontres'!$C:$C,$J2175)&gt;0),"Non","Oui")</f>
        <v/>
      </c>
      <c r="J2175" s="30" t="inlineStr">
        <is>
          <t>KRABBY</t>
        </is>
      </c>
    </row>
    <row r="2176">
      <c r="A2176" s="47" t="inlineStr">
        <is>
          <t>Route 34</t>
        </is>
      </c>
      <c r="B2176" s="47" t="inlineStr">
        <is>
          <t>Route34_hns</t>
        </is>
      </c>
      <c r="C2176" s="62" t="inlineStr">
        <is>
          <t>Nuit</t>
        </is>
      </c>
      <c r="D2176" s="56" t="inlineStr">
        <is>
          <t>Super Canne</t>
        </is>
      </c>
      <c r="E2176" s="50" t="inlineStr">
        <is>
          <t>STARI</t>
        </is>
      </c>
      <c r="F2176" s="51" t="n">
        <v>0.44</v>
      </c>
      <c r="G2176" s="52" t="n">
        <v>20</v>
      </c>
      <c r="H2176" s="52" t="n">
        <v>40</v>
      </c>
      <c r="I2176" s="29">
        <f>IF(OR(COUNTIF('Suivi des rencontres'!$A:$A,$A2176)&gt;0,COUNTIF('Suivi des rencontres'!$C:$C,$J2176)&gt;0),"Non","Oui")</f>
        <v/>
      </c>
      <c r="J2176" s="30" t="inlineStr">
        <is>
          <t>STARI</t>
        </is>
      </c>
    </row>
    <row r="2177">
      <c r="A2177" s="47" t="inlineStr">
        <is>
          <t>Route 34</t>
        </is>
      </c>
      <c r="B2177" s="47" t="inlineStr">
        <is>
          <t>Route34_hns</t>
        </is>
      </c>
      <c r="C2177" s="62" t="inlineStr">
        <is>
          <t>Nuit</t>
        </is>
      </c>
      <c r="D2177" s="56" t="inlineStr">
        <is>
          <t>Super Canne</t>
        </is>
      </c>
      <c r="E2177" s="50" t="inlineStr">
        <is>
          <t>KRABBY</t>
        </is>
      </c>
      <c r="F2177" s="51" t="n">
        <v>0.4</v>
      </c>
      <c r="G2177" s="52" t="n">
        <v>40</v>
      </c>
      <c r="H2177" s="52" t="n">
        <v>40</v>
      </c>
      <c r="I2177" s="29">
        <f>IF(OR(COUNTIF('Suivi des rencontres'!$A:$A,$A2177)&gt;0,COUNTIF('Suivi des rencontres'!$C:$C,$J2177)&gt;0),"Non","Oui")</f>
        <v/>
      </c>
      <c r="J2177" s="30" t="inlineStr">
        <is>
          <t>KRABBY</t>
        </is>
      </c>
    </row>
    <row r="2178">
      <c r="A2178" s="47" t="inlineStr">
        <is>
          <t>Route 34</t>
        </is>
      </c>
      <c r="B2178" s="47" t="inlineStr">
        <is>
          <t>Route34_hns</t>
        </is>
      </c>
      <c r="C2178" s="62" t="inlineStr">
        <is>
          <t>Nuit</t>
        </is>
      </c>
      <c r="D2178" s="56" t="inlineStr">
        <is>
          <t>Super Canne</t>
        </is>
      </c>
      <c r="E2178" s="50" t="inlineStr">
        <is>
          <t>CORAYON</t>
        </is>
      </c>
      <c r="F2178" s="51" t="n">
        <v>0.15</v>
      </c>
      <c r="G2178" s="52" t="n">
        <v>40</v>
      </c>
      <c r="H2178" s="52" t="n">
        <v>40</v>
      </c>
      <c r="I2178" s="29">
        <f>IF(OR(COUNTIF('Suivi des rencontres'!$A:$A,$A2178)&gt;0,COUNTIF('Suivi des rencontres'!$C:$C,$J2178)&gt;0),"Non","Oui")</f>
        <v/>
      </c>
      <c r="J2178" s="30" t="inlineStr">
        <is>
          <t>CORAYON</t>
        </is>
      </c>
    </row>
    <row r="2179">
      <c r="A2179" s="47" t="inlineStr">
        <is>
          <t>Route 34</t>
        </is>
      </c>
      <c r="B2179" s="47" t="inlineStr">
        <is>
          <t>Route34_hns</t>
        </is>
      </c>
      <c r="C2179" s="62" t="inlineStr">
        <is>
          <t>Nuit</t>
        </is>
      </c>
      <c r="D2179" s="56" t="inlineStr">
        <is>
          <t>Super Canne</t>
        </is>
      </c>
      <c r="E2179" s="50" t="inlineStr">
        <is>
          <t>KRABBOSS</t>
        </is>
      </c>
      <c r="F2179" s="51" t="n">
        <v>0.01</v>
      </c>
      <c r="G2179" s="52" t="n">
        <v>40</v>
      </c>
      <c r="H2179" s="52" t="n">
        <v>40</v>
      </c>
      <c r="I2179" s="29">
        <f>IF(OR(COUNTIF('Suivi des rencontres'!$A:$A,$A2179)&gt;0,COUNTIF('Suivi des rencontres'!$C:$C,$J2179)&gt;0),"Non","Oui")</f>
        <v/>
      </c>
      <c r="J2179" s="30" t="inlineStr">
        <is>
          <t>KRABBY</t>
        </is>
      </c>
    </row>
    <row r="2180">
      <c r="A2180" s="57" t="inlineStr">
        <is>
          <t>Route 35</t>
        </is>
      </c>
      <c r="B2180" s="57" t="inlineStr">
        <is>
          <t>Route35_hns</t>
        </is>
      </c>
      <c r="C2180" s="58" t="inlineStr">
        <is>
          <t>Matin, jour, soir</t>
        </is>
      </c>
      <c r="D2180" s="42" t="inlineStr">
        <is>
          <t>Herbe</t>
        </is>
      </c>
      <c r="E2180" s="59" t="inlineStr">
        <is>
          <t>ROUCOOL</t>
        </is>
      </c>
      <c r="F2180" s="60" t="n">
        <v>0.3</v>
      </c>
      <c r="G2180" s="61" t="n">
        <v>15</v>
      </c>
      <c r="H2180" s="61" t="n">
        <v>15</v>
      </c>
      <c r="I2180" s="46">
        <f>IF(OR(COUNTIF('Suivi des rencontres'!$A:$A,$A2180)&gt;0,COUNTIF('Suivi des rencontres'!$C:$C,$J2180)&gt;0),"Non","Oui")</f>
        <v/>
      </c>
      <c r="J2180" s="30" t="inlineStr">
        <is>
          <t>ROUCOOL</t>
        </is>
      </c>
    </row>
    <row r="2181">
      <c r="A2181" s="35" t="inlineStr">
        <is>
          <t>Route 35</t>
        </is>
      </c>
      <c r="B2181" s="35" t="inlineStr">
        <is>
          <t>Route35_hns</t>
        </is>
      </c>
      <c r="C2181" s="33" t="inlineStr">
        <is>
          <t>Matin, jour, soir</t>
        </is>
      </c>
      <c r="D2181" s="49" t="inlineStr">
        <is>
          <t>Herbe</t>
        </is>
      </c>
      <c r="E2181" s="37" t="inlineStr">
        <is>
          <t>SNUBBULL</t>
        </is>
      </c>
      <c r="F2181" s="38" t="n">
        <v>0.25</v>
      </c>
      <c r="G2181" s="39" t="n">
        <v>15</v>
      </c>
      <c r="H2181" s="39" t="n">
        <v>15</v>
      </c>
      <c r="I2181" s="29">
        <f>IF(OR(COUNTIF('Suivi des rencontres'!$A:$A,$A2181)&gt;0,COUNTIF('Suivi des rencontres'!$C:$C,$J2181)&gt;0),"Non","Oui")</f>
        <v/>
      </c>
      <c r="J2181" s="30" t="inlineStr">
        <is>
          <t>SNUBBULL</t>
        </is>
      </c>
    </row>
    <row r="2182">
      <c r="A2182" s="35" t="inlineStr">
        <is>
          <t>Route 35</t>
        </is>
      </c>
      <c r="B2182" s="35" t="inlineStr">
        <is>
          <t>Route35_hns</t>
        </is>
      </c>
      <c r="C2182" s="33" t="inlineStr">
        <is>
          <t>Matin, jour, soir</t>
        </is>
      </c>
      <c r="D2182" s="49" t="inlineStr">
        <is>
          <t>Herbe</t>
        </is>
      </c>
      <c r="E2182" s="37" t="inlineStr">
        <is>
          <t>YANMA</t>
        </is>
      </c>
      <c r="F2182" s="38" t="n">
        <v>0.19</v>
      </c>
      <c r="G2182" s="39" t="n">
        <v>14</v>
      </c>
      <c r="H2182" s="39" t="n">
        <v>18</v>
      </c>
      <c r="I2182" s="29">
        <f>IF(OR(COUNTIF('Suivi des rencontres'!$A:$A,$A2182)&gt;0,COUNTIF('Suivi des rencontres'!$C:$C,$J2182)&gt;0),"Non","Oui")</f>
        <v/>
      </c>
      <c r="J2182" s="30" t="inlineStr">
        <is>
          <t>YANMA</t>
        </is>
      </c>
    </row>
    <row r="2183">
      <c r="A2183" s="35" t="inlineStr">
        <is>
          <t>Route 35</t>
        </is>
      </c>
      <c r="B2183" s="35" t="inlineStr">
        <is>
          <t>Route35_hns</t>
        </is>
      </c>
      <c r="C2183" s="33" t="inlineStr">
        <is>
          <t>Matin, jour, soir</t>
        </is>
      </c>
      <c r="D2183" s="49" t="inlineStr">
        <is>
          <t>Herbe</t>
        </is>
      </c>
      <c r="E2183" s="37" t="inlineStr">
        <is>
          <t>ABRA</t>
        </is>
      </c>
      <c r="F2183" s="38" t="n">
        <v>0.15</v>
      </c>
      <c r="G2183" s="39" t="n">
        <v>15</v>
      </c>
      <c r="H2183" s="39" t="n">
        <v>15</v>
      </c>
      <c r="I2183" s="29">
        <f>IF(OR(COUNTIF('Suivi des rencontres'!$A:$A,$A2183)&gt;0,COUNTIF('Suivi des rencontres'!$C:$C,$J2183)&gt;0),"Non","Oui")</f>
        <v/>
      </c>
      <c r="J2183" s="30" t="inlineStr">
        <is>
          <t>ABRA</t>
        </is>
      </c>
    </row>
    <row r="2184">
      <c r="A2184" s="35" t="inlineStr">
        <is>
          <t>Route 35</t>
        </is>
      </c>
      <c r="B2184" s="35" t="inlineStr">
        <is>
          <t>Route35_hns</t>
        </is>
      </c>
      <c r="C2184" s="33" t="inlineStr">
        <is>
          <t>Matin, jour, soir</t>
        </is>
      </c>
      <c r="D2184" s="49" t="inlineStr">
        <is>
          <t>Herbe</t>
        </is>
      </c>
      <c r="E2184" s="37" t="inlineStr">
        <is>
          <t>CANINOS</t>
        </is>
      </c>
      <c r="F2184" s="38" t="n">
        <v>0.11</v>
      </c>
      <c r="G2184" s="39" t="n">
        <v>14</v>
      </c>
      <c r="H2184" s="39" t="n">
        <v>15</v>
      </c>
      <c r="I2184" s="29">
        <f>IF(OR(COUNTIF('Suivi des rencontres'!$A:$A,$A2184)&gt;0,COUNTIF('Suivi des rencontres'!$C:$C,$J2184)&gt;0),"Non","Oui")</f>
        <v/>
      </c>
      <c r="J2184" s="30" t="inlineStr">
        <is>
          <t>CANINOS</t>
        </is>
      </c>
    </row>
    <row r="2185">
      <c r="A2185" s="35" t="inlineStr">
        <is>
          <t>Route 35</t>
        </is>
      </c>
      <c r="B2185" s="35" t="inlineStr">
        <is>
          <t>Route35_hns</t>
        </is>
      </c>
      <c r="C2185" s="62" t="inlineStr">
        <is>
          <t>Nuit</t>
        </is>
      </c>
      <c r="D2185" s="49" t="inlineStr">
        <is>
          <t>Herbe</t>
        </is>
      </c>
      <c r="E2185" s="37" t="inlineStr">
        <is>
          <t>CANINOS</t>
        </is>
      </c>
      <c r="F2185" s="38" t="n">
        <v>0.3</v>
      </c>
      <c r="G2185" s="39" t="n">
        <v>15</v>
      </c>
      <c r="H2185" s="39" t="n">
        <v>15</v>
      </c>
      <c r="I2185" s="29">
        <f>IF(OR(COUNTIF('Suivi des rencontres'!$A:$A,$A2185)&gt;0,COUNTIF('Suivi des rencontres'!$C:$C,$J2185)&gt;0),"Non","Oui")</f>
        <v/>
      </c>
      <c r="J2185" s="30" t="inlineStr">
        <is>
          <t>CANINOS</t>
        </is>
      </c>
    </row>
    <row r="2186">
      <c r="A2186" s="35" t="inlineStr">
        <is>
          <t>Route 35</t>
        </is>
      </c>
      <c r="B2186" s="35" t="inlineStr">
        <is>
          <t>Route35_hns</t>
        </is>
      </c>
      <c r="C2186" s="62" t="inlineStr">
        <is>
          <t>Nuit</t>
        </is>
      </c>
      <c r="D2186" s="49" t="inlineStr">
        <is>
          <t>Herbe</t>
        </is>
      </c>
      <c r="E2186" s="37" t="inlineStr">
        <is>
          <t>PSYKOKWAK</t>
        </is>
      </c>
      <c r="F2186" s="38" t="n">
        <v>0.26</v>
      </c>
      <c r="G2186" s="39" t="n">
        <v>15</v>
      </c>
      <c r="H2186" s="39" t="n">
        <v>15</v>
      </c>
      <c r="I2186" s="29">
        <f>IF(OR(COUNTIF('Suivi des rencontres'!$A:$A,$A2186)&gt;0,COUNTIF('Suivi des rencontres'!$C:$C,$J2186)&gt;0),"Non","Oui")</f>
        <v/>
      </c>
      <c r="J2186" s="30" t="inlineStr">
        <is>
          <t>PSYKOKWAK</t>
        </is>
      </c>
    </row>
    <row r="2187">
      <c r="A2187" s="35" t="inlineStr">
        <is>
          <t>Route 35</t>
        </is>
      </c>
      <c r="B2187" s="35" t="inlineStr">
        <is>
          <t>Route35_hns</t>
        </is>
      </c>
      <c r="C2187" s="62" t="inlineStr">
        <is>
          <t>Nuit</t>
        </is>
      </c>
      <c r="D2187" s="49" t="inlineStr">
        <is>
          <t>Herbe</t>
        </is>
      </c>
      <c r="E2187" s="37" t="inlineStr">
        <is>
          <t>YANMA</t>
        </is>
      </c>
      <c r="F2187" s="38" t="n">
        <v>0.18</v>
      </c>
      <c r="G2187" s="39" t="n">
        <v>14</v>
      </c>
      <c r="H2187" s="39" t="n">
        <v>18</v>
      </c>
      <c r="I2187" s="29">
        <f>IF(OR(COUNTIF('Suivi des rencontres'!$A:$A,$A2187)&gt;0,COUNTIF('Suivi des rencontres'!$C:$C,$J2187)&gt;0),"Non","Oui")</f>
        <v/>
      </c>
      <c r="J2187" s="30" t="inlineStr">
        <is>
          <t>YANMA</t>
        </is>
      </c>
    </row>
    <row r="2188">
      <c r="A2188" s="35" t="inlineStr">
        <is>
          <t>Route 35</t>
        </is>
      </c>
      <c r="B2188" s="35" t="inlineStr">
        <is>
          <t>Route35_hns</t>
        </is>
      </c>
      <c r="C2188" s="62" t="inlineStr">
        <is>
          <t>Nuit</t>
        </is>
      </c>
      <c r="D2188" s="49" t="inlineStr">
        <is>
          <t>Herbe</t>
        </is>
      </c>
      <c r="E2188" s="37" t="inlineStr">
        <is>
          <t>ABRA</t>
        </is>
      </c>
      <c r="F2188" s="38" t="n">
        <v>0.15</v>
      </c>
      <c r="G2188" s="39" t="n">
        <v>15</v>
      </c>
      <c r="H2188" s="39" t="n">
        <v>15</v>
      </c>
      <c r="I2188" s="29">
        <f>IF(OR(COUNTIF('Suivi des rencontres'!$A:$A,$A2188)&gt;0,COUNTIF('Suivi des rencontres'!$C:$C,$J2188)&gt;0),"Non","Oui")</f>
        <v/>
      </c>
      <c r="J2188" s="30" t="inlineStr">
        <is>
          <t>ABRA</t>
        </is>
      </c>
    </row>
    <row r="2189">
      <c r="A2189" s="35" t="inlineStr">
        <is>
          <t>Route 35</t>
        </is>
      </c>
      <c r="B2189" s="35" t="inlineStr">
        <is>
          <t>Route35_hns</t>
        </is>
      </c>
      <c r="C2189" s="62" t="inlineStr">
        <is>
          <t>Nuit</t>
        </is>
      </c>
      <c r="D2189" s="49" t="inlineStr">
        <is>
          <t>Herbe</t>
        </is>
      </c>
      <c r="E2189" s="37" t="inlineStr">
        <is>
          <t>METAMORPH</t>
        </is>
      </c>
      <c r="F2189" s="38" t="n">
        <v>0.11</v>
      </c>
      <c r="G2189" s="39" t="n">
        <v>14</v>
      </c>
      <c r="H2189" s="39" t="n">
        <v>14</v>
      </c>
      <c r="I2189" s="29">
        <f>IF(OR(COUNTIF('Suivi des rencontres'!$A:$A,$A2189)&gt;0,COUNTIF('Suivi des rencontres'!$C:$C,$J2189)&gt;0),"Non","Oui")</f>
        <v/>
      </c>
      <c r="J2189" s="30" t="inlineStr">
        <is>
          <t>METAMORPH</t>
        </is>
      </c>
    </row>
    <row r="2190">
      <c r="A2190" s="35" t="inlineStr">
        <is>
          <t>Route 35</t>
        </is>
      </c>
      <c r="B2190" s="35" t="inlineStr">
        <is>
          <t>Route35_hns</t>
        </is>
      </c>
      <c r="C2190" s="33" t="inlineStr">
        <is>
          <t>Matin, jour, soir</t>
        </is>
      </c>
      <c r="D2190" s="53" t="inlineStr">
        <is>
          <t>Surf</t>
        </is>
      </c>
      <c r="E2190" s="37" t="inlineStr">
        <is>
          <t>PSYKOKWAK</t>
        </is>
      </c>
      <c r="F2190" s="38" t="n">
        <v>0.96</v>
      </c>
      <c r="G2190" s="39" t="n">
        <v>15</v>
      </c>
      <c r="H2190" s="39" t="n">
        <v>24</v>
      </c>
      <c r="I2190" s="29">
        <f>IF(OR(COUNTIF('Suivi des rencontres'!$A:$A,$A2190)&gt;0,COUNTIF('Suivi des rencontres'!$C:$C,$J2190)&gt;0),"Non","Oui")</f>
        <v/>
      </c>
      <c r="J2190" s="30" t="inlineStr">
        <is>
          <t>PSYKOKWAK</t>
        </is>
      </c>
    </row>
    <row r="2191">
      <c r="A2191" s="35" t="inlineStr">
        <is>
          <t>Route 35</t>
        </is>
      </c>
      <c r="B2191" s="35" t="inlineStr">
        <is>
          <t>Route35_hns</t>
        </is>
      </c>
      <c r="C2191" s="33" t="inlineStr">
        <is>
          <t>Matin, jour, soir</t>
        </is>
      </c>
      <c r="D2191" s="53" t="inlineStr">
        <is>
          <t>Surf</t>
        </is>
      </c>
      <c r="E2191" s="37" t="inlineStr">
        <is>
          <t>AKWAKWAK</t>
        </is>
      </c>
      <c r="F2191" s="38" t="n">
        <v>0.04</v>
      </c>
      <c r="G2191" s="39" t="n">
        <v>20</v>
      </c>
      <c r="H2191" s="39" t="n">
        <v>24</v>
      </c>
      <c r="I2191" s="29">
        <f>IF(OR(COUNTIF('Suivi des rencontres'!$A:$A,$A2191)&gt;0,COUNTIF('Suivi des rencontres'!$C:$C,$J2191)&gt;0),"Non","Oui")</f>
        <v/>
      </c>
      <c r="J2191" s="30" t="inlineStr">
        <is>
          <t>PSYKOKWAK</t>
        </is>
      </c>
    </row>
    <row r="2192">
      <c r="A2192" s="35" t="inlineStr">
        <is>
          <t>Route 35</t>
        </is>
      </c>
      <c r="B2192" s="35" t="inlineStr">
        <is>
          <t>Route35_hns</t>
        </is>
      </c>
      <c r="C2192" s="62" t="inlineStr">
        <is>
          <t>Nuit</t>
        </is>
      </c>
      <c r="D2192" s="53" t="inlineStr">
        <is>
          <t>Surf</t>
        </is>
      </c>
      <c r="E2192" s="37" t="inlineStr">
        <is>
          <t>PSYKOKWAK</t>
        </is>
      </c>
      <c r="F2192" s="38" t="n">
        <v>0.96</v>
      </c>
      <c r="G2192" s="39" t="n">
        <v>15</v>
      </c>
      <c r="H2192" s="39" t="n">
        <v>24</v>
      </c>
      <c r="I2192" s="29">
        <f>IF(OR(COUNTIF('Suivi des rencontres'!$A:$A,$A2192)&gt;0,COUNTIF('Suivi des rencontres'!$C:$C,$J2192)&gt;0),"Non","Oui")</f>
        <v/>
      </c>
      <c r="J2192" s="30" t="inlineStr">
        <is>
          <t>PSYKOKWAK</t>
        </is>
      </c>
    </row>
    <row r="2193">
      <c r="A2193" s="35" t="inlineStr">
        <is>
          <t>Route 35</t>
        </is>
      </c>
      <c r="B2193" s="35" t="inlineStr">
        <is>
          <t>Route35_hns</t>
        </is>
      </c>
      <c r="C2193" s="62" t="inlineStr">
        <is>
          <t>Nuit</t>
        </is>
      </c>
      <c r="D2193" s="53" t="inlineStr">
        <is>
          <t>Surf</t>
        </is>
      </c>
      <c r="E2193" s="37" t="inlineStr">
        <is>
          <t>AKWAKWAK</t>
        </is>
      </c>
      <c r="F2193" s="38" t="n">
        <v>0.04</v>
      </c>
      <c r="G2193" s="39" t="n">
        <v>20</v>
      </c>
      <c r="H2193" s="39" t="n">
        <v>24</v>
      </c>
      <c r="I2193" s="29">
        <f>IF(OR(COUNTIF('Suivi des rencontres'!$A:$A,$A2193)&gt;0,COUNTIF('Suivi des rencontres'!$C:$C,$J2193)&gt;0),"Non","Oui")</f>
        <v/>
      </c>
      <c r="J2193" s="30" t="inlineStr">
        <is>
          <t>PSYKOKWAK</t>
        </is>
      </c>
    </row>
    <row r="2194">
      <c r="A2194" s="35" t="inlineStr">
        <is>
          <t>Route 35</t>
        </is>
      </c>
      <c r="B2194" s="35" t="inlineStr">
        <is>
          <t>Route35_hns</t>
        </is>
      </c>
      <c r="C2194" s="33" t="inlineStr">
        <is>
          <t>Matin, jour, soir</t>
        </is>
      </c>
      <c r="D2194" s="36" t="inlineStr">
        <is>
          <t>Éclate-Roc</t>
        </is>
      </c>
      <c r="E2194" s="37" t="inlineStr">
        <is>
          <t>POMDEPIK</t>
        </is>
      </c>
      <c r="F2194" s="38" t="n">
        <v>0.6</v>
      </c>
      <c r="G2194" s="39" t="n">
        <v>10</v>
      </c>
      <c r="H2194" s="39" t="n">
        <v>10</v>
      </c>
      <c r="I2194" s="29">
        <f>IF(OR(COUNTIF('Suivi des rencontres'!$A:$A,$A2194)&gt;0,COUNTIF('Suivi des rencontres'!$C:$C,$J2194)&gt;0),"Non","Oui")</f>
        <v/>
      </c>
      <c r="J2194" s="30" t="inlineStr">
        <is>
          <t>POMDEPIK</t>
        </is>
      </c>
    </row>
    <row r="2195">
      <c r="A2195" s="35" t="inlineStr">
        <is>
          <t>Route 35</t>
        </is>
      </c>
      <c r="B2195" s="35" t="inlineStr">
        <is>
          <t>Route35_hns</t>
        </is>
      </c>
      <c r="C2195" s="33" t="inlineStr">
        <is>
          <t>Matin, jour, soir</t>
        </is>
      </c>
      <c r="D2195" s="36" t="inlineStr">
        <is>
          <t>Éclate-Roc</t>
        </is>
      </c>
      <c r="E2195" s="37" t="inlineStr">
        <is>
          <t>NOEUNOEUF</t>
        </is>
      </c>
      <c r="F2195" s="38" t="n">
        <v>0.3</v>
      </c>
      <c r="G2195" s="39" t="n">
        <v>10</v>
      </c>
      <c r="H2195" s="39" t="n">
        <v>10</v>
      </c>
      <c r="I2195" s="29">
        <f>IF(OR(COUNTIF('Suivi des rencontres'!$A:$A,$A2195)&gt;0,COUNTIF('Suivi des rencontres'!$C:$C,$J2195)&gt;0),"Non","Oui")</f>
        <v/>
      </c>
      <c r="J2195" s="30" t="inlineStr">
        <is>
          <t>NOEUNOEUF</t>
        </is>
      </c>
    </row>
    <row r="2196">
      <c r="A2196" s="35" t="inlineStr">
        <is>
          <t>Route 35</t>
        </is>
      </c>
      <c r="B2196" s="35" t="inlineStr">
        <is>
          <t>Route35_hns</t>
        </is>
      </c>
      <c r="C2196" s="33" t="inlineStr">
        <is>
          <t>Matin, jour, soir</t>
        </is>
      </c>
      <c r="D2196" s="36" t="inlineStr">
        <is>
          <t>Éclate-Roc</t>
        </is>
      </c>
      <c r="E2196" s="37" t="inlineStr">
        <is>
          <t>COXY</t>
        </is>
      </c>
      <c r="F2196" s="38" t="n">
        <v>0.05</v>
      </c>
      <c r="G2196" s="39" t="n">
        <v>10</v>
      </c>
      <c r="H2196" s="39" t="n">
        <v>10</v>
      </c>
      <c r="I2196" s="29">
        <f>IF(OR(COUNTIF('Suivi des rencontres'!$A:$A,$A2196)&gt;0,COUNTIF('Suivi des rencontres'!$C:$C,$J2196)&gt;0),"Non","Oui")</f>
        <v/>
      </c>
      <c r="J2196" s="30" t="inlineStr">
        <is>
          <t>COXY</t>
        </is>
      </c>
    </row>
    <row r="2197">
      <c r="A2197" s="35" t="inlineStr">
        <is>
          <t>Route 35</t>
        </is>
      </c>
      <c r="B2197" s="35" t="inlineStr">
        <is>
          <t>Route35_hns</t>
        </is>
      </c>
      <c r="C2197" s="33" t="inlineStr">
        <is>
          <t>Matin, jour, soir</t>
        </is>
      </c>
      <c r="D2197" s="36" t="inlineStr">
        <is>
          <t>Éclate-Roc</t>
        </is>
      </c>
      <c r="E2197" s="37" t="inlineStr">
        <is>
          <t>MIMIGAL</t>
        </is>
      </c>
      <c r="F2197" s="38" t="n">
        <v>0.05</v>
      </c>
      <c r="G2197" s="39" t="n">
        <v>10</v>
      </c>
      <c r="H2197" s="39" t="n">
        <v>10</v>
      </c>
      <c r="I2197" s="29">
        <f>IF(OR(COUNTIF('Suivi des rencontres'!$A:$A,$A2197)&gt;0,COUNTIF('Suivi des rencontres'!$C:$C,$J2197)&gt;0),"Non","Oui")</f>
        <v/>
      </c>
      <c r="J2197" s="30" t="inlineStr">
        <is>
          <t>MIMIGAL</t>
        </is>
      </c>
    </row>
    <row r="2198">
      <c r="A2198" s="35" t="inlineStr">
        <is>
          <t>Route 35</t>
        </is>
      </c>
      <c r="B2198" s="35" t="inlineStr">
        <is>
          <t>Route35_hns</t>
        </is>
      </c>
      <c r="C2198" s="62" t="inlineStr">
        <is>
          <t>Nuit</t>
        </is>
      </c>
      <c r="D2198" s="36" t="inlineStr">
        <is>
          <t>Éclate-Roc</t>
        </is>
      </c>
      <c r="E2198" s="37" t="inlineStr">
        <is>
          <t>POMDEPIK</t>
        </is>
      </c>
      <c r="F2198" s="38" t="n">
        <v>0.6</v>
      </c>
      <c r="G2198" s="39" t="n">
        <v>10</v>
      </c>
      <c r="H2198" s="39" t="n">
        <v>10</v>
      </c>
      <c r="I2198" s="29">
        <f>IF(OR(COUNTIF('Suivi des rencontres'!$A:$A,$A2198)&gt;0,COUNTIF('Suivi des rencontres'!$C:$C,$J2198)&gt;0),"Non","Oui")</f>
        <v/>
      </c>
      <c r="J2198" s="30" t="inlineStr">
        <is>
          <t>POMDEPIK</t>
        </is>
      </c>
    </row>
    <row r="2199">
      <c r="A2199" s="35" t="inlineStr">
        <is>
          <t>Route 35</t>
        </is>
      </c>
      <c r="B2199" s="35" t="inlineStr">
        <is>
          <t>Route35_hns</t>
        </is>
      </c>
      <c r="C2199" s="62" t="inlineStr">
        <is>
          <t>Nuit</t>
        </is>
      </c>
      <c r="D2199" s="36" t="inlineStr">
        <is>
          <t>Éclate-Roc</t>
        </is>
      </c>
      <c r="E2199" s="37" t="inlineStr">
        <is>
          <t>NOEUNOEUF</t>
        </is>
      </c>
      <c r="F2199" s="38" t="n">
        <v>0.3</v>
      </c>
      <c r="G2199" s="39" t="n">
        <v>10</v>
      </c>
      <c r="H2199" s="39" t="n">
        <v>10</v>
      </c>
      <c r="I2199" s="29">
        <f>IF(OR(COUNTIF('Suivi des rencontres'!$A:$A,$A2199)&gt;0,COUNTIF('Suivi des rencontres'!$C:$C,$J2199)&gt;0),"Non","Oui")</f>
        <v/>
      </c>
      <c r="J2199" s="30" t="inlineStr">
        <is>
          <t>NOEUNOEUF</t>
        </is>
      </c>
    </row>
    <row r="2200">
      <c r="A2200" s="35" t="inlineStr">
        <is>
          <t>Route 35</t>
        </is>
      </c>
      <c r="B2200" s="35" t="inlineStr">
        <is>
          <t>Route35_hns</t>
        </is>
      </c>
      <c r="C2200" s="62" t="inlineStr">
        <is>
          <t>Nuit</t>
        </is>
      </c>
      <c r="D2200" s="36" t="inlineStr">
        <is>
          <t>Éclate-Roc</t>
        </is>
      </c>
      <c r="E2200" s="37" t="inlineStr">
        <is>
          <t>COXY</t>
        </is>
      </c>
      <c r="F2200" s="38" t="n">
        <v>0.05</v>
      </c>
      <c r="G2200" s="39" t="n">
        <v>10</v>
      </c>
      <c r="H2200" s="39" t="n">
        <v>10</v>
      </c>
      <c r="I2200" s="29">
        <f>IF(OR(COUNTIF('Suivi des rencontres'!$A:$A,$A2200)&gt;0,COUNTIF('Suivi des rencontres'!$C:$C,$J2200)&gt;0),"Non","Oui")</f>
        <v/>
      </c>
      <c r="J2200" s="30" t="inlineStr">
        <is>
          <t>COXY</t>
        </is>
      </c>
    </row>
    <row r="2201">
      <c r="A2201" s="35" t="inlineStr">
        <is>
          <t>Route 35</t>
        </is>
      </c>
      <c r="B2201" s="35" t="inlineStr">
        <is>
          <t>Route35_hns</t>
        </is>
      </c>
      <c r="C2201" s="62" t="inlineStr">
        <is>
          <t>Nuit</t>
        </is>
      </c>
      <c r="D2201" s="36" t="inlineStr">
        <is>
          <t>Éclate-Roc</t>
        </is>
      </c>
      <c r="E2201" s="37" t="inlineStr">
        <is>
          <t>MIMIGAL</t>
        </is>
      </c>
      <c r="F2201" s="38" t="n">
        <v>0.05</v>
      </c>
      <c r="G2201" s="39" t="n">
        <v>10</v>
      </c>
      <c r="H2201" s="39" t="n">
        <v>10</v>
      </c>
      <c r="I2201" s="29">
        <f>IF(OR(COUNTIF('Suivi des rencontres'!$A:$A,$A2201)&gt;0,COUNTIF('Suivi des rencontres'!$C:$C,$J2201)&gt;0),"Non","Oui")</f>
        <v/>
      </c>
      <c r="J2201" s="30" t="inlineStr">
        <is>
          <t>MIMIGAL</t>
        </is>
      </c>
    </row>
    <row r="2202">
      <c r="A2202" s="35" t="inlineStr">
        <is>
          <t>Route 35</t>
        </is>
      </c>
      <c r="B2202" s="35" t="inlineStr">
        <is>
          <t>Route35_hns</t>
        </is>
      </c>
      <c r="C2202" s="33" t="inlineStr">
        <is>
          <t>Matin, jour, soir</t>
        </is>
      </c>
      <c r="D2202" s="54" t="inlineStr">
        <is>
          <t>Vieille Canne</t>
        </is>
      </c>
      <c r="E2202" s="37" t="inlineStr">
        <is>
          <t>MAGICARPE</t>
        </is>
      </c>
      <c r="F2202" s="38" t="n">
        <v>0.7</v>
      </c>
      <c r="G2202" s="39" t="n">
        <v>10</v>
      </c>
      <c r="H2202" s="39" t="n">
        <v>10</v>
      </c>
      <c r="I2202" s="29">
        <f>IF(OR(COUNTIF('Suivi des rencontres'!$A:$A,$A2202)&gt;0,COUNTIF('Suivi des rencontres'!$C:$C,$J2202)&gt;0),"Non","Oui")</f>
        <v/>
      </c>
      <c r="J2202" s="30" t="inlineStr">
        <is>
          <t>MAGICARPE</t>
        </is>
      </c>
    </row>
    <row r="2203">
      <c r="A2203" s="35" t="inlineStr">
        <is>
          <t>Route 35</t>
        </is>
      </c>
      <c r="B2203" s="35" t="inlineStr">
        <is>
          <t>Route35_hns</t>
        </is>
      </c>
      <c r="C2203" s="33" t="inlineStr">
        <is>
          <t>Matin, jour, soir</t>
        </is>
      </c>
      <c r="D2203" s="54" t="inlineStr">
        <is>
          <t>Vieille Canne</t>
        </is>
      </c>
      <c r="E2203" s="37" t="inlineStr">
        <is>
          <t>PTITARD</t>
        </is>
      </c>
      <c r="F2203" s="38" t="n">
        <v>0.3</v>
      </c>
      <c r="G2203" s="39" t="n">
        <v>10</v>
      </c>
      <c r="H2203" s="39" t="n">
        <v>10</v>
      </c>
      <c r="I2203" s="29">
        <f>IF(OR(COUNTIF('Suivi des rencontres'!$A:$A,$A2203)&gt;0,COUNTIF('Suivi des rencontres'!$C:$C,$J2203)&gt;0),"Non","Oui")</f>
        <v/>
      </c>
      <c r="J2203" s="30" t="inlineStr">
        <is>
          <t>PTITARD</t>
        </is>
      </c>
    </row>
    <row r="2204">
      <c r="A2204" s="35" t="inlineStr">
        <is>
          <t>Route 35</t>
        </is>
      </c>
      <c r="B2204" s="35" t="inlineStr">
        <is>
          <t>Route35_hns</t>
        </is>
      </c>
      <c r="C2204" s="62" t="inlineStr">
        <is>
          <t>Nuit</t>
        </is>
      </c>
      <c r="D2204" s="54" t="inlineStr">
        <is>
          <t>Vieille Canne</t>
        </is>
      </c>
      <c r="E2204" s="37" t="inlineStr">
        <is>
          <t>MAGICARPE</t>
        </is>
      </c>
      <c r="F2204" s="38" t="n">
        <v>0.7</v>
      </c>
      <c r="G2204" s="39" t="n">
        <v>10</v>
      </c>
      <c r="H2204" s="39" t="n">
        <v>10</v>
      </c>
      <c r="I2204" s="29">
        <f>IF(OR(COUNTIF('Suivi des rencontres'!$A:$A,$A2204)&gt;0,COUNTIF('Suivi des rencontres'!$C:$C,$J2204)&gt;0),"Non","Oui")</f>
        <v/>
      </c>
      <c r="J2204" s="30" t="inlineStr">
        <is>
          <t>MAGICARPE</t>
        </is>
      </c>
    </row>
    <row r="2205">
      <c r="A2205" s="35" t="inlineStr">
        <is>
          <t>Route 35</t>
        </is>
      </c>
      <c r="B2205" s="35" t="inlineStr">
        <is>
          <t>Route35_hns</t>
        </is>
      </c>
      <c r="C2205" s="62" t="inlineStr">
        <is>
          <t>Nuit</t>
        </is>
      </c>
      <c r="D2205" s="54" t="inlineStr">
        <is>
          <t>Vieille Canne</t>
        </is>
      </c>
      <c r="E2205" s="37" t="inlineStr">
        <is>
          <t>PTITARD</t>
        </is>
      </c>
      <c r="F2205" s="38" t="n">
        <v>0.3</v>
      </c>
      <c r="G2205" s="39" t="n">
        <v>10</v>
      </c>
      <c r="H2205" s="39" t="n">
        <v>10</v>
      </c>
      <c r="I2205" s="29">
        <f>IF(OR(COUNTIF('Suivi des rencontres'!$A:$A,$A2205)&gt;0,COUNTIF('Suivi des rencontres'!$C:$C,$J2205)&gt;0),"Non","Oui")</f>
        <v/>
      </c>
      <c r="J2205" s="30" t="inlineStr">
        <is>
          <t>PTITARD</t>
        </is>
      </c>
    </row>
    <row r="2206">
      <c r="A2206" s="35" t="inlineStr">
        <is>
          <t>Route 35</t>
        </is>
      </c>
      <c r="B2206" s="35" t="inlineStr">
        <is>
          <t>Route35_hns</t>
        </is>
      </c>
      <c r="C2206" s="33" t="inlineStr">
        <is>
          <t>Matin, jour, soir</t>
        </is>
      </c>
      <c r="D2206" s="55" t="inlineStr">
        <is>
          <t>Bonne Canne</t>
        </is>
      </c>
      <c r="E2206" s="37" t="inlineStr">
        <is>
          <t>PTITARD</t>
        </is>
      </c>
      <c r="F2206" s="38" t="n">
        <v>0.8</v>
      </c>
      <c r="G2206" s="39" t="n">
        <v>20</v>
      </c>
      <c r="H2206" s="39" t="n">
        <v>40</v>
      </c>
      <c r="I2206" s="29">
        <f>IF(OR(COUNTIF('Suivi des rencontres'!$A:$A,$A2206)&gt;0,COUNTIF('Suivi des rencontres'!$C:$C,$J2206)&gt;0),"Non","Oui")</f>
        <v/>
      </c>
      <c r="J2206" s="30" t="inlineStr">
        <is>
          <t>PTITARD</t>
        </is>
      </c>
    </row>
    <row r="2207">
      <c r="A2207" s="35" t="inlineStr">
        <is>
          <t>Route 35</t>
        </is>
      </c>
      <c r="B2207" s="35" t="inlineStr">
        <is>
          <t>Route35_hns</t>
        </is>
      </c>
      <c r="C2207" s="33" t="inlineStr">
        <is>
          <t>Matin, jour, soir</t>
        </is>
      </c>
      <c r="D2207" s="55" t="inlineStr">
        <is>
          <t>Bonne Canne</t>
        </is>
      </c>
      <c r="E2207" s="37" t="inlineStr">
        <is>
          <t>MAGICARPE</t>
        </is>
      </c>
      <c r="F2207" s="38" t="n">
        <v>0.2</v>
      </c>
      <c r="G2207" s="39" t="n">
        <v>20</v>
      </c>
      <c r="H2207" s="39" t="n">
        <v>20</v>
      </c>
      <c r="I2207" s="29">
        <f>IF(OR(COUNTIF('Suivi des rencontres'!$A:$A,$A2207)&gt;0,COUNTIF('Suivi des rencontres'!$C:$C,$J2207)&gt;0),"Non","Oui")</f>
        <v/>
      </c>
      <c r="J2207" s="30" t="inlineStr">
        <is>
          <t>MAGICARPE</t>
        </is>
      </c>
    </row>
    <row r="2208">
      <c r="A2208" s="35" t="inlineStr">
        <is>
          <t>Route 35</t>
        </is>
      </c>
      <c r="B2208" s="35" t="inlineStr">
        <is>
          <t>Route35_hns</t>
        </is>
      </c>
      <c r="C2208" s="62" t="inlineStr">
        <is>
          <t>Nuit</t>
        </is>
      </c>
      <c r="D2208" s="55" t="inlineStr">
        <is>
          <t>Bonne Canne</t>
        </is>
      </c>
      <c r="E2208" s="37" t="inlineStr">
        <is>
          <t>PTITARD</t>
        </is>
      </c>
      <c r="F2208" s="38" t="n">
        <v>0.8</v>
      </c>
      <c r="G2208" s="39" t="n">
        <v>20</v>
      </c>
      <c r="H2208" s="39" t="n">
        <v>40</v>
      </c>
      <c r="I2208" s="29">
        <f>IF(OR(COUNTIF('Suivi des rencontres'!$A:$A,$A2208)&gt;0,COUNTIF('Suivi des rencontres'!$C:$C,$J2208)&gt;0),"Non","Oui")</f>
        <v/>
      </c>
      <c r="J2208" s="30" t="inlineStr">
        <is>
          <t>PTITARD</t>
        </is>
      </c>
    </row>
    <row r="2209">
      <c r="A2209" s="35" t="inlineStr">
        <is>
          <t>Route 35</t>
        </is>
      </c>
      <c r="B2209" s="35" t="inlineStr">
        <is>
          <t>Route35_hns</t>
        </is>
      </c>
      <c r="C2209" s="62" t="inlineStr">
        <is>
          <t>Nuit</t>
        </is>
      </c>
      <c r="D2209" s="55" t="inlineStr">
        <is>
          <t>Bonne Canne</t>
        </is>
      </c>
      <c r="E2209" s="37" t="inlineStr">
        <is>
          <t>MAGICARPE</t>
        </is>
      </c>
      <c r="F2209" s="38" t="n">
        <v>0.2</v>
      </c>
      <c r="G2209" s="39" t="n">
        <v>20</v>
      </c>
      <c r="H2209" s="39" t="n">
        <v>20</v>
      </c>
      <c r="I2209" s="29">
        <f>IF(OR(COUNTIF('Suivi des rencontres'!$A:$A,$A2209)&gt;0,COUNTIF('Suivi des rencontres'!$C:$C,$J2209)&gt;0),"Non","Oui")</f>
        <v/>
      </c>
      <c r="J2209" s="30" t="inlineStr">
        <is>
          <t>MAGICARPE</t>
        </is>
      </c>
    </row>
    <row r="2210">
      <c r="A2210" s="35" t="inlineStr">
        <is>
          <t>Route 35</t>
        </is>
      </c>
      <c r="B2210" s="35" t="inlineStr">
        <is>
          <t>Route35_hns</t>
        </is>
      </c>
      <c r="C2210" s="33" t="inlineStr">
        <is>
          <t>Matin, jour, soir</t>
        </is>
      </c>
      <c r="D2210" s="56" t="inlineStr">
        <is>
          <t>Super Canne</t>
        </is>
      </c>
      <c r="E2210" s="37" t="inlineStr">
        <is>
          <t>MAGICARPE</t>
        </is>
      </c>
      <c r="F2210" s="38" t="n">
        <v>0.44</v>
      </c>
      <c r="G2210" s="39" t="n">
        <v>10</v>
      </c>
      <c r="H2210" s="39" t="n">
        <v>40</v>
      </c>
      <c r="I2210" s="29">
        <f>IF(OR(COUNTIF('Suivi des rencontres'!$A:$A,$A2210)&gt;0,COUNTIF('Suivi des rencontres'!$C:$C,$J2210)&gt;0),"Non","Oui")</f>
        <v/>
      </c>
      <c r="J2210" s="30" t="inlineStr">
        <is>
          <t>MAGICARPE</t>
        </is>
      </c>
    </row>
    <row r="2211">
      <c r="A2211" s="35" t="inlineStr">
        <is>
          <t>Route 35</t>
        </is>
      </c>
      <c r="B2211" s="35" t="inlineStr">
        <is>
          <t>Route35_hns</t>
        </is>
      </c>
      <c r="C2211" s="33" t="inlineStr">
        <is>
          <t>Matin, jour, soir</t>
        </is>
      </c>
      <c r="D2211" s="56" t="inlineStr">
        <is>
          <t>Super Canne</t>
        </is>
      </c>
      <c r="E2211" s="37" t="inlineStr">
        <is>
          <t>TETARTE</t>
        </is>
      </c>
      <c r="F2211" s="38" t="n">
        <v>0.4</v>
      </c>
      <c r="G2211" s="39" t="n">
        <v>40</v>
      </c>
      <c r="H2211" s="39" t="n">
        <v>40</v>
      </c>
      <c r="I2211" s="29">
        <f>IF(OR(COUNTIF('Suivi des rencontres'!$A:$A,$A2211)&gt;0,COUNTIF('Suivi des rencontres'!$C:$C,$J2211)&gt;0),"Non","Oui")</f>
        <v/>
      </c>
      <c r="J2211" s="30" t="inlineStr">
        <is>
          <t>PTITARD</t>
        </is>
      </c>
    </row>
    <row r="2212">
      <c r="A2212" s="35" t="inlineStr">
        <is>
          <t>Route 35</t>
        </is>
      </c>
      <c r="B2212" s="35" t="inlineStr">
        <is>
          <t>Route35_hns</t>
        </is>
      </c>
      <c r="C2212" s="33" t="inlineStr">
        <is>
          <t>Matin, jour, soir</t>
        </is>
      </c>
      <c r="D2212" s="56" t="inlineStr">
        <is>
          <t>Super Canne</t>
        </is>
      </c>
      <c r="E2212" s="37" t="inlineStr">
        <is>
          <t>PTITARD</t>
        </is>
      </c>
      <c r="F2212" s="38" t="n">
        <v>0.16</v>
      </c>
      <c r="G2212" s="39" t="n">
        <v>20</v>
      </c>
      <c r="H2212" s="39" t="n">
        <v>40</v>
      </c>
      <c r="I2212" s="29">
        <f>IF(OR(COUNTIF('Suivi des rencontres'!$A:$A,$A2212)&gt;0,COUNTIF('Suivi des rencontres'!$C:$C,$J2212)&gt;0),"Non","Oui")</f>
        <v/>
      </c>
      <c r="J2212" s="30" t="inlineStr">
        <is>
          <t>PTITARD</t>
        </is>
      </c>
    </row>
    <row r="2213">
      <c r="A2213" s="35" t="inlineStr">
        <is>
          <t>Route 35</t>
        </is>
      </c>
      <c r="B2213" s="35" t="inlineStr">
        <is>
          <t>Route35_hns</t>
        </is>
      </c>
      <c r="C2213" s="62" t="inlineStr">
        <is>
          <t>Nuit</t>
        </is>
      </c>
      <c r="D2213" s="56" t="inlineStr">
        <is>
          <t>Super Canne</t>
        </is>
      </c>
      <c r="E2213" s="37" t="inlineStr">
        <is>
          <t>MAGICARPE</t>
        </is>
      </c>
      <c r="F2213" s="38" t="n">
        <v>0.44</v>
      </c>
      <c r="G2213" s="39" t="n">
        <v>10</v>
      </c>
      <c r="H2213" s="39" t="n">
        <v>40</v>
      </c>
      <c r="I2213" s="29">
        <f>IF(OR(COUNTIF('Suivi des rencontres'!$A:$A,$A2213)&gt;0,COUNTIF('Suivi des rencontres'!$C:$C,$J2213)&gt;0),"Non","Oui")</f>
        <v/>
      </c>
      <c r="J2213" s="30" t="inlineStr">
        <is>
          <t>MAGICARPE</t>
        </is>
      </c>
    </row>
    <row r="2214">
      <c r="A2214" s="35" t="inlineStr">
        <is>
          <t>Route 35</t>
        </is>
      </c>
      <c r="B2214" s="35" t="inlineStr">
        <is>
          <t>Route35_hns</t>
        </is>
      </c>
      <c r="C2214" s="62" t="inlineStr">
        <is>
          <t>Nuit</t>
        </is>
      </c>
      <c r="D2214" s="56" t="inlineStr">
        <is>
          <t>Super Canne</t>
        </is>
      </c>
      <c r="E2214" s="37" t="inlineStr">
        <is>
          <t>TETARTE</t>
        </is>
      </c>
      <c r="F2214" s="38" t="n">
        <v>0.4</v>
      </c>
      <c r="G2214" s="39" t="n">
        <v>40</v>
      </c>
      <c r="H2214" s="39" t="n">
        <v>40</v>
      </c>
      <c r="I2214" s="29">
        <f>IF(OR(COUNTIF('Suivi des rencontres'!$A:$A,$A2214)&gt;0,COUNTIF('Suivi des rencontres'!$C:$C,$J2214)&gt;0),"Non","Oui")</f>
        <v/>
      </c>
      <c r="J2214" s="30" t="inlineStr">
        <is>
          <t>PTITARD</t>
        </is>
      </c>
    </row>
    <row r="2215">
      <c r="A2215" s="35" t="inlineStr">
        <is>
          <t>Route 35</t>
        </is>
      </c>
      <c r="B2215" s="35" t="inlineStr">
        <is>
          <t>Route35_hns</t>
        </is>
      </c>
      <c r="C2215" s="62" t="inlineStr">
        <is>
          <t>Nuit</t>
        </is>
      </c>
      <c r="D2215" s="56" t="inlineStr">
        <is>
          <t>Super Canne</t>
        </is>
      </c>
      <c r="E2215" s="37" t="inlineStr">
        <is>
          <t>PTITARD</t>
        </is>
      </c>
      <c r="F2215" s="38" t="n">
        <v>0.16</v>
      </c>
      <c r="G2215" s="39" t="n">
        <v>20</v>
      </c>
      <c r="H2215" s="39" t="n">
        <v>40</v>
      </c>
      <c r="I2215" s="29">
        <f>IF(OR(COUNTIF('Suivi des rencontres'!$A:$A,$A2215)&gt;0,COUNTIF('Suivi des rencontres'!$C:$C,$J2215)&gt;0),"Non","Oui")</f>
        <v/>
      </c>
      <c r="J2215" s="30" t="inlineStr">
        <is>
          <t>PTITARD</t>
        </is>
      </c>
    </row>
    <row r="2216">
      <c r="A2216" s="40" t="inlineStr">
        <is>
          <t>Route 36</t>
        </is>
      </c>
      <c r="B2216" s="40" t="inlineStr">
        <is>
          <t>Route36_hns</t>
        </is>
      </c>
      <c r="C2216" s="41" t="inlineStr">
        <is>
          <t>Matin, jour, soir</t>
        </is>
      </c>
      <c r="D2216" s="42" t="inlineStr">
        <is>
          <t>Herbe</t>
        </is>
      </c>
      <c r="E2216" s="43" t="inlineStr">
        <is>
          <t>RATTATA</t>
        </is>
      </c>
      <c r="F2216" s="44" t="n">
        <v>0.35</v>
      </c>
      <c r="G2216" s="45" t="n">
        <v>4</v>
      </c>
      <c r="H2216" s="45" t="n">
        <v>5</v>
      </c>
      <c r="I2216" s="46">
        <f>IF(OR(COUNTIF('Suivi des rencontres'!$A:$A,$A2216)&gt;0,COUNTIF('Suivi des rencontres'!$C:$C,$J2216)&gt;0),"Non","Oui")</f>
        <v/>
      </c>
      <c r="J2216" s="30" t="inlineStr">
        <is>
          <t>RATTATA</t>
        </is>
      </c>
    </row>
    <row r="2217">
      <c r="A2217" s="47" t="inlineStr">
        <is>
          <t>Route 36</t>
        </is>
      </c>
      <c r="B2217" s="47" t="inlineStr">
        <is>
          <t>Route36_hns</t>
        </is>
      </c>
      <c r="C2217" s="48" t="inlineStr">
        <is>
          <t>Matin, jour, soir</t>
        </is>
      </c>
      <c r="D2217" s="49" t="inlineStr">
        <is>
          <t>Herbe</t>
        </is>
      </c>
      <c r="E2217" s="50" t="inlineStr">
        <is>
          <t>CHETIFLOR</t>
        </is>
      </c>
      <c r="F2217" s="51" t="n">
        <v>0.3</v>
      </c>
      <c r="G2217" s="52" t="n">
        <v>4</v>
      </c>
      <c r="H2217" s="52" t="n">
        <v>4</v>
      </c>
      <c r="I2217" s="29">
        <f>IF(OR(COUNTIF('Suivi des rencontres'!$A:$A,$A2217)&gt;0,COUNTIF('Suivi des rencontres'!$C:$C,$J2217)&gt;0),"Non","Oui")</f>
        <v/>
      </c>
      <c r="J2217" s="30" t="inlineStr">
        <is>
          <t>CHETIFLOR</t>
        </is>
      </c>
    </row>
    <row r="2218">
      <c r="A2218" s="47" t="inlineStr">
        <is>
          <t>Route 36</t>
        </is>
      </c>
      <c r="B2218" s="47" t="inlineStr">
        <is>
          <t>Route36_hns</t>
        </is>
      </c>
      <c r="C2218" s="48" t="inlineStr">
        <is>
          <t>Matin, jour, soir</t>
        </is>
      </c>
      <c r="D2218" s="49" t="inlineStr">
        <is>
          <t>Herbe</t>
        </is>
      </c>
      <c r="E2218" s="50" t="inlineStr">
        <is>
          <t>ROUCOOL</t>
        </is>
      </c>
      <c r="F2218" s="51" t="n">
        <v>0.25</v>
      </c>
      <c r="G2218" s="52" t="n">
        <v>5</v>
      </c>
      <c r="H2218" s="52" t="n">
        <v>6</v>
      </c>
      <c r="I2218" s="29">
        <f>IF(OR(COUNTIF('Suivi des rencontres'!$A:$A,$A2218)&gt;0,COUNTIF('Suivi des rencontres'!$C:$C,$J2218)&gt;0),"Non","Oui")</f>
        <v/>
      </c>
      <c r="J2218" s="30" t="inlineStr">
        <is>
          <t>ROUCOOL</t>
        </is>
      </c>
    </row>
    <row r="2219">
      <c r="A2219" s="47" t="inlineStr">
        <is>
          <t>Route 36</t>
        </is>
      </c>
      <c r="B2219" s="47" t="inlineStr">
        <is>
          <t>Route36_hns</t>
        </is>
      </c>
      <c r="C2219" s="48" t="inlineStr">
        <is>
          <t>Matin, jour, soir</t>
        </is>
      </c>
      <c r="D2219" s="49" t="inlineStr">
        <is>
          <t>Herbe</t>
        </is>
      </c>
      <c r="E2219" s="50" t="inlineStr">
        <is>
          <t>CANINOS</t>
        </is>
      </c>
      <c r="F2219" s="51" t="n">
        <v>0.1</v>
      </c>
      <c r="G2219" s="52" t="n">
        <v>5</v>
      </c>
      <c r="H2219" s="52" t="n">
        <v>5</v>
      </c>
      <c r="I2219" s="29">
        <f>IF(OR(COUNTIF('Suivi des rencontres'!$A:$A,$A2219)&gt;0,COUNTIF('Suivi des rencontres'!$C:$C,$J2219)&gt;0),"Non","Oui")</f>
        <v/>
      </c>
      <c r="J2219" s="30" t="inlineStr">
        <is>
          <t>CANINOS</t>
        </is>
      </c>
    </row>
    <row r="2220">
      <c r="A2220" s="47" t="inlineStr">
        <is>
          <t>Route 36</t>
        </is>
      </c>
      <c r="B2220" s="47" t="inlineStr">
        <is>
          <t>Route36_hns</t>
        </is>
      </c>
      <c r="C2220" s="62" t="inlineStr">
        <is>
          <t>Nuit</t>
        </is>
      </c>
      <c r="D2220" s="49" t="inlineStr">
        <is>
          <t>Herbe</t>
        </is>
      </c>
      <c r="E2220" s="50" t="inlineStr">
        <is>
          <t>FANTOMINUS</t>
        </is>
      </c>
      <c r="F2220" s="51" t="n">
        <v>0.35</v>
      </c>
      <c r="G2220" s="52" t="n">
        <v>4</v>
      </c>
      <c r="H2220" s="52" t="n">
        <v>5</v>
      </c>
      <c r="I2220" s="29">
        <f>IF(OR(COUNTIF('Suivi des rencontres'!$A:$A,$A2220)&gt;0,COUNTIF('Suivi des rencontres'!$C:$C,$J2220)&gt;0),"Non","Oui")</f>
        <v/>
      </c>
      <c r="J2220" s="30" t="inlineStr">
        <is>
          <t>FANTOMINUS</t>
        </is>
      </c>
    </row>
    <row r="2221">
      <c r="A2221" s="47" t="inlineStr">
        <is>
          <t>Route 36</t>
        </is>
      </c>
      <c r="B2221" s="47" t="inlineStr">
        <is>
          <t>Route36_hns</t>
        </is>
      </c>
      <c r="C2221" s="62" t="inlineStr">
        <is>
          <t>Nuit</t>
        </is>
      </c>
      <c r="D2221" s="49" t="inlineStr">
        <is>
          <t>Herbe</t>
        </is>
      </c>
      <c r="E2221" s="50" t="inlineStr">
        <is>
          <t>RATTATA</t>
        </is>
      </c>
      <c r="F2221" s="51" t="n">
        <v>0.35</v>
      </c>
      <c r="G2221" s="52" t="n">
        <v>4</v>
      </c>
      <c r="H2221" s="52" t="n">
        <v>5</v>
      </c>
      <c r="I2221" s="29">
        <f>IF(OR(COUNTIF('Suivi des rencontres'!$A:$A,$A2221)&gt;0,COUNTIF('Suivi des rencontres'!$C:$C,$J2221)&gt;0),"Non","Oui")</f>
        <v/>
      </c>
      <c r="J2221" s="30" t="inlineStr">
        <is>
          <t>RATTATA</t>
        </is>
      </c>
    </row>
    <row r="2222">
      <c r="A2222" s="47" t="inlineStr">
        <is>
          <t>Route 36</t>
        </is>
      </c>
      <c r="B2222" s="47" t="inlineStr">
        <is>
          <t>Route36_hns</t>
        </is>
      </c>
      <c r="C2222" s="62" t="inlineStr">
        <is>
          <t>Nuit</t>
        </is>
      </c>
      <c r="D2222" s="49" t="inlineStr">
        <is>
          <t>Herbe</t>
        </is>
      </c>
      <c r="E2222" s="50" t="inlineStr">
        <is>
          <t>HOOTHOOT</t>
        </is>
      </c>
      <c r="F2222" s="51" t="n">
        <v>0.2</v>
      </c>
      <c r="G2222" s="52" t="n">
        <v>5</v>
      </c>
      <c r="H2222" s="52" t="n">
        <v>5</v>
      </c>
      <c r="I2222" s="29">
        <f>IF(OR(COUNTIF('Suivi des rencontres'!$A:$A,$A2222)&gt;0,COUNTIF('Suivi des rencontres'!$C:$C,$J2222)&gt;0),"Non","Oui")</f>
        <v/>
      </c>
      <c r="J2222" s="30" t="inlineStr">
        <is>
          <t>HOOTHOOT</t>
        </is>
      </c>
    </row>
    <row r="2223">
      <c r="A2223" s="47" t="inlineStr">
        <is>
          <t>Route 36</t>
        </is>
      </c>
      <c r="B2223" s="47" t="inlineStr">
        <is>
          <t>Route36_hns</t>
        </is>
      </c>
      <c r="C2223" s="62" t="inlineStr">
        <is>
          <t>Nuit</t>
        </is>
      </c>
      <c r="D2223" s="49" t="inlineStr">
        <is>
          <t>Herbe</t>
        </is>
      </c>
      <c r="E2223" s="50" t="inlineStr">
        <is>
          <t>MALOSSE</t>
        </is>
      </c>
      <c r="F2223" s="51" t="n">
        <v>0.1</v>
      </c>
      <c r="G2223" s="52" t="n">
        <v>5</v>
      </c>
      <c r="H2223" s="52" t="n">
        <v>5</v>
      </c>
      <c r="I2223" s="29">
        <f>IF(OR(COUNTIF('Suivi des rencontres'!$A:$A,$A2223)&gt;0,COUNTIF('Suivi des rencontres'!$C:$C,$J2223)&gt;0),"Non","Oui")</f>
        <v/>
      </c>
      <c r="J2223" s="30" t="inlineStr">
        <is>
          <t>MALOSSE</t>
        </is>
      </c>
    </row>
    <row r="2224">
      <c r="A2224" s="47" t="inlineStr">
        <is>
          <t>Route 36</t>
        </is>
      </c>
      <c r="B2224" s="47" t="inlineStr">
        <is>
          <t>Route36_hns</t>
        </is>
      </c>
      <c r="C2224" s="48" t="inlineStr">
        <is>
          <t>Matin, jour, soir</t>
        </is>
      </c>
      <c r="D2224" s="36" t="inlineStr">
        <is>
          <t>Éclate-Roc</t>
        </is>
      </c>
      <c r="E2224" s="50" t="inlineStr">
        <is>
          <t>POMDEPIK</t>
        </is>
      </c>
      <c r="F2224" s="51" t="n">
        <v>0.6</v>
      </c>
      <c r="G2224" s="52" t="n">
        <v>10</v>
      </c>
      <c r="H2224" s="52" t="n">
        <v>10</v>
      </c>
      <c r="I2224" s="29">
        <f>IF(OR(COUNTIF('Suivi des rencontres'!$A:$A,$A2224)&gt;0,COUNTIF('Suivi des rencontres'!$C:$C,$J2224)&gt;0),"Non","Oui")</f>
        <v/>
      </c>
      <c r="J2224" s="30" t="inlineStr">
        <is>
          <t>POMDEPIK</t>
        </is>
      </c>
    </row>
    <row r="2225">
      <c r="A2225" s="47" t="inlineStr">
        <is>
          <t>Route 36</t>
        </is>
      </c>
      <c r="B2225" s="47" t="inlineStr">
        <is>
          <t>Route36_hns</t>
        </is>
      </c>
      <c r="C2225" s="48" t="inlineStr">
        <is>
          <t>Matin, jour, soir</t>
        </is>
      </c>
      <c r="D2225" s="36" t="inlineStr">
        <is>
          <t>Éclate-Roc</t>
        </is>
      </c>
      <c r="E2225" s="50" t="inlineStr">
        <is>
          <t>NOEUNOEUF</t>
        </is>
      </c>
      <c r="F2225" s="51" t="n">
        <v>0.3</v>
      </c>
      <c r="G2225" s="52" t="n">
        <v>10</v>
      </c>
      <c r="H2225" s="52" t="n">
        <v>10</v>
      </c>
      <c r="I2225" s="29">
        <f>IF(OR(COUNTIF('Suivi des rencontres'!$A:$A,$A2225)&gt;0,COUNTIF('Suivi des rencontres'!$C:$C,$J2225)&gt;0),"Non","Oui")</f>
        <v/>
      </c>
      <c r="J2225" s="30" t="inlineStr">
        <is>
          <t>NOEUNOEUF</t>
        </is>
      </c>
    </row>
    <row r="2226">
      <c r="A2226" s="47" t="inlineStr">
        <is>
          <t>Route 36</t>
        </is>
      </c>
      <c r="B2226" s="47" t="inlineStr">
        <is>
          <t>Route36_hns</t>
        </is>
      </c>
      <c r="C2226" s="48" t="inlineStr">
        <is>
          <t>Matin, jour, soir</t>
        </is>
      </c>
      <c r="D2226" s="36" t="inlineStr">
        <is>
          <t>Éclate-Roc</t>
        </is>
      </c>
      <c r="E2226" s="50" t="inlineStr">
        <is>
          <t>COXY</t>
        </is>
      </c>
      <c r="F2226" s="51" t="n">
        <v>0.05</v>
      </c>
      <c r="G2226" s="52" t="n">
        <v>10</v>
      </c>
      <c r="H2226" s="52" t="n">
        <v>10</v>
      </c>
      <c r="I2226" s="29">
        <f>IF(OR(COUNTIF('Suivi des rencontres'!$A:$A,$A2226)&gt;0,COUNTIF('Suivi des rencontres'!$C:$C,$J2226)&gt;0),"Non","Oui")</f>
        <v/>
      </c>
      <c r="J2226" s="30" t="inlineStr">
        <is>
          <t>COXY</t>
        </is>
      </c>
    </row>
    <row r="2227">
      <c r="A2227" s="47" t="inlineStr">
        <is>
          <t>Route 36</t>
        </is>
      </c>
      <c r="B2227" s="47" t="inlineStr">
        <is>
          <t>Route36_hns</t>
        </is>
      </c>
      <c r="C2227" s="48" t="inlineStr">
        <is>
          <t>Matin, jour, soir</t>
        </is>
      </c>
      <c r="D2227" s="36" t="inlineStr">
        <is>
          <t>Éclate-Roc</t>
        </is>
      </c>
      <c r="E2227" s="50" t="inlineStr">
        <is>
          <t>MIMIGAL</t>
        </is>
      </c>
      <c r="F2227" s="51" t="n">
        <v>0.05</v>
      </c>
      <c r="G2227" s="52" t="n">
        <v>10</v>
      </c>
      <c r="H2227" s="52" t="n">
        <v>10</v>
      </c>
      <c r="I2227" s="29">
        <f>IF(OR(COUNTIF('Suivi des rencontres'!$A:$A,$A2227)&gt;0,COUNTIF('Suivi des rencontres'!$C:$C,$J2227)&gt;0),"Non","Oui")</f>
        <v/>
      </c>
      <c r="J2227" s="30" t="inlineStr">
        <is>
          <t>MIMIGAL</t>
        </is>
      </c>
    </row>
    <row r="2228">
      <c r="A2228" s="47" t="inlineStr">
        <is>
          <t>Route 36</t>
        </is>
      </c>
      <c r="B2228" s="47" t="inlineStr">
        <is>
          <t>Route36_hns</t>
        </is>
      </c>
      <c r="C2228" s="62" t="inlineStr">
        <is>
          <t>Nuit</t>
        </is>
      </c>
      <c r="D2228" s="36" t="inlineStr">
        <is>
          <t>Éclate-Roc</t>
        </is>
      </c>
      <c r="E2228" s="50" t="inlineStr">
        <is>
          <t>POMDEPIK</t>
        </is>
      </c>
      <c r="F2228" s="51" t="n">
        <v>0.6</v>
      </c>
      <c r="G2228" s="52" t="n">
        <v>10</v>
      </c>
      <c r="H2228" s="52" t="n">
        <v>10</v>
      </c>
      <c r="I2228" s="29">
        <f>IF(OR(COUNTIF('Suivi des rencontres'!$A:$A,$A2228)&gt;0,COUNTIF('Suivi des rencontres'!$C:$C,$J2228)&gt;0),"Non","Oui")</f>
        <v/>
      </c>
      <c r="J2228" s="30" t="inlineStr">
        <is>
          <t>POMDEPIK</t>
        </is>
      </c>
    </row>
    <row r="2229">
      <c r="A2229" s="47" t="inlineStr">
        <is>
          <t>Route 36</t>
        </is>
      </c>
      <c r="B2229" s="47" t="inlineStr">
        <is>
          <t>Route36_hns</t>
        </is>
      </c>
      <c r="C2229" s="62" t="inlineStr">
        <is>
          <t>Nuit</t>
        </is>
      </c>
      <c r="D2229" s="36" t="inlineStr">
        <is>
          <t>Éclate-Roc</t>
        </is>
      </c>
      <c r="E2229" s="50" t="inlineStr">
        <is>
          <t>NOEUNOEUF</t>
        </is>
      </c>
      <c r="F2229" s="51" t="n">
        <v>0.3</v>
      </c>
      <c r="G2229" s="52" t="n">
        <v>10</v>
      </c>
      <c r="H2229" s="52" t="n">
        <v>10</v>
      </c>
      <c r="I2229" s="29">
        <f>IF(OR(COUNTIF('Suivi des rencontres'!$A:$A,$A2229)&gt;0,COUNTIF('Suivi des rencontres'!$C:$C,$J2229)&gt;0),"Non","Oui")</f>
        <v/>
      </c>
      <c r="J2229" s="30" t="inlineStr">
        <is>
          <t>NOEUNOEUF</t>
        </is>
      </c>
    </row>
    <row r="2230">
      <c r="A2230" s="47" t="inlineStr">
        <is>
          <t>Route 36</t>
        </is>
      </c>
      <c r="B2230" s="47" t="inlineStr">
        <is>
          <t>Route36_hns</t>
        </is>
      </c>
      <c r="C2230" s="62" t="inlineStr">
        <is>
          <t>Nuit</t>
        </is>
      </c>
      <c r="D2230" s="36" t="inlineStr">
        <is>
          <t>Éclate-Roc</t>
        </is>
      </c>
      <c r="E2230" s="50" t="inlineStr">
        <is>
          <t>COXY</t>
        </is>
      </c>
      <c r="F2230" s="51" t="n">
        <v>0.05</v>
      </c>
      <c r="G2230" s="52" t="n">
        <v>10</v>
      </c>
      <c r="H2230" s="52" t="n">
        <v>10</v>
      </c>
      <c r="I2230" s="29">
        <f>IF(OR(COUNTIF('Suivi des rencontres'!$A:$A,$A2230)&gt;0,COUNTIF('Suivi des rencontres'!$C:$C,$J2230)&gt;0),"Non","Oui")</f>
        <v/>
      </c>
      <c r="J2230" s="30" t="inlineStr">
        <is>
          <t>COXY</t>
        </is>
      </c>
    </row>
    <row r="2231">
      <c r="A2231" s="47" t="inlineStr">
        <is>
          <t>Route 36</t>
        </is>
      </c>
      <c r="B2231" s="47" t="inlineStr">
        <is>
          <t>Route36_hns</t>
        </is>
      </c>
      <c r="C2231" s="62" t="inlineStr">
        <is>
          <t>Nuit</t>
        </is>
      </c>
      <c r="D2231" s="36" t="inlineStr">
        <is>
          <t>Éclate-Roc</t>
        </is>
      </c>
      <c r="E2231" s="50" t="inlineStr">
        <is>
          <t>MIMIGAL</t>
        </is>
      </c>
      <c r="F2231" s="51" t="n">
        <v>0.05</v>
      </c>
      <c r="G2231" s="52" t="n">
        <v>10</v>
      </c>
      <c r="H2231" s="52" t="n">
        <v>10</v>
      </c>
      <c r="I2231" s="29">
        <f>IF(OR(COUNTIF('Suivi des rencontres'!$A:$A,$A2231)&gt;0,COUNTIF('Suivi des rencontres'!$C:$C,$J2231)&gt;0),"Non","Oui")</f>
        <v/>
      </c>
      <c r="J2231" s="30" t="inlineStr">
        <is>
          <t>MIMIGAL</t>
        </is>
      </c>
    </row>
    <row r="2232">
      <c r="A2232" s="57" t="inlineStr">
        <is>
          <t>Route 37</t>
        </is>
      </c>
      <c r="B2232" s="57" t="inlineStr">
        <is>
          <t>Route37_hns</t>
        </is>
      </c>
      <c r="C2232" s="58" t="inlineStr">
        <is>
          <t>Matin, jour, soir</t>
        </is>
      </c>
      <c r="D2232" s="42" t="inlineStr">
        <is>
          <t>Herbe</t>
        </is>
      </c>
      <c r="E2232" s="59" t="inlineStr">
        <is>
          <t>CANINOS</t>
        </is>
      </c>
      <c r="F2232" s="60" t="n">
        <v>0.34</v>
      </c>
      <c r="G2232" s="61" t="n">
        <v>16</v>
      </c>
      <c r="H2232" s="61" t="n">
        <v>18</v>
      </c>
      <c r="I2232" s="46">
        <f>IF(OR(COUNTIF('Suivi des rencontres'!$A:$A,$A2232)&gt;0,COUNTIF('Suivi des rencontres'!$C:$C,$J2232)&gt;0),"Non","Oui")</f>
        <v/>
      </c>
      <c r="J2232" s="30" t="inlineStr">
        <is>
          <t>CANINOS</t>
        </is>
      </c>
    </row>
    <row r="2233">
      <c r="A2233" s="35" t="inlineStr">
        <is>
          <t>Route 37</t>
        </is>
      </c>
      <c r="B2233" s="35" t="inlineStr">
        <is>
          <t>Route37_hns</t>
        </is>
      </c>
      <c r="C2233" s="33" t="inlineStr">
        <is>
          <t>Matin, jour, soir</t>
        </is>
      </c>
      <c r="D2233" s="49" t="inlineStr">
        <is>
          <t>Herbe</t>
        </is>
      </c>
      <c r="E2233" s="37" t="inlineStr">
        <is>
          <t>GOUPIX</t>
        </is>
      </c>
      <c r="F2233" s="38" t="n">
        <v>0.2</v>
      </c>
      <c r="G2233" s="39" t="n">
        <v>16</v>
      </c>
      <c r="H2233" s="39" t="n">
        <v>18</v>
      </c>
      <c r="I2233" s="29">
        <f>IF(OR(COUNTIF('Suivi des rencontres'!$A:$A,$A2233)&gt;0,COUNTIF('Suivi des rencontres'!$C:$C,$J2233)&gt;0),"Non","Oui")</f>
        <v/>
      </c>
      <c r="J2233" s="30" t="inlineStr">
        <is>
          <t>GOUPIX</t>
        </is>
      </c>
    </row>
    <row r="2234">
      <c r="A2234" s="35" t="inlineStr">
        <is>
          <t>Route 37</t>
        </is>
      </c>
      <c r="B2234" s="35" t="inlineStr">
        <is>
          <t>Route37_hns</t>
        </is>
      </c>
      <c r="C2234" s="33" t="inlineStr">
        <is>
          <t>Matin, jour, soir</t>
        </is>
      </c>
      <c r="D2234" s="49" t="inlineStr">
        <is>
          <t>Herbe</t>
        </is>
      </c>
      <c r="E2234" s="37" t="inlineStr">
        <is>
          <t>ROUCOOL</t>
        </is>
      </c>
      <c r="F2234" s="38" t="n">
        <v>0.2</v>
      </c>
      <c r="G2234" s="39" t="n">
        <v>16</v>
      </c>
      <c r="H2234" s="39" t="n">
        <v>18</v>
      </c>
      <c r="I2234" s="29">
        <f>IF(OR(COUNTIF('Suivi des rencontres'!$A:$A,$A2234)&gt;0,COUNTIF('Suivi des rencontres'!$C:$C,$J2234)&gt;0),"Non","Oui")</f>
        <v/>
      </c>
      <c r="J2234" s="30" t="inlineStr">
        <is>
          <t>ROUCOOL</t>
        </is>
      </c>
    </row>
    <row r="2235">
      <c r="A2235" s="35" t="inlineStr">
        <is>
          <t>Route 37</t>
        </is>
      </c>
      <c r="B2235" s="35" t="inlineStr">
        <is>
          <t>Route37_hns</t>
        </is>
      </c>
      <c r="C2235" s="33" t="inlineStr">
        <is>
          <t>Matin, jour, soir</t>
        </is>
      </c>
      <c r="D2235" s="49" t="inlineStr">
        <is>
          <t>Herbe</t>
        </is>
      </c>
      <c r="E2235" s="37" t="inlineStr">
        <is>
          <t>CERFROUSSE</t>
        </is>
      </c>
      <c r="F2235" s="38" t="n">
        <v>0.12</v>
      </c>
      <c r="G2235" s="39" t="n">
        <v>16</v>
      </c>
      <c r="H2235" s="39" t="n">
        <v>18</v>
      </c>
      <c r="I2235" s="29">
        <f>IF(OR(COUNTIF('Suivi des rencontres'!$A:$A,$A2235)&gt;0,COUNTIF('Suivi des rencontres'!$C:$C,$J2235)&gt;0),"Non","Oui")</f>
        <v/>
      </c>
      <c r="J2235" s="30" t="inlineStr">
        <is>
          <t>CERFROUSSE</t>
        </is>
      </c>
    </row>
    <row r="2236">
      <c r="A2236" s="35" t="inlineStr">
        <is>
          <t>Route 37</t>
        </is>
      </c>
      <c r="B2236" s="35" t="inlineStr">
        <is>
          <t>Route37_hns</t>
        </is>
      </c>
      <c r="C2236" s="33" t="inlineStr">
        <is>
          <t>Matin, jour, soir</t>
        </is>
      </c>
      <c r="D2236" s="49" t="inlineStr">
        <is>
          <t>Herbe</t>
        </is>
      </c>
      <c r="E2236" s="37" t="inlineStr">
        <is>
          <t>ROUCOUPS</t>
        </is>
      </c>
      <c r="F2236" s="38" t="n">
        <v>0.09</v>
      </c>
      <c r="G2236" s="39" t="n">
        <v>18</v>
      </c>
      <c r="H2236" s="39" t="n">
        <v>18</v>
      </c>
      <c r="I2236" s="29">
        <f>IF(OR(COUNTIF('Suivi des rencontres'!$A:$A,$A2236)&gt;0,COUNTIF('Suivi des rencontres'!$C:$C,$J2236)&gt;0),"Non","Oui")</f>
        <v/>
      </c>
      <c r="J2236" s="30" t="inlineStr">
        <is>
          <t>ROUCOOL</t>
        </is>
      </c>
    </row>
    <row r="2237">
      <c r="A2237" s="35" t="inlineStr">
        <is>
          <t>Route 37</t>
        </is>
      </c>
      <c r="B2237" s="35" t="inlineStr">
        <is>
          <t>Route37_hns</t>
        </is>
      </c>
      <c r="C2237" s="33" t="inlineStr">
        <is>
          <t>Matin, jour, soir</t>
        </is>
      </c>
      <c r="D2237" s="49" t="inlineStr">
        <is>
          <t>Herbe</t>
        </is>
      </c>
      <c r="E2237" s="37" t="inlineStr">
        <is>
          <t>COXYCLAQUE</t>
        </is>
      </c>
      <c r="F2237" s="38" t="n">
        <v>0.05</v>
      </c>
      <c r="G2237" s="39" t="n">
        <v>16</v>
      </c>
      <c r="H2237" s="39" t="n">
        <v>18</v>
      </c>
      <c r="I2237" s="29">
        <f>IF(OR(COUNTIF('Suivi des rencontres'!$A:$A,$A2237)&gt;0,COUNTIF('Suivi des rencontres'!$C:$C,$J2237)&gt;0),"Non","Oui")</f>
        <v/>
      </c>
      <c r="J2237" s="30" t="inlineStr">
        <is>
          <t>COXY</t>
        </is>
      </c>
    </row>
    <row r="2238">
      <c r="A2238" s="35" t="inlineStr">
        <is>
          <t>Route 37</t>
        </is>
      </c>
      <c r="B2238" s="35" t="inlineStr">
        <is>
          <t>Route37_hns</t>
        </is>
      </c>
      <c r="C2238" s="62" t="inlineStr">
        <is>
          <t>Nuit</t>
        </is>
      </c>
      <c r="D2238" s="49" t="inlineStr">
        <is>
          <t>Herbe</t>
        </is>
      </c>
      <c r="E2238" s="37" t="inlineStr">
        <is>
          <t>MIMIGAL</t>
        </is>
      </c>
      <c r="F2238" s="38" t="n">
        <v>0.35</v>
      </c>
      <c r="G2238" s="39" t="n">
        <v>16</v>
      </c>
      <c r="H2238" s="39" t="n">
        <v>18</v>
      </c>
      <c r="I2238" s="29">
        <f>IF(OR(COUNTIF('Suivi des rencontres'!$A:$A,$A2238)&gt;0,COUNTIF('Suivi des rencontres'!$C:$C,$J2238)&gt;0),"Non","Oui")</f>
        <v/>
      </c>
      <c r="J2238" s="30" t="inlineStr">
        <is>
          <t>MIMIGAL</t>
        </is>
      </c>
    </row>
    <row r="2239">
      <c r="A2239" s="35" t="inlineStr">
        <is>
          <t>Route 37</t>
        </is>
      </c>
      <c r="B2239" s="35" t="inlineStr">
        <is>
          <t>Route37_hns</t>
        </is>
      </c>
      <c r="C2239" s="62" t="inlineStr">
        <is>
          <t>Nuit</t>
        </is>
      </c>
      <c r="D2239" s="49" t="inlineStr">
        <is>
          <t>Herbe</t>
        </is>
      </c>
      <c r="E2239" s="37" t="inlineStr">
        <is>
          <t>CERFROUSSE</t>
        </is>
      </c>
      <c r="F2239" s="38" t="n">
        <v>0.3</v>
      </c>
      <c r="G2239" s="39" t="n">
        <v>18</v>
      </c>
      <c r="H2239" s="39" t="n">
        <v>18</v>
      </c>
      <c r="I2239" s="29">
        <f>IF(OR(COUNTIF('Suivi des rencontres'!$A:$A,$A2239)&gt;0,COUNTIF('Suivi des rencontres'!$C:$C,$J2239)&gt;0),"Non","Oui")</f>
        <v/>
      </c>
      <c r="J2239" s="30" t="inlineStr">
        <is>
          <t>CERFROUSSE</t>
        </is>
      </c>
    </row>
    <row r="2240">
      <c r="A2240" s="35" t="inlineStr">
        <is>
          <t>Route 37</t>
        </is>
      </c>
      <c r="B2240" s="35" t="inlineStr">
        <is>
          <t>Route37_hns</t>
        </is>
      </c>
      <c r="C2240" s="62" t="inlineStr">
        <is>
          <t>Nuit</t>
        </is>
      </c>
      <c r="D2240" s="49" t="inlineStr">
        <is>
          <t>Herbe</t>
        </is>
      </c>
      <c r="E2240" s="37" t="inlineStr">
        <is>
          <t>HOOTHOOT</t>
        </is>
      </c>
      <c r="F2240" s="38" t="n">
        <v>0.15</v>
      </c>
      <c r="G2240" s="39" t="n">
        <v>15</v>
      </c>
      <c r="H2240" s="39" t="n">
        <v>15</v>
      </c>
      <c r="I2240" s="29">
        <f>IF(OR(COUNTIF('Suivi des rencontres'!$A:$A,$A2240)&gt;0,COUNTIF('Suivi des rencontres'!$C:$C,$J2240)&gt;0),"Non","Oui")</f>
        <v/>
      </c>
      <c r="J2240" s="30" t="inlineStr">
        <is>
          <t>HOOTHOOT</t>
        </is>
      </c>
    </row>
    <row r="2241">
      <c r="A2241" s="35" t="inlineStr">
        <is>
          <t>Route 37</t>
        </is>
      </c>
      <c r="B2241" s="35" t="inlineStr">
        <is>
          <t>Route37_hns</t>
        </is>
      </c>
      <c r="C2241" s="62" t="inlineStr">
        <is>
          <t>Nuit</t>
        </is>
      </c>
      <c r="D2241" s="49" t="inlineStr">
        <is>
          <t>Herbe</t>
        </is>
      </c>
      <c r="E2241" s="37" t="inlineStr">
        <is>
          <t>GOUPIX</t>
        </is>
      </c>
      <c r="F2241" s="38" t="n">
        <v>0.1</v>
      </c>
      <c r="G2241" s="39" t="n">
        <v>15</v>
      </c>
      <c r="H2241" s="39" t="n">
        <v>15</v>
      </c>
      <c r="I2241" s="29">
        <f>IF(OR(COUNTIF('Suivi des rencontres'!$A:$A,$A2241)&gt;0,COUNTIF('Suivi des rencontres'!$C:$C,$J2241)&gt;0),"Non","Oui")</f>
        <v/>
      </c>
      <c r="J2241" s="30" t="inlineStr">
        <is>
          <t>GOUPIX</t>
        </is>
      </c>
    </row>
    <row r="2242">
      <c r="A2242" s="35" t="inlineStr">
        <is>
          <t>Route 37</t>
        </is>
      </c>
      <c r="B2242" s="35" t="inlineStr">
        <is>
          <t>Route37_hns</t>
        </is>
      </c>
      <c r="C2242" s="62" t="inlineStr">
        <is>
          <t>Nuit</t>
        </is>
      </c>
      <c r="D2242" s="49" t="inlineStr">
        <is>
          <t>Herbe</t>
        </is>
      </c>
      <c r="E2242" s="37" t="inlineStr">
        <is>
          <t>MIGALOS</t>
        </is>
      </c>
      <c r="F2242" s="38" t="n">
        <v>0.05</v>
      </c>
      <c r="G2242" s="39" t="n">
        <v>18</v>
      </c>
      <c r="H2242" s="39" t="n">
        <v>18</v>
      </c>
      <c r="I2242" s="29">
        <f>IF(OR(COUNTIF('Suivi des rencontres'!$A:$A,$A2242)&gt;0,COUNTIF('Suivi des rencontres'!$C:$C,$J2242)&gt;0),"Non","Oui")</f>
        <v/>
      </c>
      <c r="J2242" s="30" t="inlineStr">
        <is>
          <t>MIMIGAL</t>
        </is>
      </c>
    </row>
    <row r="2243">
      <c r="A2243" s="35" t="inlineStr">
        <is>
          <t>Route 37</t>
        </is>
      </c>
      <c r="B2243" s="35" t="inlineStr">
        <is>
          <t>Route37_hns</t>
        </is>
      </c>
      <c r="C2243" s="62" t="inlineStr">
        <is>
          <t>Nuit</t>
        </is>
      </c>
      <c r="D2243" s="49" t="inlineStr">
        <is>
          <t>Herbe</t>
        </is>
      </c>
      <c r="E2243" s="37" t="inlineStr">
        <is>
          <t>NOARFANG</t>
        </is>
      </c>
      <c r="F2243" s="38" t="n">
        <v>0.05</v>
      </c>
      <c r="G2243" s="39" t="n">
        <v>19</v>
      </c>
      <c r="H2243" s="39" t="n">
        <v>19</v>
      </c>
      <c r="I2243" s="29">
        <f>IF(OR(COUNTIF('Suivi des rencontres'!$A:$A,$A2243)&gt;0,COUNTIF('Suivi des rencontres'!$C:$C,$J2243)&gt;0),"Non","Oui")</f>
        <v/>
      </c>
      <c r="J2243" s="30" t="inlineStr">
        <is>
          <t>HOOTHOOT</t>
        </is>
      </c>
    </row>
    <row r="2244">
      <c r="A2244" s="35" t="inlineStr">
        <is>
          <t>Route 37</t>
        </is>
      </c>
      <c r="B2244" s="35" t="inlineStr">
        <is>
          <t>Route37_hns</t>
        </is>
      </c>
      <c r="C2244" s="33" t="inlineStr">
        <is>
          <t>Matin, jour, soir</t>
        </is>
      </c>
      <c r="D2244" s="36" t="inlineStr">
        <is>
          <t>Éclate-Roc</t>
        </is>
      </c>
      <c r="E2244" s="37" t="inlineStr">
        <is>
          <t>POMDEPIK</t>
        </is>
      </c>
      <c r="F2244" s="38" t="n">
        <v>0.6</v>
      </c>
      <c r="G2244" s="39" t="n">
        <v>10</v>
      </c>
      <c r="H2244" s="39" t="n">
        <v>10</v>
      </c>
      <c r="I2244" s="29">
        <f>IF(OR(COUNTIF('Suivi des rencontres'!$A:$A,$A2244)&gt;0,COUNTIF('Suivi des rencontres'!$C:$C,$J2244)&gt;0),"Non","Oui")</f>
        <v/>
      </c>
      <c r="J2244" s="30" t="inlineStr">
        <is>
          <t>POMDEPIK</t>
        </is>
      </c>
    </row>
    <row r="2245">
      <c r="A2245" s="35" t="inlineStr">
        <is>
          <t>Route 37</t>
        </is>
      </c>
      <c r="B2245" s="35" t="inlineStr">
        <is>
          <t>Route37_hns</t>
        </is>
      </c>
      <c r="C2245" s="33" t="inlineStr">
        <is>
          <t>Matin, jour, soir</t>
        </is>
      </c>
      <c r="D2245" s="36" t="inlineStr">
        <is>
          <t>Éclate-Roc</t>
        </is>
      </c>
      <c r="E2245" s="37" t="inlineStr">
        <is>
          <t>NOEUNOEUF</t>
        </is>
      </c>
      <c r="F2245" s="38" t="n">
        <v>0.3</v>
      </c>
      <c r="G2245" s="39" t="n">
        <v>10</v>
      </c>
      <c r="H2245" s="39" t="n">
        <v>10</v>
      </c>
      <c r="I2245" s="29">
        <f>IF(OR(COUNTIF('Suivi des rencontres'!$A:$A,$A2245)&gt;0,COUNTIF('Suivi des rencontres'!$C:$C,$J2245)&gt;0),"Non","Oui")</f>
        <v/>
      </c>
      <c r="J2245" s="30" t="inlineStr">
        <is>
          <t>NOEUNOEUF</t>
        </is>
      </c>
    </row>
    <row r="2246">
      <c r="A2246" s="35" t="inlineStr">
        <is>
          <t>Route 37</t>
        </is>
      </c>
      <c r="B2246" s="35" t="inlineStr">
        <is>
          <t>Route37_hns</t>
        </is>
      </c>
      <c r="C2246" s="33" t="inlineStr">
        <is>
          <t>Matin, jour, soir</t>
        </is>
      </c>
      <c r="D2246" s="36" t="inlineStr">
        <is>
          <t>Éclate-Roc</t>
        </is>
      </c>
      <c r="E2246" s="37" t="inlineStr">
        <is>
          <t>COXY</t>
        </is>
      </c>
      <c r="F2246" s="38" t="n">
        <v>0.05</v>
      </c>
      <c r="G2246" s="39" t="n">
        <v>10</v>
      </c>
      <c r="H2246" s="39" t="n">
        <v>10</v>
      </c>
      <c r="I2246" s="29">
        <f>IF(OR(COUNTIF('Suivi des rencontres'!$A:$A,$A2246)&gt;0,COUNTIF('Suivi des rencontres'!$C:$C,$J2246)&gt;0),"Non","Oui")</f>
        <v/>
      </c>
      <c r="J2246" s="30" t="inlineStr">
        <is>
          <t>COXY</t>
        </is>
      </c>
    </row>
    <row r="2247">
      <c r="A2247" s="35" t="inlineStr">
        <is>
          <t>Route 37</t>
        </is>
      </c>
      <c r="B2247" s="35" t="inlineStr">
        <is>
          <t>Route37_hns</t>
        </is>
      </c>
      <c r="C2247" s="33" t="inlineStr">
        <is>
          <t>Matin, jour, soir</t>
        </is>
      </c>
      <c r="D2247" s="36" t="inlineStr">
        <is>
          <t>Éclate-Roc</t>
        </is>
      </c>
      <c r="E2247" s="37" t="inlineStr">
        <is>
          <t>MIMIGAL</t>
        </is>
      </c>
      <c r="F2247" s="38" t="n">
        <v>0.05</v>
      </c>
      <c r="G2247" s="39" t="n">
        <v>10</v>
      </c>
      <c r="H2247" s="39" t="n">
        <v>10</v>
      </c>
      <c r="I2247" s="29">
        <f>IF(OR(COUNTIF('Suivi des rencontres'!$A:$A,$A2247)&gt;0,COUNTIF('Suivi des rencontres'!$C:$C,$J2247)&gt;0),"Non","Oui")</f>
        <v/>
      </c>
      <c r="J2247" s="30" t="inlineStr">
        <is>
          <t>MIMIGAL</t>
        </is>
      </c>
    </row>
    <row r="2248">
      <c r="A2248" s="35" t="inlineStr">
        <is>
          <t>Route 37</t>
        </is>
      </c>
      <c r="B2248" s="35" t="inlineStr">
        <is>
          <t>Route37_hns</t>
        </is>
      </c>
      <c r="C2248" s="62" t="inlineStr">
        <is>
          <t>Nuit</t>
        </is>
      </c>
      <c r="D2248" s="36" t="inlineStr">
        <is>
          <t>Éclate-Roc</t>
        </is>
      </c>
      <c r="E2248" s="37" t="inlineStr">
        <is>
          <t>POMDEPIK</t>
        </is>
      </c>
      <c r="F2248" s="38" t="n">
        <v>0.6</v>
      </c>
      <c r="G2248" s="39" t="n">
        <v>10</v>
      </c>
      <c r="H2248" s="39" t="n">
        <v>10</v>
      </c>
      <c r="I2248" s="29">
        <f>IF(OR(COUNTIF('Suivi des rencontres'!$A:$A,$A2248)&gt;0,COUNTIF('Suivi des rencontres'!$C:$C,$J2248)&gt;0),"Non","Oui")</f>
        <v/>
      </c>
      <c r="J2248" s="30" t="inlineStr">
        <is>
          <t>POMDEPIK</t>
        </is>
      </c>
    </row>
    <row r="2249">
      <c r="A2249" s="35" t="inlineStr">
        <is>
          <t>Route 37</t>
        </is>
      </c>
      <c r="B2249" s="35" t="inlineStr">
        <is>
          <t>Route37_hns</t>
        </is>
      </c>
      <c r="C2249" s="62" t="inlineStr">
        <is>
          <t>Nuit</t>
        </is>
      </c>
      <c r="D2249" s="36" t="inlineStr">
        <is>
          <t>Éclate-Roc</t>
        </is>
      </c>
      <c r="E2249" s="37" t="inlineStr">
        <is>
          <t>NOEUNOEUF</t>
        </is>
      </c>
      <c r="F2249" s="38" t="n">
        <v>0.3</v>
      </c>
      <c r="G2249" s="39" t="n">
        <v>10</v>
      </c>
      <c r="H2249" s="39" t="n">
        <v>10</v>
      </c>
      <c r="I2249" s="29">
        <f>IF(OR(COUNTIF('Suivi des rencontres'!$A:$A,$A2249)&gt;0,COUNTIF('Suivi des rencontres'!$C:$C,$J2249)&gt;0),"Non","Oui")</f>
        <v/>
      </c>
      <c r="J2249" s="30" t="inlineStr">
        <is>
          <t>NOEUNOEUF</t>
        </is>
      </c>
    </row>
    <row r="2250">
      <c r="A2250" s="35" t="inlineStr">
        <is>
          <t>Route 37</t>
        </is>
      </c>
      <c r="B2250" s="35" t="inlineStr">
        <is>
          <t>Route37_hns</t>
        </is>
      </c>
      <c r="C2250" s="62" t="inlineStr">
        <is>
          <t>Nuit</t>
        </is>
      </c>
      <c r="D2250" s="36" t="inlineStr">
        <is>
          <t>Éclate-Roc</t>
        </is>
      </c>
      <c r="E2250" s="37" t="inlineStr">
        <is>
          <t>COXY</t>
        </is>
      </c>
      <c r="F2250" s="38" t="n">
        <v>0.05</v>
      </c>
      <c r="G2250" s="39" t="n">
        <v>10</v>
      </c>
      <c r="H2250" s="39" t="n">
        <v>10</v>
      </c>
      <c r="I2250" s="29">
        <f>IF(OR(COUNTIF('Suivi des rencontres'!$A:$A,$A2250)&gt;0,COUNTIF('Suivi des rencontres'!$C:$C,$J2250)&gt;0),"Non","Oui")</f>
        <v/>
      </c>
      <c r="J2250" s="30" t="inlineStr">
        <is>
          <t>COXY</t>
        </is>
      </c>
    </row>
    <row r="2251">
      <c r="A2251" s="35" t="inlineStr">
        <is>
          <t>Route 37</t>
        </is>
      </c>
      <c r="B2251" s="35" t="inlineStr">
        <is>
          <t>Route37_hns</t>
        </is>
      </c>
      <c r="C2251" s="62" t="inlineStr">
        <is>
          <t>Nuit</t>
        </is>
      </c>
      <c r="D2251" s="36" t="inlineStr">
        <is>
          <t>Éclate-Roc</t>
        </is>
      </c>
      <c r="E2251" s="37" t="inlineStr">
        <is>
          <t>MIMIGAL</t>
        </is>
      </c>
      <c r="F2251" s="38" t="n">
        <v>0.05</v>
      </c>
      <c r="G2251" s="39" t="n">
        <v>10</v>
      </c>
      <c r="H2251" s="39" t="n">
        <v>10</v>
      </c>
      <c r="I2251" s="29">
        <f>IF(OR(COUNTIF('Suivi des rencontres'!$A:$A,$A2251)&gt;0,COUNTIF('Suivi des rencontres'!$C:$C,$J2251)&gt;0),"Non","Oui")</f>
        <v/>
      </c>
      <c r="J2251" s="30" t="inlineStr">
        <is>
          <t>MIMIGAL</t>
        </is>
      </c>
    </row>
    <row r="2252">
      <c r="A2252" s="40" t="inlineStr">
        <is>
          <t>Route 38</t>
        </is>
      </c>
      <c r="B2252" s="40" t="inlineStr">
        <is>
          <t>Route38_hns</t>
        </is>
      </c>
      <c r="C2252" s="41" t="inlineStr">
        <is>
          <t>Matin, jour, soir</t>
        </is>
      </c>
      <c r="D2252" s="42" t="inlineStr">
        <is>
          <t>Herbe</t>
        </is>
      </c>
      <c r="E2252" s="43" t="inlineStr">
        <is>
          <t>ECREMEUH</t>
        </is>
      </c>
      <c r="F2252" s="44" t="n">
        <v>0.3</v>
      </c>
      <c r="G2252" s="45" t="n">
        <v>21</v>
      </c>
      <c r="H2252" s="45" t="n">
        <v>21</v>
      </c>
      <c r="I2252" s="46">
        <f>IF(OR(COUNTIF('Suivi des rencontres'!$A:$A,$A2252)&gt;0,COUNTIF('Suivi des rencontres'!$C:$C,$J2252)&gt;0),"Non","Oui")</f>
        <v/>
      </c>
      <c r="J2252" s="30" t="inlineStr">
        <is>
          <t>ECREMEUH</t>
        </is>
      </c>
    </row>
    <row r="2253">
      <c r="A2253" s="47" t="inlineStr">
        <is>
          <t>Route 38</t>
        </is>
      </c>
      <c r="B2253" s="47" t="inlineStr">
        <is>
          <t>Route38_hns</t>
        </is>
      </c>
      <c r="C2253" s="48" t="inlineStr">
        <is>
          <t>Matin, jour, soir</t>
        </is>
      </c>
      <c r="D2253" s="49" t="inlineStr">
        <is>
          <t>Herbe</t>
        </is>
      </c>
      <c r="E2253" s="50" t="inlineStr">
        <is>
          <t>MAGNETI</t>
        </is>
      </c>
      <c r="F2253" s="51" t="n">
        <v>0.3</v>
      </c>
      <c r="G2253" s="52" t="n">
        <v>20</v>
      </c>
      <c r="H2253" s="52" t="n">
        <v>20</v>
      </c>
      <c r="I2253" s="29">
        <f>IF(OR(COUNTIF('Suivi des rencontres'!$A:$A,$A2253)&gt;0,COUNTIF('Suivi des rencontres'!$C:$C,$J2253)&gt;0),"Non","Oui")</f>
        <v/>
      </c>
      <c r="J2253" s="30" t="inlineStr">
        <is>
          <t>MAGNETI</t>
        </is>
      </c>
    </row>
    <row r="2254">
      <c r="A2254" s="47" t="inlineStr">
        <is>
          <t>Route 38</t>
        </is>
      </c>
      <c r="B2254" s="47" t="inlineStr">
        <is>
          <t>Route38_hns</t>
        </is>
      </c>
      <c r="C2254" s="48" t="inlineStr">
        <is>
          <t>Matin, jour, soir</t>
        </is>
      </c>
      <c r="D2254" s="49" t="inlineStr">
        <is>
          <t>Herbe</t>
        </is>
      </c>
      <c r="E2254" s="50" t="inlineStr">
        <is>
          <t>DODUO</t>
        </is>
      </c>
      <c r="F2254" s="51" t="n">
        <v>0.15</v>
      </c>
      <c r="G2254" s="52" t="n">
        <v>20</v>
      </c>
      <c r="H2254" s="52" t="n">
        <v>20</v>
      </c>
      <c r="I2254" s="29">
        <f>IF(OR(COUNTIF('Suivi des rencontres'!$A:$A,$A2254)&gt;0,COUNTIF('Suivi des rencontres'!$C:$C,$J2254)&gt;0),"Non","Oui")</f>
        <v/>
      </c>
      <c r="J2254" s="30" t="inlineStr">
        <is>
          <t>DODUO</t>
        </is>
      </c>
    </row>
    <row r="2255">
      <c r="A2255" s="47" t="inlineStr">
        <is>
          <t>Route 38</t>
        </is>
      </c>
      <c r="B2255" s="47" t="inlineStr">
        <is>
          <t>Route38_hns</t>
        </is>
      </c>
      <c r="C2255" s="48" t="inlineStr">
        <is>
          <t>Matin, jour, soir</t>
        </is>
      </c>
      <c r="D2255" s="49" t="inlineStr">
        <is>
          <t>Herbe</t>
        </is>
      </c>
      <c r="E2255" s="50" t="inlineStr">
        <is>
          <t>TAUROS</t>
        </is>
      </c>
      <c r="F2255" s="51" t="n">
        <v>0.15</v>
      </c>
      <c r="G2255" s="52" t="n">
        <v>21</v>
      </c>
      <c r="H2255" s="52" t="n">
        <v>21</v>
      </c>
      <c r="I2255" s="29">
        <f>IF(OR(COUNTIF('Suivi des rencontres'!$A:$A,$A2255)&gt;0,COUNTIF('Suivi des rencontres'!$C:$C,$J2255)&gt;0),"Non","Oui")</f>
        <v/>
      </c>
      <c r="J2255" s="30" t="inlineStr">
        <is>
          <t>TAUROS</t>
        </is>
      </c>
    </row>
    <row r="2256">
      <c r="A2256" s="47" t="inlineStr">
        <is>
          <t>Route 38</t>
        </is>
      </c>
      <c r="B2256" s="47" t="inlineStr">
        <is>
          <t>Route38_hns</t>
        </is>
      </c>
      <c r="C2256" s="48" t="inlineStr">
        <is>
          <t>Matin, jour, soir</t>
        </is>
      </c>
      <c r="D2256" s="49" t="inlineStr">
        <is>
          <t>Herbe</t>
        </is>
      </c>
      <c r="E2256" s="50" t="inlineStr">
        <is>
          <t>MIAOUSS</t>
        </is>
      </c>
      <c r="F2256" s="51" t="n">
        <v>0.05</v>
      </c>
      <c r="G2256" s="52" t="n">
        <v>20</v>
      </c>
      <c r="H2256" s="52" t="n">
        <v>20</v>
      </c>
      <c r="I2256" s="29">
        <f>IF(OR(COUNTIF('Suivi des rencontres'!$A:$A,$A2256)&gt;0,COUNTIF('Suivi des rencontres'!$C:$C,$J2256)&gt;0),"Non","Oui")</f>
        <v/>
      </c>
      <c r="J2256" s="30" t="inlineStr">
        <is>
          <t>MIAOUSS</t>
        </is>
      </c>
    </row>
    <row r="2257">
      <c r="A2257" s="47" t="inlineStr">
        <is>
          <t>Route 38</t>
        </is>
      </c>
      <c r="B2257" s="47" t="inlineStr">
        <is>
          <t>Route38_hns</t>
        </is>
      </c>
      <c r="C2257" s="48" t="inlineStr">
        <is>
          <t>Matin, jour, soir</t>
        </is>
      </c>
      <c r="D2257" s="49" t="inlineStr">
        <is>
          <t>Herbe</t>
        </is>
      </c>
      <c r="E2257" s="50" t="inlineStr">
        <is>
          <t>RATTATAC</t>
        </is>
      </c>
      <c r="F2257" s="51" t="n">
        <v>0.05</v>
      </c>
      <c r="G2257" s="52" t="n">
        <v>19</v>
      </c>
      <c r="H2257" s="52" t="n">
        <v>19</v>
      </c>
      <c r="I2257" s="29">
        <f>IF(OR(COUNTIF('Suivi des rencontres'!$A:$A,$A2257)&gt;0,COUNTIF('Suivi des rencontres'!$C:$C,$J2257)&gt;0),"Non","Oui")</f>
        <v/>
      </c>
      <c r="J2257" s="30" t="inlineStr">
        <is>
          <t>RATTATA</t>
        </is>
      </c>
    </row>
    <row r="2258">
      <c r="A2258" s="47" t="inlineStr">
        <is>
          <t>Route 38</t>
        </is>
      </c>
      <c r="B2258" s="47" t="inlineStr">
        <is>
          <t>Route38_hns</t>
        </is>
      </c>
      <c r="C2258" s="62" t="inlineStr">
        <is>
          <t>Nuit</t>
        </is>
      </c>
      <c r="D2258" s="49" t="inlineStr">
        <is>
          <t>Herbe</t>
        </is>
      </c>
      <c r="E2258" s="50" t="inlineStr">
        <is>
          <t>MAGNETI</t>
        </is>
      </c>
      <c r="F2258" s="51" t="n">
        <v>0.35</v>
      </c>
      <c r="G2258" s="52" t="n">
        <v>20</v>
      </c>
      <c r="H2258" s="52" t="n">
        <v>20</v>
      </c>
      <c r="I2258" s="29">
        <f>IF(OR(COUNTIF('Suivi des rencontres'!$A:$A,$A2258)&gt;0,COUNTIF('Suivi des rencontres'!$C:$C,$J2258)&gt;0),"Non","Oui")</f>
        <v/>
      </c>
      <c r="J2258" s="30" t="inlineStr">
        <is>
          <t>MAGNETI</t>
        </is>
      </c>
    </row>
    <row r="2259">
      <c r="A2259" s="47" t="inlineStr">
        <is>
          <t>Route 38</t>
        </is>
      </c>
      <c r="B2259" s="47" t="inlineStr">
        <is>
          <t>Route38_hns</t>
        </is>
      </c>
      <c r="C2259" s="62" t="inlineStr">
        <is>
          <t>Nuit</t>
        </is>
      </c>
      <c r="D2259" s="49" t="inlineStr">
        <is>
          <t>Herbe</t>
        </is>
      </c>
      <c r="E2259" s="50" t="inlineStr">
        <is>
          <t>RATTATAC</t>
        </is>
      </c>
      <c r="F2259" s="51" t="n">
        <v>0.3</v>
      </c>
      <c r="G2259" s="52" t="n">
        <v>20</v>
      </c>
      <c r="H2259" s="52" t="n">
        <v>20</v>
      </c>
      <c r="I2259" s="29">
        <f>IF(OR(COUNTIF('Suivi des rencontres'!$A:$A,$A2259)&gt;0,COUNTIF('Suivi des rencontres'!$C:$C,$J2259)&gt;0),"Non","Oui")</f>
        <v/>
      </c>
      <c r="J2259" s="30" t="inlineStr">
        <is>
          <t>RATTATA</t>
        </is>
      </c>
    </row>
    <row r="2260">
      <c r="A2260" s="47" t="inlineStr">
        <is>
          <t>Route 38</t>
        </is>
      </c>
      <c r="B2260" s="47" t="inlineStr">
        <is>
          <t>Route38_hns</t>
        </is>
      </c>
      <c r="C2260" s="62" t="inlineStr">
        <is>
          <t>Nuit</t>
        </is>
      </c>
      <c r="D2260" s="49" t="inlineStr">
        <is>
          <t>Herbe</t>
        </is>
      </c>
      <c r="E2260" s="50" t="inlineStr">
        <is>
          <t>MIAOUSS</t>
        </is>
      </c>
      <c r="F2260" s="51" t="n">
        <v>0.25</v>
      </c>
      <c r="G2260" s="52" t="n">
        <v>19</v>
      </c>
      <c r="H2260" s="52" t="n">
        <v>21</v>
      </c>
      <c r="I2260" s="29">
        <f>IF(OR(COUNTIF('Suivi des rencontres'!$A:$A,$A2260)&gt;0,COUNTIF('Suivi des rencontres'!$C:$C,$J2260)&gt;0),"Non","Oui")</f>
        <v/>
      </c>
      <c r="J2260" s="30" t="inlineStr">
        <is>
          <t>MIAOUSS</t>
        </is>
      </c>
    </row>
    <row r="2261">
      <c r="A2261" s="47" t="inlineStr">
        <is>
          <t>Route 38</t>
        </is>
      </c>
      <c r="B2261" s="47" t="inlineStr">
        <is>
          <t>Route38_hns</t>
        </is>
      </c>
      <c r="C2261" s="62" t="inlineStr">
        <is>
          <t>Nuit</t>
        </is>
      </c>
      <c r="D2261" s="49" t="inlineStr">
        <is>
          <t>Herbe</t>
        </is>
      </c>
      <c r="E2261" s="50" t="inlineStr">
        <is>
          <t>NOARFANG</t>
        </is>
      </c>
      <c r="F2261" s="51" t="n">
        <v>0.1</v>
      </c>
      <c r="G2261" s="52" t="n">
        <v>21</v>
      </c>
      <c r="H2261" s="52" t="n">
        <v>21</v>
      </c>
      <c r="I2261" s="29">
        <f>IF(OR(COUNTIF('Suivi des rencontres'!$A:$A,$A2261)&gt;0,COUNTIF('Suivi des rencontres'!$C:$C,$J2261)&gt;0),"Non","Oui")</f>
        <v/>
      </c>
      <c r="J2261" s="30" t="inlineStr">
        <is>
          <t>HOOTHOOT</t>
        </is>
      </c>
    </row>
    <row r="2262">
      <c r="A2262" s="47" t="inlineStr">
        <is>
          <t>Route 38</t>
        </is>
      </c>
      <c r="B2262" s="47" t="inlineStr">
        <is>
          <t>Route38_hns</t>
        </is>
      </c>
      <c r="C2262" s="48" t="inlineStr">
        <is>
          <t>Matin, jour, soir</t>
        </is>
      </c>
      <c r="D2262" s="36" t="inlineStr">
        <is>
          <t>Éclate-Roc</t>
        </is>
      </c>
      <c r="E2262" s="50" t="inlineStr">
        <is>
          <t>POMDEPIK</t>
        </is>
      </c>
      <c r="F2262" s="51" t="n">
        <v>0.6</v>
      </c>
      <c r="G2262" s="52" t="n">
        <v>15</v>
      </c>
      <c r="H2262" s="52" t="n">
        <v>15</v>
      </c>
      <c r="I2262" s="29">
        <f>IF(OR(COUNTIF('Suivi des rencontres'!$A:$A,$A2262)&gt;0,COUNTIF('Suivi des rencontres'!$C:$C,$J2262)&gt;0),"Non","Oui")</f>
        <v/>
      </c>
      <c r="J2262" s="30" t="inlineStr">
        <is>
          <t>POMDEPIK</t>
        </is>
      </c>
    </row>
    <row r="2263">
      <c r="A2263" s="47" t="inlineStr">
        <is>
          <t>Route 38</t>
        </is>
      </c>
      <c r="B2263" s="47" t="inlineStr">
        <is>
          <t>Route38_hns</t>
        </is>
      </c>
      <c r="C2263" s="48" t="inlineStr">
        <is>
          <t>Matin, jour, soir</t>
        </is>
      </c>
      <c r="D2263" s="36" t="inlineStr">
        <is>
          <t>Éclate-Roc</t>
        </is>
      </c>
      <c r="E2263" s="50" t="inlineStr">
        <is>
          <t>NOEUNOEUF</t>
        </is>
      </c>
      <c r="F2263" s="51" t="n">
        <v>0.3</v>
      </c>
      <c r="G2263" s="52" t="n">
        <v>15</v>
      </c>
      <c r="H2263" s="52" t="n">
        <v>15</v>
      </c>
      <c r="I2263" s="29">
        <f>IF(OR(COUNTIF('Suivi des rencontres'!$A:$A,$A2263)&gt;0,COUNTIF('Suivi des rencontres'!$C:$C,$J2263)&gt;0),"Non","Oui")</f>
        <v/>
      </c>
      <c r="J2263" s="30" t="inlineStr">
        <is>
          <t>NOEUNOEUF</t>
        </is>
      </c>
    </row>
    <row r="2264">
      <c r="A2264" s="47" t="inlineStr">
        <is>
          <t>Route 38</t>
        </is>
      </c>
      <c r="B2264" s="47" t="inlineStr">
        <is>
          <t>Route38_hns</t>
        </is>
      </c>
      <c r="C2264" s="48" t="inlineStr">
        <is>
          <t>Matin, jour, soir</t>
        </is>
      </c>
      <c r="D2264" s="36" t="inlineStr">
        <is>
          <t>Éclate-Roc</t>
        </is>
      </c>
      <c r="E2264" s="50" t="inlineStr">
        <is>
          <t>COXY</t>
        </is>
      </c>
      <c r="F2264" s="51" t="n">
        <v>0.05</v>
      </c>
      <c r="G2264" s="52" t="n">
        <v>15</v>
      </c>
      <c r="H2264" s="52" t="n">
        <v>15</v>
      </c>
      <c r="I2264" s="29">
        <f>IF(OR(COUNTIF('Suivi des rencontres'!$A:$A,$A2264)&gt;0,COUNTIF('Suivi des rencontres'!$C:$C,$J2264)&gt;0),"Non","Oui")</f>
        <v/>
      </c>
      <c r="J2264" s="30" t="inlineStr">
        <is>
          <t>COXY</t>
        </is>
      </c>
    </row>
    <row r="2265">
      <c r="A2265" s="47" t="inlineStr">
        <is>
          <t>Route 38</t>
        </is>
      </c>
      <c r="B2265" s="47" t="inlineStr">
        <is>
          <t>Route38_hns</t>
        </is>
      </c>
      <c r="C2265" s="48" t="inlineStr">
        <is>
          <t>Matin, jour, soir</t>
        </is>
      </c>
      <c r="D2265" s="36" t="inlineStr">
        <is>
          <t>Éclate-Roc</t>
        </is>
      </c>
      <c r="E2265" s="50" t="inlineStr">
        <is>
          <t>MIMIGAL</t>
        </is>
      </c>
      <c r="F2265" s="51" t="n">
        <v>0.05</v>
      </c>
      <c r="G2265" s="52" t="n">
        <v>15</v>
      </c>
      <c r="H2265" s="52" t="n">
        <v>15</v>
      </c>
      <c r="I2265" s="29">
        <f>IF(OR(COUNTIF('Suivi des rencontres'!$A:$A,$A2265)&gt;0,COUNTIF('Suivi des rencontres'!$C:$C,$J2265)&gt;0),"Non","Oui")</f>
        <v/>
      </c>
      <c r="J2265" s="30" t="inlineStr">
        <is>
          <t>MIMIGAL</t>
        </is>
      </c>
    </row>
    <row r="2266">
      <c r="A2266" s="47" t="inlineStr">
        <is>
          <t>Route 38</t>
        </is>
      </c>
      <c r="B2266" s="47" t="inlineStr">
        <is>
          <t>Route38_hns</t>
        </is>
      </c>
      <c r="C2266" s="62" t="inlineStr">
        <is>
          <t>Nuit</t>
        </is>
      </c>
      <c r="D2266" s="36" t="inlineStr">
        <is>
          <t>Éclate-Roc</t>
        </is>
      </c>
      <c r="E2266" s="50" t="inlineStr">
        <is>
          <t>POMDEPIK</t>
        </is>
      </c>
      <c r="F2266" s="51" t="n">
        <v>0.6</v>
      </c>
      <c r="G2266" s="52" t="n">
        <v>10</v>
      </c>
      <c r="H2266" s="52" t="n">
        <v>10</v>
      </c>
      <c r="I2266" s="29">
        <f>IF(OR(COUNTIF('Suivi des rencontres'!$A:$A,$A2266)&gt;0,COUNTIF('Suivi des rencontres'!$C:$C,$J2266)&gt;0),"Non","Oui")</f>
        <v/>
      </c>
      <c r="J2266" s="30" t="inlineStr">
        <is>
          <t>POMDEPIK</t>
        </is>
      </c>
    </row>
    <row r="2267">
      <c r="A2267" s="47" t="inlineStr">
        <is>
          <t>Route 38</t>
        </is>
      </c>
      <c r="B2267" s="47" t="inlineStr">
        <is>
          <t>Route38_hns</t>
        </is>
      </c>
      <c r="C2267" s="62" t="inlineStr">
        <is>
          <t>Nuit</t>
        </is>
      </c>
      <c r="D2267" s="36" t="inlineStr">
        <is>
          <t>Éclate-Roc</t>
        </is>
      </c>
      <c r="E2267" s="50" t="inlineStr">
        <is>
          <t>NOEUNOEUF</t>
        </is>
      </c>
      <c r="F2267" s="51" t="n">
        <v>0.3</v>
      </c>
      <c r="G2267" s="52" t="n">
        <v>10</v>
      </c>
      <c r="H2267" s="52" t="n">
        <v>10</v>
      </c>
      <c r="I2267" s="29">
        <f>IF(OR(COUNTIF('Suivi des rencontres'!$A:$A,$A2267)&gt;0,COUNTIF('Suivi des rencontres'!$C:$C,$J2267)&gt;0),"Non","Oui")</f>
        <v/>
      </c>
      <c r="J2267" s="30" t="inlineStr">
        <is>
          <t>NOEUNOEUF</t>
        </is>
      </c>
    </row>
    <row r="2268">
      <c r="A2268" s="47" t="inlineStr">
        <is>
          <t>Route 38</t>
        </is>
      </c>
      <c r="B2268" s="47" t="inlineStr">
        <is>
          <t>Route38_hns</t>
        </is>
      </c>
      <c r="C2268" s="62" t="inlineStr">
        <is>
          <t>Nuit</t>
        </is>
      </c>
      <c r="D2268" s="36" t="inlineStr">
        <is>
          <t>Éclate-Roc</t>
        </is>
      </c>
      <c r="E2268" s="50" t="inlineStr">
        <is>
          <t>COXY</t>
        </is>
      </c>
      <c r="F2268" s="51" t="n">
        <v>0.05</v>
      </c>
      <c r="G2268" s="52" t="n">
        <v>10</v>
      </c>
      <c r="H2268" s="52" t="n">
        <v>10</v>
      </c>
      <c r="I2268" s="29">
        <f>IF(OR(COUNTIF('Suivi des rencontres'!$A:$A,$A2268)&gt;0,COUNTIF('Suivi des rencontres'!$C:$C,$J2268)&gt;0),"Non","Oui")</f>
        <v/>
      </c>
      <c r="J2268" s="30" t="inlineStr">
        <is>
          <t>COXY</t>
        </is>
      </c>
    </row>
    <row r="2269">
      <c r="A2269" s="47" t="inlineStr">
        <is>
          <t>Route 38</t>
        </is>
      </c>
      <c r="B2269" s="47" t="inlineStr">
        <is>
          <t>Route38_hns</t>
        </is>
      </c>
      <c r="C2269" s="62" t="inlineStr">
        <is>
          <t>Nuit</t>
        </is>
      </c>
      <c r="D2269" s="36" t="inlineStr">
        <is>
          <t>Éclate-Roc</t>
        </is>
      </c>
      <c r="E2269" s="50" t="inlineStr">
        <is>
          <t>MIMIGAL</t>
        </is>
      </c>
      <c r="F2269" s="51" t="n">
        <v>0.05</v>
      </c>
      <c r="G2269" s="52" t="n">
        <v>10</v>
      </c>
      <c r="H2269" s="52" t="n">
        <v>10</v>
      </c>
      <c r="I2269" s="29">
        <f>IF(OR(COUNTIF('Suivi des rencontres'!$A:$A,$A2269)&gt;0,COUNTIF('Suivi des rencontres'!$C:$C,$J2269)&gt;0),"Non","Oui")</f>
        <v/>
      </c>
      <c r="J2269" s="30" t="inlineStr">
        <is>
          <t>MIMIGAL</t>
        </is>
      </c>
    </row>
    <row r="2270">
      <c r="A2270" s="57" t="inlineStr">
        <is>
          <t>Route 39</t>
        </is>
      </c>
      <c r="B2270" s="57" t="inlineStr">
        <is>
          <t>Route39_hns</t>
        </is>
      </c>
      <c r="C2270" s="58" t="inlineStr">
        <is>
          <t>Matin, jour, soir</t>
        </is>
      </c>
      <c r="D2270" s="42" t="inlineStr">
        <is>
          <t>Herbe</t>
        </is>
      </c>
      <c r="E2270" s="59" t="inlineStr">
        <is>
          <t>PONYTA</t>
        </is>
      </c>
      <c r="F2270" s="60" t="n">
        <v>0.3</v>
      </c>
      <c r="G2270" s="61" t="n">
        <v>21</v>
      </c>
      <c r="H2270" s="61" t="n">
        <v>21</v>
      </c>
      <c r="I2270" s="46">
        <f>IF(OR(COUNTIF('Suivi des rencontres'!$A:$A,$A2270)&gt;0,COUNTIF('Suivi des rencontres'!$C:$C,$J2270)&gt;0),"Non","Oui")</f>
        <v/>
      </c>
      <c r="J2270" s="30" t="inlineStr">
        <is>
          <t>PONYTA</t>
        </is>
      </c>
    </row>
    <row r="2271">
      <c r="A2271" s="35" t="inlineStr">
        <is>
          <t>Route 39</t>
        </is>
      </c>
      <c r="B2271" s="35" t="inlineStr">
        <is>
          <t>Route39_hns</t>
        </is>
      </c>
      <c r="C2271" s="33" t="inlineStr">
        <is>
          <t>Matin, jour, soir</t>
        </is>
      </c>
      <c r="D2271" s="49" t="inlineStr">
        <is>
          <t>Herbe</t>
        </is>
      </c>
      <c r="E2271" s="37" t="inlineStr">
        <is>
          <t>RATTATAC</t>
        </is>
      </c>
      <c r="F2271" s="38" t="n">
        <v>0.3</v>
      </c>
      <c r="G2271" s="39" t="n">
        <v>21</v>
      </c>
      <c r="H2271" s="39" t="n">
        <v>21</v>
      </c>
      <c r="I2271" s="29">
        <f>IF(OR(COUNTIF('Suivi des rencontres'!$A:$A,$A2271)&gt;0,COUNTIF('Suivi des rencontres'!$C:$C,$J2271)&gt;0),"Non","Oui")</f>
        <v/>
      </c>
      <c r="J2271" s="30" t="inlineStr">
        <is>
          <t>RATTATA</t>
        </is>
      </c>
    </row>
    <row r="2272">
      <c r="A2272" s="35" t="inlineStr">
        <is>
          <t>Route 39</t>
        </is>
      </c>
      <c r="B2272" s="35" t="inlineStr">
        <is>
          <t>Route39_hns</t>
        </is>
      </c>
      <c r="C2272" s="33" t="inlineStr">
        <is>
          <t>Matin, jour, soir</t>
        </is>
      </c>
      <c r="D2272" s="49" t="inlineStr">
        <is>
          <t>Herbe</t>
        </is>
      </c>
      <c r="E2272" s="37" t="inlineStr">
        <is>
          <t>DODUO</t>
        </is>
      </c>
      <c r="F2272" s="38" t="n">
        <v>0.15</v>
      </c>
      <c r="G2272" s="39" t="n">
        <v>21</v>
      </c>
      <c r="H2272" s="39" t="n">
        <v>21</v>
      </c>
      <c r="I2272" s="29">
        <f>IF(OR(COUNTIF('Suivi des rencontres'!$A:$A,$A2272)&gt;0,COUNTIF('Suivi des rencontres'!$C:$C,$J2272)&gt;0),"Non","Oui")</f>
        <v/>
      </c>
      <c r="J2272" s="30" t="inlineStr">
        <is>
          <t>DODUO</t>
        </is>
      </c>
    </row>
    <row r="2273">
      <c r="A2273" s="35" t="inlineStr">
        <is>
          <t>Route 39</t>
        </is>
      </c>
      <c r="B2273" s="35" t="inlineStr">
        <is>
          <t>Route39_hns</t>
        </is>
      </c>
      <c r="C2273" s="33" t="inlineStr">
        <is>
          <t>Matin, jour, soir</t>
        </is>
      </c>
      <c r="D2273" s="49" t="inlineStr">
        <is>
          <t>Herbe</t>
        </is>
      </c>
      <c r="E2273" s="37" t="inlineStr">
        <is>
          <t>MAGNETI</t>
        </is>
      </c>
      <c r="F2273" s="38" t="n">
        <v>0.15</v>
      </c>
      <c r="G2273" s="39" t="n">
        <v>21</v>
      </c>
      <c r="H2273" s="39" t="n">
        <v>21</v>
      </c>
      <c r="I2273" s="29">
        <f>IF(OR(COUNTIF('Suivi des rencontres'!$A:$A,$A2273)&gt;0,COUNTIF('Suivi des rencontres'!$C:$C,$J2273)&gt;0),"Non","Oui")</f>
        <v/>
      </c>
      <c r="J2273" s="30" t="inlineStr">
        <is>
          <t>MAGNETI</t>
        </is>
      </c>
    </row>
    <row r="2274">
      <c r="A2274" s="35" t="inlineStr">
        <is>
          <t>Route 39</t>
        </is>
      </c>
      <c r="B2274" s="35" t="inlineStr">
        <is>
          <t>Route39_hns</t>
        </is>
      </c>
      <c r="C2274" s="33" t="inlineStr">
        <is>
          <t>Matin, jour, soir</t>
        </is>
      </c>
      <c r="D2274" s="49" t="inlineStr">
        <is>
          <t>Herbe</t>
        </is>
      </c>
      <c r="E2274" s="37" t="inlineStr">
        <is>
          <t>ECREMEUH</t>
        </is>
      </c>
      <c r="F2274" s="38" t="n">
        <v>0.05</v>
      </c>
      <c r="G2274" s="39" t="n">
        <v>21</v>
      </c>
      <c r="H2274" s="39" t="n">
        <v>21</v>
      </c>
      <c r="I2274" s="29">
        <f>IF(OR(COUNTIF('Suivi des rencontres'!$A:$A,$A2274)&gt;0,COUNTIF('Suivi des rencontres'!$C:$C,$J2274)&gt;0),"Non","Oui")</f>
        <v/>
      </c>
      <c r="J2274" s="30" t="inlineStr">
        <is>
          <t>ECREMEUH</t>
        </is>
      </c>
    </row>
    <row r="2275">
      <c r="A2275" s="35" t="inlineStr">
        <is>
          <t>Route 39</t>
        </is>
      </c>
      <c r="B2275" s="35" t="inlineStr">
        <is>
          <t>Route39_hns</t>
        </is>
      </c>
      <c r="C2275" s="33" t="inlineStr">
        <is>
          <t>Matin, jour, soir</t>
        </is>
      </c>
      <c r="D2275" s="49" t="inlineStr">
        <is>
          <t>Herbe</t>
        </is>
      </c>
      <c r="E2275" s="37" t="inlineStr">
        <is>
          <t>TAUROS</t>
        </is>
      </c>
      <c r="F2275" s="38" t="n">
        <v>0.05</v>
      </c>
      <c r="G2275" s="39" t="n">
        <v>21</v>
      </c>
      <c r="H2275" s="39" t="n">
        <v>21</v>
      </c>
      <c r="I2275" s="29">
        <f>IF(OR(COUNTIF('Suivi des rencontres'!$A:$A,$A2275)&gt;0,COUNTIF('Suivi des rencontres'!$C:$C,$J2275)&gt;0),"Non","Oui")</f>
        <v/>
      </c>
      <c r="J2275" s="30" t="inlineStr">
        <is>
          <t>TAUROS</t>
        </is>
      </c>
    </row>
    <row r="2276">
      <c r="A2276" s="35" t="inlineStr">
        <is>
          <t>Route 39</t>
        </is>
      </c>
      <c r="B2276" s="35" t="inlineStr">
        <is>
          <t>Route39_hns</t>
        </is>
      </c>
      <c r="C2276" s="62" t="inlineStr">
        <is>
          <t>Nuit</t>
        </is>
      </c>
      <c r="D2276" s="49" t="inlineStr">
        <is>
          <t>Herbe</t>
        </is>
      </c>
      <c r="E2276" s="37" t="inlineStr">
        <is>
          <t>MIAOUSS</t>
        </is>
      </c>
      <c r="F2276" s="38" t="n">
        <v>0.35</v>
      </c>
      <c r="G2276" s="39" t="n">
        <v>18</v>
      </c>
      <c r="H2276" s="39" t="n">
        <v>21</v>
      </c>
      <c r="I2276" s="29">
        <f>IF(OR(COUNTIF('Suivi des rencontres'!$A:$A,$A2276)&gt;0,COUNTIF('Suivi des rencontres'!$C:$C,$J2276)&gt;0),"Non","Oui")</f>
        <v/>
      </c>
      <c r="J2276" s="30" t="inlineStr">
        <is>
          <t>MIAOUSS</t>
        </is>
      </c>
    </row>
    <row r="2277">
      <c r="A2277" s="35" t="inlineStr">
        <is>
          <t>Route 39</t>
        </is>
      </c>
      <c r="B2277" s="35" t="inlineStr">
        <is>
          <t>Route39_hns</t>
        </is>
      </c>
      <c r="C2277" s="62" t="inlineStr">
        <is>
          <t>Nuit</t>
        </is>
      </c>
      <c r="D2277" s="49" t="inlineStr">
        <is>
          <t>Herbe</t>
        </is>
      </c>
      <c r="E2277" s="37" t="inlineStr">
        <is>
          <t>RATTATAC</t>
        </is>
      </c>
      <c r="F2277" s="38" t="n">
        <v>0.3</v>
      </c>
      <c r="G2277" s="39" t="n">
        <v>21</v>
      </c>
      <c r="H2277" s="39" t="n">
        <v>21</v>
      </c>
      <c r="I2277" s="29">
        <f>IF(OR(COUNTIF('Suivi des rencontres'!$A:$A,$A2277)&gt;0,COUNTIF('Suivi des rencontres'!$C:$C,$J2277)&gt;0),"Non","Oui")</f>
        <v/>
      </c>
      <c r="J2277" s="30" t="inlineStr">
        <is>
          <t>RATTATA</t>
        </is>
      </c>
    </row>
    <row r="2278">
      <c r="A2278" s="35" t="inlineStr">
        <is>
          <t>Route 39</t>
        </is>
      </c>
      <c r="B2278" s="35" t="inlineStr">
        <is>
          <t>Route39_hns</t>
        </is>
      </c>
      <c r="C2278" s="62" t="inlineStr">
        <is>
          <t>Nuit</t>
        </is>
      </c>
      <c r="D2278" s="49" t="inlineStr">
        <is>
          <t>Herbe</t>
        </is>
      </c>
      <c r="E2278" s="37" t="inlineStr">
        <is>
          <t>NOARFANG</t>
        </is>
      </c>
      <c r="F2278" s="38" t="n">
        <v>0.2</v>
      </c>
      <c r="G2278" s="39" t="n">
        <v>20</v>
      </c>
      <c r="H2278" s="39" t="n">
        <v>20</v>
      </c>
      <c r="I2278" s="29">
        <f>IF(OR(COUNTIF('Suivi des rencontres'!$A:$A,$A2278)&gt;0,COUNTIF('Suivi des rencontres'!$C:$C,$J2278)&gt;0),"Non","Oui")</f>
        <v/>
      </c>
      <c r="J2278" s="30" t="inlineStr">
        <is>
          <t>HOOTHOOT</t>
        </is>
      </c>
    </row>
    <row r="2279">
      <c r="A2279" s="35" t="inlineStr">
        <is>
          <t>Route 39</t>
        </is>
      </c>
      <c r="B2279" s="35" t="inlineStr">
        <is>
          <t>Route39_hns</t>
        </is>
      </c>
      <c r="C2279" s="62" t="inlineStr">
        <is>
          <t>Nuit</t>
        </is>
      </c>
      <c r="D2279" s="49" t="inlineStr">
        <is>
          <t>Herbe</t>
        </is>
      </c>
      <c r="E2279" s="37" t="inlineStr">
        <is>
          <t>MAGNETI</t>
        </is>
      </c>
      <c r="F2279" s="38" t="n">
        <v>0.15</v>
      </c>
      <c r="G2279" s="39" t="n">
        <v>20</v>
      </c>
      <c r="H2279" s="39" t="n">
        <v>20</v>
      </c>
      <c r="I2279" s="29">
        <f>IF(OR(COUNTIF('Suivi des rencontres'!$A:$A,$A2279)&gt;0,COUNTIF('Suivi des rencontres'!$C:$C,$J2279)&gt;0),"Non","Oui")</f>
        <v/>
      </c>
      <c r="J2279" s="30" t="inlineStr">
        <is>
          <t>MAGNETI</t>
        </is>
      </c>
    </row>
    <row r="2280">
      <c r="A2280" s="35" t="inlineStr">
        <is>
          <t>Route 39</t>
        </is>
      </c>
      <c r="B2280" s="35" t="inlineStr">
        <is>
          <t>Route39_hns</t>
        </is>
      </c>
      <c r="C2280" s="33" t="inlineStr">
        <is>
          <t>Matin, jour, soir</t>
        </is>
      </c>
      <c r="D2280" s="36" t="inlineStr">
        <is>
          <t>Éclate-Roc</t>
        </is>
      </c>
      <c r="E2280" s="37" t="inlineStr">
        <is>
          <t>POMDEPIK</t>
        </is>
      </c>
      <c r="F2280" s="38" t="n">
        <v>0.6</v>
      </c>
      <c r="G2280" s="39" t="n">
        <v>15</v>
      </c>
      <c r="H2280" s="39" t="n">
        <v>15</v>
      </c>
      <c r="I2280" s="29">
        <f>IF(OR(COUNTIF('Suivi des rencontres'!$A:$A,$A2280)&gt;0,COUNTIF('Suivi des rencontres'!$C:$C,$J2280)&gt;0),"Non","Oui")</f>
        <v/>
      </c>
      <c r="J2280" s="30" t="inlineStr">
        <is>
          <t>POMDEPIK</t>
        </is>
      </c>
    </row>
    <row r="2281">
      <c r="A2281" s="35" t="inlineStr">
        <is>
          <t>Route 39</t>
        </is>
      </c>
      <c r="B2281" s="35" t="inlineStr">
        <is>
          <t>Route39_hns</t>
        </is>
      </c>
      <c r="C2281" s="33" t="inlineStr">
        <is>
          <t>Matin, jour, soir</t>
        </is>
      </c>
      <c r="D2281" s="36" t="inlineStr">
        <is>
          <t>Éclate-Roc</t>
        </is>
      </c>
      <c r="E2281" s="37" t="inlineStr">
        <is>
          <t>NOEUNOEUF</t>
        </is>
      </c>
      <c r="F2281" s="38" t="n">
        <v>0.3</v>
      </c>
      <c r="G2281" s="39" t="n">
        <v>15</v>
      </c>
      <c r="H2281" s="39" t="n">
        <v>15</v>
      </c>
      <c r="I2281" s="29">
        <f>IF(OR(COUNTIF('Suivi des rencontres'!$A:$A,$A2281)&gt;0,COUNTIF('Suivi des rencontres'!$C:$C,$J2281)&gt;0),"Non","Oui")</f>
        <v/>
      </c>
      <c r="J2281" s="30" t="inlineStr">
        <is>
          <t>NOEUNOEUF</t>
        </is>
      </c>
    </row>
    <row r="2282">
      <c r="A2282" s="35" t="inlineStr">
        <is>
          <t>Route 39</t>
        </is>
      </c>
      <c r="B2282" s="35" t="inlineStr">
        <is>
          <t>Route39_hns</t>
        </is>
      </c>
      <c r="C2282" s="33" t="inlineStr">
        <is>
          <t>Matin, jour, soir</t>
        </is>
      </c>
      <c r="D2282" s="36" t="inlineStr">
        <is>
          <t>Éclate-Roc</t>
        </is>
      </c>
      <c r="E2282" s="37" t="inlineStr">
        <is>
          <t>COXY</t>
        </is>
      </c>
      <c r="F2282" s="38" t="n">
        <v>0.05</v>
      </c>
      <c r="G2282" s="39" t="n">
        <v>15</v>
      </c>
      <c r="H2282" s="39" t="n">
        <v>15</v>
      </c>
      <c r="I2282" s="29">
        <f>IF(OR(COUNTIF('Suivi des rencontres'!$A:$A,$A2282)&gt;0,COUNTIF('Suivi des rencontres'!$C:$C,$J2282)&gt;0),"Non","Oui")</f>
        <v/>
      </c>
      <c r="J2282" s="30" t="inlineStr">
        <is>
          <t>COXY</t>
        </is>
      </c>
    </row>
    <row r="2283">
      <c r="A2283" s="35" t="inlineStr">
        <is>
          <t>Route 39</t>
        </is>
      </c>
      <c r="B2283" s="35" t="inlineStr">
        <is>
          <t>Route39_hns</t>
        </is>
      </c>
      <c r="C2283" s="33" t="inlineStr">
        <is>
          <t>Matin, jour, soir</t>
        </is>
      </c>
      <c r="D2283" s="36" t="inlineStr">
        <is>
          <t>Éclate-Roc</t>
        </is>
      </c>
      <c r="E2283" s="37" t="inlineStr">
        <is>
          <t>MIMIGAL</t>
        </is>
      </c>
      <c r="F2283" s="38" t="n">
        <v>0.05</v>
      </c>
      <c r="G2283" s="39" t="n">
        <v>15</v>
      </c>
      <c r="H2283" s="39" t="n">
        <v>15</v>
      </c>
      <c r="I2283" s="29">
        <f>IF(OR(COUNTIF('Suivi des rencontres'!$A:$A,$A2283)&gt;0,COUNTIF('Suivi des rencontres'!$C:$C,$J2283)&gt;0),"Non","Oui")</f>
        <v/>
      </c>
      <c r="J2283" s="30" t="inlineStr">
        <is>
          <t>MIMIGAL</t>
        </is>
      </c>
    </row>
    <row r="2284">
      <c r="A2284" s="35" t="inlineStr">
        <is>
          <t>Route 39</t>
        </is>
      </c>
      <c r="B2284" s="35" t="inlineStr">
        <is>
          <t>Route39_hns</t>
        </is>
      </c>
      <c r="C2284" s="62" t="inlineStr">
        <is>
          <t>Nuit</t>
        </is>
      </c>
      <c r="D2284" s="36" t="inlineStr">
        <is>
          <t>Éclate-Roc</t>
        </is>
      </c>
      <c r="E2284" s="37" t="inlineStr">
        <is>
          <t>POMDEPIK</t>
        </is>
      </c>
      <c r="F2284" s="38" t="n">
        <v>0.6</v>
      </c>
      <c r="G2284" s="39" t="n">
        <v>10</v>
      </c>
      <c r="H2284" s="39" t="n">
        <v>10</v>
      </c>
      <c r="I2284" s="29">
        <f>IF(OR(COUNTIF('Suivi des rencontres'!$A:$A,$A2284)&gt;0,COUNTIF('Suivi des rencontres'!$C:$C,$J2284)&gt;0),"Non","Oui")</f>
        <v/>
      </c>
      <c r="J2284" s="30" t="inlineStr">
        <is>
          <t>POMDEPIK</t>
        </is>
      </c>
    </row>
    <row r="2285">
      <c r="A2285" s="35" t="inlineStr">
        <is>
          <t>Route 39</t>
        </is>
      </c>
      <c r="B2285" s="35" t="inlineStr">
        <is>
          <t>Route39_hns</t>
        </is>
      </c>
      <c r="C2285" s="62" t="inlineStr">
        <is>
          <t>Nuit</t>
        </is>
      </c>
      <c r="D2285" s="36" t="inlineStr">
        <is>
          <t>Éclate-Roc</t>
        </is>
      </c>
      <c r="E2285" s="37" t="inlineStr">
        <is>
          <t>NOEUNOEUF</t>
        </is>
      </c>
      <c r="F2285" s="38" t="n">
        <v>0.3</v>
      </c>
      <c r="G2285" s="39" t="n">
        <v>10</v>
      </c>
      <c r="H2285" s="39" t="n">
        <v>10</v>
      </c>
      <c r="I2285" s="29">
        <f>IF(OR(COUNTIF('Suivi des rencontres'!$A:$A,$A2285)&gt;0,COUNTIF('Suivi des rencontres'!$C:$C,$J2285)&gt;0),"Non","Oui")</f>
        <v/>
      </c>
      <c r="J2285" s="30" t="inlineStr">
        <is>
          <t>NOEUNOEUF</t>
        </is>
      </c>
    </row>
    <row r="2286">
      <c r="A2286" s="35" t="inlineStr">
        <is>
          <t>Route 39</t>
        </is>
      </c>
      <c r="B2286" s="35" t="inlineStr">
        <is>
          <t>Route39_hns</t>
        </is>
      </c>
      <c r="C2286" s="62" t="inlineStr">
        <is>
          <t>Nuit</t>
        </is>
      </c>
      <c r="D2286" s="36" t="inlineStr">
        <is>
          <t>Éclate-Roc</t>
        </is>
      </c>
      <c r="E2286" s="37" t="inlineStr">
        <is>
          <t>COXY</t>
        </is>
      </c>
      <c r="F2286" s="38" t="n">
        <v>0.05</v>
      </c>
      <c r="G2286" s="39" t="n">
        <v>10</v>
      </c>
      <c r="H2286" s="39" t="n">
        <v>10</v>
      </c>
      <c r="I2286" s="29">
        <f>IF(OR(COUNTIF('Suivi des rencontres'!$A:$A,$A2286)&gt;0,COUNTIF('Suivi des rencontres'!$C:$C,$J2286)&gt;0),"Non","Oui")</f>
        <v/>
      </c>
      <c r="J2286" s="30" t="inlineStr">
        <is>
          <t>COXY</t>
        </is>
      </c>
    </row>
    <row r="2287">
      <c r="A2287" s="35" t="inlineStr">
        <is>
          <t>Route 39</t>
        </is>
      </c>
      <c r="B2287" s="35" t="inlineStr">
        <is>
          <t>Route39_hns</t>
        </is>
      </c>
      <c r="C2287" s="62" t="inlineStr">
        <is>
          <t>Nuit</t>
        </is>
      </c>
      <c r="D2287" s="36" t="inlineStr">
        <is>
          <t>Éclate-Roc</t>
        </is>
      </c>
      <c r="E2287" s="37" t="inlineStr">
        <is>
          <t>MIMIGAL</t>
        </is>
      </c>
      <c r="F2287" s="38" t="n">
        <v>0.05</v>
      </c>
      <c r="G2287" s="39" t="n">
        <v>10</v>
      </c>
      <c r="H2287" s="39" t="n">
        <v>10</v>
      </c>
      <c r="I2287" s="29">
        <f>IF(OR(COUNTIF('Suivi des rencontres'!$A:$A,$A2287)&gt;0,COUNTIF('Suivi des rencontres'!$C:$C,$J2287)&gt;0),"Non","Oui")</f>
        <v/>
      </c>
      <c r="J2287" s="30" t="inlineStr">
        <is>
          <t>MIMIGAL</t>
        </is>
      </c>
    </row>
    <row r="2288">
      <c r="A2288" s="40" t="inlineStr">
        <is>
          <t>Route 4</t>
        </is>
      </c>
      <c r="B2288" s="40" t="inlineStr">
        <is>
          <t>Route4_hns</t>
        </is>
      </c>
      <c r="C2288" s="41" t="inlineStr">
        <is>
          <t>Matin, jour, soir</t>
        </is>
      </c>
      <c r="D2288" s="42" t="inlineStr">
        <is>
          <t>Herbe</t>
        </is>
      </c>
      <c r="E2288" s="43" t="inlineStr">
        <is>
          <t>PIAFABEC</t>
        </is>
      </c>
      <c r="F2288" s="44" t="n">
        <v>0.3</v>
      </c>
      <c r="G2288" s="45" t="n">
        <v>45</v>
      </c>
      <c r="H2288" s="45" t="n">
        <v>47</v>
      </c>
      <c r="I2288" s="46">
        <f>IF(OR(COUNTIF('Suivi des rencontres'!$A:$A,$A2288)&gt;0,COUNTIF('Suivi des rencontres'!$C:$C,$J2288)&gt;0),"Non","Oui")</f>
        <v/>
      </c>
      <c r="J2288" s="30" t="inlineStr">
        <is>
          <t>PIAFABEC</t>
        </is>
      </c>
    </row>
    <row r="2289">
      <c r="A2289" s="47" t="inlineStr">
        <is>
          <t>Route 4</t>
        </is>
      </c>
      <c r="B2289" s="47" t="inlineStr">
        <is>
          <t>Route4_hns</t>
        </is>
      </c>
      <c r="C2289" s="48" t="inlineStr">
        <is>
          <t>Matin, jour, soir</t>
        </is>
      </c>
      <c r="D2289" s="49" t="inlineStr">
        <is>
          <t>Herbe</t>
        </is>
      </c>
      <c r="E2289" s="50" t="inlineStr">
        <is>
          <t>RATTATA</t>
        </is>
      </c>
      <c r="F2289" s="51" t="n">
        <v>0.2</v>
      </c>
      <c r="G2289" s="52" t="n">
        <v>45</v>
      </c>
      <c r="H2289" s="52" t="n">
        <v>47</v>
      </c>
      <c r="I2289" s="29">
        <f>IF(OR(COUNTIF('Suivi des rencontres'!$A:$A,$A2289)&gt;0,COUNTIF('Suivi des rencontres'!$C:$C,$J2289)&gt;0),"Non","Oui")</f>
        <v/>
      </c>
      <c r="J2289" s="30" t="inlineStr">
        <is>
          <t>RATTATA</t>
        </is>
      </c>
    </row>
    <row r="2290">
      <c r="A2290" s="47" t="inlineStr">
        <is>
          <t>Route 4</t>
        </is>
      </c>
      <c r="B2290" s="47" t="inlineStr">
        <is>
          <t>Route4_hns</t>
        </is>
      </c>
      <c r="C2290" s="48" t="inlineStr">
        <is>
          <t>Matin, jour, soir</t>
        </is>
      </c>
      <c r="D2290" s="49" t="inlineStr">
        <is>
          <t>Herbe</t>
        </is>
      </c>
      <c r="E2290" s="50" t="inlineStr">
        <is>
          <t>ABO</t>
        </is>
      </c>
      <c r="F2290" s="51" t="n">
        <v>0.15</v>
      </c>
      <c r="G2290" s="52" t="n">
        <v>48</v>
      </c>
      <c r="H2290" s="52" t="n">
        <v>50</v>
      </c>
      <c r="I2290" s="29">
        <f>IF(OR(COUNTIF('Suivi des rencontres'!$A:$A,$A2290)&gt;0,COUNTIF('Suivi des rencontres'!$C:$C,$J2290)&gt;0),"Non","Oui")</f>
        <v/>
      </c>
      <c r="J2290" s="30" t="inlineStr">
        <is>
          <t>ABO</t>
        </is>
      </c>
    </row>
    <row r="2291">
      <c r="A2291" s="47" t="inlineStr">
        <is>
          <t>Route 4</t>
        </is>
      </c>
      <c r="B2291" s="47" t="inlineStr">
        <is>
          <t>Route4_hns</t>
        </is>
      </c>
      <c r="C2291" s="48" t="inlineStr">
        <is>
          <t>Matin, jour, soir</t>
        </is>
      </c>
      <c r="D2291" s="49" t="inlineStr">
        <is>
          <t>Herbe</t>
        </is>
      </c>
      <c r="E2291" s="50" t="inlineStr">
        <is>
          <t>SABELETTE</t>
        </is>
      </c>
      <c r="F2291" s="51" t="n">
        <v>0.14</v>
      </c>
      <c r="G2291" s="52" t="n">
        <v>41</v>
      </c>
      <c r="H2291" s="52" t="n">
        <v>47</v>
      </c>
      <c r="I2291" s="29">
        <f>IF(OR(COUNTIF('Suivi des rencontres'!$A:$A,$A2291)&gt;0,COUNTIF('Suivi des rencontres'!$C:$C,$J2291)&gt;0),"Non","Oui")</f>
        <v/>
      </c>
      <c r="J2291" s="30" t="inlineStr">
        <is>
          <t>SABELETTE</t>
        </is>
      </c>
    </row>
    <row r="2292">
      <c r="A2292" s="47" t="inlineStr">
        <is>
          <t>Route 4</t>
        </is>
      </c>
      <c r="B2292" s="47" t="inlineStr">
        <is>
          <t>Route4_hns</t>
        </is>
      </c>
      <c r="C2292" s="48" t="inlineStr">
        <is>
          <t>Matin, jour, soir</t>
        </is>
      </c>
      <c r="D2292" s="49" t="inlineStr">
        <is>
          <t>Herbe</t>
        </is>
      </c>
      <c r="E2292" s="50" t="inlineStr">
        <is>
          <t>RATTATAC</t>
        </is>
      </c>
      <c r="F2292" s="51" t="n">
        <v>0.11</v>
      </c>
      <c r="G2292" s="52" t="n">
        <v>41</v>
      </c>
      <c r="H2292" s="52" t="n">
        <v>43</v>
      </c>
      <c r="I2292" s="29">
        <f>IF(OR(COUNTIF('Suivi des rencontres'!$A:$A,$A2292)&gt;0,COUNTIF('Suivi des rencontres'!$C:$C,$J2292)&gt;0),"Non","Oui")</f>
        <v/>
      </c>
      <c r="J2292" s="30" t="inlineStr">
        <is>
          <t>RATTATA</t>
        </is>
      </c>
    </row>
    <row r="2293">
      <c r="A2293" s="47" t="inlineStr">
        <is>
          <t>Route 4</t>
        </is>
      </c>
      <c r="B2293" s="47" t="inlineStr">
        <is>
          <t>Route4_hns</t>
        </is>
      </c>
      <c r="C2293" s="48" t="inlineStr">
        <is>
          <t>Matin, jour, soir</t>
        </is>
      </c>
      <c r="D2293" s="49" t="inlineStr">
        <is>
          <t>Herbe</t>
        </is>
      </c>
      <c r="E2293" s="50" t="inlineStr">
        <is>
          <t>ARBOK</t>
        </is>
      </c>
      <c r="F2293" s="51" t="n">
        <v>0.05</v>
      </c>
      <c r="G2293" s="52" t="n">
        <v>41</v>
      </c>
      <c r="H2293" s="52" t="n">
        <v>43</v>
      </c>
      <c r="I2293" s="29">
        <f>IF(OR(COUNTIF('Suivi des rencontres'!$A:$A,$A2293)&gt;0,COUNTIF('Suivi des rencontres'!$C:$C,$J2293)&gt;0),"Non","Oui")</f>
        <v/>
      </c>
      <c r="J2293" s="30" t="inlineStr">
        <is>
          <t>ABO</t>
        </is>
      </c>
    </row>
    <row r="2294">
      <c r="A2294" s="47" t="inlineStr">
        <is>
          <t>Route 4</t>
        </is>
      </c>
      <c r="B2294" s="47" t="inlineStr">
        <is>
          <t>Route4_hns</t>
        </is>
      </c>
      <c r="C2294" s="48" t="inlineStr">
        <is>
          <t>Matin, jour, soir</t>
        </is>
      </c>
      <c r="D2294" s="49" t="inlineStr">
        <is>
          <t>Herbe</t>
        </is>
      </c>
      <c r="E2294" s="50" t="inlineStr">
        <is>
          <t>MANGRIFF</t>
        </is>
      </c>
      <c r="F2294" s="51" t="n">
        <v>0.05</v>
      </c>
      <c r="G2294" s="52" t="n">
        <v>41</v>
      </c>
      <c r="H2294" s="52" t="n">
        <v>43</v>
      </c>
      <c r="I2294" s="29">
        <f>IF(OR(COUNTIF('Suivi des rencontres'!$A:$A,$A2294)&gt;0,COUNTIF('Suivi des rencontres'!$C:$C,$J2294)&gt;0),"Non","Oui")</f>
        <v/>
      </c>
      <c r="J2294" s="30" t="inlineStr">
        <is>
          <t>MANGRIFF</t>
        </is>
      </c>
    </row>
    <row r="2295">
      <c r="A2295" s="47" t="inlineStr">
        <is>
          <t>Route 4</t>
        </is>
      </c>
      <c r="B2295" s="47" t="inlineStr">
        <is>
          <t>Route4_hns</t>
        </is>
      </c>
      <c r="C2295" s="62" t="inlineStr">
        <is>
          <t>Nuit</t>
        </is>
      </c>
      <c r="D2295" s="49" t="inlineStr">
        <is>
          <t>Herbe</t>
        </is>
      </c>
      <c r="E2295" s="50" t="inlineStr">
        <is>
          <t>RATTATA</t>
        </is>
      </c>
      <c r="F2295" s="51" t="n">
        <v>0.64</v>
      </c>
      <c r="G2295" s="52" t="n">
        <v>45</v>
      </c>
      <c r="H2295" s="52" t="n">
        <v>45</v>
      </c>
      <c r="I2295" s="29">
        <f>IF(OR(COUNTIF('Suivi des rencontres'!$A:$A,$A2295)&gt;0,COUNTIF('Suivi des rencontres'!$C:$C,$J2295)&gt;0),"Non","Oui")</f>
        <v/>
      </c>
      <c r="J2295" s="30" t="inlineStr">
        <is>
          <t>RATTATA</t>
        </is>
      </c>
    </row>
    <row r="2296">
      <c r="A2296" s="47" t="inlineStr">
        <is>
          <t>Route 4</t>
        </is>
      </c>
      <c r="B2296" s="47" t="inlineStr">
        <is>
          <t>Route4_hns</t>
        </is>
      </c>
      <c r="C2296" s="62" t="inlineStr">
        <is>
          <t>Nuit</t>
        </is>
      </c>
      <c r="D2296" s="49" t="inlineStr">
        <is>
          <t>Herbe</t>
        </is>
      </c>
      <c r="E2296" s="50" t="inlineStr">
        <is>
          <t>RATTATAC</t>
        </is>
      </c>
      <c r="F2296" s="51" t="n">
        <v>0.25</v>
      </c>
      <c r="G2296" s="52" t="n">
        <v>41</v>
      </c>
      <c r="H2296" s="52" t="n">
        <v>45</v>
      </c>
      <c r="I2296" s="29">
        <f>IF(OR(COUNTIF('Suivi des rencontres'!$A:$A,$A2296)&gt;0,COUNTIF('Suivi des rencontres'!$C:$C,$J2296)&gt;0),"Non","Oui")</f>
        <v/>
      </c>
      <c r="J2296" s="30" t="inlineStr">
        <is>
          <t>RATTATA</t>
        </is>
      </c>
    </row>
    <row r="2297">
      <c r="A2297" s="47" t="inlineStr">
        <is>
          <t>Route 4</t>
        </is>
      </c>
      <c r="B2297" s="47" t="inlineStr">
        <is>
          <t>Route4_hns</t>
        </is>
      </c>
      <c r="C2297" s="62" t="inlineStr">
        <is>
          <t>Nuit</t>
        </is>
      </c>
      <c r="D2297" s="49" t="inlineStr">
        <is>
          <t>Herbe</t>
        </is>
      </c>
      <c r="E2297" s="50" t="inlineStr">
        <is>
          <t>SEVIPER</t>
        </is>
      </c>
      <c r="F2297" s="51" t="n">
        <v>0.05</v>
      </c>
      <c r="G2297" s="52" t="n">
        <v>46</v>
      </c>
      <c r="H2297" s="52" t="n">
        <v>48</v>
      </c>
      <c r="I2297" s="29">
        <f>IF(OR(COUNTIF('Suivi des rencontres'!$A:$A,$A2297)&gt;0,COUNTIF('Suivi des rencontres'!$C:$C,$J2297)&gt;0),"Non","Oui")</f>
        <v/>
      </c>
      <c r="J2297" s="30" t="inlineStr">
        <is>
          <t>SEVIPER</t>
        </is>
      </c>
    </row>
    <row r="2298">
      <c r="A2298" s="47" t="inlineStr">
        <is>
          <t>Route 4</t>
        </is>
      </c>
      <c r="B2298" s="47" t="inlineStr">
        <is>
          <t>Route4_hns</t>
        </is>
      </c>
      <c r="C2298" s="62" t="inlineStr">
        <is>
          <t>Nuit</t>
        </is>
      </c>
      <c r="D2298" s="49" t="inlineStr">
        <is>
          <t>Herbe</t>
        </is>
      </c>
      <c r="E2298" s="50" t="inlineStr">
        <is>
          <t>NOSFERAPTI</t>
        </is>
      </c>
      <c r="F2298" s="51" t="n">
        <v>0.04</v>
      </c>
      <c r="G2298" s="52" t="n">
        <v>46</v>
      </c>
      <c r="H2298" s="52" t="n">
        <v>48</v>
      </c>
      <c r="I2298" s="29">
        <f>IF(OR(COUNTIF('Suivi des rencontres'!$A:$A,$A2298)&gt;0,COUNTIF('Suivi des rencontres'!$C:$C,$J2298)&gt;0),"Non","Oui")</f>
        <v/>
      </c>
      <c r="J2298" s="30" t="inlineStr">
        <is>
          <t>NOSFERAPTI</t>
        </is>
      </c>
    </row>
    <row r="2299">
      <c r="A2299" s="47" t="inlineStr">
        <is>
          <t>Route 4</t>
        </is>
      </c>
      <c r="B2299" s="47" t="inlineStr">
        <is>
          <t>Route4_hns</t>
        </is>
      </c>
      <c r="C2299" s="62" t="inlineStr">
        <is>
          <t>Nuit</t>
        </is>
      </c>
      <c r="D2299" s="49" t="inlineStr">
        <is>
          <t>Herbe</t>
        </is>
      </c>
      <c r="E2299" s="50" t="inlineStr">
        <is>
          <t>MELOFEE</t>
        </is>
      </c>
      <c r="F2299" s="51" t="n">
        <v>0.02</v>
      </c>
      <c r="G2299" s="52" t="n">
        <v>46</v>
      </c>
      <c r="H2299" s="52" t="n">
        <v>48</v>
      </c>
      <c r="I2299" s="29">
        <f>IF(OR(COUNTIF('Suivi des rencontres'!$A:$A,$A2299)&gt;0,COUNTIF('Suivi des rencontres'!$C:$C,$J2299)&gt;0),"Non","Oui")</f>
        <v/>
      </c>
      <c r="J2299" s="30" t="inlineStr">
        <is>
          <t>MELO</t>
        </is>
      </c>
    </row>
    <row r="2300">
      <c r="A2300" s="47" t="inlineStr">
        <is>
          <t>Route 4</t>
        </is>
      </c>
      <c r="B2300" s="47" t="inlineStr">
        <is>
          <t>Route4_hns</t>
        </is>
      </c>
      <c r="C2300" s="48" t="inlineStr">
        <is>
          <t>Matin, jour, soir</t>
        </is>
      </c>
      <c r="D2300" s="53" t="inlineStr">
        <is>
          <t>Surf</t>
        </is>
      </c>
      <c r="E2300" s="50" t="inlineStr">
        <is>
          <t>POISSIRENE</t>
        </is>
      </c>
      <c r="F2300" s="51" t="n">
        <v>0.99</v>
      </c>
      <c r="G2300" s="52" t="n">
        <v>45</v>
      </c>
      <c r="H2300" s="52" t="n">
        <v>47</v>
      </c>
      <c r="I2300" s="29">
        <f>IF(OR(COUNTIF('Suivi des rencontres'!$A:$A,$A2300)&gt;0,COUNTIF('Suivi des rencontres'!$C:$C,$J2300)&gt;0),"Non","Oui")</f>
        <v/>
      </c>
      <c r="J2300" s="30" t="inlineStr">
        <is>
          <t>POISSIRENE</t>
        </is>
      </c>
    </row>
    <row r="2301">
      <c r="A2301" s="47" t="inlineStr">
        <is>
          <t>Route 4</t>
        </is>
      </c>
      <c r="B2301" s="47" t="inlineStr">
        <is>
          <t>Route4_hns</t>
        </is>
      </c>
      <c r="C2301" s="48" t="inlineStr">
        <is>
          <t>Matin, jour, soir</t>
        </is>
      </c>
      <c r="D2301" s="53" t="inlineStr">
        <is>
          <t>Surf</t>
        </is>
      </c>
      <c r="E2301" s="50" t="inlineStr">
        <is>
          <t>POISSOROY</t>
        </is>
      </c>
      <c r="F2301" s="51" t="n">
        <v>0.01</v>
      </c>
      <c r="G2301" s="52" t="n">
        <v>41</v>
      </c>
      <c r="H2301" s="52" t="n">
        <v>47</v>
      </c>
      <c r="I2301" s="29">
        <f>IF(OR(COUNTIF('Suivi des rencontres'!$A:$A,$A2301)&gt;0,COUNTIF('Suivi des rencontres'!$C:$C,$J2301)&gt;0),"Non","Oui")</f>
        <v/>
      </c>
      <c r="J2301" s="30" t="inlineStr">
        <is>
          <t>POISSIRENE</t>
        </is>
      </c>
    </row>
    <row r="2302">
      <c r="A2302" s="47" t="inlineStr">
        <is>
          <t>Route 4</t>
        </is>
      </c>
      <c r="B2302" s="47" t="inlineStr">
        <is>
          <t>Route4_hns</t>
        </is>
      </c>
      <c r="C2302" s="62" t="inlineStr">
        <is>
          <t>Nuit</t>
        </is>
      </c>
      <c r="D2302" s="53" t="inlineStr">
        <is>
          <t>Surf</t>
        </is>
      </c>
      <c r="E2302" s="50" t="inlineStr">
        <is>
          <t>POISSIRENE</t>
        </is>
      </c>
      <c r="F2302" s="51" t="n">
        <v>0.99</v>
      </c>
      <c r="G2302" s="52" t="n">
        <v>45</v>
      </c>
      <c r="H2302" s="52" t="n">
        <v>47</v>
      </c>
      <c r="I2302" s="29">
        <f>IF(OR(COUNTIF('Suivi des rencontres'!$A:$A,$A2302)&gt;0,COUNTIF('Suivi des rencontres'!$C:$C,$J2302)&gt;0),"Non","Oui")</f>
        <v/>
      </c>
      <c r="J2302" s="30" t="inlineStr">
        <is>
          <t>POISSIRENE</t>
        </is>
      </c>
    </row>
    <row r="2303">
      <c r="A2303" s="47" t="inlineStr">
        <is>
          <t>Route 4</t>
        </is>
      </c>
      <c r="B2303" s="47" t="inlineStr">
        <is>
          <t>Route4_hns</t>
        </is>
      </c>
      <c r="C2303" s="62" t="inlineStr">
        <is>
          <t>Nuit</t>
        </is>
      </c>
      <c r="D2303" s="53" t="inlineStr">
        <is>
          <t>Surf</t>
        </is>
      </c>
      <c r="E2303" s="50" t="inlineStr">
        <is>
          <t>POISSOROY</t>
        </is>
      </c>
      <c r="F2303" s="51" t="n">
        <v>0.01</v>
      </c>
      <c r="G2303" s="52" t="n">
        <v>41</v>
      </c>
      <c r="H2303" s="52" t="n">
        <v>47</v>
      </c>
      <c r="I2303" s="29">
        <f>IF(OR(COUNTIF('Suivi des rencontres'!$A:$A,$A2303)&gt;0,COUNTIF('Suivi des rencontres'!$C:$C,$J2303)&gt;0),"Non","Oui")</f>
        <v/>
      </c>
      <c r="J2303" s="30" t="inlineStr">
        <is>
          <t>POISSIRENE</t>
        </is>
      </c>
    </row>
    <row r="2304">
      <c r="A2304" s="47" t="inlineStr">
        <is>
          <t>Route 4</t>
        </is>
      </c>
      <c r="B2304" s="47" t="inlineStr">
        <is>
          <t>Route4_hns</t>
        </is>
      </c>
      <c r="C2304" s="48" t="inlineStr">
        <is>
          <t>Matin, jour, soir</t>
        </is>
      </c>
      <c r="D2304" s="36" t="inlineStr">
        <is>
          <t>Éclate-Roc</t>
        </is>
      </c>
      <c r="E2304" s="50" t="inlineStr">
        <is>
          <t>POMDEPIK</t>
        </is>
      </c>
      <c r="F2304" s="51" t="n">
        <v>0.6</v>
      </c>
      <c r="G2304" s="52" t="n">
        <v>41</v>
      </c>
      <c r="H2304" s="52" t="n">
        <v>43</v>
      </c>
      <c r="I2304" s="29">
        <f>IF(OR(COUNTIF('Suivi des rencontres'!$A:$A,$A2304)&gt;0,COUNTIF('Suivi des rencontres'!$C:$C,$J2304)&gt;0),"Non","Oui")</f>
        <v/>
      </c>
      <c r="J2304" s="30" t="inlineStr">
        <is>
          <t>POMDEPIK</t>
        </is>
      </c>
    </row>
    <row r="2305">
      <c r="A2305" s="47" t="inlineStr">
        <is>
          <t>Route 4</t>
        </is>
      </c>
      <c r="B2305" s="47" t="inlineStr">
        <is>
          <t>Route4_hns</t>
        </is>
      </c>
      <c r="C2305" s="48" t="inlineStr">
        <is>
          <t>Matin, jour, soir</t>
        </is>
      </c>
      <c r="D2305" s="36" t="inlineStr">
        <is>
          <t>Éclate-Roc</t>
        </is>
      </c>
      <c r="E2305" s="50" t="inlineStr">
        <is>
          <t>NOEUNOEUF</t>
        </is>
      </c>
      <c r="F2305" s="51" t="n">
        <v>0.3</v>
      </c>
      <c r="G2305" s="52" t="n">
        <v>41</v>
      </c>
      <c r="H2305" s="52" t="n">
        <v>43</v>
      </c>
      <c r="I2305" s="29">
        <f>IF(OR(COUNTIF('Suivi des rencontres'!$A:$A,$A2305)&gt;0,COUNTIF('Suivi des rencontres'!$C:$C,$J2305)&gt;0),"Non","Oui")</f>
        <v/>
      </c>
      <c r="J2305" s="30" t="inlineStr">
        <is>
          <t>NOEUNOEUF</t>
        </is>
      </c>
    </row>
    <row r="2306">
      <c r="A2306" s="47" t="inlineStr">
        <is>
          <t>Route 4</t>
        </is>
      </c>
      <c r="B2306" s="47" t="inlineStr">
        <is>
          <t>Route4_hns</t>
        </is>
      </c>
      <c r="C2306" s="48" t="inlineStr">
        <is>
          <t>Matin, jour, soir</t>
        </is>
      </c>
      <c r="D2306" s="36" t="inlineStr">
        <is>
          <t>Éclate-Roc</t>
        </is>
      </c>
      <c r="E2306" s="50" t="inlineStr">
        <is>
          <t>COXY</t>
        </is>
      </c>
      <c r="F2306" s="51" t="n">
        <v>0.05</v>
      </c>
      <c r="G2306" s="52" t="n">
        <v>41</v>
      </c>
      <c r="H2306" s="52" t="n">
        <v>43</v>
      </c>
      <c r="I2306" s="29">
        <f>IF(OR(COUNTIF('Suivi des rencontres'!$A:$A,$A2306)&gt;0,COUNTIF('Suivi des rencontres'!$C:$C,$J2306)&gt;0),"Non","Oui")</f>
        <v/>
      </c>
      <c r="J2306" s="30" t="inlineStr">
        <is>
          <t>COXY</t>
        </is>
      </c>
    </row>
    <row r="2307">
      <c r="A2307" s="47" t="inlineStr">
        <is>
          <t>Route 4</t>
        </is>
      </c>
      <c r="B2307" s="47" t="inlineStr">
        <is>
          <t>Route4_hns</t>
        </is>
      </c>
      <c r="C2307" s="48" t="inlineStr">
        <is>
          <t>Matin, jour, soir</t>
        </is>
      </c>
      <c r="D2307" s="36" t="inlineStr">
        <is>
          <t>Éclate-Roc</t>
        </is>
      </c>
      <c r="E2307" s="50" t="inlineStr">
        <is>
          <t>MIMIGAL</t>
        </is>
      </c>
      <c r="F2307" s="51" t="n">
        <v>0.05</v>
      </c>
      <c r="G2307" s="52" t="n">
        <v>41</v>
      </c>
      <c r="H2307" s="52" t="n">
        <v>43</v>
      </c>
      <c r="I2307" s="29">
        <f>IF(OR(COUNTIF('Suivi des rencontres'!$A:$A,$A2307)&gt;0,COUNTIF('Suivi des rencontres'!$C:$C,$J2307)&gt;0),"Non","Oui")</f>
        <v/>
      </c>
      <c r="J2307" s="30" t="inlineStr">
        <is>
          <t>MIMIGAL</t>
        </is>
      </c>
    </row>
    <row r="2308">
      <c r="A2308" s="47" t="inlineStr">
        <is>
          <t>Route 4</t>
        </is>
      </c>
      <c r="B2308" s="47" t="inlineStr">
        <is>
          <t>Route4_hns</t>
        </is>
      </c>
      <c r="C2308" s="62" t="inlineStr">
        <is>
          <t>Nuit</t>
        </is>
      </c>
      <c r="D2308" s="36" t="inlineStr">
        <is>
          <t>Éclate-Roc</t>
        </is>
      </c>
      <c r="E2308" s="50" t="inlineStr">
        <is>
          <t>POMDEPIK</t>
        </is>
      </c>
      <c r="F2308" s="51" t="n">
        <v>0.6</v>
      </c>
      <c r="G2308" s="52" t="n">
        <v>41</v>
      </c>
      <c r="H2308" s="52" t="n">
        <v>43</v>
      </c>
      <c r="I2308" s="29">
        <f>IF(OR(COUNTIF('Suivi des rencontres'!$A:$A,$A2308)&gt;0,COUNTIF('Suivi des rencontres'!$C:$C,$J2308)&gt;0),"Non","Oui")</f>
        <v/>
      </c>
      <c r="J2308" s="30" t="inlineStr">
        <is>
          <t>POMDEPIK</t>
        </is>
      </c>
    </row>
    <row r="2309">
      <c r="A2309" s="47" t="inlineStr">
        <is>
          <t>Route 4</t>
        </is>
      </c>
      <c r="B2309" s="47" t="inlineStr">
        <is>
          <t>Route4_hns</t>
        </is>
      </c>
      <c r="C2309" s="62" t="inlineStr">
        <is>
          <t>Nuit</t>
        </is>
      </c>
      <c r="D2309" s="36" t="inlineStr">
        <is>
          <t>Éclate-Roc</t>
        </is>
      </c>
      <c r="E2309" s="50" t="inlineStr">
        <is>
          <t>NOEUNOEUF</t>
        </is>
      </c>
      <c r="F2309" s="51" t="n">
        <v>0.3</v>
      </c>
      <c r="G2309" s="52" t="n">
        <v>41</v>
      </c>
      <c r="H2309" s="52" t="n">
        <v>43</v>
      </c>
      <c r="I2309" s="29">
        <f>IF(OR(COUNTIF('Suivi des rencontres'!$A:$A,$A2309)&gt;0,COUNTIF('Suivi des rencontres'!$C:$C,$J2309)&gt;0),"Non","Oui")</f>
        <v/>
      </c>
      <c r="J2309" s="30" t="inlineStr">
        <is>
          <t>NOEUNOEUF</t>
        </is>
      </c>
    </row>
    <row r="2310">
      <c r="A2310" s="47" t="inlineStr">
        <is>
          <t>Route 4</t>
        </is>
      </c>
      <c r="B2310" s="47" t="inlineStr">
        <is>
          <t>Route4_hns</t>
        </is>
      </c>
      <c r="C2310" s="62" t="inlineStr">
        <is>
          <t>Nuit</t>
        </is>
      </c>
      <c r="D2310" s="36" t="inlineStr">
        <is>
          <t>Éclate-Roc</t>
        </is>
      </c>
      <c r="E2310" s="50" t="inlineStr">
        <is>
          <t>COXY</t>
        </is>
      </c>
      <c r="F2310" s="51" t="n">
        <v>0.05</v>
      </c>
      <c r="G2310" s="52" t="n">
        <v>41</v>
      </c>
      <c r="H2310" s="52" t="n">
        <v>43</v>
      </c>
      <c r="I2310" s="29">
        <f>IF(OR(COUNTIF('Suivi des rencontres'!$A:$A,$A2310)&gt;0,COUNTIF('Suivi des rencontres'!$C:$C,$J2310)&gt;0),"Non","Oui")</f>
        <v/>
      </c>
      <c r="J2310" s="30" t="inlineStr">
        <is>
          <t>COXY</t>
        </is>
      </c>
    </row>
    <row r="2311">
      <c r="A2311" s="47" t="inlineStr">
        <is>
          <t>Route 4</t>
        </is>
      </c>
      <c r="B2311" s="47" t="inlineStr">
        <is>
          <t>Route4_hns</t>
        </is>
      </c>
      <c r="C2311" s="62" t="inlineStr">
        <is>
          <t>Nuit</t>
        </is>
      </c>
      <c r="D2311" s="36" t="inlineStr">
        <is>
          <t>Éclate-Roc</t>
        </is>
      </c>
      <c r="E2311" s="50" t="inlineStr">
        <is>
          <t>MIMIGAL</t>
        </is>
      </c>
      <c r="F2311" s="51" t="n">
        <v>0.05</v>
      </c>
      <c r="G2311" s="52" t="n">
        <v>41</v>
      </c>
      <c r="H2311" s="52" t="n">
        <v>43</v>
      </c>
      <c r="I2311" s="29">
        <f>IF(OR(COUNTIF('Suivi des rencontres'!$A:$A,$A2311)&gt;0,COUNTIF('Suivi des rencontres'!$C:$C,$J2311)&gt;0),"Non","Oui")</f>
        <v/>
      </c>
      <c r="J2311" s="30" t="inlineStr">
        <is>
          <t>MIMIGAL</t>
        </is>
      </c>
    </row>
    <row r="2312">
      <c r="A2312" s="47" t="inlineStr">
        <is>
          <t>Route 4</t>
        </is>
      </c>
      <c r="B2312" s="47" t="inlineStr">
        <is>
          <t>Route4_hns</t>
        </is>
      </c>
      <c r="C2312" s="48" t="inlineStr">
        <is>
          <t>Matin, jour, soir</t>
        </is>
      </c>
      <c r="D2312" s="54" t="inlineStr">
        <is>
          <t>Vieille Canne</t>
        </is>
      </c>
      <c r="E2312" s="50" t="inlineStr">
        <is>
          <t>MAGICARPE</t>
        </is>
      </c>
      <c r="F2312" s="51" t="n">
        <v>0.7</v>
      </c>
      <c r="G2312" s="52" t="n">
        <v>41</v>
      </c>
      <c r="H2312" s="52" t="n">
        <v>43</v>
      </c>
      <c r="I2312" s="29">
        <f>IF(OR(COUNTIF('Suivi des rencontres'!$A:$A,$A2312)&gt;0,COUNTIF('Suivi des rencontres'!$C:$C,$J2312)&gt;0),"Non","Oui")</f>
        <v/>
      </c>
      <c r="J2312" s="30" t="inlineStr">
        <is>
          <t>MAGICARPE</t>
        </is>
      </c>
    </row>
    <row r="2313">
      <c r="A2313" s="47" t="inlineStr">
        <is>
          <t>Route 4</t>
        </is>
      </c>
      <c r="B2313" s="47" t="inlineStr">
        <is>
          <t>Route4_hns</t>
        </is>
      </c>
      <c r="C2313" s="48" t="inlineStr">
        <is>
          <t>Matin, jour, soir</t>
        </is>
      </c>
      <c r="D2313" s="54" t="inlineStr">
        <is>
          <t>Vieille Canne</t>
        </is>
      </c>
      <c r="E2313" s="50" t="inlineStr">
        <is>
          <t>POISSIRENE</t>
        </is>
      </c>
      <c r="F2313" s="51" t="n">
        <v>0.3</v>
      </c>
      <c r="G2313" s="52" t="n">
        <v>41</v>
      </c>
      <c r="H2313" s="52" t="n">
        <v>43</v>
      </c>
      <c r="I2313" s="29">
        <f>IF(OR(COUNTIF('Suivi des rencontres'!$A:$A,$A2313)&gt;0,COUNTIF('Suivi des rencontres'!$C:$C,$J2313)&gt;0),"Non","Oui")</f>
        <v/>
      </c>
      <c r="J2313" s="30" t="inlineStr">
        <is>
          <t>POISSIRENE</t>
        </is>
      </c>
    </row>
    <row r="2314">
      <c r="A2314" s="47" t="inlineStr">
        <is>
          <t>Route 4</t>
        </is>
      </c>
      <c r="B2314" s="47" t="inlineStr">
        <is>
          <t>Route4_hns</t>
        </is>
      </c>
      <c r="C2314" s="62" t="inlineStr">
        <is>
          <t>Nuit</t>
        </is>
      </c>
      <c r="D2314" s="54" t="inlineStr">
        <is>
          <t>Vieille Canne</t>
        </is>
      </c>
      <c r="E2314" s="50" t="inlineStr">
        <is>
          <t>MAGICARPE</t>
        </is>
      </c>
      <c r="F2314" s="51" t="n">
        <v>0.7</v>
      </c>
      <c r="G2314" s="52" t="n">
        <v>41</v>
      </c>
      <c r="H2314" s="52" t="n">
        <v>43</v>
      </c>
      <c r="I2314" s="29">
        <f>IF(OR(COUNTIF('Suivi des rencontres'!$A:$A,$A2314)&gt;0,COUNTIF('Suivi des rencontres'!$C:$C,$J2314)&gt;0),"Non","Oui")</f>
        <v/>
      </c>
      <c r="J2314" s="30" t="inlineStr">
        <is>
          <t>MAGICARPE</t>
        </is>
      </c>
    </row>
    <row r="2315">
      <c r="A2315" s="47" t="inlineStr">
        <is>
          <t>Route 4</t>
        </is>
      </c>
      <c r="B2315" s="47" t="inlineStr">
        <is>
          <t>Route4_hns</t>
        </is>
      </c>
      <c r="C2315" s="62" t="inlineStr">
        <is>
          <t>Nuit</t>
        </is>
      </c>
      <c r="D2315" s="54" t="inlineStr">
        <is>
          <t>Vieille Canne</t>
        </is>
      </c>
      <c r="E2315" s="50" t="inlineStr">
        <is>
          <t>POISSIRENE</t>
        </is>
      </c>
      <c r="F2315" s="51" t="n">
        <v>0.3</v>
      </c>
      <c r="G2315" s="52" t="n">
        <v>41</v>
      </c>
      <c r="H2315" s="52" t="n">
        <v>43</v>
      </c>
      <c r="I2315" s="29">
        <f>IF(OR(COUNTIF('Suivi des rencontres'!$A:$A,$A2315)&gt;0,COUNTIF('Suivi des rencontres'!$C:$C,$J2315)&gt;0),"Non","Oui")</f>
        <v/>
      </c>
      <c r="J2315" s="30" t="inlineStr">
        <is>
          <t>POISSIRENE</t>
        </is>
      </c>
    </row>
    <row r="2316">
      <c r="A2316" s="47" t="inlineStr">
        <is>
          <t>Route 4</t>
        </is>
      </c>
      <c r="B2316" s="47" t="inlineStr">
        <is>
          <t>Route4_hns</t>
        </is>
      </c>
      <c r="C2316" s="48" t="inlineStr">
        <is>
          <t>Matin, jour, soir</t>
        </is>
      </c>
      <c r="D2316" s="55" t="inlineStr">
        <is>
          <t>Bonne Canne</t>
        </is>
      </c>
      <c r="E2316" s="50" t="inlineStr">
        <is>
          <t>MAGICARPE</t>
        </is>
      </c>
      <c r="F2316" s="51" t="n">
        <v>0.6</v>
      </c>
      <c r="G2316" s="52" t="n">
        <v>42</v>
      </c>
      <c r="H2316" s="52" t="n">
        <v>44</v>
      </c>
      <c r="I2316" s="29">
        <f>IF(OR(COUNTIF('Suivi des rencontres'!$A:$A,$A2316)&gt;0,COUNTIF('Suivi des rencontres'!$C:$C,$J2316)&gt;0),"Non","Oui")</f>
        <v/>
      </c>
      <c r="J2316" s="30" t="inlineStr">
        <is>
          <t>MAGICARPE</t>
        </is>
      </c>
    </row>
    <row r="2317">
      <c r="A2317" s="47" t="inlineStr">
        <is>
          <t>Route 4</t>
        </is>
      </c>
      <c r="B2317" s="47" t="inlineStr">
        <is>
          <t>Route4_hns</t>
        </is>
      </c>
      <c r="C2317" s="48" t="inlineStr">
        <is>
          <t>Matin, jour, soir</t>
        </is>
      </c>
      <c r="D2317" s="55" t="inlineStr">
        <is>
          <t>Bonne Canne</t>
        </is>
      </c>
      <c r="E2317" s="50" t="inlineStr">
        <is>
          <t>POISSIRENE</t>
        </is>
      </c>
      <c r="F2317" s="51" t="n">
        <v>0.4</v>
      </c>
      <c r="G2317" s="52" t="n">
        <v>40</v>
      </c>
      <c r="H2317" s="52" t="n">
        <v>44</v>
      </c>
      <c r="I2317" s="29">
        <f>IF(OR(COUNTIF('Suivi des rencontres'!$A:$A,$A2317)&gt;0,COUNTIF('Suivi des rencontres'!$C:$C,$J2317)&gt;0),"Non","Oui")</f>
        <v/>
      </c>
      <c r="J2317" s="30" t="inlineStr">
        <is>
          <t>POISSIRENE</t>
        </is>
      </c>
    </row>
    <row r="2318">
      <c r="A2318" s="47" t="inlineStr">
        <is>
          <t>Route 4</t>
        </is>
      </c>
      <c r="B2318" s="47" t="inlineStr">
        <is>
          <t>Route4_hns</t>
        </is>
      </c>
      <c r="C2318" s="62" t="inlineStr">
        <is>
          <t>Nuit</t>
        </is>
      </c>
      <c r="D2318" s="55" t="inlineStr">
        <is>
          <t>Bonne Canne</t>
        </is>
      </c>
      <c r="E2318" s="50" t="inlineStr">
        <is>
          <t>MAGICARPE</t>
        </is>
      </c>
      <c r="F2318" s="51" t="n">
        <v>0.6</v>
      </c>
      <c r="G2318" s="52" t="n">
        <v>42</v>
      </c>
      <c r="H2318" s="52" t="n">
        <v>44</v>
      </c>
      <c r="I2318" s="29">
        <f>IF(OR(COUNTIF('Suivi des rencontres'!$A:$A,$A2318)&gt;0,COUNTIF('Suivi des rencontres'!$C:$C,$J2318)&gt;0),"Non","Oui")</f>
        <v/>
      </c>
      <c r="J2318" s="30" t="inlineStr">
        <is>
          <t>MAGICARPE</t>
        </is>
      </c>
    </row>
    <row r="2319">
      <c r="A2319" s="47" t="inlineStr">
        <is>
          <t>Route 4</t>
        </is>
      </c>
      <c r="B2319" s="47" t="inlineStr">
        <is>
          <t>Route4_hns</t>
        </is>
      </c>
      <c r="C2319" s="62" t="inlineStr">
        <is>
          <t>Nuit</t>
        </is>
      </c>
      <c r="D2319" s="55" t="inlineStr">
        <is>
          <t>Bonne Canne</t>
        </is>
      </c>
      <c r="E2319" s="50" t="inlineStr">
        <is>
          <t>POISSIRENE</t>
        </is>
      </c>
      <c r="F2319" s="51" t="n">
        <v>0.4</v>
      </c>
      <c r="G2319" s="52" t="n">
        <v>40</v>
      </c>
      <c r="H2319" s="52" t="n">
        <v>44</v>
      </c>
      <c r="I2319" s="29">
        <f>IF(OR(COUNTIF('Suivi des rencontres'!$A:$A,$A2319)&gt;0,COUNTIF('Suivi des rencontres'!$C:$C,$J2319)&gt;0),"Non","Oui")</f>
        <v/>
      </c>
      <c r="J2319" s="30" t="inlineStr">
        <is>
          <t>POISSIRENE</t>
        </is>
      </c>
    </row>
    <row r="2320">
      <c r="A2320" s="47" t="inlineStr">
        <is>
          <t>Route 4</t>
        </is>
      </c>
      <c r="B2320" s="47" t="inlineStr">
        <is>
          <t>Route4_hns</t>
        </is>
      </c>
      <c r="C2320" s="48" t="inlineStr">
        <is>
          <t>Matin, jour, soir</t>
        </is>
      </c>
      <c r="D2320" s="56" t="inlineStr">
        <is>
          <t>Super Canne</t>
        </is>
      </c>
      <c r="E2320" s="50" t="inlineStr">
        <is>
          <t>MAGICARPE</t>
        </is>
      </c>
      <c r="F2320" s="51" t="n">
        <v>0.45</v>
      </c>
      <c r="G2320" s="52" t="n">
        <v>40</v>
      </c>
      <c r="H2320" s="52" t="n">
        <v>44</v>
      </c>
      <c r="I2320" s="29">
        <f>IF(OR(COUNTIF('Suivi des rencontres'!$A:$A,$A2320)&gt;0,COUNTIF('Suivi des rencontres'!$C:$C,$J2320)&gt;0),"Non","Oui")</f>
        <v/>
      </c>
      <c r="J2320" s="30" t="inlineStr">
        <is>
          <t>MAGICARPE</t>
        </is>
      </c>
    </row>
    <row r="2321">
      <c r="A2321" s="47" t="inlineStr">
        <is>
          <t>Route 4</t>
        </is>
      </c>
      <c r="B2321" s="47" t="inlineStr">
        <is>
          <t>Route4_hns</t>
        </is>
      </c>
      <c r="C2321" s="48" t="inlineStr">
        <is>
          <t>Matin, jour, soir</t>
        </is>
      </c>
      <c r="D2321" s="56" t="inlineStr">
        <is>
          <t>Super Canne</t>
        </is>
      </c>
      <c r="E2321" s="50" t="inlineStr">
        <is>
          <t>POISSOROY</t>
        </is>
      </c>
      <c r="F2321" s="51" t="n">
        <v>0.4</v>
      </c>
      <c r="G2321" s="52" t="n">
        <v>40</v>
      </c>
      <c r="H2321" s="52" t="n">
        <v>40</v>
      </c>
      <c r="I2321" s="29">
        <f>IF(OR(COUNTIF('Suivi des rencontres'!$A:$A,$A2321)&gt;0,COUNTIF('Suivi des rencontres'!$C:$C,$J2321)&gt;0),"Non","Oui")</f>
        <v/>
      </c>
      <c r="J2321" s="30" t="inlineStr">
        <is>
          <t>POISSIRENE</t>
        </is>
      </c>
    </row>
    <row r="2322">
      <c r="A2322" s="47" t="inlineStr">
        <is>
          <t>Route 4</t>
        </is>
      </c>
      <c r="B2322" s="47" t="inlineStr">
        <is>
          <t>Route4_hns</t>
        </is>
      </c>
      <c r="C2322" s="48" t="inlineStr">
        <is>
          <t>Matin, jour, soir</t>
        </is>
      </c>
      <c r="D2322" s="56" t="inlineStr">
        <is>
          <t>Super Canne</t>
        </is>
      </c>
      <c r="E2322" s="50" t="inlineStr">
        <is>
          <t>POISSIRENE</t>
        </is>
      </c>
      <c r="F2322" s="51" t="n">
        <v>0.15</v>
      </c>
      <c r="G2322" s="52" t="n">
        <v>42</v>
      </c>
      <c r="H2322" s="52" t="n">
        <v>44</v>
      </c>
      <c r="I2322" s="29">
        <f>IF(OR(COUNTIF('Suivi des rencontres'!$A:$A,$A2322)&gt;0,COUNTIF('Suivi des rencontres'!$C:$C,$J2322)&gt;0),"Non","Oui")</f>
        <v/>
      </c>
      <c r="J2322" s="30" t="inlineStr">
        <is>
          <t>POISSIRENE</t>
        </is>
      </c>
    </row>
    <row r="2323">
      <c r="A2323" s="47" t="inlineStr">
        <is>
          <t>Route 4</t>
        </is>
      </c>
      <c r="B2323" s="47" t="inlineStr">
        <is>
          <t>Route4_hns</t>
        </is>
      </c>
      <c r="C2323" s="62" t="inlineStr">
        <is>
          <t>Nuit</t>
        </is>
      </c>
      <c r="D2323" s="56" t="inlineStr">
        <is>
          <t>Super Canne</t>
        </is>
      </c>
      <c r="E2323" s="50" t="inlineStr">
        <is>
          <t>MAGICARPE</t>
        </is>
      </c>
      <c r="F2323" s="51" t="n">
        <v>0.45</v>
      </c>
      <c r="G2323" s="52" t="n">
        <v>40</v>
      </c>
      <c r="H2323" s="52" t="n">
        <v>44</v>
      </c>
      <c r="I2323" s="29">
        <f>IF(OR(COUNTIF('Suivi des rencontres'!$A:$A,$A2323)&gt;0,COUNTIF('Suivi des rencontres'!$C:$C,$J2323)&gt;0),"Non","Oui")</f>
        <v/>
      </c>
      <c r="J2323" s="30" t="inlineStr">
        <is>
          <t>MAGICARPE</t>
        </is>
      </c>
    </row>
    <row r="2324">
      <c r="A2324" s="47" t="inlineStr">
        <is>
          <t>Route 4</t>
        </is>
      </c>
      <c r="B2324" s="47" t="inlineStr">
        <is>
          <t>Route4_hns</t>
        </is>
      </c>
      <c r="C2324" s="62" t="inlineStr">
        <is>
          <t>Nuit</t>
        </is>
      </c>
      <c r="D2324" s="56" t="inlineStr">
        <is>
          <t>Super Canne</t>
        </is>
      </c>
      <c r="E2324" s="50" t="inlineStr">
        <is>
          <t>POISSOROY</t>
        </is>
      </c>
      <c r="F2324" s="51" t="n">
        <v>0.4</v>
      </c>
      <c r="G2324" s="52" t="n">
        <v>40</v>
      </c>
      <c r="H2324" s="52" t="n">
        <v>40</v>
      </c>
      <c r="I2324" s="29">
        <f>IF(OR(COUNTIF('Suivi des rencontres'!$A:$A,$A2324)&gt;0,COUNTIF('Suivi des rencontres'!$C:$C,$J2324)&gt;0),"Non","Oui")</f>
        <v/>
      </c>
      <c r="J2324" s="30" t="inlineStr">
        <is>
          <t>POISSIRENE</t>
        </is>
      </c>
    </row>
    <row r="2325">
      <c r="A2325" s="47" t="inlineStr">
        <is>
          <t>Route 4</t>
        </is>
      </c>
      <c r="B2325" s="47" t="inlineStr">
        <is>
          <t>Route4_hns</t>
        </is>
      </c>
      <c r="C2325" s="62" t="inlineStr">
        <is>
          <t>Nuit</t>
        </is>
      </c>
      <c r="D2325" s="56" t="inlineStr">
        <is>
          <t>Super Canne</t>
        </is>
      </c>
      <c r="E2325" s="50" t="inlineStr">
        <is>
          <t>POISSIRENE</t>
        </is>
      </c>
      <c r="F2325" s="51" t="n">
        <v>0.15</v>
      </c>
      <c r="G2325" s="52" t="n">
        <v>42</v>
      </c>
      <c r="H2325" s="52" t="n">
        <v>44</v>
      </c>
      <c r="I2325" s="29">
        <f>IF(OR(COUNTIF('Suivi des rencontres'!$A:$A,$A2325)&gt;0,COUNTIF('Suivi des rencontres'!$C:$C,$J2325)&gt;0),"Non","Oui")</f>
        <v/>
      </c>
      <c r="J2325" s="30" t="inlineStr">
        <is>
          <t>POISSIRENE</t>
        </is>
      </c>
    </row>
    <row r="2326">
      <c r="A2326" s="57" t="inlineStr">
        <is>
          <t>Route 42</t>
        </is>
      </c>
      <c r="B2326" s="57" t="inlineStr">
        <is>
          <t>Route42_hns</t>
        </is>
      </c>
      <c r="C2326" s="58" t="inlineStr">
        <is>
          <t>Matin, jour, soir</t>
        </is>
      </c>
      <c r="D2326" s="42" t="inlineStr">
        <is>
          <t>Herbe</t>
        </is>
      </c>
      <c r="E2326" s="59" t="inlineStr">
        <is>
          <t>RAPASDEPIC</t>
        </is>
      </c>
      <c r="F2326" s="60" t="n">
        <v>0.34</v>
      </c>
      <c r="G2326" s="61" t="n">
        <v>20</v>
      </c>
      <c r="H2326" s="61" t="n">
        <v>22</v>
      </c>
      <c r="I2326" s="46">
        <f>IF(OR(COUNTIF('Suivi des rencontres'!$A:$A,$A2326)&gt;0,COUNTIF('Suivi des rencontres'!$C:$C,$J2326)&gt;0),"Non","Oui")</f>
        <v/>
      </c>
      <c r="J2326" s="30" t="inlineStr">
        <is>
          <t>PIAFABEC</t>
        </is>
      </c>
    </row>
    <row r="2327">
      <c r="A2327" s="35" t="inlineStr">
        <is>
          <t>Route 42</t>
        </is>
      </c>
      <c r="B2327" s="35" t="inlineStr">
        <is>
          <t>Route42_hns</t>
        </is>
      </c>
      <c r="C2327" s="33" t="inlineStr">
        <is>
          <t>Matin, jour, soir</t>
        </is>
      </c>
      <c r="D2327" s="49" t="inlineStr">
        <is>
          <t>Herbe</t>
        </is>
      </c>
      <c r="E2327" s="37" t="inlineStr">
        <is>
          <t>ABO</t>
        </is>
      </c>
      <c r="F2327" s="38" t="n">
        <v>0.3</v>
      </c>
      <c r="G2327" s="39" t="n">
        <v>20</v>
      </c>
      <c r="H2327" s="39" t="n">
        <v>20</v>
      </c>
      <c r="I2327" s="29">
        <f>IF(OR(COUNTIF('Suivi des rencontres'!$A:$A,$A2327)&gt;0,COUNTIF('Suivi des rencontres'!$C:$C,$J2327)&gt;0),"Non","Oui")</f>
        <v/>
      </c>
      <c r="J2327" s="30" t="inlineStr">
        <is>
          <t>ABO</t>
        </is>
      </c>
    </row>
    <row r="2328">
      <c r="A2328" s="35" t="inlineStr">
        <is>
          <t>Route 42</t>
        </is>
      </c>
      <c r="B2328" s="35" t="inlineStr">
        <is>
          <t>Route42_hns</t>
        </is>
      </c>
      <c r="C2328" s="33" t="inlineStr">
        <is>
          <t>Matin, jour, soir</t>
        </is>
      </c>
      <c r="D2328" s="49" t="inlineStr">
        <is>
          <t>Herbe</t>
        </is>
      </c>
      <c r="E2328" s="37" t="inlineStr">
        <is>
          <t>RATTATAC</t>
        </is>
      </c>
      <c r="F2328" s="38" t="n">
        <v>0.15</v>
      </c>
      <c r="G2328" s="39" t="n">
        <v>21</v>
      </c>
      <c r="H2328" s="39" t="n">
        <v>22</v>
      </c>
      <c r="I2328" s="29">
        <f>IF(OR(COUNTIF('Suivi des rencontres'!$A:$A,$A2328)&gt;0,COUNTIF('Suivi des rencontres'!$C:$C,$J2328)&gt;0),"Non","Oui")</f>
        <v/>
      </c>
      <c r="J2328" s="30" t="inlineStr">
        <is>
          <t>RATTATA</t>
        </is>
      </c>
    </row>
    <row r="2329">
      <c r="A2329" s="35" t="inlineStr">
        <is>
          <t>Route 42</t>
        </is>
      </c>
      <c r="B2329" s="35" t="inlineStr">
        <is>
          <t>Route42_hns</t>
        </is>
      </c>
      <c r="C2329" s="33" t="inlineStr">
        <is>
          <t>Matin, jour, soir</t>
        </is>
      </c>
      <c r="D2329" s="49" t="inlineStr">
        <is>
          <t>Herbe</t>
        </is>
      </c>
      <c r="E2329" s="37" t="inlineStr">
        <is>
          <t>SCORPLANE</t>
        </is>
      </c>
      <c r="F2329" s="38" t="n">
        <v>0.15</v>
      </c>
      <c r="G2329" s="39" t="n">
        <v>21</v>
      </c>
      <c r="H2329" s="39" t="n">
        <v>21</v>
      </c>
      <c r="I2329" s="29">
        <f>IF(OR(COUNTIF('Suivi des rencontres'!$A:$A,$A2329)&gt;0,COUNTIF('Suivi des rencontres'!$C:$C,$J2329)&gt;0),"Non","Oui")</f>
        <v/>
      </c>
      <c r="J2329" s="30" t="inlineStr">
        <is>
          <t>SCORPLANE</t>
        </is>
      </c>
    </row>
    <row r="2330">
      <c r="A2330" s="35" t="inlineStr">
        <is>
          <t>Route 42</t>
        </is>
      </c>
      <c r="B2330" s="35" t="inlineStr">
        <is>
          <t>Route42_hns</t>
        </is>
      </c>
      <c r="C2330" s="33" t="inlineStr">
        <is>
          <t>Matin, jour, soir</t>
        </is>
      </c>
      <c r="D2330" s="49" t="inlineStr">
        <is>
          <t>Herbe</t>
        </is>
      </c>
      <c r="E2330" s="37" t="inlineStr">
        <is>
          <t>ARBOK</t>
        </is>
      </c>
      <c r="F2330" s="38" t="n">
        <v>0.06</v>
      </c>
      <c r="G2330" s="39" t="n">
        <v>22</v>
      </c>
      <c r="H2330" s="39" t="n">
        <v>22</v>
      </c>
      <c r="I2330" s="29">
        <f>IF(OR(COUNTIF('Suivi des rencontres'!$A:$A,$A2330)&gt;0,COUNTIF('Suivi des rencontres'!$C:$C,$J2330)&gt;0),"Non","Oui")</f>
        <v/>
      </c>
      <c r="J2330" s="30" t="inlineStr">
        <is>
          <t>ABO</t>
        </is>
      </c>
    </row>
    <row r="2331">
      <c r="A2331" s="35" t="inlineStr">
        <is>
          <t>Route 42</t>
        </is>
      </c>
      <c r="B2331" s="35" t="inlineStr">
        <is>
          <t>Route42_hns</t>
        </is>
      </c>
      <c r="C2331" s="62" t="inlineStr">
        <is>
          <t>Nuit</t>
        </is>
      </c>
      <c r="D2331" s="49" t="inlineStr">
        <is>
          <t>Herbe</t>
        </is>
      </c>
      <c r="E2331" s="37" t="inlineStr">
        <is>
          <t>NOSFERAPTI</t>
        </is>
      </c>
      <c r="F2331" s="38" t="n">
        <v>0.34</v>
      </c>
      <c r="G2331" s="39" t="n">
        <v>20</v>
      </c>
      <c r="H2331" s="39" t="n">
        <v>20</v>
      </c>
      <c r="I2331" s="29">
        <f>IF(OR(COUNTIF('Suivi des rencontres'!$A:$A,$A2331)&gt;0,COUNTIF('Suivi des rencontres'!$C:$C,$J2331)&gt;0),"Non","Oui")</f>
        <v/>
      </c>
      <c r="J2331" s="30" t="inlineStr">
        <is>
          <t>NOSFERAPTI</t>
        </is>
      </c>
    </row>
    <row r="2332">
      <c r="A2332" s="35" t="inlineStr">
        <is>
          <t>Route 42</t>
        </is>
      </c>
      <c r="B2332" s="35" t="inlineStr">
        <is>
          <t>Route42_hns</t>
        </is>
      </c>
      <c r="C2332" s="62" t="inlineStr">
        <is>
          <t>Nuit</t>
        </is>
      </c>
      <c r="D2332" s="49" t="inlineStr">
        <is>
          <t>Herbe</t>
        </is>
      </c>
      <c r="E2332" s="37" t="inlineStr">
        <is>
          <t>RATTATAC</t>
        </is>
      </c>
      <c r="F2332" s="38" t="n">
        <v>0.25</v>
      </c>
      <c r="G2332" s="39" t="n">
        <v>22</v>
      </c>
      <c r="H2332" s="39" t="n">
        <v>22</v>
      </c>
      <c r="I2332" s="29">
        <f>IF(OR(COUNTIF('Suivi des rencontres'!$A:$A,$A2332)&gt;0,COUNTIF('Suivi des rencontres'!$C:$C,$J2332)&gt;0),"Non","Oui")</f>
        <v/>
      </c>
      <c r="J2332" s="30" t="inlineStr">
        <is>
          <t>RATTATA</t>
        </is>
      </c>
    </row>
    <row r="2333">
      <c r="A2333" s="35" t="inlineStr">
        <is>
          <t>Route 42</t>
        </is>
      </c>
      <c r="B2333" s="35" t="inlineStr">
        <is>
          <t>Route42_hns</t>
        </is>
      </c>
      <c r="C2333" s="62" t="inlineStr">
        <is>
          <t>Nuit</t>
        </is>
      </c>
      <c r="D2333" s="49" t="inlineStr">
        <is>
          <t>Herbe</t>
        </is>
      </c>
      <c r="E2333" s="37" t="inlineStr">
        <is>
          <t>SCORPLANE</t>
        </is>
      </c>
      <c r="F2333" s="38" t="n">
        <v>0.2</v>
      </c>
      <c r="G2333" s="39" t="n">
        <v>21</v>
      </c>
      <c r="H2333" s="39" t="n">
        <v>21</v>
      </c>
      <c r="I2333" s="29">
        <f>IF(OR(COUNTIF('Suivi des rencontres'!$A:$A,$A2333)&gt;0,COUNTIF('Suivi des rencontres'!$C:$C,$J2333)&gt;0),"Non","Oui")</f>
        <v/>
      </c>
      <c r="J2333" s="30" t="inlineStr">
        <is>
          <t>SCORPLANE</t>
        </is>
      </c>
    </row>
    <row r="2334">
      <c r="A2334" s="35" t="inlineStr">
        <is>
          <t>Route 42</t>
        </is>
      </c>
      <c r="B2334" s="35" t="inlineStr">
        <is>
          <t>Route42_hns</t>
        </is>
      </c>
      <c r="C2334" s="62" t="inlineStr">
        <is>
          <t>Nuit</t>
        </is>
      </c>
      <c r="D2334" s="49" t="inlineStr">
        <is>
          <t>Herbe</t>
        </is>
      </c>
      <c r="E2334" s="37" t="inlineStr">
        <is>
          <t>NOSFERALTO</t>
        </is>
      </c>
      <c r="F2334" s="38" t="n">
        <v>0.19</v>
      </c>
      <c r="G2334" s="39" t="n">
        <v>22</v>
      </c>
      <c r="H2334" s="39" t="n">
        <v>22</v>
      </c>
      <c r="I2334" s="29">
        <f>IF(OR(COUNTIF('Suivi des rencontres'!$A:$A,$A2334)&gt;0,COUNTIF('Suivi des rencontres'!$C:$C,$J2334)&gt;0),"Non","Oui")</f>
        <v/>
      </c>
      <c r="J2334" s="30" t="inlineStr">
        <is>
          <t>NOSFERAPTI</t>
        </is>
      </c>
    </row>
    <row r="2335">
      <c r="A2335" s="35" t="inlineStr">
        <is>
          <t>Route 42</t>
        </is>
      </c>
      <c r="B2335" s="35" t="inlineStr">
        <is>
          <t>Route42_hns</t>
        </is>
      </c>
      <c r="C2335" s="62" t="inlineStr">
        <is>
          <t>Nuit</t>
        </is>
      </c>
      <c r="D2335" s="49" t="inlineStr">
        <is>
          <t>Herbe</t>
        </is>
      </c>
      <c r="E2335" s="37" t="inlineStr">
        <is>
          <t>MARILL</t>
        </is>
      </c>
      <c r="F2335" s="38" t="n">
        <v>0.02</v>
      </c>
      <c r="G2335" s="39" t="n">
        <v>20</v>
      </c>
      <c r="H2335" s="39" t="n">
        <v>20</v>
      </c>
      <c r="I2335" s="29">
        <f>IF(OR(COUNTIF('Suivi des rencontres'!$A:$A,$A2335)&gt;0,COUNTIF('Suivi des rencontres'!$C:$C,$J2335)&gt;0),"Non","Oui")</f>
        <v/>
      </c>
      <c r="J2335" s="30" t="inlineStr">
        <is>
          <t>AZURILL</t>
        </is>
      </c>
    </row>
    <row r="2336">
      <c r="A2336" s="35" t="inlineStr">
        <is>
          <t>Route 42</t>
        </is>
      </c>
      <c r="B2336" s="35" t="inlineStr">
        <is>
          <t>Route42_hns</t>
        </is>
      </c>
      <c r="C2336" s="33" t="inlineStr">
        <is>
          <t>Matin, jour, soir</t>
        </is>
      </c>
      <c r="D2336" s="53" t="inlineStr">
        <is>
          <t>Surf</t>
        </is>
      </c>
      <c r="E2336" s="37" t="inlineStr">
        <is>
          <t>REMORAID</t>
        </is>
      </c>
      <c r="F2336" s="38" t="n">
        <v>0.64</v>
      </c>
      <c r="G2336" s="39" t="n">
        <v>21</v>
      </c>
      <c r="H2336" s="39" t="n">
        <v>25</v>
      </c>
      <c r="I2336" s="29">
        <f>IF(OR(COUNTIF('Suivi des rencontres'!$A:$A,$A2336)&gt;0,COUNTIF('Suivi des rencontres'!$C:$C,$J2336)&gt;0),"Non","Oui")</f>
        <v/>
      </c>
      <c r="J2336" s="30" t="inlineStr">
        <is>
          <t>REMORAID</t>
        </is>
      </c>
    </row>
    <row r="2337">
      <c r="A2337" s="35" t="inlineStr">
        <is>
          <t>Route 42</t>
        </is>
      </c>
      <c r="B2337" s="35" t="inlineStr">
        <is>
          <t>Route42_hns</t>
        </is>
      </c>
      <c r="C2337" s="33" t="inlineStr">
        <is>
          <t>Matin, jour, soir</t>
        </is>
      </c>
      <c r="D2337" s="53" t="inlineStr">
        <is>
          <t>Surf</t>
        </is>
      </c>
      <c r="E2337" s="37" t="inlineStr">
        <is>
          <t>POISSIRENE</t>
        </is>
      </c>
      <c r="F2337" s="38" t="n">
        <v>0.31</v>
      </c>
      <c r="G2337" s="39" t="n">
        <v>20</v>
      </c>
      <c r="H2337" s="39" t="n">
        <v>24</v>
      </c>
      <c r="I2337" s="29">
        <f>IF(OR(COUNTIF('Suivi des rencontres'!$A:$A,$A2337)&gt;0,COUNTIF('Suivi des rencontres'!$C:$C,$J2337)&gt;0),"Non","Oui")</f>
        <v/>
      </c>
      <c r="J2337" s="30" t="inlineStr">
        <is>
          <t>POISSIRENE</t>
        </is>
      </c>
    </row>
    <row r="2338">
      <c r="A2338" s="35" t="inlineStr">
        <is>
          <t>Route 42</t>
        </is>
      </c>
      <c r="B2338" s="35" t="inlineStr">
        <is>
          <t>Route42_hns</t>
        </is>
      </c>
      <c r="C2338" s="33" t="inlineStr">
        <is>
          <t>Matin, jour, soir</t>
        </is>
      </c>
      <c r="D2338" s="53" t="inlineStr">
        <is>
          <t>Surf</t>
        </is>
      </c>
      <c r="E2338" s="37" t="inlineStr">
        <is>
          <t>POISSOROY</t>
        </is>
      </c>
      <c r="F2338" s="38" t="n">
        <v>0.05</v>
      </c>
      <c r="G2338" s="39" t="n">
        <v>25</v>
      </c>
      <c r="H2338" s="39" t="n">
        <v>29</v>
      </c>
      <c r="I2338" s="29">
        <f>IF(OR(COUNTIF('Suivi des rencontres'!$A:$A,$A2338)&gt;0,COUNTIF('Suivi des rencontres'!$C:$C,$J2338)&gt;0),"Non","Oui")</f>
        <v/>
      </c>
      <c r="J2338" s="30" t="inlineStr">
        <is>
          <t>POISSIRENE</t>
        </is>
      </c>
    </row>
    <row r="2339">
      <c r="A2339" s="35" t="inlineStr">
        <is>
          <t>Route 42</t>
        </is>
      </c>
      <c r="B2339" s="35" t="inlineStr">
        <is>
          <t>Route42_hns</t>
        </is>
      </c>
      <c r="C2339" s="62" t="inlineStr">
        <is>
          <t>Nuit</t>
        </is>
      </c>
      <c r="D2339" s="53" t="inlineStr">
        <is>
          <t>Surf</t>
        </is>
      </c>
      <c r="E2339" s="37" t="inlineStr">
        <is>
          <t>REMORAID</t>
        </is>
      </c>
      <c r="F2339" s="38" t="n">
        <v>0.64</v>
      </c>
      <c r="G2339" s="39" t="n">
        <v>21</v>
      </c>
      <c r="H2339" s="39" t="n">
        <v>25</v>
      </c>
      <c r="I2339" s="29">
        <f>IF(OR(COUNTIF('Suivi des rencontres'!$A:$A,$A2339)&gt;0,COUNTIF('Suivi des rencontres'!$C:$C,$J2339)&gt;0),"Non","Oui")</f>
        <v/>
      </c>
      <c r="J2339" s="30" t="inlineStr">
        <is>
          <t>REMORAID</t>
        </is>
      </c>
    </row>
    <row r="2340">
      <c r="A2340" s="35" t="inlineStr">
        <is>
          <t>Route 42</t>
        </is>
      </c>
      <c r="B2340" s="35" t="inlineStr">
        <is>
          <t>Route42_hns</t>
        </is>
      </c>
      <c r="C2340" s="62" t="inlineStr">
        <is>
          <t>Nuit</t>
        </is>
      </c>
      <c r="D2340" s="53" t="inlineStr">
        <is>
          <t>Surf</t>
        </is>
      </c>
      <c r="E2340" s="37" t="inlineStr">
        <is>
          <t>POISSIRENE</t>
        </is>
      </c>
      <c r="F2340" s="38" t="n">
        <v>0.31</v>
      </c>
      <c r="G2340" s="39" t="n">
        <v>20</v>
      </c>
      <c r="H2340" s="39" t="n">
        <v>24</v>
      </c>
      <c r="I2340" s="29">
        <f>IF(OR(COUNTIF('Suivi des rencontres'!$A:$A,$A2340)&gt;0,COUNTIF('Suivi des rencontres'!$C:$C,$J2340)&gt;0),"Non","Oui")</f>
        <v/>
      </c>
      <c r="J2340" s="30" t="inlineStr">
        <is>
          <t>POISSIRENE</t>
        </is>
      </c>
    </row>
    <row r="2341">
      <c r="A2341" s="35" t="inlineStr">
        <is>
          <t>Route 42</t>
        </is>
      </c>
      <c r="B2341" s="35" t="inlineStr">
        <is>
          <t>Route42_hns</t>
        </is>
      </c>
      <c r="C2341" s="62" t="inlineStr">
        <is>
          <t>Nuit</t>
        </is>
      </c>
      <c r="D2341" s="53" t="inlineStr">
        <is>
          <t>Surf</t>
        </is>
      </c>
      <c r="E2341" s="37" t="inlineStr">
        <is>
          <t>POISSOROY</t>
        </is>
      </c>
      <c r="F2341" s="38" t="n">
        <v>0.05</v>
      </c>
      <c r="G2341" s="39" t="n">
        <v>25</v>
      </c>
      <c r="H2341" s="39" t="n">
        <v>29</v>
      </c>
      <c r="I2341" s="29">
        <f>IF(OR(COUNTIF('Suivi des rencontres'!$A:$A,$A2341)&gt;0,COUNTIF('Suivi des rencontres'!$C:$C,$J2341)&gt;0),"Non","Oui")</f>
        <v/>
      </c>
      <c r="J2341" s="30" t="inlineStr">
        <is>
          <t>POISSIRENE</t>
        </is>
      </c>
    </row>
    <row r="2342">
      <c r="A2342" s="35" t="inlineStr">
        <is>
          <t>Route 42</t>
        </is>
      </c>
      <c r="B2342" s="35" t="inlineStr">
        <is>
          <t>Route42_hns</t>
        </is>
      </c>
      <c r="C2342" s="33" t="inlineStr">
        <is>
          <t>Matin, jour, soir</t>
        </is>
      </c>
      <c r="D2342" s="36" t="inlineStr">
        <is>
          <t>Éclate-Roc</t>
        </is>
      </c>
      <c r="E2342" s="37" t="inlineStr">
        <is>
          <t>POMDEPIK</t>
        </is>
      </c>
      <c r="F2342" s="38" t="n">
        <v>0.6</v>
      </c>
      <c r="G2342" s="39" t="n">
        <v>15</v>
      </c>
      <c r="H2342" s="39" t="n">
        <v>15</v>
      </c>
      <c r="I2342" s="29">
        <f>IF(OR(COUNTIF('Suivi des rencontres'!$A:$A,$A2342)&gt;0,COUNTIF('Suivi des rencontres'!$C:$C,$J2342)&gt;0),"Non","Oui")</f>
        <v/>
      </c>
      <c r="J2342" s="30" t="inlineStr">
        <is>
          <t>POMDEPIK</t>
        </is>
      </c>
    </row>
    <row r="2343">
      <c r="A2343" s="35" t="inlineStr">
        <is>
          <t>Route 42</t>
        </is>
      </c>
      <c r="B2343" s="35" t="inlineStr">
        <is>
          <t>Route42_hns</t>
        </is>
      </c>
      <c r="C2343" s="33" t="inlineStr">
        <is>
          <t>Matin, jour, soir</t>
        </is>
      </c>
      <c r="D2343" s="36" t="inlineStr">
        <is>
          <t>Éclate-Roc</t>
        </is>
      </c>
      <c r="E2343" s="37" t="inlineStr">
        <is>
          <t>CAPUMAIN</t>
        </is>
      </c>
      <c r="F2343" s="38" t="n">
        <v>0.35</v>
      </c>
      <c r="G2343" s="39" t="n">
        <v>15</v>
      </c>
      <c r="H2343" s="39" t="n">
        <v>15</v>
      </c>
      <c r="I2343" s="29">
        <f>IF(OR(COUNTIF('Suivi des rencontres'!$A:$A,$A2343)&gt;0,COUNTIF('Suivi des rencontres'!$C:$C,$J2343)&gt;0),"Non","Oui")</f>
        <v/>
      </c>
      <c r="J2343" s="30" t="inlineStr">
        <is>
          <t>CAPUMAIN</t>
        </is>
      </c>
    </row>
    <row r="2344">
      <c r="A2344" s="35" t="inlineStr">
        <is>
          <t>Route 42</t>
        </is>
      </c>
      <c r="B2344" s="35" t="inlineStr">
        <is>
          <t>Route42_hns</t>
        </is>
      </c>
      <c r="C2344" s="33" t="inlineStr">
        <is>
          <t>Matin, jour, soir</t>
        </is>
      </c>
      <c r="D2344" s="36" t="inlineStr">
        <is>
          <t>Éclate-Roc</t>
        </is>
      </c>
      <c r="E2344" s="37" t="inlineStr">
        <is>
          <t>SCARHINO</t>
        </is>
      </c>
      <c r="F2344" s="38" t="n">
        <v>0.05</v>
      </c>
      <c r="G2344" s="39" t="n">
        <v>15</v>
      </c>
      <c r="H2344" s="39" t="n">
        <v>15</v>
      </c>
      <c r="I2344" s="29">
        <f>IF(OR(COUNTIF('Suivi des rencontres'!$A:$A,$A2344)&gt;0,COUNTIF('Suivi des rencontres'!$C:$C,$J2344)&gt;0),"Non","Oui")</f>
        <v/>
      </c>
      <c r="J2344" s="30" t="inlineStr">
        <is>
          <t>SCARHINO</t>
        </is>
      </c>
    </row>
    <row r="2345">
      <c r="A2345" s="35" t="inlineStr">
        <is>
          <t>Route 42</t>
        </is>
      </c>
      <c r="B2345" s="35" t="inlineStr">
        <is>
          <t>Route42_hns</t>
        </is>
      </c>
      <c r="C2345" s="62" t="inlineStr">
        <is>
          <t>Nuit</t>
        </is>
      </c>
      <c r="D2345" s="36" t="inlineStr">
        <is>
          <t>Éclate-Roc</t>
        </is>
      </c>
      <c r="E2345" s="37" t="inlineStr">
        <is>
          <t>POMDEPIK</t>
        </is>
      </c>
      <c r="F2345" s="38" t="n">
        <v>0.6</v>
      </c>
      <c r="G2345" s="39" t="n">
        <v>15</v>
      </c>
      <c r="H2345" s="39" t="n">
        <v>15</v>
      </c>
      <c r="I2345" s="29">
        <f>IF(OR(COUNTIF('Suivi des rencontres'!$A:$A,$A2345)&gt;0,COUNTIF('Suivi des rencontres'!$C:$C,$J2345)&gt;0),"Non","Oui")</f>
        <v/>
      </c>
      <c r="J2345" s="30" t="inlineStr">
        <is>
          <t>POMDEPIK</t>
        </is>
      </c>
    </row>
    <row r="2346">
      <c r="A2346" s="35" t="inlineStr">
        <is>
          <t>Route 42</t>
        </is>
      </c>
      <c r="B2346" s="35" t="inlineStr">
        <is>
          <t>Route42_hns</t>
        </is>
      </c>
      <c r="C2346" s="62" t="inlineStr">
        <is>
          <t>Nuit</t>
        </is>
      </c>
      <c r="D2346" s="36" t="inlineStr">
        <is>
          <t>Éclate-Roc</t>
        </is>
      </c>
      <c r="E2346" s="37" t="inlineStr">
        <is>
          <t>CAPUMAIN</t>
        </is>
      </c>
      <c r="F2346" s="38" t="n">
        <v>0.35</v>
      </c>
      <c r="G2346" s="39" t="n">
        <v>15</v>
      </c>
      <c r="H2346" s="39" t="n">
        <v>15</v>
      </c>
      <c r="I2346" s="29">
        <f>IF(OR(COUNTIF('Suivi des rencontres'!$A:$A,$A2346)&gt;0,COUNTIF('Suivi des rencontres'!$C:$C,$J2346)&gt;0),"Non","Oui")</f>
        <v/>
      </c>
      <c r="J2346" s="30" t="inlineStr">
        <is>
          <t>CAPUMAIN</t>
        </is>
      </c>
    </row>
    <row r="2347">
      <c r="A2347" s="35" t="inlineStr">
        <is>
          <t>Route 42</t>
        </is>
      </c>
      <c r="B2347" s="35" t="inlineStr">
        <is>
          <t>Route42_hns</t>
        </is>
      </c>
      <c r="C2347" s="62" t="inlineStr">
        <is>
          <t>Nuit</t>
        </is>
      </c>
      <c r="D2347" s="36" t="inlineStr">
        <is>
          <t>Éclate-Roc</t>
        </is>
      </c>
      <c r="E2347" s="37" t="inlineStr">
        <is>
          <t>SCARHINO</t>
        </is>
      </c>
      <c r="F2347" s="38" t="n">
        <v>0.05</v>
      </c>
      <c r="G2347" s="39" t="n">
        <v>15</v>
      </c>
      <c r="H2347" s="39" t="n">
        <v>15</v>
      </c>
      <c r="I2347" s="29">
        <f>IF(OR(COUNTIF('Suivi des rencontres'!$A:$A,$A2347)&gt;0,COUNTIF('Suivi des rencontres'!$C:$C,$J2347)&gt;0),"Non","Oui")</f>
        <v/>
      </c>
      <c r="J2347" s="30" t="inlineStr">
        <is>
          <t>SCARHINO</t>
        </is>
      </c>
    </row>
    <row r="2348">
      <c r="A2348" s="35" t="inlineStr">
        <is>
          <t>Route 42</t>
        </is>
      </c>
      <c r="B2348" s="35" t="inlineStr">
        <is>
          <t>Route42_hns</t>
        </is>
      </c>
      <c r="C2348" s="33" t="inlineStr">
        <is>
          <t>Matin, jour, soir</t>
        </is>
      </c>
      <c r="D2348" s="54" t="inlineStr">
        <is>
          <t>Vieille Canne</t>
        </is>
      </c>
      <c r="E2348" s="37" t="inlineStr">
        <is>
          <t>MAGICARPE</t>
        </is>
      </c>
      <c r="F2348" s="38" t="n">
        <v>0.7</v>
      </c>
      <c r="G2348" s="39" t="n">
        <v>10</v>
      </c>
      <c r="H2348" s="39" t="n">
        <v>10</v>
      </c>
      <c r="I2348" s="29">
        <f>IF(OR(COUNTIF('Suivi des rencontres'!$A:$A,$A2348)&gt;0,COUNTIF('Suivi des rencontres'!$C:$C,$J2348)&gt;0),"Non","Oui")</f>
        <v/>
      </c>
      <c r="J2348" s="30" t="inlineStr">
        <is>
          <t>MAGICARPE</t>
        </is>
      </c>
    </row>
    <row r="2349">
      <c r="A2349" s="35" t="inlineStr">
        <is>
          <t>Route 42</t>
        </is>
      </c>
      <c r="B2349" s="35" t="inlineStr">
        <is>
          <t>Route42_hns</t>
        </is>
      </c>
      <c r="C2349" s="33" t="inlineStr">
        <is>
          <t>Matin, jour, soir</t>
        </is>
      </c>
      <c r="D2349" s="54" t="inlineStr">
        <is>
          <t>Vieille Canne</t>
        </is>
      </c>
      <c r="E2349" s="37" t="inlineStr">
        <is>
          <t>POISSIRENE</t>
        </is>
      </c>
      <c r="F2349" s="38" t="n">
        <v>0.3</v>
      </c>
      <c r="G2349" s="39" t="n">
        <v>10</v>
      </c>
      <c r="H2349" s="39" t="n">
        <v>10</v>
      </c>
      <c r="I2349" s="29">
        <f>IF(OR(COUNTIF('Suivi des rencontres'!$A:$A,$A2349)&gt;0,COUNTIF('Suivi des rencontres'!$C:$C,$J2349)&gt;0),"Non","Oui")</f>
        <v/>
      </c>
      <c r="J2349" s="30" t="inlineStr">
        <is>
          <t>POISSIRENE</t>
        </is>
      </c>
    </row>
    <row r="2350">
      <c r="A2350" s="35" t="inlineStr">
        <is>
          <t>Route 42</t>
        </is>
      </c>
      <c r="B2350" s="35" t="inlineStr">
        <is>
          <t>Route42_hns</t>
        </is>
      </c>
      <c r="C2350" s="62" t="inlineStr">
        <is>
          <t>Nuit</t>
        </is>
      </c>
      <c r="D2350" s="54" t="inlineStr">
        <is>
          <t>Vieille Canne</t>
        </is>
      </c>
      <c r="E2350" s="37" t="inlineStr">
        <is>
          <t>MAGICARPE</t>
        </is>
      </c>
      <c r="F2350" s="38" t="n">
        <v>0.7</v>
      </c>
      <c r="G2350" s="39" t="n">
        <v>10</v>
      </c>
      <c r="H2350" s="39" t="n">
        <v>10</v>
      </c>
      <c r="I2350" s="29">
        <f>IF(OR(COUNTIF('Suivi des rencontres'!$A:$A,$A2350)&gt;0,COUNTIF('Suivi des rencontres'!$C:$C,$J2350)&gt;0),"Non","Oui")</f>
        <v/>
      </c>
      <c r="J2350" s="30" t="inlineStr">
        <is>
          <t>MAGICARPE</t>
        </is>
      </c>
    </row>
    <row r="2351">
      <c r="A2351" s="35" t="inlineStr">
        <is>
          <t>Route 42</t>
        </is>
      </c>
      <c r="B2351" s="35" t="inlineStr">
        <is>
          <t>Route42_hns</t>
        </is>
      </c>
      <c r="C2351" s="62" t="inlineStr">
        <is>
          <t>Nuit</t>
        </is>
      </c>
      <c r="D2351" s="54" t="inlineStr">
        <is>
          <t>Vieille Canne</t>
        </is>
      </c>
      <c r="E2351" s="37" t="inlineStr">
        <is>
          <t>POISSIRENE</t>
        </is>
      </c>
      <c r="F2351" s="38" t="n">
        <v>0.3</v>
      </c>
      <c r="G2351" s="39" t="n">
        <v>10</v>
      </c>
      <c r="H2351" s="39" t="n">
        <v>10</v>
      </c>
      <c r="I2351" s="29">
        <f>IF(OR(COUNTIF('Suivi des rencontres'!$A:$A,$A2351)&gt;0,COUNTIF('Suivi des rencontres'!$C:$C,$J2351)&gt;0),"Non","Oui")</f>
        <v/>
      </c>
      <c r="J2351" s="30" t="inlineStr">
        <is>
          <t>POISSIRENE</t>
        </is>
      </c>
    </row>
    <row r="2352">
      <c r="A2352" s="35" t="inlineStr">
        <is>
          <t>Route 42</t>
        </is>
      </c>
      <c r="B2352" s="35" t="inlineStr">
        <is>
          <t>Route42_hns</t>
        </is>
      </c>
      <c r="C2352" s="33" t="inlineStr">
        <is>
          <t>Matin, jour, soir</t>
        </is>
      </c>
      <c r="D2352" s="55" t="inlineStr">
        <is>
          <t>Bonne Canne</t>
        </is>
      </c>
      <c r="E2352" s="37" t="inlineStr">
        <is>
          <t>POISSIRENE</t>
        </is>
      </c>
      <c r="F2352" s="38" t="n">
        <v>0.8</v>
      </c>
      <c r="G2352" s="39" t="n">
        <v>20</v>
      </c>
      <c r="H2352" s="39" t="n">
        <v>40</v>
      </c>
      <c r="I2352" s="29">
        <f>IF(OR(COUNTIF('Suivi des rencontres'!$A:$A,$A2352)&gt;0,COUNTIF('Suivi des rencontres'!$C:$C,$J2352)&gt;0),"Non","Oui")</f>
        <v/>
      </c>
      <c r="J2352" s="30" t="inlineStr">
        <is>
          <t>POISSIRENE</t>
        </is>
      </c>
    </row>
    <row r="2353">
      <c r="A2353" s="35" t="inlineStr">
        <is>
          <t>Route 42</t>
        </is>
      </c>
      <c r="B2353" s="35" t="inlineStr">
        <is>
          <t>Route42_hns</t>
        </is>
      </c>
      <c r="C2353" s="33" t="inlineStr">
        <is>
          <t>Matin, jour, soir</t>
        </is>
      </c>
      <c r="D2353" s="55" t="inlineStr">
        <is>
          <t>Bonne Canne</t>
        </is>
      </c>
      <c r="E2353" s="37" t="inlineStr">
        <is>
          <t>MAGICARPE</t>
        </is>
      </c>
      <c r="F2353" s="38" t="n">
        <v>0.2</v>
      </c>
      <c r="G2353" s="39" t="n">
        <v>20</v>
      </c>
      <c r="H2353" s="39" t="n">
        <v>20</v>
      </c>
      <c r="I2353" s="29">
        <f>IF(OR(COUNTIF('Suivi des rencontres'!$A:$A,$A2353)&gt;0,COUNTIF('Suivi des rencontres'!$C:$C,$J2353)&gt;0),"Non","Oui")</f>
        <v/>
      </c>
      <c r="J2353" s="30" t="inlineStr">
        <is>
          <t>MAGICARPE</t>
        </is>
      </c>
    </row>
    <row r="2354">
      <c r="A2354" s="35" t="inlineStr">
        <is>
          <t>Route 42</t>
        </is>
      </c>
      <c r="B2354" s="35" t="inlineStr">
        <is>
          <t>Route42_hns</t>
        </is>
      </c>
      <c r="C2354" s="62" t="inlineStr">
        <is>
          <t>Nuit</t>
        </is>
      </c>
      <c r="D2354" s="55" t="inlineStr">
        <is>
          <t>Bonne Canne</t>
        </is>
      </c>
      <c r="E2354" s="37" t="inlineStr">
        <is>
          <t>POISSIRENE</t>
        </is>
      </c>
      <c r="F2354" s="38" t="n">
        <v>0.8</v>
      </c>
      <c r="G2354" s="39" t="n">
        <v>20</v>
      </c>
      <c r="H2354" s="39" t="n">
        <v>40</v>
      </c>
      <c r="I2354" s="29">
        <f>IF(OR(COUNTIF('Suivi des rencontres'!$A:$A,$A2354)&gt;0,COUNTIF('Suivi des rencontres'!$C:$C,$J2354)&gt;0),"Non","Oui")</f>
        <v/>
      </c>
      <c r="J2354" s="30" t="inlineStr">
        <is>
          <t>POISSIRENE</t>
        </is>
      </c>
    </row>
    <row r="2355">
      <c r="A2355" s="35" t="inlineStr">
        <is>
          <t>Route 42</t>
        </is>
      </c>
      <c r="B2355" s="35" t="inlineStr">
        <is>
          <t>Route42_hns</t>
        </is>
      </c>
      <c r="C2355" s="62" t="inlineStr">
        <is>
          <t>Nuit</t>
        </is>
      </c>
      <c r="D2355" s="55" t="inlineStr">
        <is>
          <t>Bonne Canne</t>
        </is>
      </c>
      <c r="E2355" s="37" t="inlineStr">
        <is>
          <t>MAGICARPE</t>
        </is>
      </c>
      <c r="F2355" s="38" t="n">
        <v>0.2</v>
      </c>
      <c r="G2355" s="39" t="n">
        <v>20</v>
      </c>
      <c r="H2355" s="39" t="n">
        <v>20</v>
      </c>
      <c r="I2355" s="29">
        <f>IF(OR(COUNTIF('Suivi des rencontres'!$A:$A,$A2355)&gt;0,COUNTIF('Suivi des rencontres'!$C:$C,$J2355)&gt;0),"Non","Oui")</f>
        <v/>
      </c>
      <c r="J2355" s="30" t="inlineStr">
        <is>
          <t>MAGICARPE</t>
        </is>
      </c>
    </row>
    <row r="2356">
      <c r="A2356" s="35" t="inlineStr">
        <is>
          <t>Route 42</t>
        </is>
      </c>
      <c r="B2356" s="35" t="inlineStr">
        <is>
          <t>Route42_hns</t>
        </is>
      </c>
      <c r="C2356" s="33" t="inlineStr">
        <is>
          <t>Matin, jour, soir</t>
        </is>
      </c>
      <c r="D2356" s="56" t="inlineStr">
        <is>
          <t>Super Canne</t>
        </is>
      </c>
      <c r="E2356" s="37" t="inlineStr">
        <is>
          <t>POISSOROY</t>
        </is>
      </c>
      <c r="F2356" s="38" t="n">
        <v>0.55</v>
      </c>
      <c r="G2356" s="39" t="n">
        <v>40</v>
      </c>
      <c r="H2356" s="39" t="n">
        <v>40</v>
      </c>
      <c r="I2356" s="29">
        <f>IF(OR(COUNTIF('Suivi des rencontres'!$A:$A,$A2356)&gt;0,COUNTIF('Suivi des rencontres'!$C:$C,$J2356)&gt;0),"Non","Oui")</f>
        <v/>
      </c>
      <c r="J2356" s="30" t="inlineStr">
        <is>
          <t>POISSIRENE</t>
        </is>
      </c>
    </row>
    <row r="2357">
      <c r="A2357" s="35" t="inlineStr">
        <is>
          <t>Route 42</t>
        </is>
      </c>
      <c r="B2357" s="35" t="inlineStr">
        <is>
          <t>Route42_hns</t>
        </is>
      </c>
      <c r="C2357" s="33" t="inlineStr">
        <is>
          <t>Matin, jour, soir</t>
        </is>
      </c>
      <c r="D2357" s="56" t="inlineStr">
        <is>
          <t>Super Canne</t>
        </is>
      </c>
      <c r="E2357" s="37" t="inlineStr">
        <is>
          <t>MAGICARPE</t>
        </is>
      </c>
      <c r="F2357" s="38" t="n">
        <v>0.41</v>
      </c>
      <c r="G2357" s="39" t="n">
        <v>20</v>
      </c>
      <c r="H2357" s="39" t="n">
        <v>40</v>
      </c>
      <c r="I2357" s="29">
        <f>IF(OR(COUNTIF('Suivi des rencontres'!$A:$A,$A2357)&gt;0,COUNTIF('Suivi des rencontres'!$C:$C,$J2357)&gt;0),"Non","Oui")</f>
        <v/>
      </c>
      <c r="J2357" s="30" t="inlineStr">
        <is>
          <t>MAGICARPE</t>
        </is>
      </c>
    </row>
    <row r="2358">
      <c r="A2358" s="35" t="inlineStr">
        <is>
          <t>Route 42</t>
        </is>
      </c>
      <c r="B2358" s="35" t="inlineStr">
        <is>
          <t>Route42_hns</t>
        </is>
      </c>
      <c r="C2358" s="33" t="inlineStr">
        <is>
          <t>Matin, jour, soir</t>
        </is>
      </c>
      <c r="D2358" s="56" t="inlineStr">
        <is>
          <t>Super Canne</t>
        </is>
      </c>
      <c r="E2358" s="37" t="inlineStr">
        <is>
          <t>POISSIRENE</t>
        </is>
      </c>
      <c r="F2358" s="38" t="n">
        <v>0.04</v>
      </c>
      <c r="G2358" s="39" t="n">
        <v>20</v>
      </c>
      <c r="H2358" s="39" t="n">
        <v>20</v>
      </c>
      <c r="I2358" s="29">
        <f>IF(OR(COUNTIF('Suivi des rencontres'!$A:$A,$A2358)&gt;0,COUNTIF('Suivi des rencontres'!$C:$C,$J2358)&gt;0),"Non","Oui")</f>
        <v/>
      </c>
      <c r="J2358" s="30" t="inlineStr">
        <is>
          <t>POISSIRENE</t>
        </is>
      </c>
    </row>
    <row r="2359">
      <c r="A2359" s="35" t="inlineStr">
        <is>
          <t>Route 42</t>
        </is>
      </c>
      <c r="B2359" s="35" t="inlineStr">
        <is>
          <t>Route42_hns</t>
        </is>
      </c>
      <c r="C2359" s="62" t="inlineStr">
        <is>
          <t>Nuit</t>
        </is>
      </c>
      <c r="D2359" s="56" t="inlineStr">
        <is>
          <t>Super Canne</t>
        </is>
      </c>
      <c r="E2359" s="37" t="inlineStr">
        <is>
          <t>POISSOROY</t>
        </is>
      </c>
      <c r="F2359" s="38" t="n">
        <v>0.55</v>
      </c>
      <c r="G2359" s="39" t="n">
        <v>40</v>
      </c>
      <c r="H2359" s="39" t="n">
        <v>40</v>
      </c>
      <c r="I2359" s="29">
        <f>IF(OR(COUNTIF('Suivi des rencontres'!$A:$A,$A2359)&gt;0,COUNTIF('Suivi des rencontres'!$C:$C,$J2359)&gt;0),"Non","Oui")</f>
        <v/>
      </c>
      <c r="J2359" s="30" t="inlineStr">
        <is>
          <t>POISSIRENE</t>
        </is>
      </c>
    </row>
    <row r="2360">
      <c r="A2360" s="35" t="inlineStr">
        <is>
          <t>Route 42</t>
        </is>
      </c>
      <c r="B2360" s="35" t="inlineStr">
        <is>
          <t>Route42_hns</t>
        </is>
      </c>
      <c r="C2360" s="62" t="inlineStr">
        <is>
          <t>Nuit</t>
        </is>
      </c>
      <c r="D2360" s="56" t="inlineStr">
        <is>
          <t>Super Canne</t>
        </is>
      </c>
      <c r="E2360" s="37" t="inlineStr">
        <is>
          <t>MAGICARPE</t>
        </is>
      </c>
      <c r="F2360" s="38" t="n">
        <v>0.41</v>
      </c>
      <c r="G2360" s="39" t="n">
        <v>20</v>
      </c>
      <c r="H2360" s="39" t="n">
        <v>40</v>
      </c>
      <c r="I2360" s="29">
        <f>IF(OR(COUNTIF('Suivi des rencontres'!$A:$A,$A2360)&gt;0,COUNTIF('Suivi des rencontres'!$C:$C,$J2360)&gt;0),"Non","Oui")</f>
        <v/>
      </c>
      <c r="J2360" s="30" t="inlineStr">
        <is>
          <t>MAGICARPE</t>
        </is>
      </c>
    </row>
    <row r="2361">
      <c r="A2361" s="35" t="inlineStr">
        <is>
          <t>Route 42</t>
        </is>
      </c>
      <c r="B2361" s="35" t="inlineStr">
        <is>
          <t>Route42_hns</t>
        </is>
      </c>
      <c r="C2361" s="62" t="inlineStr">
        <is>
          <t>Nuit</t>
        </is>
      </c>
      <c r="D2361" s="56" t="inlineStr">
        <is>
          <t>Super Canne</t>
        </is>
      </c>
      <c r="E2361" s="37" t="inlineStr">
        <is>
          <t>POISSIRENE</t>
        </is>
      </c>
      <c r="F2361" s="38" t="n">
        <v>0.04</v>
      </c>
      <c r="G2361" s="39" t="n">
        <v>20</v>
      </c>
      <c r="H2361" s="39" t="n">
        <v>20</v>
      </c>
      <c r="I2361" s="29">
        <f>IF(OR(COUNTIF('Suivi des rencontres'!$A:$A,$A2361)&gt;0,COUNTIF('Suivi des rencontres'!$C:$C,$J2361)&gt;0),"Non","Oui")</f>
        <v/>
      </c>
      <c r="J2361" s="30" t="inlineStr">
        <is>
          <t>POISSIRENE</t>
        </is>
      </c>
    </row>
    <row r="2362">
      <c r="A2362" s="40" t="inlineStr">
        <is>
          <t>Route 43</t>
        </is>
      </c>
      <c r="B2362" s="40" t="inlineStr">
        <is>
          <t>Route43_hns</t>
        </is>
      </c>
      <c r="C2362" s="41" t="inlineStr">
        <is>
          <t>Matin, jour, soir</t>
        </is>
      </c>
      <c r="D2362" s="42" t="inlineStr">
        <is>
          <t>Herbe</t>
        </is>
      </c>
      <c r="E2362" s="43" t="inlineStr">
        <is>
          <t>FOUINAR</t>
        </is>
      </c>
      <c r="F2362" s="44" t="n">
        <v>0.3</v>
      </c>
      <c r="G2362" s="45" t="n">
        <v>21</v>
      </c>
      <c r="H2362" s="45" t="n">
        <v>21</v>
      </c>
      <c r="I2362" s="46">
        <f>IF(OR(COUNTIF('Suivi des rencontres'!$A:$A,$A2362)&gt;0,COUNTIF('Suivi des rencontres'!$C:$C,$J2362)&gt;0),"Non","Oui")</f>
        <v/>
      </c>
      <c r="J2362" s="30" t="inlineStr">
        <is>
          <t>FOUINETTE</t>
        </is>
      </c>
    </row>
    <row r="2363">
      <c r="A2363" s="47" t="inlineStr">
        <is>
          <t>Route 43</t>
        </is>
      </c>
      <c r="B2363" s="47" t="inlineStr">
        <is>
          <t>Route43_hns</t>
        </is>
      </c>
      <c r="C2363" s="48" t="inlineStr">
        <is>
          <t>Matin, jour, soir</t>
        </is>
      </c>
      <c r="D2363" s="49" t="inlineStr">
        <is>
          <t>Herbe</t>
        </is>
      </c>
      <c r="E2363" s="50" t="inlineStr">
        <is>
          <t>GIRAFARIG</t>
        </is>
      </c>
      <c r="F2363" s="51" t="n">
        <v>0.3</v>
      </c>
      <c r="G2363" s="52" t="n">
        <v>22</v>
      </c>
      <c r="H2363" s="52" t="n">
        <v>22</v>
      </c>
      <c r="I2363" s="29">
        <f>IF(OR(COUNTIF('Suivi des rencontres'!$A:$A,$A2363)&gt;0,COUNTIF('Suivi des rencontres'!$C:$C,$J2363)&gt;0),"Non","Oui")</f>
        <v/>
      </c>
      <c r="J2363" s="30" t="inlineStr">
        <is>
          <t>GIRAFARIG</t>
        </is>
      </c>
    </row>
    <row r="2364">
      <c r="A2364" s="47" t="inlineStr">
        <is>
          <t>Route 43</t>
        </is>
      </c>
      <c r="B2364" s="47" t="inlineStr">
        <is>
          <t>Route43_hns</t>
        </is>
      </c>
      <c r="C2364" s="48" t="inlineStr">
        <is>
          <t>Matin, jour, soir</t>
        </is>
      </c>
      <c r="D2364" s="49" t="inlineStr">
        <is>
          <t>Herbe</t>
        </is>
      </c>
      <c r="E2364" s="50" t="inlineStr">
        <is>
          <t>LAINERGIE</t>
        </is>
      </c>
      <c r="F2364" s="51" t="n">
        <v>0.16</v>
      </c>
      <c r="G2364" s="52" t="n">
        <v>23</v>
      </c>
      <c r="H2364" s="52" t="n">
        <v>23</v>
      </c>
      <c r="I2364" s="29">
        <f>IF(OR(COUNTIF('Suivi des rencontres'!$A:$A,$A2364)&gt;0,COUNTIF('Suivi des rencontres'!$C:$C,$J2364)&gt;0),"Non","Oui")</f>
        <v/>
      </c>
      <c r="J2364" s="30" t="inlineStr">
        <is>
          <t>WATTOUAT</t>
        </is>
      </c>
    </row>
    <row r="2365">
      <c r="A2365" s="47" t="inlineStr">
        <is>
          <t>Route 43</t>
        </is>
      </c>
      <c r="B2365" s="47" t="inlineStr">
        <is>
          <t>Route43_hns</t>
        </is>
      </c>
      <c r="C2365" s="48" t="inlineStr">
        <is>
          <t>Matin, jour, soir</t>
        </is>
      </c>
      <c r="D2365" s="49" t="inlineStr">
        <is>
          <t>Herbe</t>
        </is>
      </c>
      <c r="E2365" s="50" t="inlineStr">
        <is>
          <t>CANARTICHO</t>
        </is>
      </c>
      <c r="F2365" s="51" t="n">
        <v>0.15</v>
      </c>
      <c r="G2365" s="52" t="n">
        <v>22</v>
      </c>
      <c r="H2365" s="52" t="n">
        <v>22</v>
      </c>
      <c r="I2365" s="29">
        <f>IF(OR(COUNTIF('Suivi des rencontres'!$A:$A,$A2365)&gt;0,COUNTIF('Suivi des rencontres'!$C:$C,$J2365)&gt;0),"Non","Oui")</f>
        <v/>
      </c>
      <c r="J2365" s="30" t="inlineStr">
        <is>
          <t>CANARTICHO</t>
        </is>
      </c>
    </row>
    <row r="2366">
      <c r="A2366" s="47" t="inlineStr">
        <is>
          <t>Route 43</t>
        </is>
      </c>
      <c r="B2366" s="47" t="inlineStr">
        <is>
          <t>Route43_hns</t>
        </is>
      </c>
      <c r="C2366" s="48" t="inlineStr">
        <is>
          <t>Matin, jour, soir</t>
        </is>
      </c>
      <c r="D2366" s="49" t="inlineStr">
        <is>
          <t>Herbe</t>
        </is>
      </c>
      <c r="E2366" s="50" t="inlineStr">
        <is>
          <t>AIRMURE</t>
        </is>
      </c>
      <c r="F2366" s="51" t="n">
        <v>0.05</v>
      </c>
      <c r="G2366" s="52" t="n">
        <v>24</v>
      </c>
      <c r="H2366" s="52" t="n">
        <v>24</v>
      </c>
      <c r="I2366" s="29">
        <f>IF(OR(COUNTIF('Suivi des rencontres'!$A:$A,$A2366)&gt;0,COUNTIF('Suivi des rencontres'!$C:$C,$J2366)&gt;0),"Non","Oui")</f>
        <v/>
      </c>
      <c r="J2366" s="30" t="inlineStr">
        <is>
          <t>AIRMURE</t>
        </is>
      </c>
    </row>
    <row r="2367">
      <c r="A2367" s="47" t="inlineStr">
        <is>
          <t>Route 43</t>
        </is>
      </c>
      <c r="B2367" s="47" t="inlineStr">
        <is>
          <t>Route43_hns</t>
        </is>
      </c>
      <c r="C2367" s="48" t="inlineStr">
        <is>
          <t>Matin, jour, soir</t>
        </is>
      </c>
      <c r="D2367" s="49" t="inlineStr">
        <is>
          <t>Herbe</t>
        </is>
      </c>
      <c r="E2367" s="50" t="inlineStr">
        <is>
          <t>RATTATAC</t>
        </is>
      </c>
      <c r="F2367" s="51" t="n">
        <v>0.04</v>
      </c>
      <c r="G2367" s="52" t="n">
        <v>22</v>
      </c>
      <c r="H2367" s="52" t="n">
        <v>22</v>
      </c>
      <c r="I2367" s="29">
        <f>IF(OR(COUNTIF('Suivi des rencontres'!$A:$A,$A2367)&gt;0,COUNTIF('Suivi des rencontres'!$C:$C,$J2367)&gt;0),"Non","Oui")</f>
        <v/>
      </c>
      <c r="J2367" s="30" t="inlineStr">
        <is>
          <t>RATTATA</t>
        </is>
      </c>
    </row>
    <row r="2368">
      <c r="A2368" s="47" t="inlineStr">
        <is>
          <t>Route 43</t>
        </is>
      </c>
      <c r="B2368" s="47" t="inlineStr">
        <is>
          <t>Route43_hns</t>
        </is>
      </c>
      <c r="C2368" s="62" t="inlineStr">
        <is>
          <t>Nuit</t>
        </is>
      </c>
      <c r="D2368" s="49" t="inlineStr">
        <is>
          <t>Herbe</t>
        </is>
      </c>
      <c r="E2368" s="50" t="inlineStr">
        <is>
          <t>GIRAFARIG</t>
        </is>
      </c>
      <c r="F2368" s="51" t="n">
        <v>0.3</v>
      </c>
      <c r="G2368" s="52" t="n">
        <v>22</v>
      </c>
      <c r="H2368" s="52" t="n">
        <v>22</v>
      </c>
      <c r="I2368" s="29">
        <f>IF(OR(COUNTIF('Suivi des rencontres'!$A:$A,$A2368)&gt;0,COUNTIF('Suivi des rencontres'!$C:$C,$J2368)&gt;0),"Non","Oui")</f>
        <v/>
      </c>
      <c r="J2368" s="30" t="inlineStr">
        <is>
          <t>GIRAFARIG</t>
        </is>
      </c>
    </row>
    <row r="2369">
      <c r="A2369" s="47" t="inlineStr">
        <is>
          <t>Route 43</t>
        </is>
      </c>
      <c r="B2369" s="47" t="inlineStr">
        <is>
          <t>Route43_hns</t>
        </is>
      </c>
      <c r="C2369" s="62" t="inlineStr">
        <is>
          <t>Nuit</t>
        </is>
      </c>
      <c r="D2369" s="49" t="inlineStr">
        <is>
          <t>Herbe</t>
        </is>
      </c>
      <c r="E2369" s="50" t="inlineStr">
        <is>
          <t>MIMITOSS</t>
        </is>
      </c>
      <c r="F2369" s="51" t="n">
        <v>0.3</v>
      </c>
      <c r="G2369" s="52" t="n">
        <v>21</v>
      </c>
      <c r="H2369" s="52" t="n">
        <v>21</v>
      </c>
      <c r="I2369" s="29">
        <f>IF(OR(COUNTIF('Suivi des rencontres'!$A:$A,$A2369)&gt;0,COUNTIF('Suivi des rencontres'!$C:$C,$J2369)&gt;0),"Non","Oui")</f>
        <v/>
      </c>
      <c r="J2369" s="30" t="inlineStr">
        <is>
          <t>MIMITOSS</t>
        </is>
      </c>
    </row>
    <row r="2370">
      <c r="A2370" s="47" t="inlineStr">
        <is>
          <t>Route 43</t>
        </is>
      </c>
      <c r="B2370" s="47" t="inlineStr">
        <is>
          <t>Route43_hns</t>
        </is>
      </c>
      <c r="C2370" s="62" t="inlineStr">
        <is>
          <t>Nuit</t>
        </is>
      </c>
      <c r="D2370" s="49" t="inlineStr">
        <is>
          <t>Herbe</t>
        </is>
      </c>
      <c r="E2370" s="50" t="inlineStr">
        <is>
          <t>LAINERGIE</t>
        </is>
      </c>
      <c r="F2370" s="51" t="n">
        <v>0.16</v>
      </c>
      <c r="G2370" s="52" t="n">
        <v>23</v>
      </c>
      <c r="H2370" s="52" t="n">
        <v>23</v>
      </c>
      <c r="I2370" s="29">
        <f>IF(OR(COUNTIF('Suivi des rencontres'!$A:$A,$A2370)&gt;0,COUNTIF('Suivi des rencontres'!$C:$C,$J2370)&gt;0),"Non","Oui")</f>
        <v/>
      </c>
      <c r="J2370" s="30" t="inlineStr">
        <is>
          <t>WATTOUAT</t>
        </is>
      </c>
    </row>
    <row r="2371">
      <c r="A2371" s="47" t="inlineStr">
        <is>
          <t>Route 43</t>
        </is>
      </c>
      <c r="B2371" s="47" t="inlineStr">
        <is>
          <t>Route43_hns</t>
        </is>
      </c>
      <c r="C2371" s="62" t="inlineStr">
        <is>
          <t>Nuit</t>
        </is>
      </c>
      <c r="D2371" s="49" t="inlineStr">
        <is>
          <t>Herbe</t>
        </is>
      </c>
      <c r="E2371" s="50" t="inlineStr">
        <is>
          <t>RATTATAC</t>
        </is>
      </c>
      <c r="F2371" s="51" t="n">
        <v>0.15</v>
      </c>
      <c r="G2371" s="52" t="n">
        <v>22</v>
      </c>
      <c r="H2371" s="52" t="n">
        <v>22</v>
      </c>
      <c r="I2371" s="29">
        <f>IF(OR(COUNTIF('Suivi des rencontres'!$A:$A,$A2371)&gt;0,COUNTIF('Suivi des rencontres'!$C:$C,$J2371)&gt;0),"Non","Oui")</f>
        <v/>
      </c>
      <c r="J2371" s="30" t="inlineStr">
        <is>
          <t>RATTATA</t>
        </is>
      </c>
    </row>
    <row r="2372">
      <c r="A2372" s="47" t="inlineStr">
        <is>
          <t>Route 43</t>
        </is>
      </c>
      <c r="B2372" s="47" t="inlineStr">
        <is>
          <t>Route43_hns</t>
        </is>
      </c>
      <c r="C2372" s="62" t="inlineStr">
        <is>
          <t>Nuit</t>
        </is>
      </c>
      <c r="D2372" s="49" t="inlineStr">
        <is>
          <t>Herbe</t>
        </is>
      </c>
      <c r="E2372" s="50" t="inlineStr">
        <is>
          <t>AIRMURE</t>
        </is>
      </c>
      <c r="F2372" s="51" t="n">
        <v>0.05</v>
      </c>
      <c r="G2372" s="52" t="n">
        <v>24</v>
      </c>
      <c r="H2372" s="52" t="n">
        <v>24</v>
      </c>
      <c r="I2372" s="29">
        <f>IF(OR(COUNTIF('Suivi des rencontres'!$A:$A,$A2372)&gt;0,COUNTIF('Suivi des rencontres'!$C:$C,$J2372)&gt;0),"Non","Oui")</f>
        <v/>
      </c>
      <c r="J2372" s="30" t="inlineStr">
        <is>
          <t>AIRMURE</t>
        </is>
      </c>
    </row>
    <row r="2373">
      <c r="A2373" s="47" t="inlineStr">
        <is>
          <t>Route 43</t>
        </is>
      </c>
      <c r="B2373" s="47" t="inlineStr">
        <is>
          <t>Route43_hns</t>
        </is>
      </c>
      <c r="C2373" s="62" t="inlineStr">
        <is>
          <t>Nuit</t>
        </is>
      </c>
      <c r="D2373" s="49" t="inlineStr">
        <is>
          <t>Herbe</t>
        </is>
      </c>
      <c r="E2373" s="50" t="inlineStr">
        <is>
          <t>AEROMITE</t>
        </is>
      </c>
      <c r="F2373" s="51" t="n">
        <v>0.04</v>
      </c>
      <c r="G2373" s="52" t="n">
        <v>23</v>
      </c>
      <c r="H2373" s="52" t="n">
        <v>23</v>
      </c>
      <c r="I2373" s="29">
        <f>IF(OR(COUNTIF('Suivi des rencontres'!$A:$A,$A2373)&gt;0,COUNTIF('Suivi des rencontres'!$C:$C,$J2373)&gt;0),"Non","Oui")</f>
        <v/>
      </c>
      <c r="J2373" s="30" t="inlineStr">
        <is>
          <t>MIMITOSS</t>
        </is>
      </c>
    </row>
    <row r="2374">
      <c r="A2374" s="47" t="inlineStr">
        <is>
          <t>Route 43</t>
        </is>
      </c>
      <c r="B2374" s="47" t="inlineStr">
        <is>
          <t>Route43_hns</t>
        </is>
      </c>
      <c r="C2374" s="48" t="inlineStr">
        <is>
          <t>Matin, jour, soir</t>
        </is>
      </c>
      <c r="D2374" s="53" t="inlineStr">
        <is>
          <t>Surf</t>
        </is>
      </c>
      <c r="E2374" s="50" t="inlineStr">
        <is>
          <t>MAGICARPE</t>
        </is>
      </c>
      <c r="F2374" s="51" t="n">
        <v>1</v>
      </c>
      <c r="G2374" s="52" t="n">
        <v>10</v>
      </c>
      <c r="H2374" s="52" t="n">
        <v>24</v>
      </c>
      <c r="I2374" s="29">
        <f>IF(OR(COUNTIF('Suivi des rencontres'!$A:$A,$A2374)&gt;0,COUNTIF('Suivi des rencontres'!$C:$C,$J2374)&gt;0),"Non","Oui")</f>
        <v/>
      </c>
      <c r="J2374" s="30" t="inlineStr">
        <is>
          <t>MAGICARPE</t>
        </is>
      </c>
    </row>
    <row r="2375">
      <c r="A2375" s="47" t="inlineStr">
        <is>
          <t>Route 43</t>
        </is>
      </c>
      <c r="B2375" s="47" t="inlineStr">
        <is>
          <t>Route43_hns</t>
        </is>
      </c>
      <c r="C2375" s="62" t="inlineStr">
        <is>
          <t>Nuit</t>
        </is>
      </c>
      <c r="D2375" s="53" t="inlineStr">
        <is>
          <t>Surf</t>
        </is>
      </c>
      <c r="E2375" s="50" t="inlineStr">
        <is>
          <t>MAGICARPE</t>
        </is>
      </c>
      <c r="F2375" s="51" t="n">
        <v>1</v>
      </c>
      <c r="G2375" s="52" t="n">
        <v>10</v>
      </c>
      <c r="H2375" s="52" t="n">
        <v>24</v>
      </c>
      <c r="I2375" s="29">
        <f>IF(OR(COUNTIF('Suivi des rencontres'!$A:$A,$A2375)&gt;0,COUNTIF('Suivi des rencontres'!$C:$C,$J2375)&gt;0),"Non","Oui")</f>
        <v/>
      </c>
      <c r="J2375" s="30" t="inlineStr">
        <is>
          <t>MAGICARPE</t>
        </is>
      </c>
    </row>
    <row r="2376">
      <c r="A2376" s="47" t="inlineStr">
        <is>
          <t>Route 43</t>
        </is>
      </c>
      <c r="B2376" s="47" t="inlineStr">
        <is>
          <t>Route43_hns</t>
        </is>
      </c>
      <c r="C2376" s="48" t="inlineStr">
        <is>
          <t>Matin, jour, soir</t>
        </is>
      </c>
      <c r="D2376" s="36" t="inlineStr">
        <is>
          <t>Éclate-Roc</t>
        </is>
      </c>
      <c r="E2376" s="50" t="inlineStr">
        <is>
          <t>POMDEPIK</t>
        </is>
      </c>
      <c r="F2376" s="51" t="n">
        <v>0.6</v>
      </c>
      <c r="G2376" s="52" t="n">
        <v>20</v>
      </c>
      <c r="H2376" s="52" t="n">
        <v>20</v>
      </c>
      <c r="I2376" s="29">
        <f>IF(OR(COUNTIF('Suivi des rencontres'!$A:$A,$A2376)&gt;0,COUNTIF('Suivi des rencontres'!$C:$C,$J2376)&gt;0),"Non","Oui")</f>
        <v/>
      </c>
      <c r="J2376" s="30" t="inlineStr">
        <is>
          <t>POMDEPIK</t>
        </is>
      </c>
    </row>
    <row r="2377">
      <c r="A2377" s="47" t="inlineStr">
        <is>
          <t>Route 43</t>
        </is>
      </c>
      <c r="B2377" s="47" t="inlineStr">
        <is>
          <t>Route43_hns</t>
        </is>
      </c>
      <c r="C2377" s="48" t="inlineStr">
        <is>
          <t>Matin, jour, soir</t>
        </is>
      </c>
      <c r="D2377" s="36" t="inlineStr">
        <is>
          <t>Éclate-Roc</t>
        </is>
      </c>
      <c r="E2377" s="50" t="inlineStr">
        <is>
          <t>NOEUNOEUF</t>
        </is>
      </c>
      <c r="F2377" s="51" t="n">
        <v>0.3</v>
      </c>
      <c r="G2377" s="52" t="n">
        <v>20</v>
      </c>
      <c r="H2377" s="52" t="n">
        <v>20</v>
      </c>
      <c r="I2377" s="29">
        <f>IF(OR(COUNTIF('Suivi des rencontres'!$A:$A,$A2377)&gt;0,COUNTIF('Suivi des rencontres'!$C:$C,$J2377)&gt;0),"Non","Oui")</f>
        <v/>
      </c>
      <c r="J2377" s="30" t="inlineStr">
        <is>
          <t>NOEUNOEUF</t>
        </is>
      </c>
    </row>
    <row r="2378">
      <c r="A2378" s="47" t="inlineStr">
        <is>
          <t>Route 43</t>
        </is>
      </c>
      <c r="B2378" s="47" t="inlineStr">
        <is>
          <t>Route43_hns</t>
        </is>
      </c>
      <c r="C2378" s="48" t="inlineStr">
        <is>
          <t>Matin, jour, soir</t>
        </is>
      </c>
      <c r="D2378" s="36" t="inlineStr">
        <is>
          <t>Éclate-Roc</t>
        </is>
      </c>
      <c r="E2378" s="50" t="inlineStr">
        <is>
          <t>MIMITOSS</t>
        </is>
      </c>
      <c r="F2378" s="51" t="n">
        <v>0.1</v>
      </c>
      <c r="G2378" s="52" t="n">
        <v>20</v>
      </c>
      <c r="H2378" s="52" t="n">
        <v>20</v>
      </c>
      <c r="I2378" s="29">
        <f>IF(OR(COUNTIF('Suivi des rencontres'!$A:$A,$A2378)&gt;0,COUNTIF('Suivi des rencontres'!$C:$C,$J2378)&gt;0),"Non","Oui")</f>
        <v/>
      </c>
      <c r="J2378" s="30" t="inlineStr">
        <is>
          <t>MIMITOSS</t>
        </is>
      </c>
    </row>
    <row r="2379">
      <c r="A2379" s="47" t="inlineStr">
        <is>
          <t>Route 43</t>
        </is>
      </c>
      <c r="B2379" s="47" t="inlineStr">
        <is>
          <t>Route43_hns</t>
        </is>
      </c>
      <c r="C2379" s="62" t="inlineStr">
        <is>
          <t>Nuit</t>
        </is>
      </c>
      <c r="D2379" s="36" t="inlineStr">
        <is>
          <t>Éclate-Roc</t>
        </is>
      </c>
      <c r="E2379" s="50" t="inlineStr">
        <is>
          <t>POMDEPIK</t>
        </is>
      </c>
      <c r="F2379" s="51" t="n">
        <v>0.6</v>
      </c>
      <c r="G2379" s="52" t="n">
        <v>20</v>
      </c>
      <c r="H2379" s="52" t="n">
        <v>20</v>
      </c>
      <c r="I2379" s="29">
        <f>IF(OR(COUNTIF('Suivi des rencontres'!$A:$A,$A2379)&gt;0,COUNTIF('Suivi des rencontres'!$C:$C,$J2379)&gt;0),"Non","Oui")</f>
        <v/>
      </c>
      <c r="J2379" s="30" t="inlineStr">
        <is>
          <t>POMDEPIK</t>
        </is>
      </c>
    </row>
    <row r="2380">
      <c r="A2380" s="47" t="inlineStr">
        <is>
          <t>Route 43</t>
        </is>
      </c>
      <c r="B2380" s="47" t="inlineStr">
        <is>
          <t>Route43_hns</t>
        </is>
      </c>
      <c r="C2380" s="62" t="inlineStr">
        <is>
          <t>Nuit</t>
        </is>
      </c>
      <c r="D2380" s="36" t="inlineStr">
        <is>
          <t>Éclate-Roc</t>
        </is>
      </c>
      <c r="E2380" s="50" t="inlineStr">
        <is>
          <t>NOEUNOEUF</t>
        </is>
      </c>
      <c r="F2380" s="51" t="n">
        <v>0.3</v>
      </c>
      <c r="G2380" s="52" t="n">
        <v>20</v>
      </c>
      <c r="H2380" s="52" t="n">
        <v>20</v>
      </c>
      <c r="I2380" s="29">
        <f>IF(OR(COUNTIF('Suivi des rencontres'!$A:$A,$A2380)&gt;0,COUNTIF('Suivi des rencontres'!$C:$C,$J2380)&gt;0),"Non","Oui")</f>
        <v/>
      </c>
      <c r="J2380" s="30" t="inlineStr">
        <is>
          <t>NOEUNOEUF</t>
        </is>
      </c>
    </row>
    <row r="2381">
      <c r="A2381" s="47" t="inlineStr">
        <is>
          <t>Route 43</t>
        </is>
      </c>
      <c r="B2381" s="47" t="inlineStr">
        <is>
          <t>Route43_hns</t>
        </is>
      </c>
      <c r="C2381" s="62" t="inlineStr">
        <is>
          <t>Nuit</t>
        </is>
      </c>
      <c r="D2381" s="36" t="inlineStr">
        <is>
          <t>Éclate-Roc</t>
        </is>
      </c>
      <c r="E2381" s="50" t="inlineStr">
        <is>
          <t>MIMITOSS</t>
        </is>
      </c>
      <c r="F2381" s="51" t="n">
        <v>0.1</v>
      </c>
      <c r="G2381" s="52" t="n">
        <v>20</v>
      </c>
      <c r="H2381" s="52" t="n">
        <v>20</v>
      </c>
      <c r="I2381" s="29">
        <f>IF(OR(COUNTIF('Suivi des rencontres'!$A:$A,$A2381)&gt;0,COUNTIF('Suivi des rencontres'!$C:$C,$J2381)&gt;0),"Non","Oui")</f>
        <v/>
      </c>
      <c r="J2381" s="30" t="inlineStr">
        <is>
          <t>MIMITOSS</t>
        </is>
      </c>
    </row>
    <row r="2382">
      <c r="A2382" s="47" t="inlineStr">
        <is>
          <t>Route 43</t>
        </is>
      </c>
      <c r="B2382" s="47" t="inlineStr">
        <is>
          <t>Route43_hns</t>
        </is>
      </c>
      <c r="C2382" s="48" t="inlineStr">
        <is>
          <t>Matin, jour, soir</t>
        </is>
      </c>
      <c r="D2382" s="54" t="inlineStr">
        <is>
          <t>Vieille Canne</t>
        </is>
      </c>
      <c r="E2382" s="50" t="inlineStr">
        <is>
          <t>MAGICARPE</t>
        </is>
      </c>
      <c r="F2382" s="51" t="n">
        <v>0.7</v>
      </c>
      <c r="G2382" s="52" t="n">
        <v>10</v>
      </c>
      <c r="H2382" s="52" t="n">
        <v>10</v>
      </c>
      <c r="I2382" s="29">
        <f>IF(OR(COUNTIF('Suivi des rencontres'!$A:$A,$A2382)&gt;0,COUNTIF('Suivi des rencontres'!$C:$C,$J2382)&gt;0),"Non","Oui")</f>
        <v/>
      </c>
      <c r="J2382" s="30" t="inlineStr">
        <is>
          <t>MAGICARPE</t>
        </is>
      </c>
    </row>
    <row r="2383">
      <c r="A2383" s="47" t="inlineStr">
        <is>
          <t>Route 43</t>
        </is>
      </c>
      <c r="B2383" s="47" t="inlineStr">
        <is>
          <t>Route43_hns</t>
        </is>
      </c>
      <c r="C2383" s="48" t="inlineStr">
        <is>
          <t>Matin, jour, soir</t>
        </is>
      </c>
      <c r="D2383" s="54" t="inlineStr">
        <is>
          <t>Vieille Canne</t>
        </is>
      </c>
      <c r="E2383" s="50" t="inlineStr">
        <is>
          <t>PTITARD</t>
        </is>
      </c>
      <c r="F2383" s="51" t="n">
        <v>0.3</v>
      </c>
      <c r="G2383" s="52" t="n">
        <v>10</v>
      </c>
      <c r="H2383" s="52" t="n">
        <v>10</v>
      </c>
      <c r="I2383" s="29">
        <f>IF(OR(COUNTIF('Suivi des rencontres'!$A:$A,$A2383)&gt;0,COUNTIF('Suivi des rencontres'!$C:$C,$J2383)&gt;0),"Non","Oui")</f>
        <v/>
      </c>
      <c r="J2383" s="30" t="inlineStr">
        <is>
          <t>PTITARD</t>
        </is>
      </c>
    </row>
    <row r="2384">
      <c r="A2384" s="47" t="inlineStr">
        <is>
          <t>Route 43</t>
        </is>
      </c>
      <c r="B2384" s="47" t="inlineStr">
        <is>
          <t>Route43_hns</t>
        </is>
      </c>
      <c r="C2384" s="62" t="inlineStr">
        <is>
          <t>Nuit</t>
        </is>
      </c>
      <c r="D2384" s="54" t="inlineStr">
        <is>
          <t>Vieille Canne</t>
        </is>
      </c>
      <c r="E2384" s="50" t="inlineStr">
        <is>
          <t>MAGICARPE</t>
        </is>
      </c>
      <c r="F2384" s="51" t="n">
        <v>0.7</v>
      </c>
      <c r="G2384" s="52" t="n">
        <v>10</v>
      </c>
      <c r="H2384" s="52" t="n">
        <v>10</v>
      </c>
      <c r="I2384" s="29">
        <f>IF(OR(COUNTIF('Suivi des rencontres'!$A:$A,$A2384)&gt;0,COUNTIF('Suivi des rencontres'!$C:$C,$J2384)&gt;0),"Non","Oui")</f>
        <v/>
      </c>
      <c r="J2384" s="30" t="inlineStr">
        <is>
          <t>MAGICARPE</t>
        </is>
      </c>
    </row>
    <row r="2385">
      <c r="A2385" s="47" t="inlineStr">
        <is>
          <t>Route 43</t>
        </is>
      </c>
      <c r="B2385" s="47" t="inlineStr">
        <is>
          <t>Route43_hns</t>
        </is>
      </c>
      <c r="C2385" s="62" t="inlineStr">
        <is>
          <t>Nuit</t>
        </is>
      </c>
      <c r="D2385" s="54" t="inlineStr">
        <is>
          <t>Vieille Canne</t>
        </is>
      </c>
      <c r="E2385" s="50" t="inlineStr">
        <is>
          <t>PTITARD</t>
        </is>
      </c>
      <c r="F2385" s="51" t="n">
        <v>0.3</v>
      </c>
      <c r="G2385" s="52" t="n">
        <v>10</v>
      </c>
      <c r="H2385" s="52" t="n">
        <v>10</v>
      </c>
      <c r="I2385" s="29">
        <f>IF(OR(COUNTIF('Suivi des rencontres'!$A:$A,$A2385)&gt;0,COUNTIF('Suivi des rencontres'!$C:$C,$J2385)&gt;0),"Non","Oui")</f>
        <v/>
      </c>
      <c r="J2385" s="30" t="inlineStr">
        <is>
          <t>PTITARD</t>
        </is>
      </c>
    </row>
    <row r="2386">
      <c r="A2386" s="47" t="inlineStr">
        <is>
          <t>Route 43</t>
        </is>
      </c>
      <c r="B2386" s="47" t="inlineStr">
        <is>
          <t>Route43_hns</t>
        </is>
      </c>
      <c r="C2386" s="48" t="inlineStr">
        <is>
          <t>Matin, jour, soir</t>
        </is>
      </c>
      <c r="D2386" s="55" t="inlineStr">
        <is>
          <t>Bonne Canne</t>
        </is>
      </c>
      <c r="E2386" s="50" t="inlineStr">
        <is>
          <t>PTITARD</t>
        </is>
      </c>
      <c r="F2386" s="51" t="n">
        <v>0.8</v>
      </c>
      <c r="G2386" s="52" t="n">
        <v>20</v>
      </c>
      <c r="H2386" s="52" t="n">
        <v>40</v>
      </c>
      <c r="I2386" s="29">
        <f>IF(OR(COUNTIF('Suivi des rencontres'!$A:$A,$A2386)&gt;0,COUNTIF('Suivi des rencontres'!$C:$C,$J2386)&gt;0),"Non","Oui")</f>
        <v/>
      </c>
      <c r="J2386" s="30" t="inlineStr">
        <is>
          <t>PTITARD</t>
        </is>
      </c>
    </row>
    <row r="2387">
      <c r="A2387" s="47" t="inlineStr">
        <is>
          <t>Route 43</t>
        </is>
      </c>
      <c r="B2387" s="47" t="inlineStr">
        <is>
          <t>Route43_hns</t>
        </is>
      </c>
      <c r="C2387" s="48" t="inlineStr">
        <is>
          <t>Matin, jour, soir</t>
        </is>
      </c>
      <c r="D2387" s="55" t="inlineStr">
        <is>
          <t>Bonne Canne</t>
        </is>
      </c>
      <c r="E2387" s="50" t="inlineStr">
        <is>
          <t>MAGICARPE</t>
        </is>
      </c>
      <c r="F2387" s="51" t="n">
        <v>0.2</v>
      </c>
      <c r="G2387" s="52" t="n">
        <v>20</v>
      </c>
      <c r="H2387" s="52" t="n">
        <v>20</v>
      </c>
      <c r="I2387" s="29">
        <f>IF(OR(COUNTIF('Suivi des rencontres'!$A:$A,$A2387)&gt;0,COUNTIF('Suivi des rencontres'!$C:$C,$J2387)&gt;0),"Non","Oui")</f>
        <v/>
      </c>
      <c r="J2387" s="30" t="inlineStr">
        <is>
          <t>MAGICARPE</t>
        </is>
      </c>
    </row>
    <row r="2388">
      <c r="A2388" s="47" t="inlineStr">
        <is>
          <t>Route 43</t>
        </is>
      </c>
      <c r="B2388" s="47" t="inlineStr">
        <is>
          <t>Route43_hns</t>
        </is>
      </c>
      <c r="C2388" s="62" t="inlineStr">
        <is>
          <t>Nuit</t>
        </is>
      </c>
      <c r="D2388" s="55" t="inlineStr">
        <is>
          <t>Bonne Canne</t>
        </is>
      </c>
      <c r="E2388" s="50" t="inlineStr">
        <is>
          <t>PTITARD</t>
        </is>
      </c>
      <c r="F2388" s="51" t="n">
        <v>0.8</v>
      </c>
      <c r="G2388" s="52" t="n">
        <v>20</v>
      </c>
      <c r="H2388" s="52" t="n">
        <v>40</v>
      </c>
      <c r="I2388" s="29">
        <f>IF(OR(COUNTIF('Suivi des rencontres'!$A:$A,$A2388)&gt;0,COUNTIF('Suivi des rencontres'!$C:$C,$J2388)&gt;0),"Non","Oui")</f>
        <v/>
      </c>
      <c r="J2388" s="30" t="inlineStr">
        <is>
          <t>PTITARD</t>
        </is>
      </c>
    </row>
    <row r="2389">
      <c r="A2389" s="47" t="inlineStr">
        <is>
          <t>Route 43</t>
        </is>
      </c>
      <c r="B2389" s="47" t="inlineStr">
        <is>
          <t>Route43_hns</t>
        </is>
      </c>
      <c r="C2389" s="62" t="inlineStr">
        <is>
          <t>Nuit</t>
        </is>
      </c>
      <c r="D2389" s="55" t="inlineStr">
        <is>
          <t>Bonne Canne</t>
        </is>
      </c>
      <c r="E2389" s="50" t="inlineStr">
        <is>
          <t>MAGICARPE</t>
        </is>
      </c>
      <c r="F2389" s="51" t="n">
        <v>0.2</v>
      </c>
      <c r="G2389" s="52" t="n">
        <v>20</v>
      </c>
      <c r="H2389" s="52" t="n">
        <v>20</v>
      </c>
      <c r="I2389" s="29">
        <f>IF(OR(COUNTIF('Suivi des rencontres'!$A:$A,$A2389)&gt;0,COUNTIF('Suivi des rencontres'!$C:$C,$J2389)&gt;0),"Non","Oui")</f>
        <v/>
      </c>
      <c r="J2389" s="30" t="inlineStr">
        <is>
          <t>MAGICARPE</t>
        </is>
      </c>
    </row>
    <row r="2390">
      <c r="A2390" s="47" t="inlineStr">
        <is>
          <t>Route 43</t>
        </is>
      </c>
      <c r="B2390" s="47" t="inlineStr">
        <is>
          <t>Route43_hns</t>
        </is>
      </c>
      <c r="C2390" s="48" t="inlineStr">
        <is>
          <t>Matin, jour, soir</t>
        </is>
      </c>
      <c r="D2390" s="56" t="inlineStr">
        <is>
          <t>Super Canne</t>
        </is>
      </c>
      <c r="E2390" s="50" t="inlineStr">
        <is>
          <t>PTITARD</t>
        </is>
      </c>
      <c r="F2390" s="51" t="n">
        <v>0.59</v>
      </c>
      <c r="G2390" s="52" t="n">
        <v>40</v>
      </c>
      <c r="H2390" s="52" t="n">
        <v>40</v>
      </c>
      <c r="I2390" s="29">
        <f>IF(OR(COUNTIF('Suivi des rencontres'!$A:$A,$A2390)&gt;0,COUNTIF('Suivi des rencontres'!$C:$C,$J2390)&gt;0),"Non","Oui")</f>
        <v/>
      </c>
      <c r="J2390" s="30" t="inlineStr">
        <is>
          <t>PTITARD</t>
        </is>
      </c>
    </row>
    <row r="2391">
      <c r="A2391" s="47" t="inlineStr">
        <is>
          <t>Route 43</t>
        </is>
      </c>
      <c r="B2391" s="47" t="inlineStr">
        <is>
          <t>Route43_hns</t>
        </is>
      </c>
      <c r="C2391" s="48" t="inlineStr">
        <is>
          <t>Matin, jour, soir</t>
        </is>
      </c>
      <c r="D2391" s="56" t="inlineStr">
        <is>
          <t>Super Canne</t>
        </is>
      </c>
      <c r="E2391" s="50" t="inlineStr">
        <is>
          <t>MAGICARPE</t>
        </is>
      </c>
      <c r="F2391" s="51" t="n">
        <v>0.41</v>
      </c>
      <c r="G2391" s="52" t="n">
        <v>40</v>
      </c>
      <c r="H2391" s="52" t="n">
        <v>40</v>
      </c>
      <c r="I2391" s="29">
        <f>IF(OR(COUNTIF('Suivi des rencontres'!$A:$A,$A2391)&gt;0,COUNTIF('Suivi des rencontres'!$C:$C,$J2391)&gt;0),"Non","Oui")</f>
        <v/>
      </c>
      <c r="J2391" s="30" t="inlineStr">
        <is>
          <t>MAGICARPE</t>
        </is>
      </c>
    </row>
    <row r="2392">
      <c r="A2392" s="47" t="inlineStr">
        <is>
          <t>Route 43</t>
        </is>
      </c>
      <c r="B2392" s="47" t="inlineStr">
        <is>
          <t>Route43_hns</t>
        </is>
      </c>
      <c r="C2392" s="62" t="inlineStr">
        <is>
          <t>Nuit</t>
        </is>
      </c>
      <c r="D2392" s="56" t="inlineStr">
        <is>
          <t>Super Canne</t>
        </is>
      </c>
      <c r="E2392" s="50" t="inlineStr">
        <is>
          <t>PTITARD</t>
        </is>
      </c>
      <c r="F2392" s="51" t="n">
        <v>0.59</v>
      </c>
      <c r="G2392" s="52" t="n">
        <v>40</v>
      </c>
      <c r="H2392" s="52" t="n">
        <v>40</v>
      </c>
      <c r="I2392" s="29">
        <f>IF(OR(COUNTIF('Suivi des rencontres'!$A:$A,$A2392)&gt;0,COUNTIF('Suivi des rencontres'!$C:$C,$J2392)&gt;0),"Non","Oui")</f>
        <v/>
      </c>
      <c r="J2392" s="30" t="inlineStr">
        <is>
          <t>PTITARD</t>
        </is>
      </c>
    </row>
    <row r="2393">
      <c r="A2393" s="47" t="inlineStr">
        <is>
          <t>Route 43</t>
        </is>
      </c>
      <c r="B2393" s="47" t="inlineStr">
        <is>
          <t>Route43_hns</t>
        </is>
      </c>
      <c r="C2393" s="62" t="inlineStr">
        <is>
          <t>Nuit</t>
        </is>
      </c>
      <c r="D2393" s="56" t="inlineStr">
        <is>
          <t>Super Canne</t>
        </is>
      </c>
      <c r="E2393" s="50" t="inlineStr">
        <is>
          <t>MAGICARPE</t>
        </is>
      </c>
      <c r="F2393" s="51" t="n">
        <v>0.41</v>
      </c>
      <c r="G2393" s="52" t="n">
        <v>40</v>
      </c>
      <c r="H2393" s="52" t="n">
        <v>40</v>
      </c>
      <c r="I2393" s="29">
        <f>IF(OR(COUNTIF('Suivi des rencontres'!$A:$A,$A2393)&gt;0,COUNTIF('Suivi des rencontres'!$C:$C,$J2393)&gt;0),"Non","Oui")</f>
        <v/>
      </c>
      <c r="J2393" s="30" t="inlineStr">
        <is>
          <t>MAGICARPE</t>
        </is>
      </c>
    </row>
    <row r="2394">
      <c r="A2394" s="57" t="inlineStr">
        <is>
          <t>Route 44</t>
        </is>
      </c>
      <c r="B2394" s="57" t="inlineStr">
        <is>
          <t>Route44_hns</t>
        </is>
      </c>
      <c r="C2394" s="58" t="inlineStr">
        <is>
          <t>Matin, jour, soir</t>
        </is>
      </c>
      <c r="D2394" s="42" t="inlineStr">
        <is>
          <t>Herbe</t>
        </is>
      </c>
      <c r="E2394" s="59" t="inlineStr">
        <is>
          <t>SAQUEDENEU</t>
        </is>
      </c>
      <c r="F2394" s="60" t="n">
        <v>0.31</v>
      </c>
      <c r="G2394" s="61" t="n">
        <v>33</v>
      </c>
      <c r="H2394" s="61" t="n">
        <v>33</v>
      </c>
      <c r="I2394" s="46">
        <f>IF(OR(COUNTIF('Suivi des rencontres'!$A:$A,$A2394)&gt;0,COUNTIF('Suivi des rencontres'!$C:$C,$J2394)&gt;0),"Non","Oui")</f>
        <v/>
      </c>
      <c r="J2394" s="30" t="inlineStr">
        <is>
          <t>SAQUEDENEU</t>
        </is>
      </c>
    </row>
    <row r="2395">
      <c r="A2395" s="35" t="inlineStr">
        <is>
          <t>Route 44</t>
        </is>
      </c>
      <c r="B2395" s="35" t="inlineStr">
        <is>
          <t>Route44_hns</t>
        </is>
      </c>
      <c r="C2395" s="33" t="inlineStr">
        <is>
          <t>Matin, jour, soir</t>
        </is>
      </c>
      <c r="D2395" s="49" t="inlineStr">
        <is>
          <t>Herbe</t>
        </is>
      </c>
      <c r="E2395" s="37" t="inlineStr">
        <is>
          <t>EXCELANGUE</t>
        </is>
      </c>
      <c r="F2395" s="38" t="n">
        <v>0.3</v>
      </c>
      <c r="G2395" s="39" t="n">
        <v>32</v>
      </c>
      <c r="H2395" s="39" t="n">
        <v>32</v>
      </c>
      <c r="I2395" s="29">
        <f>IF(OR(COUNTIF('Suivi des rencontres'!$A:$A,$A2395)&gt;0,COUNTIF('Suivi des rencontres'!$C:$C,$J2395)&gt;0),"Non","Oui")</f>
        <v/>
      </c>
      <c r="J2395" s="30" t="inlineStr">
        <is>
          <t>EXCELANGUE</t>
        </is>
      </c>
    </row>
    <row r="2396">
      <c r="A2396" s="35" t="inlineStr">
        <is>
          <t>Route 44</t>
        </is>
      </c>
      <c r="B2396" s="35" t="inlineStr">
        <is>
          <t>Route44_hns</t>
        </is>
      </c>
      <c r="C2396" s="33" t="inlineStr">
        <is>
          <t>Matin, jour, soir</t>
        </is>
      </c>
      <c r="D2396" s="49" t="inlineStr">
        <is>
          <t>Herbe</t>
        </is>
      </c>
      <c r="E2396" s="37" t="inlineStr">
        <is>
          <t>BOUSTIFLOR</t>
        </is>
      </c>
      <c r="F2396" s="38" t="n">
        <v>0.15</v>
      </c>
      <c r="G2396" s="39" t="n">
        <v>32</v>
      </c>
      <c r="H2396" s="39" t="n">
        <v>32</v>
      </c>
      <c r="I2396" s="29">
        <f>IF(OR(COUNTIF('Suivi des rencontres'!$A:$A,$A2396)&gt;0,COUNTIF('Suivi des rencontres'!$C:$C,$J2396)&gt;0),"Non","Oui")</f>
        <v/>
      </c>
      <c r="J2396" s="30" t="inlineStr">
        <is>
          <t>CHETIFLOR</t>
        </is>
      </c>
    </row>
    <row r="2397">
      <c r="A2397" s="35" t="inlineStr">
        <is>
          <t>Route 44</t>
        </is>
      </c>
      <c r="B2397" s="35" t="inlineStr">
        <is>
          <t>Route44_hns</t>
        </is>
      </c>
      <c r="C2397" s="33" t="inlineStr">
        <is>
          <t>Matin, jour, soir</t>
        </is>
      </c>
      <c r="D2397" s="49" t="inlineStr">
        <is>
          <t>Herbe</t>
        </is>
      </c>
      <c r="E2397" s="37" t="inlineStr">
        <is>
          <t>ROUCOUPS</t>
        </is>
      </c>
      <c r="F2397" s="38" t="n">
        <v>0.15</v>
      </c>
      <c r="G2397" s="39" t="n">
        <v>34</v>
      </c>
      <c r="H2397" s="39" t="n">
        <v>34</v>
      </c>
      <c r="I2397" s="29">
        <f>IF(OR(COUNTIF('Suivi des rencontres'!$A:$A,$A2397)&gt;0,COUNTIF('Suivi des rencontres'!$C:$C,$J2397)&gt;0),"Non","Oui")</f>
        <v/>
      </c>
      <c r="J2397" s="30" t="inlineStr">
        <is>
          <t>ROUCOOL</t>
        </is>
      </c>
    </row>
    <row r="2398">
      <c r="A2398" s="35" t="inlineStr">
        <is>
          <t>Route 44</t>
        </is>
      </c>
      <c r="B2398" s="35" t="inlineStr">
        <is>
          <t>Route44_hns</t>
        </is>
      </c>
      <c r="C2398" s="33" t="inlineStr">
        <is>
          <t>Matin, jour, soir</t>
        </is>
      </c>
      <c r="D2398" s="49" t="inlineStr">
        <is>
          <t>Herbe</t>
        </is>
      </c>
      <c r="E2398" s="37" t="inlineStr">
        <is>
          <t>ELEKTEK</t>
        </is>
      </c>
      <c r="F2398" s="38" t="n">
        <v>0.09</v>
      </c>
      <c r="G2398" s="39" t="n">
        <v>36</v>
      </c>
      <c r="H2398" s="39" t="n">
        <v>36</v>
      </c>
      <c r="I2398" s="29">
        <f>IF(OR(COUNTIF('Suivi des rencontres'!$A:$A,$A2398)&gt;0,COUNTIF('Suivi des rencontres'!$C:$C,$J2398)&gt;0),"Non","Oui")</f>
        <v/>
      </c>
      <c r="J2398" s="30" t="inlineStr">
        <is>
          <t>ELEKID</t>
        </is>
      </c>
    </row>
    <row r="2399">
      <c r="A2399" s="35" t="inlineStr">
        <is>
          <t>Route 44</t>
        </is>
      </c>
      <c r="B2399" s="35" t="inlineStr">
        <is>
          <t>Route44_hns</t>
        </is>
      </c>
      <c r="C2399" s="62" t="inlineStr">
        <is>
          <t>Nuit</t>
        </is>
      </c>
      <c r="D2399" s="49" t="inlineStr">
        <is>
          <t>Herbe</t>
        </is>
      </c>
      <c r="E2399" s="37" t="inlineStr">
        <is>
          <t>TETARTE</t>
        </is>
      </c>
      <c r="F2399" s="38" t="n">
        <v>0.35</v>
      </c>
      <c r="G2399" s="39" t="n">
        <v>33</v>
      </c>
      <c r="H2399" s="39" t="n">
        <v>34</v>
      </c>
      <c r="I2399" s="29">
        <f>IF(OR(COUNTIF('Suivi des rencontres'!$A:$A,$A2399)&gt;0,COUNTIF('Suivi des rencontres'!$C:$C,$J2399)&gt;0),"Non","Oui")</f>
        <v/>
      </c>
      <c r="J2399" s="30" t="inlineStr">
        <is>
          <t>PTITARD</t>
        </is>
      </c>
    </row>
    <row r="2400">
      <c r="A2400" s="35" t="inlineStr">
        <is>
          <t>Route 44</t>
        </is>
      </c>
      <c r="B2400" s="35" t="inlineStr">
        <is>
          <t>Route44_hns</t>
        </is>
      </c>
      <c r="C2400" s="62" t="inlineStr">
        <is>
          <t>Nuit</t>
        </is>
      </c>
      <c r="D2400" s="49" t="inlineStr">
        <is>
          <t>Herbe</t>
        </is>
      </c>
      <c r="E2400" s="37" t="inlineStr">
        <is>
          <t>EXCELANGUE</t>
        </is>
      </c>
      <c r="F2400" s="38" t="n">
        <v>0.3</v>
      </c>
      <c r="G2400" s="39" t="n">
        <v>32</v>
      </c>
      <c r="H2400" s="39" t="n">
        <v>32</v>
      </c>
      <c r="I2400" s="29">
        <f>IF(OR(COUNTIF('Suivi des rencontres'!$A:$A,$A2400)&gt;0,COUNTIF('Suivi des rencontres'!$C:$C,$J2400)&gt;0),"Non","Oui")</f>
        <v/>
      </c>
      <c r="J2400" s="30" t="inlineStr">
        <is>
          <t>EXCELANGUE</t>
        </is>
      </c>
    </row>
    <row r="2401">
      <c r="A2401" s="35" t="inlineStr">
        <is>
          <t>Route 44</t>
        </is>
      </c>
      <c r="B2401" s="35" t="inlineStr">
        <is>
          <t>Route44_hns</t>
        </is>
      </c>
      <c r="C2401" s="62" t="inlineStr">
        <is>
          <t>Nuit</t>
        </is>
      </c>
      <c r="D2401" s="49" t="inlineStr">
        <is>
          <t>Herbe</t>
        </is>
      </c>
      <c r="E2401" s="37" t="inlineStr">
        <is>
          <t>ELEKTEK</t>
        </is>
      </c>
      <c r="F2401" s="38" t="n">
        <v>0.2</v>
      </c>
      <c r="G2401" s="39" t="n">
        <v>36</v>
      </c>
      <c r="H2401" s="39" t="n">
        <v>36</v>
      </c>
      <c r="I2401" s="29">
        <f>IF(OR(COUNTIF('Suivi des rencontres'!$A:$A,$A2401)&gt;0,COUNTIF('Suivi des rencontres'!$C:$C,$J2401)&gt;0),"Non","Oui")</f>
        <v/>
      </c>
      <c r="J2401" s="30" t="inlineStr">
        <is>
          <t>ELEKID</t>
        </is>
      </c>
    </row>
    <row r="2402">
      <c r="A2402" s="35" t="inlineStr">
        <is>
          <t>Route 44</t>
        </is>
      </c>
      <c r="B2402" s="35" t="inlineStr">
        <is>
          <t>Route44_hns</t>
        </is>
      </c>
      <c r="C2402" s="62" t="inlineStr">
        <is>
          <t>Nuit</t>
        </is>
      </c>
      <c r="D2402" s="49" t="inlineStr">
        <is>
          <t>Herbe</t>
        </is>
      </c>
      <c r="E2402" s="37" t="inlineStr">
        <is>
          <t>BOUSTIFLOR</t>
        </is>
      </c>
      <c r="F2402" s="38" t="n">
        <v>0.15</v>
      </c>
      <c r="G2402" s="39" t="n">
        <v>32</v>
      </c>
      <c r="H2402" s="39" t="n">
        <v>32</v>
      </c>
      <c r="I2402" s="29">
        <f>IF(OR(COUNTIF('Suivi des rencontres'!$A:$A,$A2402)&gt;0,COUNTIF('Suivi des rencontres'!$C:$C,$J2402)&gt;0),"Non","Oui")</f>
        <v/>
      </c>
      <c r="J2402" s="30" t="inlineStr">
        <is>
          <t>CHETIFLOR</t>
        </is>
      </c>
    </row>
    <row r="2403">
      <c r="A2403" s="35" t="inlineStr">
        <is>
          <t>Route 44</t>
        </is>
      </c>
      <c r="B2403" s="35" t="inlineStr">
        <is>
          <t>Route44_hns</t>
        </is>
      </c>
      <c r="C2403" s="33" t="inlineStr">
        <is>
          <t>Matin, jour, soir</t>
        </is>
      </c>
      <c r="D2403" s="53" t="inlineStr">
        <is>
          <t>Surf</t>
        </is>
      </c>
      <c r="E2403" s="37" t="inlineStr">
        <is>
          <t>PTITARD</t>
        </is>
      </c>
      <c r="F2403" s="38" t="n">
        <v>0.66</v>
      </c>
      <c r="G2403" s="39" t="n">
        <v>24</v>
      </c>
      <c r="H2403" s="39" t="n">
        <v>29</v>
      </c>
      <c r="I2403" s="29">
        <f>IF(OR(COUNTIF('Suivi des rencontres'!$A:$A,$A2403)&gt;0,COUNTIF('Suivi des rencontres'!$C:$C,$J2403)&gt;0),"Non","Oui")</f>
        <v/>
      </c>
      <c r="J2403" s="30" t="inlineStr">
        <is>
          <t>PTITARD</t>
        </is>
      </c>
    </row>
    <row r="2404">
      <c r="A2404" s="35" t="inlineStr">
        <is>
          <t>Route 44</t>
        </is>
      </c>
      <c r="B2404" s="35" t="inlineStr">
        <is>
          <t>Route44_hns</t>
        </is>
      </c>
      <c r="C2404" s="33" t="inlineStr">
        <is>
          <t>Matin, jour, soir</t>
        </is>
      </c>
      <c r="D2404" s="53" t="inlineStr">
        <is>
          <t>Surf</t>
        </is>
      </c>
      <c r="E2404" s="37" t="inlineStr">
        <is>
          <t>TETARTE</t>
        </is>
      </c>
      <c r="F2404" s="38" t="n">
        <v>0.34</v>
      </c>
      <c r="G2404" s="39" t="n">
        <v>28</v>
      </c>
      <c r="H2404" s="39" t="n">
        <v>32</v>
      </c>
      <c r="I2404" s="29">
        <f>IF(OR(COUNTIF('Suivi des rencontres'!$A:$A,$A2404)&gt;0,COUNTIF('Suivi des rencontres'!$C:$C,$J2404)&gt;0),"Non","Oui")</f>
        <v/>
      </c>
      <c r="J2404" s="30" t="inlineStr">
        <is>
          <t>PTITARD</t>
        </is>
      </c>
    </row>
    <row r="2405">
      <c r="A2405" s="35" t="inlineStr">
        <is>
          <t>Route 44</t>
        </is>
      </c>
      <c r="B2405" s="35" t="inlineStr">
        <is>
          <t>Route44_hns</t>
        </is>
      </c>
      <c r="C2405" s="62" t="inlineStr">
        <is>
          <t>Nuit</t>
        </is>
      </c>
      <c r="D2405" s="53" t="inlineStr">
        <is>
          <t>Surf</t>
        </is>
      </c>
      <c r="E2405" s="37" t="inlineStr">
        <is>
          <t>PTITARD</t>
        </is>
      </c>
      <c r="F2405" s="38" t="n">
        <v>0.66</v>
      </c>
      <c r="G2405" s="39" t="n">
        <v>24</v>
      </c>
      <c r="H2405" s="39" t="n">
        <v>29</v>
      </c>
      <c r="I2405" s="29">
        <f>IF(OR(COUNTIF('Suivi des rencontres'!$A:$A,$A2405)&gt;0,COUNTIF('Suivi des rencontres'!$C:$C,$J2405)&gt;0),"Non","Oui")</f>
        <v/>
      </c>
      <c r="J2405" s="30" t="inlineStr">
        <is>
          <t>PTITARD</t>
        </is>
      </c>
    </row>
    <row r="2406">
      <c r="A2406" s="35" t="inlineStr">
        <is>
          <t>Route 44</t>
        </is>
      </c>
      <c r="B2406" s="35" t="inlineStr">
        <is>
          <t>Route44_hns</t>
        </is>
      </c>
      <c r="C2406" s="62" t="inlineStr">
        <is>
          <t>Nuit</t>
        </is>
      </c>
      <c r="D2406" s="53" t="inlineStr">
        <is>
          <t>Surf</t>
        </is>
      </c>
      <c r="E2406" s="37" t="inlineStr">
        <is>
          <t>TETARTE</t>
        </is>
      </c>
      <c r="F2406" s="38" t="n">
        <v>0.34</v>
      </c>
      <c r="G2406" s="39" t="n">
        <v>28</v>
      </c>
      <c r="H2406" s="39" t="n">
        <v>32</v>
      </c>
      <c r="I2406" s="29">
        <f>IF(OR(COUNTIF('Suivi des rencontres'!$A:$A,$A2406)&gt;0,COUNTIF('Suivi des rencontres'!$C:$C,$J2406)&gt;0),"Non","Oui")</f>
        <v/>
      </c>
      <c r="J2406" s="30" t="inlineStr">
        <is>
          <t>PTITARD</t>
        </is>
      </c>
    </row>
    <row r="2407">
      <c r="A2407" s="35" t="inlineStr">
        <is>
          <t>Route 44</t>
        </is>
      </c>
      <c r="B2407" s="35" t="inlineStr">
        <is>
          <t>Route44_hns</t>
        </is>
      </c>
      <c r="C2407" s="33" t="inlineStr">
        <is>
          <t>Matin, jour, soir</t>
        </is>
      </c>
      <c r="D2407" s="36" t="inlineStr">
        <is>
          <t>Éclate-Roc</t>
        </is>
      </c>
      <c r="E2407" s="37" t="inlineStr">
        <is>
          <t>POMDEPIK</t>
        </is>
      </c>
      <c r="F2407" s="38" t="n">
        <v>0.6</v>
      </c>
      <c r="G2407" s="39" t="n">
        <v>20</v>
      </c>
      <c r="H2407" s="39" t="n">
        <v>20</v>
      </c>
      <c r="I2407" s="29">
        <f>IF(OR(COUNTIF('Suivi des rencontres'!$A:$A,$A2407)&gt;0,COUNTIF('Suivi des rencontres'!$C:$C,$J2407)&gt;0),"Non","Oui")</f>
        <v/>
      </c>
      <c r="J2407" s="30" t="inlineStr">
        <is>
          <t>POMDEPIK</t>
        </is>
      </c>
    </row>
    <row r="2408">
      <c r="A2408" s="35" t="inlineStr">
        <is>
          <t>Route 44</t>
        </is>
      </c>
      <c r="B2408" s="35" t="inlineStr">
        <is>
          <t>Route44_hns</t>
        </is>
      </c>
      <c r="C2408" s="33" t="inlineStr">
        <is>
          <t>Matin, jour, soir</t>
        </is>
      </c>
      <c r="D2408" s="36" t="inlineStr">
        <is>
          <t>Éclate-Roc</t>
        </is>
      </c>
      <c r="E2408" s="37" t="inlineStr">
        <is>
          <t>CAPUMAIN</t>
        </is>
      </c>
      <c r="F2408" s="38" t="n">
        <v>0.35</v>
      </c>
      <c r="G2408" s="39" t="n">
        <v>20</v>
      </c>
      <c r="H2408" s="39" t="n">
        <v>20</v>
      </c>
      <c r="I2408" s="29">
        <f>IF(OR(COUNTIF('Suivi des rencontres'!$A:$A,$A2408)&gt;0,COUNTIF('Suivi des rencontres'!$C:$C,$J2408)&gt;0),"Non","Oui")</f>
        <v/>
      </c>
      <c r="J2408" s="30" t="inlineStr">
        <is>
          <t>CAPUMAIN</t>
        </is>
      </c>
    </row>
    <row r="2409">
      <c r="A2409" s="35" t="inlineStr">
        <is>
          <t>Route 44</t>
        </is>
      </c>
      <c r="B2409" s="35" t="inlineStr">
        <is>
          <t>Route44_hns</t>
        </is>
      </c>
      <c r="C2409" s="33" t="inlineStr">
        <is>
          <t>Matin, jour, soir</t>
        </is>
      </c>
      <c r="D2409" s="36" t="inlineStr">
        <is>
          <t>Éclate-Roc</t>
        </is>
      </c>
      <c r="E2409" s="37" t="inlineStr">
        <is>
          <t>SCARHINO</t>
        </is>
      </c>
      <c r="F2409" s="38" t="n">
        <v>0.05</v>
      </c>
      <c r="G2409" s="39" t="n">
        <v>20</v>
      </c>
      <c r="H2409" s="39" t="n">
        <v>20</v>
      </c>
      <c r="I2409" s="29">
        <f>IF(OR(COUNTIF('Suivi des rencontres'!$A:$A,$A2409)&gt;0,COUNTIF('Suivi des rencontres'!$C:$C,$J2409)&gt;0),"Non","Oui")</f>
        <v/>
      </c>
      <c r="J2409" s="30" t="inlineStr">
        <is>
          <t>SCARHINO</t>
        </is>
      </c>
    </row>
    <row r="2410">
      <c r="A2410" s="35" t="inlineStr">
        <is>
          <t>Route 44</t>
        </is>
      </c>
      <c r="B2410" s="35" t="inlineStr">
        <is>
          <t>Route44_hns</t>
        </is>
      </c>
      <c r="C2410" s="62" t="inlineStr">
        <is>
          <t>Nuit</t>
        </is>
      </c>
      <c r="D2410" s="36" t="inlineStr">
        <is>
          <t>Éclate-Roc</t>
        </is>
      </c>
      <c r="E2410" s="37" t="inlineStr">
        <is>
          <t>POMDEPIK</t>
        </is>
      </c>
      <c r="F2410" s="38" t="n">
        <v>0.6</v>
      </c>
      <c r="G2410" s="39" t="n">
        <v>20</v>
      </c>
      <c r="H2410" s="39" t="n">
        <v>20</v>
      </c>
      <c r="I2410" s="29">
        <f>IF(OR(COUNTIF('Suivi des rencontres'!$A:$A,$A2410)&gt;0,COUNTIF('Suivi des rencontres'!$C:$C,$J2410)&gt;0),"Non","Oui")</f>
        <v/>
      </c>
      <c r="J2410" s="30" t="inlineStr">
        <is>
          <t>POMDEPIK</t>
        </is>
      </c>
    </row>
    <row r="2411">
      <c r="A2411" s="35" t="inlineStr">
        <is>
          <t>Route 44</t>
        </is>
      </c>
      <c r="B2411" s="35" t="inlineStr">
        <is>
          <t>Route44_hns</t>
        </is>
      </c>
      <c r="C2411" s="62" t="inlineStr">
        <is>
          <t>Nuit</t>
        </is>
      </c>
      <c r="D2411" s="36" t="inlineStr">
        <is>
          <t>Éclate-Roc</t>
        </is>
      </c>
      <c r="E2411" s="37" t="inlineStr">
        <is>
          <t>CAPUMAIN</t>
        </is>
      </c>
      <c r="F2411" s="38" t="n">
        <v>0.35</v>
      </c>
      <c r="G2411" s="39" t="n">
        <v>20</v>
      </c>
      <c r="H2411" s="39" t="n">
        <v>20</v>
      </c>
      <c r="I2411" s="29">
        <f>IF(OR(COUNTIF('Suivi des rencontres'!$A:$A,$A2411)&gt;0,COUNTIF('Suivi des rencontres'!$C:$C,$J2411)&gt;0),"Non","Oui")</f>
        <v/>
      </c>
      <c r="J2411" s="30" t="inlineStr">
        <is>
          <t>CAPUMAIN</t>
        </is>
      </c>
    </row>
    <row r="2412">
      <c r="A2412" s="35" t="inlineStr">
        <is>
          <t>Route 44</t>
        </is>
      </c>
      <c r="B2412" s="35" t="inlineStr">
        <is>
          <t>Route44_hns</t>
        </is>
      </c>
      <c r="C2412" s="62" t="inlineStr">
        <is>
          <t>Nuit</t>
        </is>
      </c>
      <c r="D2412" s="36" t="inlineStr">
        <is>
          <t>Éclate-Roc</t>
        </is>
      </c>
      <c r="E2412" s="37" t="inlineStr">
        <is>
          <t>SCARHINO</t>
        </is>
      </c>
      <c r="F2412" s="38" t="n">
        <v>0.05</v>
      </c>
      <c r="G2412" s="39" t="n">
        <v>20</v>
      </c>
      <c r="H2412" s="39" t="n">
        <v>20</v>
      </c>
      <c r="I2412" s="29">
        <f>IF(OR(COUNTIF('Suivi des rencontres'!$A:$A,$A2412)&gt;0,COUNTIF('Suivi des rencontres'!$C:$C,$J2412)&gt;0),"Non","Oui")</f>
        <v/>
      </c>
      <c r="J2412" s="30" t="inlineStr">
        <is>
          <t>SCARHINO</t>
        </is>
      </c>
    </row>
    <row r="2413">
      <c r="A2413" s="35" t="inlineStr">
        <is>
          <t>Route 44</t>
        </is>
      </c>
      <c r="B2413" s="35" t="inlineStr">
        <is>
          <t>Route44_hns</t>
        </is>
      </c>
      <c r="C2413" s="33" t="inlineStr">
        <is>
          <t>Matin, jour, soir</t>
        </is>
      </c>
      <c r="D2413" s="54" t="inlineStr">
        <is>
          <t>Vieille Canne</t>
        </is>
      </c>
      <c r="E2413" s="37" t="inlineStr">
        <is>
          <t>MAGICARPE</t>
        </is>
      </c>
      <c r="F2413" s="38" t="n">
        <v>0.7</v>
      </c>
      <c r="G2413" s="39" t="n">
        <v>10</v>
      </c>
      <c r="H2413" s="39" t="n">
        <v>10</v>
      </c>
      <c r="I2413" s="29">
        <f>IF(OR(COUNTIF('Suivi des rencontres'!$A:$A,$A2413)&gt;0,COUNTIF('Suivi des rencontres'!$C:$C,$J2413)&gt;0),"Non","Oui")</f>
        <v/>
      </c>
      <c r="J2413" s="30" t="inlineStr">
        <is>
          <t>MAGICARPE</t>
        </is>
      </c>
    </row>
    <row r="2414">
      <c r="A2414" s="35" t="inlineStr">
        <is>
          <t>Route 44</t>
        </is>
      </c>
      <c r="B2414" s="35" t="inlineStr">
        <is>
          <t>Route44_hns</t>
        </is>
      </c>
      <c r="C2414" s="33" t="inlineStr">
        <is>
          <t>Matin, jour, soir</t>
        </is>
      </c>
      <c r="D2414" s="54" t="inlineStr">
        <is>
          <t>Vieille Canne</t>
        </is>
      </c>
      <c r="E2414" s="37" t="inlineStr">
        <is>
          <t>PTITARD</t>
        </is>
      </c>
      <c r="F2414" s="38" t="n">
        <v>0.3</v>
      </c>
      <c r="G2414" s="39" t="n">
        <v>10</v>
      </c>
      <c r="H2414" s="39" t="n">
        <v>10</v>
      </c>
      <c r="I2414" s="29">
        <f>IF(OR(COUNTIF('Suivi des rencontres'!$A:$A,$A2414)&gt;0,COUNTIF('Suivi des rencontres'!$C:$C,$J2414)&gt;0),"Non","Oui")</f>
        <v/>
      </c>
      <c r="J2414" s="30" t="inlineStr">
        <is>
          <t>PTITARD</t>
        </is>
      </c>
    </row>
    <row r="2415">
      <c r="A2415" s="35" t="inlineStr">
        <is>
          <t>Route 44</t>
        </is>
      </c>
      <c r="B2415" s="35" t="inlineStr">
        <is>
          <t>Route44_hns</t>
        </is>
      </c>
      <c r="C2415" s="62" t="inlineStr">
        <is>
          <t>Nuit</t>
        </is>
      </c>
      <c r="D2415" s="54" t="inlineStr">
        <is>
          <t>Vieille Canne</t>
        </is>
      </c>
      <c r="E2415" s="37" t="inlineStr">
        <is>
          <t>MAGICARPE</t>
        </is>
      </c>
      <c r="F2415" s="38" t="n">
        <v>0.7</v>
      </c>
      <c r="G2415" s="39" t="n">
        <v>10</v>
      </c>
      <c r="H2415" s="39" t="n">
        <v>10</v>
      </c>
      <c r="I2415" s="29">
        <f>IF(OR(COUNTIF('Suivi des rencontres'!$A:$A,$A2415)&gt;0,COUNTIF('Suivi des rencontres'!$C:$C,$J2415)&gt;0),"Non","Oui")</f>
        <v/>
      </c>
      <c r="J2415" s="30" t="inlineStr">
        <is>
          <t>MAGICARPE</t>
        </is>
      </c>
    </row>
    <row r="2416">
      <c r="A2416" s="35" t="inlineStr">
        <is>
          <t>Route 44</t>
        </is>
      </c>
      <c r="B2416" s="35" t="inlineStr">
        <is>
          <t>Route44_hns</t>
        </is>
      </c>
      <c r="C2416" s="62" t="inlineStr">
        <is>
          <t>Nuit</t>
        </is>
      </c>
      <c r="D2416" s="54" t="inlineStr">
        <is>
          <t>Vieille Canne</t>
        </is>
      </c>
      <c r="E2416" s="37" t="inlineStr">
        <is>
          <t>PTITARD</t>
        </is>
      </c>
      <c r="F2416" s="38" t="n">
        <v>0.3</v>
      </c>
      <c r="G2416" s="39" t="n">
        <v>10</v>
      </c>
      <c r="H2416" s="39" t="n">
        <v>10</v>
      </c>
      <c r="I2416" s="29">
        <f>IF(OR(COUNTIF('Suivi des rencontres'!$A:$A,$A2416)&gt;0,COUNTIF('Suivi des rencontres'!$C:$C,$J2416)&gt;0),"Non","Oui")</f>
        <v/>
      </c>
      <c r="J2416" s="30" t="inlineStr">
        <is>
          <t>PTITARD</t>
        </is>
      </c>
    </row>
    <row r="2417">
      <c r="A2417" s="35" t="inlineStr">
        <is>
          <t>Route 44</t>
        </is>
      </c>
      <c r="B2417" s="35" t="inlineStr">
        <is>
          <t>Route44_hns</t>
        </is>
      </c>
      <c r="C2417" s="33" t="inlineStr">
        <is>
          <t>Matin, jour, soir</t>
        </is>
      </c>
      <c r="D2417" s="55" t="inlineStr">
        <is>
          <t>Bonne Canne</t>
        </is>
      </c>
      <c r="E2417" s="37" t="inlineStr">
        <is>
          <t>PTITARD</t>
        </is>
      </c>
      <c r="F2417" s="38" t="n">
        <v>0.8</v>
      </c>
      <c r="G2417" s="39" t="n">
        <v>20</v>
      </c>
      <c r="H2417" s="39" t="n">
        <v>40</v>
      </c>
      <c r="I2417" s="29">
        <f>IF(OR(COUNTIF('Suivi des rencontres'!$A:$A,$A2417)&gt;0,COUNTIF('Suivi des rencontres'!$C:$C,$J2417)&gt;0),"Non","Oui")</f>
        <v/>
      </c>
      <c r="J2417" s="30" t="inlineStr">
        <is>
          <t>PTITARD</t>
        </is>
      </c>
    </row>
    <row r="2418">
      <c r="A2418" s="35" t="inlineStr">
        <is>
          <t>Route 44</t>
        </is>
      </c>
      <c r="B2418" s="35" t="inlineStr">
        <is>
          <t>Route44_hns</t>
        </is>
      </c>
      <c r="C2418" s="33" t="inlineStr">
        <is>
          <t>Matin, jour, soir</t>
        </is>
      </c>
      <c r="D2418" s="55" t="inlineStr">
        <is>
          <t>Bonne Canne</t>
        </is>
      </c>
      <c r="E2418" s="37" t="inlineStr">
        <is>
          <t>MAGICARPE</t>
        </is>
      </c>
      <c r="F2418" s="38" t="n">
        <v>0.2</v>
      </c>
      <c r="G2418" s="39" t="n">
        <v>20</v>
      </c>
      <c r="H2418" s="39" t="n">
        <v>20</v>
      </c>
      <c r="I2418" s="29">
        <f>IF(OR(COUNTIF('Suivi des rencontres'!$A:$A,$A2418)&gt;0,COUNTIF('Suivi des rencontres'!$C:$C,$J2418)&gt;0),"Non","Oui")</f>
        <v/>
      </c>
      <c r="J2418" s="30" t="inlineStr">
        <is>
          <t>MAGICARPE</t>
        </is>
      </c>
    </row>
    <row r="2419">
      <c r="A2419" s="35" t="inlineStr">
        <is>
          <t>Route 44</t>
        </is>
      </c>
      <c r="B2419" s="35" t="inlineStr">
        <is>
          <t>Route44_hns</t>
        </is>
      </c>
      <c r="C2419" s="62" t="inlineStr">
        <is>
          <t>Nuit</t>
        </is>
      </c>
      <c r="D2419" s="55" t="inlineStr">
        <is>
          <t>Bonne Canne</t>
        </is>
      </c>
      <c r="E2419" s="37" t="inlineStr">
        <is>
          <t>PTITARD</t>
        </is>
      </c>
      <c r="F2419" s="38" t="n">
        <v>0.8</v>
      </c>
      <c r="G2419" s="39" t="n">
        <v>20</v>
      </c>
      <c r="H2419" s="39" t="n">
        <v>40</v>
      </c>
      <c r="I2419" s="29">
        <f>IF(OR(COUNTIF('Suivi des rencontres'!$A:$A,$A2419)&gt;0,COUNTIF('Suivi des rencontres'!$C:$C,$J2419)&gt;0),"Non","Oui")</f>
        <v/>
      </c>
      <c r="J2419" s="30" t="inlineStr">
        <is>
          <t>PTITARD</t>
        </is>
      </c>
    </row>
    <row r="2420">
      <c r="A2420" s="35" t="inlineStr">
        <is>
          <t>Route 44</t>
        </is>
      </c>
      <c r="B2420" s="35" t="inlineStr">
        <is>
          <t>Route44_hns</t>
        </is>
      </c>
      <c r="C2420" s="62" t="inlineStr">
        <is>
          <t>Nuit</t>
        </is>
      </c>
      <c r="D2420" s="55" t="inlineStr">
        <is>
          <t>Bonne Canne</t>
        </is>
      </c>
      <c r="E2420" s="37" t="inlineStr">
        <is>
          <t>MAGICARPE</t>
        </is>
      </c>
      <c r="F2420" s="38" t="n">
        <v>0.2</v>
      </c>
      <c r="G2420" s="39" t="n">
        <v>20</v>
      </c>
      <c r="H2420" s="39" t="n">
        <v>20</v>
      </c>
      <c r="I2420" s="29">
        <f>IF(OR(COUNTIF('Suivi des rencontres'!$A:$A,$A2420)&gt;0,COUNTIF('Suivi des rencontres'!$C:$C,$J2420)&gt;0),"Non","Oui")</f>
        <v/>
      </c>
      <c r="J2420" s="30" t="inlineStr">
        <is>
          <t>MAGICARPE</t>
        </is>
      </c>
    </row>
    <row r="2421">
      <c r="A2421" s="35" t="inlineStr">
        <is>
          <t>Route 44</t>
        </is>
      </c>
      <c r="B2421" s="35" t="inlineStr">
        <is>
          <t>Route44_hns</t>
        </is>
      </c>
      <c r="C2421" s="33" t="inlineStr">
        <is>
          <t>Matin, jour, soir</t>
        </is>
      </c>
      <c r="D2421" s="56" t="inlineStr">
        <is>
          <t>Super Canne</t>
        </is>
      </c>
      <c r="E2421" s="37" t="inlineStr">
        <is>
          <t>PTITARD</t>
        </is>
      </c>
      <c r="F2421" s="38" t="n">
        <v>0.59</v>
      </c>
      <c r="G2421" s="39" t="n">
        <v>40</v>
      </c>
      <c r="H2421" s="39" t="n">
        <v>40</v>
      </c>
      <c r="I2421" s="29">
        <f>IF(OR(COUNTIF('Suivi des rencontres'!$A:$A,$A2421)&gt;0,COUNTIF('Suivi des rencontres'!$C:$C,$J2421)&gt;0),"Non","Oui")</f>
        <v/>
      </c>
      <c r="J2421" s="30" t="inlineStr">
        <is>
          <t>PTITARD</t>
        </is>
      </c>
    </row>
    <row r="2422">
      <c r="A2422" s="35" t="inlineStr">
        <is>
          <t>Route 44</t>
        </is>
      </c>
      <c r="B2422" s="35" t="inlineStr">
        <is>
          <t>Route44_hns</t>
        </is>
      </c>
      <c r="C2422" s="33" t="inlineStr">
        <is>
          <t>Matin, jour, soir</t>
        </is>
      </c>
      <c r="D2422" s="56" t="inlineStr">
        <is>
          <t>Super Canne</t>
        </is>
      </c>
      <c r="E2422" s="37" t="inlineStr">
        <is>
          <t>MAGICARPE</t>
        </is>
      </c>
      <c r="F2422" s="38" t="n">
        <v>0.41</v>
      </c>
      <c r="G2422" s="39" t="n">
        <v>40</v>
      </c>
      <c r="H2422" s="39" t="n">
        <v>40</v>
      </c>
      <c r="I2422" s="29">
        <f>IF(OR(COUNTIF('Suivi des rencontres'!$A:$A,$A2422)&gt;0,COUNTIF('Suivi des rencontres'!$C:$C,$J2422)&gt;0),"Non","Oui")</f>
        <v/>
      </c>
      <c r="J2422" s="30" t="inlineStr">
        <is>
          <t>MAGICARPE</t>
        </is>
      </c>
    </row>
    <row r="2423">
      <c r="A2423" s="35" t="inlineStr">
        <is>
          <t>Route 44</t>
        </is>
      </c>
      <c r="B2423" s="35" t="inlineStr">
        <is>
          <t>Route44_hns</t>
        </is>
      </c>
      <c r="C2423" s="62" t="inlineStr">
        <is>
          <t>Nuit</t>
        </is>
      </c>
      <c r="D2423" s="56" t="inlineStr">
        <is>
          <t>Super Canne</t>
        </is>
      </c>
      <c r="E2423" s="37" t="inlineStr">
        <is>
          <t>PTITARD</t>
        </is>
      </c>
      <c r="F2423" s="38" t="n">
        <v>0.59</v>
      </c>
      <c r="G2423" s="39" t="n">
        <v>40</v>
      </c>
      <c r="H2423" s="39" t="n">
        <v>40</v>
      </c>
      <c r="I2423" s="29">
        <f>IF(OR(COUNTIF('Suivi des rencontres'!$A:$A,$A2423)&gt;0,COUNTIF('Suivi des rencontres'!$C:$C,$J2423)&gt;0),"Non","Oui")</f>
        <v/>
      </c>
      <c r="J2423" s="30" t="inlineStr">
        <is>
          <t>PTITARD</t>
        </is>
      </c>
    </row>
    <row r="2424">
      <c r="A2424" s="35" t="inlineStr">
        <is>
          <t>Route 44</t>
        </is>
      </c>
      <c r="B2424" s="35" t="inlineStr">
        <is>
          <t>Route44_hns</t>
        </is>
      </c>
      <c r="C2424" s="62" t="inlineStr">
        <is>
          <t>Nuit</t>
        </is>
      </c>
      <c r="D2424" s="56" t="inlineStr">
        <is>
          <t>Super Canne</t>
        </is>
      </c>
      <c r="E2424" s="37" t="inlineStr">
        <is>
          <t>MAGICARPE</t>
        </is>
      </c>
      <c r="F2424" s="38" t="n">
        <v>0.41</v>
      </c>
      <c r="G2424" s="39" t="n">
        <v>40</v>
      </c>
      <c r="H2424" s="39" t="n">
        <v>40</v>
      </c>
      <c r="I2424" s="29">
        <f>IF(OR(COUNTIF('Suivi des rencontres'!$A:$A,$A2424)&gt;0,COUNTIF('Suivi des rencontres'!$C:$C,$J2424)&gt;0),"Non","Oui")</f>
        <v/>
      </c>
      <c r="J2424" s="30" t="inlineStr">
        <is>
          <t>MAGICARPE</t>
        </is>
      </c>
    </row>
    <row r="2425">
      <c r="A2425" s="40" t="inlineStr">
        <is>
          <t>Route 45</t>
        </is>
      </c>
      <c r="B2425" s="40" t="inlineStr">
        <is>
          <t>Route45_hns</t>
        </is>
      </c>
      <c r="C2425" s="41" t="inlineStr">
        <is>
          <t>Toute la journée</t>
        </is>
      </c>
      <c r="D2425" s="42" t="inlineStr">
        <is>
          <t>Herbe</t>
        </is>
      </c>
      <c r="E2425" s="43" t="inlineStr">
        <is>
          <t>DONPHAN</t>
        </is>
      </c>
      <c r="F2425" s="44" t="n">
        <v>0.31</v>
      </c>
      <c r="G2425" s="45" t="n">
        <v>34</v>
      </c>
      <c r="H2425" s="45" t="n">
        <v>35</v>
      </c>
      <c r="I2425" s="46">
        <f>IF(OR(COUNTIF('Suivi des rencontres'!$A:$A,$A2425)&gt;0,COUNTIF('Suivi des rencontres'!$C:$C,$J2425)&gt;0),"Non","Oui")</f>
        <v/>
      </c>
      <c r="J2425" s="30" t="inlineStr">
        <is>
          <t>PHANPY</t>
        </is>
      </c>
    </row>
    <row r="2426">
      <c r="A2426" s="47" t="inlineStr">
        <is>
          <t>Route 45</t>
        </is>
      </c>
      <c r="B2426" s="47" t="inlineStr">
        <is>
          <t>Route45_hns</t>
        </is>
      </c>
      <c r="C2426" s="48" t="inlineStr">
        <is>
          <t>Toute la journée</t>
        </is>
      </c>
      <c r="D2426" s="49" t="inlineStr">
        <is>
          <t>Herbe</t>
        </is>
      </c>
      <c r="E2426" s="50" t="inlineStr">
        <is>
          <t>GRAVALANCH</t>
        </is>
      </c>
      <c r="F2426" s="51" t="n">
        <v>0.31</v>
      </c>
      <c r="G2426" s="52" t="n">
        <v>34</v>
      </c>
      <c r="H2426" s="52" t="n">
        <v>34</v>
      </c>
      <c r="I2426" s="29">
        <f>IF(OR(COUNTIF('Suivi des rencontres'!$A:$A,$A2426)&gt;0,COUNTIF('Suivi des rencontres'!$C:$C,$J2426)&gt;0),"Non","Oui")</f>
        <v/>
      </c>
      <c r="J2426" s="30" t="inlineStr">
        <is>
          <t>RACAILLOU</t>
        </is>
      </c>
    </row>
    <row r="2427">
      <c r="A2427" s="47" t="inlineStr">
        <is>
          <t>Route 45</t>
        </is>
      </c>
      <c r="B2427" s="47" t="inlineStr">
        <is>
          <t>Route45_hns</t>
        </is>
      </c>
      <c r="C2427" s="48" t="inlineStr">
        <is>
          <t>Toute la journée</t>
        </is>
      </c>
      <c r="D2427" s="49" t="inlineStr">
        <is>
          <t>Herbe</t>
        </is>
      </c>
      <c r="E2427" s="50" t="inlineStr">
        <is>
          <t>SCORPLANE</t>
        </is>
      </c>
      <c r="F2427" s="51" t="n">
        <v>0.15</v>
      </c>
      <c r="G2427" s="52" t="n">
        <v>31</v>
      </c>
      <c r="H2427" s="52" t="n">
        <v>31</v>
      </c>
      <c r="I2427" s="29">
        <f>IF(OR(COUNTIF('Suivi des rencontres'!$A:$A,$A2427)&gt;0,COUNTIF('Suivi des rencontres'!$C:$C,$J2427)&gt;0),"Non","Oui")</f>
        <v/>
      </c>
      <c r="J2427" s="30" t="inlineStr">
        <is>
          <t>SCORPLANE</t>
        </is>
      </c>
    </row>
    <row r="2428">
      <c r="A2428" s="47" t="inlineStr">
        <is>
          <t>Route 45</t>
        </is>
      </c>
      <c r="B2428" s="47" t="inlineStr">
        <is>
          <t>Route45_hns</t>
        </is>
      </c>
      <c r="C2428" s="48" t="inlineStr">
        <is>
          <t>Toute la journée</t>
        </is>
      </c>
      <c r="D2428" s="49" t="inlineStr">
        <is>
          <t>Herbe</t>
        </is>
      </c>
      <c r="E2428" s="50" t="inlineStr">
        <is>
          <t>URSARING</t>
        </is>
      </c>
      <c r="F2428" s="51" t="n">
        <v>0.14</v>
      </c>
      <c r="G2428" s="52" t="n">
        <v>35</v>
      </c>
      <c r="H2428" s="52" t="n">
        <v>35</v>
      </c>
      <c r="I2428" s="29">
        <f>IF(OR(COUNTIF('Suivi des rencontres'!$A:$A,$A2428)&gt;0,COUNTIF('Suivi des rencontres'!$C:$C,$J2428)&gt;0),"Non","Oui")</f>
        <v/>
      </c>
      <c r="J2428" s="30" t="inlineStr">
        <is>
          <t>TEDDIURSA</t>
        </is>
      </c>
    </row>
    <row r="2429">
      <c r="A2429" s="47" t="inlineStr">
        <is>
          <t>Route 45</t>
        </is>
      </c>
      <c r="B2429" s="47" t="inlineStr">
        <is>
          <t>Route45_hns</t>
        </is>
      </c>
      <c r="C2429" s="48" t="inlineStr">
        <is>
          <t>Toute la journée</t>
        </is>
      </c>
      <c r="D2429" s="49" t="inlineStr">
        <is>
          <t>Herbe</t>
        </is>
      </c>
      <c r="E2429" s="50" t="inlineStr">
        <is>
          <t>AIRMURE</t>
        </is>
      </c>
      <c r="F2429" s="51" t="n">
        <v>0.09</v>
      </c>
      <c r="G2429" s="52" t="n">
        <v>37</v>
      </c>
      <c r="H2429" s="52" t="n">
        <v>37</v>
      </c>
      <c r="I2429" s="29">
        <f>IF(OR(COUNTIF('Suivi des rencontres'!$A:$A,$A2429)&gt;0,COUNTIF('Suivi des rencontres'!$C:$C,$J2429)&gt;0),"Non","Oui")</f>
        <v/>
      </c>
      <c r="J2429" s="30" t="inlineStr">
        <is>
          <t>AIRMURE</t>
        </is>
      </c>
    </row>
    <row r="2430">
      <c r="A2430" s="47" t="inlineStr">
        <is>
          <t>Route 45</t>
        </is>
      </c>
      <c r="B2430" s="47" t="inlineStr">
        <is>
          <t>Route45_hns</t>
        </is>
      </c>
      <c r="C2430" s="48" t="inlineStr">
        <is>
          <t>Toute la journée</t>
        </is>
      </c>
      <c r="D2430" s="53" t="inlineStr">
        <is>
          <t>Surf</t>
        </is>
      </c>
      <c r="E2430" s="50" t="inlineStr">
        <is>
          <t>MAGICARPE</t>
        </is>
      </c>
      <c r="F2430" s="51" t="n">
        <v>1</v>
      </c>
      <c r="G2430" s="52" t="n">
        <v>5</v>
      </c>
      <c r="H2430" s="52" t="n">
        <v>24</v>
      </c>
      <c r="I2430" s="29">
        <f>IF(OR(COUNTIF('Suivi des rencontres'!$A:$A,$A2430)&gt;0,COUNTIF('Suivi des rencontres'!$C:$C,$J2430)&gt;0),"Non","Oui")</f>
        <v/>
      </c>
      <c r="J2430" s="30" t="inlineStr">
        <is>
          <t>MAGICARPE</t>
        </is>
      </c>
    </row>
    <row r="2431">
      <c r="A2431" s="47" t="inlineStr">
        <is>
          <t>Route 45</t>
        </is>
      </c>
      <c r="B2431" s="47" t="inlineStr">
        <is>
          <t>Route45_hns</t>
        </is>
      </c>
      <c r="C2431" s="48" t="inlineStr">
        <is>
          <t>Toute la journée</t>
        </is>
      </c>
      <c r="D2431" s="36" t="inlineStr">
        <is>
          <t>Éclate-Roc</t>
        </is>
      </c>
      <c r="E2431" s="50" t="inlineStr">
        <is>
          <t>POMDEPIK</t>
        </is>
      </c>
      <c r="F2431" s="51" t="n">
        <v>0.6</v>
      </c>
      <c r="G2431" s="52" t="n">
        <v>20</v>
      </c>
      <c r="H2431" s="52" t="n">
        <v>20</v>
      </c>
      <c r="I2431" s="29">
        <f>IF(OR(COUNTIF('Suivi des rencontres'!$A:$A,$A2431)&gt;0,COUNTIF('Suivi des rencontres'!$C:$C,$J2431)&gt;0),"Non","Oui")</f>
        <v/>
      </c>
      <c r="J2431" s="30" t="inlineStr">
        <is>
          <t>POMDEPIK</t>
        </is>
      </c>
    </row>
    <row r="2432">
      <c r="A2432" s="47" t="inlineStr">
        <is>
          <t>Route 45</t>
        </is>
      </c>
      <c r="B2432" s="47" t="inlineStr">
        <is>
          <t>Route45_hns</t>
        </is>
      </c>
      <c r="C2432" s="48" t="inlineStr">
        <is>
          <t>Toute la journée</t>
        </is>
      </c>
      <c r="D2432" s="36" t="inlineStr">
        <is>
          <t>Éclate-Roc</t>
        </is>
      </c>
      <c r="E2432" s="50" t="inlineStr">
        <is>
          <t>CAPUMAIN</t>
        </is>
      </c>
      <c r="F2432" s="51" t="n">
        <v>0.35</v>
      </c>
      <c r="G2432" s="52" t="n">
        <v>20</v>
      </c>
      <c r="H2432" s="52" t="n">
        <v>20</v>
      </c>
      <c r="I2432" s="29">
        <f>IF(OR(COUNTIF('Suivi des rencontres'!$A:$A,$A2432)&gt;0,COUNTIF('Suivi des rencontres'!$C:$C,$J2432)&gt;0),"Non","Oui")</f>
        <v/>
      </c>
      <c r="J2432" s="30" t="inlineStr">
        <is>
          <t>CAPUMAIN</t>
        </is>
      </c>
    </row>
    <row r="2433">
      <c r="A2433" s="47" t="inlineStr">
        <is>
          <t>Route 45</t>
        </is>
      </c>
      <c r="B2433" s="47" t="inlineStr">
        <is>
          <t>Route45_hns</t>
        </is>
      </c>
      <c r="C2433" s="48" t="inlineStr">
        <is>
          <t>Toute la journée</t>
        </is>
      </c>
      <c r="D2433" s="36" t="inlineStr">
        <is>
          <t>Éclate-Roc</t>
        </is>
      </c>
      <c r="E2433" s="50" t="inlineStr">
        <is>
          <t>SCARHINO</t>
        </is>
      </c>
      <c r="F2433" s="51" t="n">
        <v>0.05</v>
      </c>
      <c r="G2433" s="52" t="n">
        <v>20</v>
      </c>
      <c r="H2433" s="52" t="n">
        <v>20</v>
      </c>
      <c r="I2433" s="29">
        <f>IF(OR(COUNTIF('Suivi des rencontres'!$A:$A,$A2433)&gt;0,COUNTIF('Suivi des rencontres'!$C:$C,$J2433)&gt;0),"Non","Oui")</f>
        <v/>
      </c>
      <c r="J2433" s="30" t="inlineStr">
        <is>
          <t>SCARHINO</t>
        </is>
      </c>
    </row>
    <row r="2434">
      <c r="A2434" s="47" t="inlineStr">
        <is>
          <t>Route 45</t>
        </is>
      </c>
      <c r="B2434" s="47" t="inlineStr">
        <is>
          <t>Route45_hns</t>
        </is>
      </c>
      <c r="C2434" s="48" t="inlineStr">
        <is>
          <t>Toute la journée</t>
        </is>
      </c>
      <c r="D2434" s="54" t="inlineStr">
        <is>
          <t>Vieille Canne</t>
        </is>
      </c>
      <c r="E2434" s="50" t="inlineStr">
        <is>
          <t>MAGICARPE</t>
        </is>
      </c>
      <c r="F2434" s="51" t="n">
        <v>0.7</v>
      </c>
      <c r="G2434" s="52" t="n">
        <v>10</v>
      </c>
      <c r="H2434" s="52" t="n">
        <v>10</v>
      </c>
      <c r="I2434" s="29">
        <f>IF(OR(COUNTIF('Suivi des rencontres'!$A:$A,$A2434)&gt;0,COUNTIF('Suivi des rencontres'!$C:$C,$J2434)&gt;0),"Non","Oui")</f>
        <v/>
      </c>
      <c r="J2434" s="30" t="inlineStr">
        <is>
          <t>MAGICARPE</t>
        </is>
      </c>
    </row>
    <row r="2435">
      <c r="A2435" s="47" t="inlineStr">
        <is>
          <t>Route 45</t>
        </is>
      </c>
      <c r="B2435" s="47" t="inlineStr">
        <is>
          <t>Route45_hns</t>
        </is>
      </c>
      <c r="C2435" s="48" t="inlineStr">
        <is>
          <t>Toute la journée</t>
        </is>
      </c>
      <c r="D2435" s="54" t="inlineStr">
        <is>
          <t>Vieille Canne</t>
        </is>
      </c>
      <c r="E2435" s="50" t="inlineStr">
        <is>
          <t>MINIDRACO</t>
        </is>
      </c>
      <c r="F2435" s="51" t="n">
        <v>0.3</v>
      </c>
      <c r="G2435" s="52" t="n">
        <v>10</v>
      </c>
      <c r="H2435" s="52" t="n">
        <v>10</v>
      </c>
      <c r="I2435" s="29">
        <f>IF(OR(COUNTIF('Suivi des rencontres'!$A:$A,$A2435)&gt;0,COUNTIF('Suivi des rencontres'!$C:$C,$J2435)&gt;0),"Non","Oui")</f>
        <v/>
      </c>
      <c r="J2435" s="30" t="inlineStr">
        <is>
          <t>MINIDRACO</t>
        </is>
      </c>
    </row>
    <row r="2436">
      <c r="A2436" s="47" t="inlineStr">
        <is>
          <t>Route 45</t>
        </is>
      </c>
      <c r="B2436" s="47" t="inlineStr">
        <is>
          <t>Route45_hns</t>
        </is>
      </c>
      <c r="C2436" s="48" t="inlineStr">
        <is>
          <t>Toute la journée</t>
        </is>
      </c>
      <c r="D2436" s="55" t="inlineStr">
        <is>
          <t>Bonne Canne</t>
        </is>
      </c>
      <c r="E2436" s="50" t="inlineStr">
        <is>
          <t>MAGICARPE</t>
        </is>
      </c>
      <c r="F2436" s="51" t="n">
        <v>0.8</v>
      </c>
      <c r="G2436" s="52" t="n">
        <v>10</v>
      </c>
      <c r="H2436" s="52" t="n">
        <v>10</v>
      </c>
      <c r="I2436" s="29">
        <f>IF(OR(COUNTIF('Suivi des rencontres'!$A:$A,$A2436)&gt;0,COUNTIF('Suivi des rencontres'!$C:$C,$J2436)&gt;0),"Non","Oui")</f>
        <v/>
      </c>
      <c r="J2436" s="30" t="inlineStr">
        <is>
          <t>MAGICARPE</t>
        </is>
      </c>
    </row>
    <row r="2437">
      <c r="A2437" s="47" t="inlineStr">
        <is>
          <t>Route 45</t>
        </is>
      </c>
      <c r="B2437" s="47" t="inlineStr">
        <is>
          <t>Route45_hns</t>
        </is>
      </c>
      <c r="C2437" s="48" t="inlineStr">
        <is>
          <t>Toute la journée</t>
        </is>
      </c>
      <c r="D2437" s="55" t="inlineStr">
        <is>
          <t>Bonne Canne</t>
        </is>
      </c>
      <c r="E2437" s="50" t="inlineStr">
        <is>
          <t>MINIDRACO</t>
        </is>
      </c>
      <c r="F2437" s="51" t="n">
        <v>0.2</v>
      </c>
      <c r="G2437" s="52" t="n">
        <v>10</v>
      </c>
      <c r="H2437" s="52" t="n">
        <v>10</v>
      </c>
      <c r="I2437" s="29">
        <f>IF(OR(COUNTIF('Suivi des rencontres'!$A:$A,$A2437)&gt;0,COUNTIF('Suivi des rencontres'!$C:$C,$J2437)&gt;0),"Non","Oui")</f>
        <v/>
      </c>
      <c r="J2437" s="30" t="inlineStr">
        <is>
          <t>MINIDRACO</t>
        </is>
      </c>
    </row>
    <row r="2438">
      <c r="A2438" s="47" t="inlineStr">
        <is>
          <t>Route 45</t>
        </is>
      </c>
      <c r="B2438" s="47" t="inlineStr">
        <is>
          <t>Route45_hns</t>
        </is>
      </c>
      <c r="C2438" s="48" t="inlineStr">
        <is>
          <t>Toute la journée</t>
        </is>
      </c>
      <c r="D2438" s="56" t="inlineStr">
        <is>
          <t>Super Canne</t>
        </is>
      </c>
      <c r="E2438" s="50" t="inlineStr">
        <is>
          <t>MINIDRACO</t>
        </is>
      </c>
      <c r="F2438" s="51" t="n">
        <v>0.59</v>
      </c>
      <c r="G2438" s="52" t="n">
        <v>10</v>
      </c>
      <c r="H2438" s="52" t="n">
        <v>10</v>
      </c>
      <c r="I2438" s="29">
        <f>IF(OR(COUNTIF('Suivi des rencontres'!$A:$A,$A2438)&gt;0,COUNTIF('Suivi des rencontres'!$C:$C,$J2438)&gt;0),"Non","Oui")</f>
        <v/>
      </c>
      <c r="J2438" s="30" t="inlineStr">
        <is>
          <t>MINIDRACO</t>
        </is>
      </c>
    </row>
    <row r="2439">
      <c r="A2439" s="47" t="inlineStr">
        <is>
          <t>Route 45</t>
        </is>
      </c>
      <c r="B2439" s="47" t="inlineStr">
        <is>
          <t>Route45_hns</t>
        </is>
      </c>
      <c r="C2439" s="48" t="inlineStr">
        <is>
          <t>Toute la journée</t>
        </is>
      </c>
      <c r="D2439" s="56" t="inlineStr">
        <is>
          <t>Super Canne</t>
        </is>
      </c>
      <c r="E2439" s="50" t="inlineStr">
        <is>
          <t>DRACO</t>
        </is>
      </c>
      <c r="F2439" s="51" t="n">
        <v>0.4</v>
      </c>
      <c r="G2439" s="52" t="n">
        <v>10</v>
      </c>
      <c r="H2439" s="52" t="n">
        <v>10</v>
      </c>
      <c r="I2439" s="29">
        <f>IF(OR(COUNTIF('Suivi des rencontres'!$A:$A,$A2439)&gt;0,COUNTIF('Suivi des rencontres'!$C:$C,$J2439)&gt;0),"Non","Oui")</f>
        <v/>
      </c>
      <c r="J2439" s="30" t="inlineStr">
        <is>
          <t>MINIDRACO</t>
        </is>
      </c>
    </row>
    <row r="2440">
      <c r="A2440" s="47" t="inlineStr">
        <is>
          <t>Route 45</t>
        </is>
      </c>
      <c r="B2440" s="47" t="inlineStr">
        <is>
          <t>Route45_hns</t>
        </is>
      </c>
      <c r="C2440" s="48" t="inlineStr">
        <is>
          <t>Toute la journée</t>
        </is>
      </c>
      <c r="D2440" s="56" t="inlineStr">
        <is>
          <t>Super Canne</t>
        </is>
      </c>
      <c r="E2440" s="50" t="inlineStr">
        <is>
          <t>MAGICARPE</t>
        </is>
      </c>
      <c r="F2440" s="51" t="n">
        <v>0.01</v>
      </c>
      <c r="G2440" s="52" t="n">
        <v>10</v>
      </c>
      <c r="H2440" s="52" t="n">
        <v>10</v>
      </c>
      <c r="I2440" s="29">
        <f>IF(OR(COUNTIF('Suivi des rencontres'!$A:$A,$A2440)&gt;0,COUNTIF('Suivi des rencontres'!$C:$C,$J2440)&gt;0),"Non","Oui")</f>
        <v/>
      </c>
      <c r="J2440" s="30" t="inlineStr">
        <is>
          <t>MAGICARPE</t>
        </is>
      </c>
    </row>
    <row r="2441">
      <c r="A2441" s="57" t="inlineStr">
        <is>
          <t>Route 46</t>
        </is>
      </c>
      <c r="B2441" s="57" t="inlineStr">
        <is>
          <t>Route46_hns</t>
        </is>
      </c>
      <c r="C2441" s="58" t="inlineStr">
        <is>
          <t>Matin, jour, soir</t>
        </is>
      </c>
      <c r="D2441" s="42" t="inlineStr">
        <is>
          <t>Herbe</t>
        </is>
      </c>
      <c r="E2441" s="59" t="inlineStr">
        <is>
          <t>RACAILLOU</t>
        </is>
      </c>
      <c r="F2441" s="60" t="n">
        <v>0.5</v>
      </c>
      <c r="G2441" s="61" t="n">
        <v>2</v>
      </c>
      <c r="H2441" s="61" t="n">
        <v>3</v>
      </c>
      <c r="I2441" s="46">
        <f>IF(OR(COUNTIF('Suivi des rencontres'!$A:$A,$A2441)&gt;0,COUNTIF('Suivi des rencontres'!$C:$C,$J2441)&gt;0),"Non","Oui")</f>
        <v/>
      </c>
      <c r="J2441" s="30" t="inlineStr">
        <is>
          <t>RACAILLOU</t>
        </is>
      </c>
    </row>
    <row r="2442">
      <c r="A2442" s="35" t="inlineStr">
        <is>
          <t>Route 46</t>
        </is>
      </c>
      <c r="B2442" s="35" t="inlineStr">
        <is>
          <t>Route46_hns</t>
        </is>
      </c>
      <c r="C2442" s="33" t="inlineStr">
        <is>
          <t>Matin, jour, soir</t>
        </is>
      </c>
      <c r="D2442" s="49" t="inlineStr">
        <is>
          <t>Herbe</t>
        </is>
      </c>
      <c r="E2442" s="37" t="inlineStr">
        <is>
          <t>PIAFABEC</t>
        </is>
      </c>
      <c r="F2442" s="38" t="n">
        <v>0.3</v>
      </c>
      <c r="G2442" s="39" t="n">
        <v>2</v>
      </c>
      <c r="H2442" s="39" t="n">
        <v>2</v>
      </c>
      <c r="I2442" s="29">
        <f>IF(OR(COUNTIF('Suivi des rencontres'!$A:$A,$A2442)&gt;0,COUNTIF('Suivi des rencontres'!$C:$C,$J2442)&gt;0),"Non","Oui")</f>
        <v/>
      </c>
      <c r="J2442" s="30" t="inlineStr">
        <is>
          <t>PIAFABEC</t>
        </is>
      </c>
    </row>
    <row r="2443">
      <c r="A2443" s="35" t="inlineStr">
        <is>
          <t>Route 46</t>
        </is>
      </c>
      <c r="B2443" s="35" t="inlineStr">
        <is>
          <t>Route46_hns</t>
        </is>
      </c>
      <c r="C2443" s="33" t="inlineStr">
        <is>
          <t>Matin, jour, soir</t>
        </is>
      </c>
      <c r="D2443" s="49" t="inlineStr">
        <is>
          <t>Herbe</t>
        </is>
      </c>
      <c r="E2443" s="37" t="inlineStr">
        <is>
          <t>RATTATA</t>
        </is>
      </c>
      <c r="F2443" s="38" t="n">
        <v>0.15</v>
      </c>
      <c r="G2443" s="39" t="n">
        <v>2</v>
      </c>
      <c r="H2443" s="39" t="n">
        <v>3</v>
      </c>
      <c r="I2443" s="29">
        <f>IF(OR(COUNTIF('Suivi des rencontres'!$A:$A,$A2443)&gt;0,COUNTIF('Suivi des rencontres'!$C:$C,$J2443)&gt;0),"Non","Oui")</f>
        <v/>
      </c>
      <c r="J2443" s="30" t="inlineStr">
        <is>
          <t>RATTATA</t>
        </is>
      </c>
    </row>
    <row r="2444">
      <c r="A2444" s="35" t="inlineStr">
        <is>
          <t>Route 46</t>
        </is>
      </c>
      <c r="B2444" s="35" t="inlineStr">
        <is>
          <t>Route46_hns</t>
        </is>
      </c>
      <c r="C2444" s="33" t="inlineStr">
        <is>
          <t>Matin, jour, soir</t>
        </is>
      </c>
      <c r="D2444" s="49" t="inlineStr">
        <is>
          <t>Herbe</t>
        </is>
      </c>
      <c r="E2444" s="37" t="inlineStr">
        <is>
          <t>PHANPY</t>
        </is>
      </c>
      <c r="F2444" s="38" t="n">
        <v>0.05</v>
      </c>
      <c r="G2444" s="39" t="n">
        <v>2</v>
      </c>
      <c r="H2444" s="39" t="n">
        <v>3</v>
      </c>
      <c r="I2444" s="29">
        <f>IF(OR(COUNTIF('Suivi des rencontres'!$A:$A,$A2444)&gt;0,COUNTIF('Suivi des rencontres'!$C:$C,$J2444)&gt;0),"Non","Oui")</f>
        <v/>
      </c>
      <c r="J2444" s="30" t="inlineStr">
        <is>
          <t>PHANPY</t>
        </is>
      </c>
    </row>
    <row r="2445">
      <c r="A2445" s="35" t="inlineStr">
        <is>
          <t>Route 46</t>
        </is>
      </c>
      <c r="B2445" s="35" t="inlineStr">
        <is>
          <t>Route46_hns</t>
        </is>
      </c>
      <c r="C2445" s="62" t="inlineStr">
        <is>
          <t>Nuit</t>
        </is>
      </c>
      <c r="D2445" s="49" t="inlineStr">
        <is>
          <t>Herbe</t>
        </is>
      </c>
      <c r="E2445" s="37" t="inlineStr">
        <is>
          <t>RACAILLOU</t>
        </is>
      </c>
      <c r="F2445" s="38" t="n">
        <v>0.5</v>
      </c>
      <c r="G2445" s="39" t="n">
        <v>2</v>
      </c>
      <c r="H2445" s="39" t="n">
        <v>3</v>
      </c>
      <c r="I2445" s="29">
        <f>IF(OR(COUNTIF('Suivi des rencontres'!$A:$A,$A2445)&gt;0,COUNTIF('Suivi des rencontres'!$C:$C,$J2445)&gt;0),"Non","Oui")</f>
        <v/>
      </c>
      <c r="J2445" s="30" t="inlineStr">
        <is>
          <t>RACAILLOU</t>
        </is>
      </c>
    </row>
    <row r="2446">
      <c r="A2446" s="35" t="inlineStr">
        <is>
          <t>Route 46</t>
        </is>
      </c>
      <c r="B2446" s="35" t="inlineStr">
        <is>
          <t>Route46_hns</t>
        </is>
      </c>
      <c r="C2446" s="62" t="inlineStr">
        <is>
          <t>Nuit</t>
        </is>
      </c>
      <c r="D2446" s="49" t="inlineStr">
        <is>
          <t>Herbe</t>
        </is>
      </c>
      <c r="E2446" s="37" t="inlineStr">
        <is>
          <t>RATTATA</t>
        </is>
      </c>
      <c r="F2446" s="38" t="n">
        <v>0.5</v>
      </c>
      <c r="G2446" s="39" t="n">
        <v>2</v>
      </c>
      <c r="H2446" s="39" t="n">
        <v>3</v>
      </c>
      <c r="I2446" s="29">
        <f>IF(OR(COUNTIF('Suivi des rencontres'!$A:$A,$A2446)&gt;0,COUNTIF('Suivi des rencontres'!$C:$C,$J2446)&gt;0),"Non","Oui")</f>
        <v/>
      </c>
      <c r="J2446" s="30" t="inlineStr">
        <is>
          <t>RATTATA</t>
        </is>
      </c>
    </row>
    <row r="2447">
      <c r="A2447" s="35" t="inlineStr">
        <is>
          <t>Route 46</t>
        </is>
      </c>
      <c r="B2447" s="35" t="inlineStr">
        <is>
          <t>Route46_hns</t>
        </is>
      </c>
      <c r="C2447" s="33" t="inlineStr">
        <is>
          <t>Matin, jour, soir</t>
        </is>
      </c>
      <c r="D2447" s="36" t="inlineStr">
        <is>
          <t>Éclate-Roc</t>
        </is>
      </c>
      <c r="E2447" s="37" t="inlineStr">
        <is>
          <t>POMDEPIK</t>
        </is>
      </c>
      <c r="F2447" s="38" t="n">
        <v>0.6</v>
      </c>
      <c r="G2447" s="39" t="n">
        <v>20</v>
      </c>
      <c r="H2447" s="39" t="n">
        <v>20</v>
      </c>
      <c r="I2447" s="29">
        <f>IF(OR(COUNTIF('Suivi des rencontres'!$A:$A,$A2447)&gt;0,COUNTIF('Suivi des rencontres'!$C:$C,$J2447)&gt;0),"Non","Oui")</f>
        <v/>
      </c>
      <c r="J2447" s="30" t="inlineStr">
        <is>
          <t>POMDEPIK</t>
        </is>
      </c>
    </row>
    <row r="2448">
      <c r="A2448" s="35" t="inlineStr">
        <is>
          <t>Route 46</t>
        </is>
      </c>
      <c r="B2448" s="35" t="inlineStr">
        <is>
          <t>Route46_hns</t>
        </is>
      </c>
      <c r="C2448" s="33" t="inlineStr">
        <is>
          <t>Matin, jour, soir</t>
        </is>
      </c>
      <c r="D2448" s="36" t="inlineStr">
        <is>
          <t>Éclate-Roc</t>
        </is>
      </c>
      <c r="E2448" s="37" t="inlineStr">
        <is>
          <t>CAPUMAIN</t>
        </is>
      </c>
      <c r="F2448" s="38" t="n">
        <v>0.35</v>
      </c>
      <c r="G2448" s="39" t="n">
        <v>20</v>
      </c>
      <c r="H2448" s="39" t="n">
        <v>20</v>
      </c>
      <c r="I2448" s="29">
        <f>IF(OR(COUNTIF('Suivi des rencontres'!$A:$A,$A2448)&gt;0,COUNTIF('Suivi des rencontres'!$C:$C,$J2448)&gt;0),"Non","Oui")</f>
        <v/>
      </c>
      <c r="J2448" s="30" t="inlineStr">
        <is>
          <t>CAPUMAIN</t>
        </is>
      </c>
    </row>
    <row r="2449">
      <c r="A2449" s="35" t="inlineStr">
        <is>
          <t>Route 46</t>
        </is>
      </c>
      <c r="B2449" s="35" t="inlineStr">
        <is>
          <t>Route46_hns</t>
        </is>
      </c>
      <c r="C2449" s="33" t="inlineStr">
        <is>
          <t>Matin, jour, soir</t>
        </is>
      </c>
      <c r="D2449" s="36" t="inlineStr">
        <is>
          <t>Éclate-Roc</t>
        </is>
      </c>
      <c r="E2449" s="37" t="inlineStr">
        <is>
          <t>SCARHINO</t>
        </is>
      </c>
      <c r="F2449" s="38" t="n">
        <v>0.05</v>
      </c>
      <c r="G2449" s="39" t="n">
        <v>20</v>
      </c>
      <c r="H2449" s="39" t="n">
        <v>20</v>
      </c>
      <c r="I2449" s="29">
        <f>IF(OR(COUNTIF('Suivi des rencontres'!$A:$A,$A2449)&gt;0,COUNTIF('Suivi des rencontres'!$C:$C,$J2449)&gt;0),"Non","Oui")</f>
        <v/>
      </c>
      <c r="J2449" s="30" t="inlineStr">
        <is>
          <t>SCARHINO</t>
        </is>
      </c>
    </row>
    <row r="2450">
      <c r="A2450" s="35" t="inlineStr">
        <is>
          <t>Route 46</t>
        </is>
      </c>
      <c r="B2450" s="35" t="inlineStr">
        <is>
          <t>Route46_hns</t>
        </is>
      </c>
      <c r="C2450" s="62" t="inlineStr">
        <is>
          <t>Nuit</t>
        </is>
      </c>
      <c r="D2450" s="36" t="inlineStr">
        <is>
          <t>Éclate-Roc</t>
        </is>
      </c>
      <c r="E2450" s="37" t="inlineStr">
        <is>
          <t>POMDEPIK</t>
        </is>
      </c>
      <c r="F2450" s="38" t="n">
        <v>0.6</v>
      </c>
      <c r="G2450" s="39" t="n">
        <v>20</v>
      </c>
      <c r="H2450" s="39" t="n">
        <v>20</v>
      </c>
      <c r="I2450" s="29">
        <f>IF(OR(COUNTIF('Suivi des rencontres'!$A:$A,$A2450)&gt;0,COUNTIF('Suivi des rencontres'!$C:$C,$J2450)&gt;0),"Non","Oui")</f>
        <v/>
      </c>
      <c r="J2450" s="30" t="inlineStr">
        <is>
          <t>POMDEPIK</t>
        </is>
      </c>
    </row>
    <row r="2451">
      <c r="A2451" s="35" t="inlineStr">
        <is>
          <t>Route 46</t>
        </is>
      </c>
      <c r="B2451" s="35" t="inlineStr">
        <is>
          <t>Route46_hns</t>
        </is>
      </c>
      <c r="C2451" s="62" t="inlineStr">
        <is>
          <t>Nuit</t>
        </is>
      </c>
      <c r="D2451" s="36" t="inlineStr">
        <is>
          <t>Éclate-Roc</t>
        </is>
      </c>
      <c r="E2451" s="37" t="inlineStr">
        <is>
          <t>CAPUMAIN</t>
        </is>
      </c>
      <c r="F2451" s="38" t="n">
        <v>0.35</v>
      </c>
      <c r="G2451" s="39" t="n">
        <v>20</v>
      </c>
      <c r="H2451" s="39" t="n">
        <v>20</v>
      </c>
      <c r="I2451" s="29">
        <f>IF(OR(COUNTIF('Suivi des rencontres'!$A:$A,$A2451)&gt;0,COUNTIF('Suivi des rencontres'!$C:$C,$J2451)&gt;0),"Non","Oui")</f>
        <v/>
      </c>
      <c r="J2451" s="30" t="inlineStr">
        <is>
          <t>CAPUMAIN</t>
        </is>
      </c>
    </row>
    <row r="2452">
      <c r="A2452" s="35" t="inlineStr">
        <is>
          <t>Route 46</t>
        </is>
      </c>
      <c r="B2452" s="35" t="inlineStr">
        <is>
          <t>Route46_hns</t>
        </is>
      </c>
      <c r="C2452" s="62" t="inlineStr">
        <is>
          <t>Nuit</t>
        </is>
      </c>
      <c r="D2452" s="36" t="inlineStr">
        <is>
          <t>Éclate-Roc</t>
        </is>
      </c>
      <c r="E2452" s="37" t="inlineStr">
        <is>
          <t>SCARHINO</t>
        </is>
      </c>
      <c r="F2452" s="38" t="n">
        <v>0.05</v>
      </c>
      <c r="G2452" s="39" t="n">
        <v>20</v>
      </c>
      <c r="H2452" s="39" t="n">
        <v>20</v>
      </c>
      <c r="I2452" s="29">
        <f>IF(OR(COUNTIF('Suivi des rencontres'!$A:$A,$A2452)&gt;0,COUNTIF('Suivi des rencontres'!$C:$C,$J2452)&gt;0),"Non","Oui")</f>
        <v/>
      </c>
      <c r="J2452" s="30" t="inlineStr">
        <is>
          <t>SCARHINO</t>
        </is>
      </c>
    </row>
    <row r="2453">
      <c r="A2453" s="40" t="inlineStr">
        <is>
          <t>Route 47</t>
        </is>
      </c>
      <c r="B2453" s="40" t="inlineStr">
        <is>
          <t>Route47_hns</t>
        </is>
      </c>
      <c r="C2453" s="41" t="inlineStr">
        <is>
          <t>Toute la journée</t>
        </is>
      </c>
      <c r="D2453" s="42" t="inlineStr">
        <is>
          <t>Herbe</t>
        </is>
      </c>
      <c r="E2453" s="43" t="inlineStr">
        <is>
          <t>LEVEINARD</t>
        </is>
      </c>
      <c r="F2453" s="44" t="n">
        <v>0.4</v>
      </c>
      <c r="G2453" s="45" t="n">
        <v>40</v>
      </c>
      <c r="H2453" s="45" t="n">
        <v>40</v>
      </c>
      <c r="I2453" s="46">
        <f>IF(OR(COUNTIF('Suivi des rencontres'!$A:$A,$A2453)&gt;0,COUNTIF('Suivi des rencontres'!$C:$C,$J2453)&gt;0),"Non","Oui")</f>
        <v/>
      </c>
      <c r="J2453" s="30" t="inlineStr">
        <is>
          <t>PTIRAVI</t>
        </is>
      </c>
    </row>
    <row r="2454">
      <c r="A2454" s="47" t="inlineStr">
        <is>
          <t>Route 47</t>
        </is>
      </c>
      <c r="B2454" s="47" t="inlineStr">
        <is>
          <t>Route47_hns</t>
        </is>
      </c>
      <c r="C2454" s="48" t="inlineStr">
        <is>
          <t>Toute la journée</t>
        </is>
      </c>
      <c r="D2454" s="49" t="inlineStr">
        <is>
          <t>Herbe</t>
        </is>
      </c>
      <c r="E2454" s="50" t="inlineStr">
        <is>
          <t>CANARTICHO</t>
        </is>
      </c>
      <c r="F2454" s="51" t="n">
        <v>0.2</v>
      </c>
      <c r="G2454" s="52" t="n">
        <v>33</v>
      </c>
      <c r="H2454" s="52" t="n">
        <v>40</v>
      </c>
      <c r="I2454" s="29">
        <f>IF(OR(COUNTIF('Suivi des rencontres'!$A:$A,$A2454)&gt;0,COUNTIF('Suivi des rencontres'!$C:$C,$J2454)&gt;0),"Non","Oui")</f>
        <v/>
      </c>
      <c r="J2454" s="30" t="inlineStr">
        <is>
          <t>CANARTICHO</t>
        </is>
      </c>
    </row>
    <row r="2455">
      <c r="A2455" s="47" t="inlineStr">
        <is>
          <t>Route 47</t>
        </is>
      </c>
      <c r="B2455" s="47" t="inlineStr">
        <is>
          <t>Route47_hns</t>
        </is>
      </c>
      <c r="C2455" s="48" t="inlineStr">
        <is>
          <t>Toute la journée</t>
        </is>
      </c>
      <c r="D2455" s="49" t="inlineStr">
        <is>
          <t>Herbe</t>
        </is>
      </c>
      <c r="E2455" s="50" t="inlineStr">
        <is>
          <t>ECREMEUH</t>
        </is>
      </c>
      <c r="F2455" s="51" t="n">
        <v>0.2</v>
      </c>
      <c r="G2455" s="52" t="n">
        <v>40</v>
      </c>
      <c r="H2455" s="52" t="n">
        <v>40</v>
      </c>
      <c r="I2455" s="29">
        <f>IF(OR(COUNTIF('Suivi des rencontres'!$A:$A,$A2455)&gt;0,COUNTIF('Suivi des rencontres'!$C:$C,$J2455)&gt;0),"Non","Oui")</f>
        <v/>
      </c>
      <c r="J2455" s="30" t="inlineStr">
        <is>
          <t>ECREMEUH</t>
        </is>
      </c>
    </row>
    <row r="2456">
      <c r="A2456" s="47" t="inlineStr">
        <is>
          <t>Route 47</t>
        </is>
      </c>
      <c r="B2456" s="47" t="inlineStr">
        <is>
          <t>Route47_hns</t>
        </is>
      </c>
      <c r="C2456" s="48" t="inlineStr">
        <is>
          <t>Toute la journée</t>
        </is>
      </c>
      <c r="D2456" s="49" t="inlineStr">
        <is>
          <t>Herbe</t>
        </is>
      </c>
      <c r="E2456" s="50" t="inlineStr">
        <is>
          <t>RAPASDEPIC</t>
        </is>
      </c>
      <c r="F2456" s="51" t="n">
        <v>0.09</v>
      </c>
      <c r="G2456" s="52" t="n">
        <v>33</v>
      </c>
      <c r="H2456" s="52" t="n">
        <v>40</v>
      </c>
      <c r="I2456" s="29">
        <f>IF(OR(COUNTIF('Suivi des rencontres'!$A:$A,$A2456)&gt;0,COUNTIF('Suivi des rencontres'!$C:$C,$J2456)&gt;0),"Non","Oui")</f>
        <v/>
      </c>
      <c r="J2456" s="30" t="inlineStr">
        <is>
          <t>PIAFABEC</t>
        </is>
      </c>
    </row>
    <row r="2457">
      <c r="A2457" s="47" t="inlineStr">
        <is>
          <t>Route 47</t>
        </is>
      </c>
      <c r="B2457" s="47" t="inlineStr">
        <is>
          <t>Route47_hns</t>
        </is>
      </c>
      <c r="C2457" s="48" t="inlineStr">
        <is>
          <t>Toute la journée</t>
        </is>
      </c>
      <c r="D2457" s="49" t="inlineStr">
        <is>
          <t>Herbe</t>
        </is>
      </c>
      <c r="E2457" s="50" t="inlineStr">
        <is>
          <t>ORTIDE</t>
        </is>
      </c>
      <c r="F2457" s="51" t="n">
        <v>0.05</v>
      </c>
      <c r="G2457" s="52" t="n">
        <v>33</v>
      </c>
      <c r="H2457" s="52" t="n">
        <v>40</v>
      </c>
      <c r="I2457" s="29">
        <f>IF(OR(COUNTIF('Suivi des rencontres'!$A:$A,$A2457)&gt;0,COUNTIF('Suivi des rencontres'!$C:$C,$J2457)&gt;0),"Non","Oui")</f>
        <v/>
      </c>
      <c r="J2457" s="30" t="inlineStr">
        <is>
          <t>MYSTHERBE</t>
        </is>
      </c>
    </row>
    <row r="2458">
      <c r="A2458" s="47" t="inlineStr">
        <is>
          <t>Route 47</t>
        </is>
      </c>
      <c r="B2458" s="47" t="inlineStr">
        <is>
          <t>Route47_hns</t>
        </is>
      </c>
      <c r="C2458" s="48" t="inlineStr">
        <is>
          <t>Toute la journée</t>
        </is>
      </c>
      <c r="D2458" s="49" t="inlineStr">
        <is>
          <t>Herbe</t>
        </is>
      </c>
      <c r="E2458" s="50" t="inlineStr">
        <is>
          <t>RATTATAC</t>
        </is>
      </c>
      <c r="F2458" s="51" t="n">
        <v>0.05</v>
      </c>
      <c r="G2458" s="52" t="n">
        <v>40</v>
      </c>
      <c r="H2458" s="52" t="n">
        <v>40</v>
      </c>
      <c r="I2458" s="29">
        <f>IF(OR(COUNTIF('Suivi des rencontres'!$A:$A,$A2458)&gt;0,COUNTIF('Suivi des rencontres'!$C:$C,$J2458)&gt;0),"Non","Oui")</f>
        <v/>
      </c>
      <c r="J2458" s="30" t="inlineStr">
        <is>
          <t>RATTATA</t>
        </is>
      </c>
    </row>
    <row r="2459">
      <c r="A2459" s="47" t="inlineStr">
        <is>
          <t>Route 47</t>
        </is>
      </c>
      <c r="B2459" s="47" t="inlineStr">
        <is>
          <t>Route47_hns</t>
        </is>
      </c>
      <c r="C2459" s="48" t="inlineStr">
        <is>
          <t>Toute la journée</t>
        </is>
      </c>
      <c r="D2459" s="49" t="inlineStr">
        <is>
          <t>Herbe</t>
        </is>
      </c>
      <c r="E2459" s="50" t="inlineStr">
        <is>
          <t>METAMORPH</t>
        </is>
      </c>
      <c r="F2459" s="51" t="n">
        <v>0.01</v>
      </c>
      <c r="G2459" s="52" t="n">
        <v>33</v>
      </c>
      <c r="H2459" s="52" t="n">
        <v>40</v>
      </c>
      <c r="I2459" s="29">
        <f>IF(OR(COUNTIF('Suivi des rencontres'!$A:$A,$A2459)&gt;0,COUNTIF('Suivi des rencontres'!$C:$C,$J2459)&gt;0),"Non","Oui")</f>
        <v/>
      </c>
      <c r="J2459" s="30" t="inlineStr">
        <is>
          <t>METAMORPH</t>
        </is>
      </c>
    </row>
    <row r="2460">
      <c r="A2460" s="47" t="inlineStr">
        <is>
          <t>Route 47</t>
        </is>
      </c>
      <c r="B2460" s="47" t="inlineStr">
        <is>
          <t>Route47_hns</t>
        </is>
      </c>
      <c r="C2460" s="48" t="inlineStr">
        <is>
          <t>Toute la journée</t>
        </is>
      </c>
      <c r="D2460" s="53" t="inlineStr">
        <is>
          <t>Surf</t>
        </is>
      </c>
      <c r="E2460" s="50" t="inlineStr">
        <is>
          <t>TENTACOOL</t>
        </is>
      </c>
      <c r="F2460" s="51" t="n">
        <v>0.6</v>
      </c>
      <c r="G2460" s="52" t="n">
        <v>15</v>
      </c>
      <c r="H2460" s="52" t="n">
        <v>25</v>
      </c>
      <c r="I2460" s="29">
        <f>IF(OR(COUNTIF('Suivi des rencontres'!$A:$A,$A2460)&gt;0,COUNTIF('Suivi des rencontres'!$C:$C,$J2460)&gt;0),"Non","Oui")</f>
        <v/>
      </c>
      <c r="J2460" s="30" t="inlineStr">
        <is>
          <t>TENTACOOL</t>
        </is>
      </c>
    </row>
    <row r="2461">
      <c r="A2461" s="47" t="inlineStr">
        <is>
          <t>Route 47</t>
        </is>
      </c>
      <c r="B2461" s="47" t="inlineStr">
        <is>
          <t>Route47_hns</t>
        </is>
      </c>
      <c r="C2461" s="48" t="inlineStr">
        <is>
          <t>Toute la journée</t>
        </is>
      </c>
      <c r="D2461" s="53" t="inlineStr">
        <is>
          <t>Surf</t>
        </is>
      </c>
      <c r="E2461" s="50" t="inlineStr">
        <is>
          <t>OTARIA</t>
        </is>
      </c>
      <c r="F2461" s="51" t="n">
        <v>0.3</v>
      </c>
      <c r="G2461" s="52" t="n">
        <v>10</v>
      </c>
      <c r="H2461" s="52" t="n">
        <v>20</v>
      </c>
      <c r="I2461" s="29">
        <f>IF(OR(COUNTIF('Suivi des rencontres'!$A:$A,$A2461)&gt;0,COUNTIF('Suivi des rencontres'!$C:$C,$J2461)&gt;0),"Non","Oui")</f>
        <v/>
      </c>
      <c r="J2461" s="30" t="inlineStr">
        <is>
          <t>OTARIA</t>
        </is>
      </c>
    </row>
    <row r="2462">
      <c r="A2462" s="47" t="inlineStr">
        <is>
          <t>Route 47</t>
        </is>
      </c>
      <c r="B2462" s="47" t="inlineStr">
        <is>
          <t>Route47_hns</t>
        </is>
      </c>
      <c r="C2462" s="48" t="inlineStr">
        <is>
          <t>Toute la journée</t>
        </is>
      </c>
      <c r="D2462" s="53" t="inlineStr">
        <is>
          <t>Surf</t>
        </is>
      </c>
      <c r="E2462" s="50" t="inlineStr">
        <is>
          <t>STARI</t>
        </is>
      </c>
      <c r="F2462" s="51" t="n">
        <v>0.1</v>
      </c>
      <c r="G2462" s="52" t="n">
        <v>15</v>
      </c>
      <c r="H2462" s="52" t="n">
        <v>20</v>
      </c>
      <c r="I2462" s="29">
        <f>IF(OR(COUNTIF('Suivi des rencontres'!$A:$A,$A2462)&gt;0,COUNTIF('Suivi des rencontres'!$C:$C,$J2462)&gt;0),"Non","Oui")</f>
        <v/>
      </c>
      <c r="J2462" s="30" t="inlineStr">
        <is>
          <t>STARI</t>
        </is>
      </c>
    </row>
    <row r="2463">
      <c r="A2463" s="47" t="inlineStr">
        <is>
          <t>Route 47</t>
        </is>
      </c>
      <c r="B2463" s="47" t="inlineStr">
        <is>
          <t>Route47_hns</t>
        </is>
      </c>
      <c r="C2463" s="48" t="inlineStr">
        <is>
          <t>Toute la journée</t>
        </is>
      </c>
      <c r="D2463" s="36" t="inlineStr">
        <is>
          <t>Éclate-Roc</t>
        </is>
      </c>
      <c r="E2463" s="50" t="inlineStr">
        <is>
          <t>POMDEPIK</t>
        </is>
      </c>
      <c r="F2463" s="51" t="n">
        <v>0.6</v>
      </c>
      <c r="G2463" s="52" t="n">
        <v>20</v>
      </c>
      <c r="H2463" s="52" t="n">
        <v>20</v>
      </c>
      <c r="I2463" s="29">
        <f>IF(OR(COUNTIF('Suivi des rencontres'!$A:$A,$A2463)&gt;0,COUNTIF('Suivi des rencontres'!$C:$C,$J2463)&gt;0),"Non","Oui")</f>
        <v/>
      </c>
      <c r="J2463" s="30" t="inlineStr">
        <is>
          <t>POMDEPIK</t>
        </is>
      </c>
    </row>
    <row r="2464">
      <c r="A2464" s="47" t="inlineStr">
        <is>
          <t>Route 47</t>
        </is>
      </c>
      <c r="B2464" s="47" t="inlineStr">
        <is>
          <t>Route47_hns</t>
        </is>
      </c>
      <c r="C2464" s="48" t="inlineStr">
        <is>
          <t>Toute la journée</t>
        </is>
      </c>
      <c r="D2464" s="36" t="inlineStr">
        <is>
          <t>Éclate-Roc</t>
        </is>
      </c>
      <c r="E2464" s="50" t="inlineStr">
        <is>
          <t>CAPUMAIN</t>
        </is>
      </c>
      <c r="F2464" s="51" t="n">
        <v>0.35</v>
      </c>
      <c r="G2464" s="52" t="n">
        <v>20</v>
      </c>
      <c r="H2464" s="52" t="n">
        <v>20</v>
      </c>
      <c r="I2464" s="29">
        <f>IF(OR(COUNTIF('Suivi des rencontres'!$A:$A,$A2464)&gt;0,COUNTIF('Suivi des rencontres'!$C:$C,$J2464)&gt;0),"Non","Oui")</f>
        <v/>
      </c>
      <c r="J2464" s="30" t="inlineStr">
        <is>
          <t>CAPUMAIN</t>
        </is>
      </c>
    </row>
    <row r="2465">
      <c r="A2465" s="47" t="inlineStr">
        <is>
          <t>Route 47</t>
        </is>
      </c>
      <c r="B2465" s="47" t="inlineStr">
        <is>
          <t>Route47_hns</t>
        </is>
      </c>
      <c r="C2465" s="48" t="inlineStr">
        <is>
          <t>Toute la journée</t>
        </is>
      </c>
      <c r="D2465" s="36" t="inlineStr">
        <is>
          <t>Éclate-Roc</t>
        </is>
      </c>
      <c r="E2465" s="50" t="inlineStr">
        <is>
          <t>SCARHINO</t>
        </is>
      </c>
      <c r="F2465" s="51" t="n">
        <v>0.05</v>
      </c>
      <c r="G2465" s="52" t="n">
        <v>20</v>
      </c>
      <c r="H2465" s="52" t="n">
        <v>20</v>
      </c>
      <c r="I2465" s="29">
        <f>IF(OR(COUNTIF('Suivi des rencontres'!$A:$A,$A2465)&gt;0,COUNTIF('Suivi des rencontres'!$C:$C,$J2465)&gt;0),"Non","Oui")</f>
        <v/>
      </c>
      <c r="J2465" s="30" t="inlineStr">
        <is>
          <t>SCARHINO</t>
        </is>
      </c>
    </row>
    <row r="2466">
      <c r="A2466" s="47" t="inlineStr">
        <is>
          <t>Route 47</t>
        </is>
      </c>
      <c r="B2466" s="47" t="inlineStr">
        <is>
          <t>Route47_hns</t>
        </is>
      </c>
      <c r="C2466" s="48" t="inlineStr">
        <is>
          <t>Toute la journée</t>
        </is>
      </c>
      <c r="D2466" s="54" t="inlineStr">
        <is>
          <t>Vieille Canne</t>
        </is>
      </c>
      <c r="E2466" s="50" t="inlineStr">
        <is>
          <t>MAGICARPE</t>
        </is>
      </c>
      <c r="F2466" s="51" t="n">
        <v>1</v>
      </c>
      <c r="G2466" s="52" t="n">
        <v>10</v>
      </c>
      <c r="H2466" s="52" t="n">
        <v>10</v>
      </c>
      <c r="I2466" s="29">
        <f>IF(OR(COUNTIF('Suivi des rencontres'!$A:$A,$A2466)&gt;0,COUNTIF('Suivi des rencontres'!$C:$C,$J2466)&gt;0),"Non","Oui")</f>
        <v/>
      </c>
      <c r="J2466" s="30" t="inlineStr">
        <is>
          <t>MAGICARPE</t>
        </is>
      </c>
    </row>
    <row r="2467">
      <c r="A2467" s="47" t="inlineStr">
        <is>
          <t>Route 47</t>
        </is>
      </c>
      <c r="B2467" s="47" t="inlineStr">
        <is>
          <t>Route47_hns</t>
        </is>
      </c>
      <c r="C2467" s="48" t="inlineStr">
        <is>
          <t>Toute la journée</t>
        </is>
      </c>
      <c r="D2467" s="55" t="inlineStr">
        <is>
          <t>Bonne Canne</t>
        </is>
      </c>
      <c r="E2467" s="50" t="inlineStr">
        <is>
          <t>MAGICARPE</t>
        </is>
      </c>
      <c r="F2467" s="51" t="n">
        <v>0.6</v>
      </c>
      <c r="G2467" s="52" t="n">
        <v>20</v>
      </c>
      <c r="H2467" s="52" t="n">
        <v>20</v>
      </c>
      <c r="I2467" s="29">
        <f>IF(OR(COUNTIF('Suivi des rencontres'!$A:$A,$A2467)&gt;0,COUNTIF('Suivi des rencontres'!$C:$C,$J2467)&gt;0),"Non","Oui")</f>
        <v/>
      </c>
      <c r="J2467" s="30" t="inlineStr">
        <is>
          <t>MAGICARPE</t>
        </is>
      </c>
    </row>
    <row r="2468">
      <c r="A2468" s="47" t="inlineStr">
        <is>
          <t>Route 47</t>
        </is>
      </c>
      <c r="B2468" s="47" t="inlineStr">
        <is>
          <t>Route47_hns</t>
        </is>
      </c>
      <c r="C2468" s="48" t="inlineStr">
        <is>
          <t>Toute la journée</t>
        </is>
      </c>
      <c r="D2468" s="55" t="inlineStr">
        <is>
          <t>Bonne Canne</t>
        </is>
      </c>
      <c r="E2468" s="50" t="inlineStr">
        <is>
          <t>KOKIYAS</t>
        </is>
      </c>
      <c r="F2468" s="51" t="n">
        <v>0.2</v>
      </c>
      <c r="G2468" s="52" t="n">
        <v>20</v>
      </c>
      <c r="H2468" s="52" t="n">
        <v>20</v>
      </c>
      <c r="I2468" s="29">
        <f>IF(OR(COUNTIF('Suivi des rencontres'!$A:$A,$A2468)&gt;0,COUNTIF('Suivi des rencontres'!$C:$C,$J2468)&gt;0),"Non","Oui")</f>
        <v/>
      </c>
      <c r="J2468" s="30" t="inlineStr">
        <is>
          <t>KOKIYAS</t>
        </is>
      </c>
    </row>
    <row r="2469">
      <c r="A2469" s="47" t="inlineStr">
        <is>
          <t>Route 47</t>
        </is>
      </c>
      <c r="B2469" s="47" t="inlineStr">
        <is>
          <t>Route47_hns</t>
        </is>
      </c>
      <c r="C2469" s="48" t="inlineStr">
        <is>
          <t>Toute la journée</t>
        </is>
      </c>
      <c r="D2469" s="55" t="inlineStr">
        <is>
          <t>Bonne Canne</t>
        </is>
      </c>
      <c r="E2469" s="50" t="inlineStr">
        <is>
          <t>LOUPIO</t>
        </is>
      </c>
      <c r="F2469" s="51" t="n">
        <v>0.2</v>
      </c>
      <c r="G2469" s="52" t="n">
        <v>20</v>
      </c>
      <c r="H2469" s="52" t="n">
        <v>20</v>
      </c>
      <c r="I2469" s="29">
        <f>IF(OR(COUNTIF('Suivi des rencontres'!$A:$A,$A2469)&gt;0,COUNTIF('Suivi des rencontres'!$C:$C,$J2469)&gt;0),"Non","Oui")</f>
        <v/>
      </c>
      <c r="J2469" s="30" t="inlineStr">
        <is>
          <t>LOUPIO</t>
        </is>
      </c>
    </row>
    <row r="2470">
      <c r="A2470" s="47" t="inlineStr">
        <is>
          <t>Route 47</t>
        </is>
      </c>
      <c r="B2470" s="47" t="inlineStr">
        <is>
          <t>Route47_hns</t>
        </is>
      </c>
      <c r="C2470" s="48" t="inlineStr">
        <is>
          <t>Toute la journée</t>
        </is>
      </c>
      <c r="D2470" s="56" t="inlineStr">
        <is>
          <t>Super Canne</t>
        </is>
      </c>
      <c r="E2470" s="50" t="inlineStr">
        <is>
          <t>KOKIYAS</t>
        </is>
      </c>
      <c r="F2470" s="51" t="n">
        <v>0.4</v>
      </c>
      <c r="G2470" s="52" t="n">
        <v>40</v>
      </c>
      <c r="H2470" s="52" t="n">
        <v>40</v>
      </c>
      <c r="I2470" s="29">
        <f>IF(OR(COUNTIF('Suivi des rencontres'!$A:$A,$A2470)&gt;0,COUNTIF('Suivi des rencontres'!$C:$C,$J2470)&gt;0),"Non","Oui")</f>
        <v/>
      </c>
      <c r="J2470" s="30" t="inlineStr">
        <is>
          <t>KOKIYAS</t>
        </is>
      </c>
    </row>
    <row r="2471">
      <c r="A2471" s="47" t="inlineStr">
        <is>
          <t>Route 47</t>
        </is>
      </c>
      <c r="B2471" s="47" t="inlineStr">
        <is>
          <t>Route47_hns</t>
        </is>
      </c>
      <c r="C2471" s="48" t="inlineStr">
        <is>
          <t>Toute la journée</t>
        </is>
      </c>
      <c r="D2471" s="56" t="inlineStr">
        <is>
          <t>Super Canne</t>
        </is>
      </c>
      <c r="E2471" s="50" t="inlineStr">
        <is>
          <t>LOUPIO</t>
        </is>
      </c>
      <c r="F2471" s="51" t="n">
        <v>0.4</v>
      </c>
      <c r="G2471" s="52" t="n">
        <v>40</v>
      </c>
      <c r="H2471" s="52" t="n">
        <v>40</v>
      </c>
      <c r="I2471" s="29">
        <f>IF(OR(COUNTIF('Suivi des rencontres'!$A:$A,$A2471)&gt;0,COUNTIF('Suivi des rencontres'!$C:$C,$J2471)&gt;0),"Non","Oui")</f>
        <v/>
      </c>
      <c r="J2471" s="30" t="inlineStr">
        <is>
          <t>LOUPIO</t>
        </is>
      </c>
    </row>
    <row r="2472">
      <c r="A2472" s="47" t="inlineStr">
        <is>
          <t>Route 47</t>
        </is>
      </c>
      <c r="B2472" s="47" t="inlineStr">
        <is>
          <t>Route47_hns</t>
        </is>
      </c>
      <c r="C2472" s="48" t="inlineStr">
        <is>
          <t>Toute la journée</t>
        </is>
      </c>
      <c r="D2472" s="56" t="inlineStr">
        <is>
          <t>Super Canne</t>
        </is>
      </c>
      <c r="E2472" s="50" t="inlineStr">
        <is>
          <t>TENTACRUEL</t>
        </is>
      </c>
      <c r="F2472" s="51" t="n">
        <v>0.15</v>
      </c>
      <c r="G2472" s="52" t="n">
        <v>40</v>
      </c>
      <c r="H2472" s="52" t="n">
        <v>40</v>
      </c>
      <c r="I2472" s="29">
        <f>IF(OR(COUNTIF('Suivi des rencontres'!$A:$A,$A2472)&gt;0,COUNTIF('Suivi des rencontres'!$C:$C,$J2472)&gt;0),"Non","Oui")</f>
        <v/>
      </c>
      <c r="J2472" s="30" t="inlineStr">
        <is>
          <t>TENTACOOL</t>
        </is>
      </c>
    </row>
    <row r="2473">
      <c r="A2473" s="47" t="inlineStr">
        <is>
          <t>Route 47</t>
        </is>
      </c>
      <c r="B2473" s="47" t="inlineStr">
        <is>
          <t>Route47_hns</t>
        </is>
      </c>
      <c r="C2473" s="48" t="inlineStr">
        <is>
          <t>Toute la journée</t>
        </is>
      </c>
      <c r="D2473" s="56" t="inlineStr">
        <is>
          <t>Super Canne</t>
        </is>
      </c>
      <c r="E2473" s="50" t="inlineStr">
        <is>
          <t>LANTURN</t>
        </is>
      </c>
      <c r="F2473" s="51" t="n">
        <v>0.05</v>
      </c>
      <c r="G2473" s="52" t="n">
        <v>40</v>
      </c>
      <c r="H2473" s="52" t="n">
        <v>40</v>
      </c>
      <c r="I2473" s="29">
        <f>IF(OR(COUNTIF('Suivi des rencontres'!$A:$A,$A2473)&gt;0,COUNTIF('Suivi des rencontres'!$C:$C,$J2473)&gt;0),"Non","Oui")</f>
        <v/>
      </c>
      <c r="J2473" s="30" t="inlineStr">
        <is>
          <t>LOUPIO</t>
        </is>
      </c>
    </row>
    <row r="2474">
      <c r="A2474" s="57" t="inlineStr">
        <is>
          <t>Route 48</t>
        </is>
      </c>
      <c r="B2474" s="57" t="inlineStr">
        <is>
          <t>Route48_hns</t>
        </is>
      </c>
      <c r="C2474" s="58" t="inlineStr">
        <is>
          <t>Toute la journée</t>
        </is>
      </c>
      <c r="D2474" s="42" t="inlineStr">
        <is>
          <t>Herbe</t>
        </is>
      </c>
      <c r="E2474" s="59" t="inlineStr">
        <is>
          <t>CANARTICHO</t>
        </is>
      </c>
      <c r="F2474" s="60" t="n">
        <v>0.2</v>
      </c>
      <c r="G2474" s="61" t="n">
        <v>22</v>
      </c>
      <c r="H2474" s="61" t="n">
        <v>26</v>
      </c>
      <c r="I2474" s="46">
        <f>IF(OR(COUNTIF('Suivi des rencontres'!$A:$A,$A2474)&gt;0,COUNTIF('Suivi des rencontres'!$C:$C,$J2474)&gt;0),"Non","Oui")</f>
        <v/>
      </c>
      <c r="J2474" s="30" t="inlineStr">
        <is>
          <t>CANARTICHO</t>
        </is>
      </c>
    </row>
    <row r="2475">
      <c r="A2475" s="35" t="inlineStr">
        <is>
          <t>Route 48</t>
        </is>
      </c>
      <c r="B2475" s="35" t="inlineStr">
        <is>
          <t>Route48_hns</t>
        </is>
      </c>
      <c r="C2475" s="33" t="inlineStr">
        <is>
          <t>Toute la journée</t>
        </is>
      </c>
      <c r="D2475" s="49" t="inlineStr">
        <is>
          <t>Herbe</t>
        </is>
      </c>
      <c r="E2475" s="37" t="inlineStr">
        <is>
          <t>ORTIDE</t>
        </is>
      </c>
      <c r="F2475" s="38" t="n">
        <v>0.2</v>
      </c>
      <c r="G2475" s="39" t="n">
        <v>22</v>
      </c>
      <c r="H2475" s="39" t="n">
        <v>26</v>
      </c>
      <c r="I2475" s="29">
        <f>IF(OR(COUNTIF('Suivi des rencontres'!$A:$A,$A2475)&gt;0,COUNTIF('Suivi des rencontres'!$C:$C,$J2475)&gt;0),"Non","Oui")</f>
        <v/>
      </c>
      <c r="J2475" s="30" t="inlineStr">
        <is>
          <t>MYSTHERBE</t>
        </is>
      </c>
    </row>
    <row r="2476">
      <c r="A2476" s="35" t="inlineStr">
        <is>
          <t>Route 48</t>
        </is>
      </c>
      <c r="B2476" s="35" t="inlineStr">
        <is>
          <t>Route48_hns</t>
        </is>
      </c>
      <c r="C2476" s="33" t="inlineStr">
        <is>
          <t>Toute la journée</t>
        </is>
      </c>
      <c r="D2476" s="49" t="inlineStr">
        <is>
          <t>Herbe</t>
        </is>
      </c>
      <c r="E2476" s="37" t="inlineStr">
        <is>
          <t>TAUROS</t>
        </is>
      </c>
      <c r="F2476" s="38" t="n">
        <v>0.2</v>
      </c>
      <c r="G2476" s="39" t="n">
        <v>22</v>
      </c>
      <c r="H2476" s="39" t="n">
        <v>26</v>
      </c>
      <c r="I2476" s="29">
        <f>IF(OR(COUNTIF('Suivi des rencontres'!$A:$A,$A2476)&gt;0,COUNTIF('Suivi des rencontres'!$C:$C,$J2476)&gt;0),"Non","Oui")</f>
        <v/>
      </c>
      <c r="J2476" s="30" t="inlineStr">
        <is>
          <t>TAUROS</t>
        </is>
      </c>
    </row>
    <row r="2477">
      <c r="A2477" s="35" t="inlineStr">
        <is>
          <t>Route 48</t>
        </is>
      </c>
      <c r="B2477" s="35" t="inlineStr">
        <is>
          <t>Route48_hns</t>
        </is>
      </c>
      <c r="C2477" s="33" t="inlineStr">
        <is>
          <t>Toute la journée</t>
        </is>
      </c>
      <c r="D2477" s="49" t="inlineStr">
        <is>
          <t>Herbe</t>
        </is>
      </c>
      <c r="E2477" s="37" t="inlineStr">
        <is>
          <t>FLORAVOL</t>
        </is>
      </c>
      <c r="F2477" s="38" t="n">
        <v>0.1</v>
      </c>
      <c r="G2477" s="39" t="n">
        <v>22</v>
      </c>
      <c r="H2477" s="39" t="n">
        <v>26</v>
      </c>
      <c r="I2477" s="29">
        <f>IF(OR(COUNTIF('Suivi des rencontres'!$A:$A,$A2477)&gt;0,COUNTIF('Suivi des rencontres'!$C:$C,$J2477)&gt;0),"Non","Oui")</f>
        <v/>
      </c>
      <c r="J2477" s="30" t="inlineStr">
        <is>
          <t>GRANIVOL</t>
        </is>
      </c>
    </row>
    <row r="2478">
      <c r="A2478" s="35" t="inlineStr">
        <is>
          <t>Route 48</t>
        </is>
      </c>
      <c r="B2478" s="35" t="inlineStr">
        <is>
          <t>Route48_hns</t>
        </is>
      </c>
      <c r="C2478" s="33" t="inlineStr">
        <is>
          <t>Toute la journée</t>
        </is>
      </c>
      <c r="D2478" s="49" t="inlineStr">
        <is>
          <t>Herbe</t>
        </is>
      </c>
      <c r="E2478" s="37" t="inlineStr">
        <is>
          <t>RAPASDEPIC</t>
        </is>
      </c>
      <c r="F2478" s="38" t="n">
        <v>0.1</v>
      </c>
      <c r="G2478" s="39" t="n">
        <v>22</v>
      </c>
      <c r="H2478" s="39" t="n">
        <v>23</v>
      </c>
      <c r="I2478" s="29">
        <f>IF(OR(COUNTIF('Suivi des rencontres'!$A:$A,$A2478)&gt;0,COUNTIF('Suivi des rencontres'!$C:$C,$J2478)&gt;0),"Non","Oui")</f>
        <v/>
      </c>
      <c r="J2478" s="30" t="inlineStr">
        <is>
          <t>PIAFABEC</t>
        </is>
      </c>
    </row>
    <row r="2479">
      <c r="A2479" s="35" t="inlineStr">
        <is>
          <t>Route 48</t>
        </is>
      </c>
      <c r="B2479" s="35" t="inlineStr">
        <is>
          <t>Route48_hns</t>
        </is>
      </c>
      <c r="C2479" s="33" t="inlineStr">
        <is>
          <t>Toute la journée</t>
        </is>
      </c>
      <c r="D2479" s="49" t="inlineStr">
        <is>
          <t>Herbe</t>
        </is>
      </c>
      <c r="E2479" s="37" t="inlineStr">
        <is>
          <t>CANINOS</t>
        </is>
      </c>
      <c r="F2479" s="38" t="n">
        <v>0.09</v>
      </c>
      <c r="G2479" s="39" t="n">
        <v>22</v>
      </c>
      <c r="H2479" s="39" t="n">
        <v>26</v>
      </c>
      <c r="I2479" s="29">
        <f>IF(OR(COUNTIF('Suivi des rencontres'!$A:$A,$A2479)&gt;0,COUNTIF('Suivi des rencontres'!$C:$C,$J2479)&gt;0),"Non","Oui")</f>
        <v/>
      </c>
      <c r="J2479" s="30" t="inlineStr">
        <is>
          <t>CANINOS</t>
        </is>
      </c>
    </row>
    <row r="2480">
      <c r="A2480" s="35" t="inlineStr">
        <is>
          <t>Route 48</t>
        </is>
      </c>
      <c r="B2480" s="35" t="inlineStr">
        <is>
          <t>Route48_hns</t>
        </is>
      </c>
      <c r="C2480" s="33" t="inlineStr">
        <is>
          <t>Toute la journée</t>
        </is>
      </c>
      <c r="D2480" s="49" t="inlineStr">
        <is>
          <t>Herbe</t>
        </is>
      </c>
      <c r="E2480" s="37" t="inlineStr">
        <is>
          <t>GOUPIX</t>
        </is>
      </c>
      <c r="F2480" s="38" t="n">
        <v>0.09</v>
      </c>
      <c r="G2480" s="39" t="n">
        <v>22</v>
      </c>
      <c r="H2480" s="39" t="n">
        <v>26</v>
      </c>
      <c r="I2480" s="29">
        <f>IF(OR(COUNTIF('Suivi des rencontres'!$A:$A,$A2480)&gt;0,COUNTIF('Suivi des rencontres'!$C:$C,$J2480)&gt;0),"Non","Oui")</f>
        <v/>
      </c>
      <c r="J2480" s="30" t="inlineStr">
        <is>
          <t>GOUPIX</t>
        </is>
      </c>
    </row>
    <row r="2481">
      <c r="A2481" s="35" t="inlineStr">
        <is>
          <t>Route 48</t>
        </is>
      </c>
      <c r="B2481" s="35" t="inlineStr">
        <is>
          <t>Route48_hns</t>
        </is>
      </c>
      <c r="C2481" s="33" t="inlineStr">
        <is>
          <t>Toute la journée</t>
        </is>
      </c>
      <c r="D2481" s="49" t="inlineStr">
        <is>
          <t>Herbe</t>
        </is>
      </c>
      <c r="E2481" s="37" t="inlineStr">
        <is>
          <t>GIRAFARIG</t>
        </is>
      </c>
      <c r="F2481" s="38" t="n">
        <v>0.02</v>
      </c>
      <c r="G2481" s="39" t="n">
        <v>22</v>
      </c>
      <c r="H2481" s="39" t="n">
        <v>26</v>
      </c>
      <c r="I2481" s="29">
        <f>IF(OR(COUNTIF('Suivi des rencontres'!$A:$A,$A2481)&gt;0,COUNTIF('Suivi des rencontres'!$C:$C,$J2481)&gt;0),"Non","Oui")</f>
        <v/>
      </c>
      <c r="J2481" s="30" t="inlineStr">
        <is>
          <t>GIRAFARIG</t>
        </is>
      </c>
    </row>
    <row r="2482">
      <c r="A2482" s="35" t="inlineStr">
        <is>
          <t>Route 48</t>
        </is>
      </c>
      <c r="B2482" s="35" t="inlineStr">
        <is>
          <t>Route48_hns</t>
        </is>
      </c>
      <c r="C2482" s="33" t="inlineStr">
        <is>
          <t>Toute la journée</t>
        </is>
      </c>
      <c r="D2482" s="36" t="inlineStr">
        <is>
          <t>Éclate-Roc</t>
        </is>
      </c>
      <c r="E2482" s="37" t="inlineStr">
        <is>
          <t>POMDEPIK</t>
        </is>
      </c>
      <c r="F2482" s="38" t="n">
        <v>0.6</v>
      </c>
      <c r="G2482" s="39" t="n">
        <v>20</v>
      </c>
      <c r="H2482" s="39" t="n">
        <v>20</v>
      </c>
      <c r="I2482" s="29">
        <f>IF(OR(COUNTIF('Suivi des rencontres'!$A:$A,$A2482)&gt;0,COUNTIF('Suivi des rencontres'!$C:$C,$J2482)&gt;0),"Non","Oui")</f>
        <v/>
      </c>
      <c r="J2482" s="30" t="inlineStr">
        <is>
          <t>POMDEPIK</t>
        </is>
      </c>
    </row>
    <row r="2483">
      <c r="A2483" s="35" t="inlineStr">
        <is>
          <t>Route 48</t>
        </is>
      </c>
      <c r="B2483" s="35" t="inlineStr">
        <is>
          <t>Route48_hns</t>
        </is>
      </c>
      <c r="C2483" s="33" t="inlineStr">
        <is>
          <t>Toute la journée</t>
        </is>
      </c>
      <c r="D2483" s="36" t="inlineStr">
        <is>
          <t>Éclate-Roc</t>
        </is>
      </c>
      <c r="E2483" s="37" t="inlineStr">
        <is>
          <t>CAPUMAIN</t>
        </is>
      </c>
      <c r="F2483" s="38" t="n">
        <v>0.35</v>
      </c>
      <c r="G2483" s="39" t="n">
        <v>20</v>
      </c>
      <c r="H2483" s="39" t="n">
        <v>20</v>
      </c>
      <c r="I2483" s="29">
        <f>IF(OR(COUNTIF('Suivi des rencontres'!$A:$A,$A2483)&gt;0,COUNTIF('Suivi des rencontres'!$C:$C,$J2483)&gt;0),"Non","Oui")</f>
        <v/>
      </c>
      <c r="J2483" s="30" t="inlineStr">
        <is>
          <t>CAPUMAIN</t>
        </is>
      </c>
    </row>
    <row r="2484">
      <c r="A2484" s="35" t="inlineStr">
        <is>
          <t>Route 48</t>
        </is>
      </c>
      <c r="B2484" s="35" t="inlineStr">
        <is>
          <t>Route48_hns</t>
        </is>
      </c>
      <c r="C2484" s="33" t="inlineStr">
        <is>
          <t>Toute la journée</t>
        </is>
      </c>
      <c r="D2484" s="36" t="inlineStr">
        <is>
          <t>Éclate-Roc</t>
        </is>
      </c>
      <c r="E2484" s="37" t="inlineStr">
        <is>
          <t>SCARHINO</t>
        </is>
      </c>
      <c r="F2484" s="38" t="n">
        <v>0.05</v>
      </c>
      <c r="G2484" s="39" t="n">
        <v>20</v>
      </c>
      <c r="H2484" s="39" t="n">
        <v>20</v>
      </c>
      <c r="I2484" s="29">
        <f>IF(OR(COUNTIF('Suivi des rencontres'!$A:$A,$A2484)&gt;0,COUNTIF('Suivi des rencontres'!$C:$C,$J2484)&gt;0),"Non","Oui")</f>
        <v/>
      </c>
      <c r="J2484" s="30" t="inlineStr">
        <is>
          <t>SCARHINO</t>
        </is>
      </c>
    </row>
    <row r="2485">
      <c r="A2485" s="40" t="inlineStr">
        <is>
          <t>Route 49</t>
        </is>
      </c>
      <c r="B2485" s="40" t="inlineStr">
        <is>
          <t>Route49_hns</t>
        </is>
      </c>
      <c r="C2485" s="41" t="inlineStr">
        <is>
          <t>Toute la journée</t>
        </is>
      </c>
      <c r="D2485" s="42" t="inlineStr">
        <is>
          <t>Herbe</t>
        </is>
      </c>
      <c r="E2485" s="43" t="inlineStr">
        <is>
          <t>CERFROUSSE</t>
        </is>
      </c>
      <c r="F2485" s="44" t="n">
        <v>0.3</v>
      </c>
      <c r="G2485" s="45" t="n">
        <v>45</v>
      </c>
      <c r="H2485" s="45" t="n">
        <v>60</v>
      </c>
      <c r="I2485" s="46">
        <f>IF(OR(COUNTIF('Suivi des rencontres'!$A:$A,$A2485)&gt;0,COUNTIF('Suivi des rencontres'!$C:$C,$J2485)&gt;0),"Non","Oui")</f>
        <v/>
      </c>
      <c r="J2485" s="30" t="inlineStr">
        <is>
          <t>CERFROUSSE</t>
        </is>
      </c>
    </row>
    <row r="2486">
      <c r="A2486" s="47" t="inlineStr">
        <is>
          <t>Route 49</t>
        </is>
      </c>
      <c r="B2486" s="47" t="inlineStr">
        <is>
          <t>Route49_hns</t>
        </is>
      </c>
      <c r="C2486" s="48" t="inlineStr">
        <is>
          <t>Toute la journée</t>
        </is>
      </c>
      <c r="D2486" s="49" t="inlineStr">
        <is>
          <t>Herbe</t>
        </is>
      </c>
      <c r="E2486" s="50" t="inlineStr">
        <is>
          <t>COCHIGNON</t>
        </is>
      </c>
      <c r="F2486" s="51" t="n">
        <v>0.2</v>
      </c>
      <c r="G2486" s="52" t="n">
        <v>45</v>
      </c>
      <c r="H2486" s="52" t="n">
        <v>60</v>
      </c>
      <c r="I2486" s="29">
        <f>IF(OR(COUNTIF('Suivi des rencontres'!$A:$A,$A2486)&gt;0,COUNTIF('Suivi des rencontres'!$C:$C,$J2486)&gt;0),"Non","Oui")</f>
        <v/>
      </c>
      <c r="J2486" s="30" t="inlineStr">
        <is>
          <t>MARCACRIN</t>
        </is>
      </c>
    </row>
    <row r="2487">
      <c r="A2487" s="47" t="inlineStr">
        <is>
          <t>Route 49</t>
        </is>
      </c>
      <c r="B2487" s="47" t="inlineStr">
        <is>
          <t>Route49_hns</t>
        </is>
      </c>
      <c r="C2487" s="48" t="inlineStr">
        <is>
          <t>Toute la journée</t>
        </is>
      </c>
      <c r="D2487" s="49" t="inlineStr">
        <is>
          <t>Herbe</t>
        </is>
      </c>
      <c r="E2487" s="50" t="inlineStr">
        <is>
          <t>URSARING</t>
        </is>
      </c>
      <c r="F2487" s="51" t="n">
        <v>0.2</v>
      </c>
      <c r="G2487" s="52" t="n">
        <v>45</v>
      </c>
      <c r="H2487" s="52" t="n">
        <v>60</v>
      </c>
      <c r="I2487" s="29">
        <f>IF(OR(COUNTIF('Suivi des rencontres'!$A:$A,$A2487)&gt;0,COUNTIF('Suivi des rencontres'!$C:$C,$J2487)&gt;0),"Non","Oui")</f>
        <v/>
      </c>
      <c r="J2487" s="30" t="inlineStr">
        <is>
          <t>TEDDIURSA</t>
        </is>
      </c>
    </row>
    <row r="2488">
      <c r="A2488" s="47" t="inlineStr">
        <is>
          <t>Route 49</t>
        </is>
      </c>
      <c r="B2488" s="47" t="inlineStr">
        <is>
          <t>Route49_hns</t>
        </is>
      </c>
      <c r="C2488" s="48" t="inlineStr">
        <is>
          <t>Toute la journée</t>
        </is>
      </c>
      <c r="D2488" s="49" t="inlineStr">
        <is>
          <t>Herbe</t>
        </is>
      </c>
      <c r="E2488" s="50" t="inlineStr">
        <is>
          <t>FARFURET-H</t>
        </is>
      </c>
      <c r="F2488" s="51" t="n">
        <v>0.14</v>
      </c>
      <c r="G2488" s="52" t="n">
        <v>45</v>
      </c>
      <c r="H2488" s="52" t="n">
        <v>60</v>
      </c>
      <c r="I2488" s="29">
        <f>IF(OR(COUNTIF('Suivi des rencontres'!$A:$A,$A2488)&gt;0,COUNTIF('Suivi des rencontres'!$C:$C,$J2488)&gt;0),"Non","Oui")</f>
        <v/>
      </c>
      <c r="J2488" s="30" t="inlineStr">
        <is>
          <t>FARFURET-H</t>
        </is>
      </c>
    </row>
    <row r="2489">
      <c r="A2489" s="47" t="inlineStr">
        <is>
          <t>Route 49</t>
        </is>
      </c>
      <c r="B2489" s="47" t="inlineStr">
        <is>
          <t>Route49_hns</t>
        </is>
      </c>
      <c r="C2489" s="48" t="inlineStr">
        <is>
          <t>Toute la journée</t>
        </is>
      </c>
      <c r="D2489" s="49" t="inlineStr">
        <is>
          <t>Herbe</t>
        </is>
      </c>
      <c r="E2489" s="50" t="inlineStr">
        <is>
          <t>M. MIME</t>
        </is>
      </c>
      <c r="F2489" s="51" t="n">
        <v>0.1</v>
      </c>
      <c r="G2489" s="52" t="n">
        <v>45</v>
      </c>
      <c r="H2489" s="52" t="n">
        <v>60</v>
      </c>
      <c r="I2489" s="29">
        <f>IF(OR(COUNTIF('Suivi des rencontres'!$A:$A,$A2489)&gt;0,COUNTIF('Suivi des rencontres'!$C:$C,$J2489)&gt;0),"Non","Oui")</f>
        <v/>
      </c>
      <c r="J2489" s="30" t="inlineStr">
        <is>
          <t>MIME JR.</t>
        </is>
      </c>
    </row>
    <row r="2490">
      <c r="A2490" s="47" t="inlineStr">
        <is>
          <t>Route 49</t>
        </is>
      </c>
      <c r="B2490" s="47" t="inlineStr">
        <is>
          <t>Route49_hns</t>
        </is>
      </c>
      <c r="C2490" s="48" t="inlineStr">
        <is>
          <t>Toute la journée</t>
        </is>
      </c>
      <c r="D2490" s="49" t="inlineStr">
        <is>
          <t>Herbe</t>
        </is>
      </c>
      <c r="E2490" s="50" t="inlineStr">
        <is>
          <t>CERBYLLIN</t>
        </is>
      </c>
      <c r="F2490" s="51" t="n">
        <v>0.05</v>
      </c>
      <c r="G2490" s="52" t="n">
        <v>45</v>
      </c>
      <c r="H2490" s="52" t="n">
        <v>70</v>
      </c>
      <c r="I2490" s="29">
        <f>IF(OR(COUNTIF('Suivi des rencontres'!$A:$A,$A2490)&gt;0,COUNTIF('Suivi des rencontres'!$C:$C,$J2490)&gt;0),"Non","Oui")</f>
        <v/>
      </c>
      <c r="J2490" s="30" t="inlineStr">
        <is>
          <t>CERFROUSSE</t>
        </is>
      </c>
    </row>
    <row r="2491">
      <c r="A2491" s="47" t="inlineStr">
        <is>
          <t>Route 49</t>
        </is>
      </c>
      <c r="B2491" s="47" t="inlineStr">
        <is>
          <t>Route49_hns</t>
        </is>
      </c>
      <c r="C2491" s="48" t="inlineStr">
        <is>
          <t>Toute la journée</t>
        </is>
      </c>
      <c r="D2491" s="49" t="inlineStr">
        <is>
          <t>Herbe</t>
        </is>
      </c>
      <c r="E2491" s="50" t="inlineStr">
        <is>
          <t>FARFUREX</t>
        </is>
      </c>
      <c r="F2491" s="51" t="n">
        <v>0.01</v>
      </c>
      <c r="G2491" s="52" t="n">
        <v>45</v>
      </c>
      <c r="H2491" s="52" t="n">
        <v>70</v>
      </c>
      <c r="I2491" s="29">
        <f>IF(OR(COUNTIF('Suivi des rencontres'!$A:$A,$A2491)&gt;0,COUNTIF('Suivi des rencontres'!$C:$C,$J2491)&gt;0),"Non","Oui")</f>
        <v/>
      </c>
      <c r="J2491" s="30" t="inlineStr">
        <is>
          <t>FARFURET-H</t>
        </is>
      </c>
    </row>
    <row r="2492">
      <c r="A2492" s="47" t="inlineStr">
        <is>
          <t>Route 49</t>
        </is>
      </c>
      <c r="B2492" s="47" t="inlineStr">
        <is>
          <t>Route49_hns</t>
        </is>
      </c>
      <c r="C2492" s="48" t="inlineStr">
        <is>
          <t>Toute la journée</t>
        </is>
      </c>
      <c r="D2492" s="53" t="inlineStr">
        <is>
          <t>Surf</t>
        </is>
      </c>
      <c r="E2492" s="50" t="inlineStr">
        <is>
          <t>LEVIATOR</t>
        </is>
      </c>
      <c r="F2492" s="51" t="n">
        <v>0.6</v>
      </c>
      <c r="G2492" s="52" t="n">
        <v>45</v>
      </c>
      <c r="H2492" s="52" t="n">
        <v>60</v>
      </c>
      <c r="I2492" s="29">
        <f>IF(OR(COUNTIF('Suivi des rencontres'!$A:$A,$A2492)&gt;0,COUNTIF('Suivi des rencontres'!$C:$C,$J2492)&gt;0),"Non","Oui")</f>
        <v/>
      </c>
      <c r="J2492" s="30" t="inlineStr">
        <is>
          <t>MAGICARPE</t>
        </is>
      </c>
    </row>
    <row r="2493">
      <c r="A2493" s="47" t="inlineStr">
        <is>
          <t>Route 49</t>
        </is>
      </c>
      <c r="B2493" s="47" t="inlineStr">
        <is>
          <t>Route49_hns</t>
        </is>
      </c>
      <c r="C2493" s="48" t="inlineStr">
        <is>
          <t>Toute la journée</t>
        </is>
      </c>
      <c r="D2493" s="53" t="inlineStr">
        <is>
          <t>Surf</t>
        </is>
      </c>
      <c r="E2493" s="50" t="inlineStr">
        <is>
          <t>QWILFISH-H</t>
        </is>
      </c>
      <c r="F2493" s="51" t="n">
        <v>0.3</v>
      </c>
      <c r="G2493" s="52" t="n">
        <v>45</v>
      </c>
      <c r="H2493" s="52" t="n">
        <v>60</v>
      </c>
      <c r="I2493" s="29">
        <f>IF(OR(COUNTIF('Suivi des rencontres'!$A:$A,$A2493)&gt;0,COUNTIF('Suivi des rencontres'!$C:$C,$J2493)&gt;0),"Non","Oui")</f>
        <v/>
      </c>
      <c r="J2493" s="30" t="inlineStr">
        <is>
          <t>QWILFISH-H</t>
        </is>
      </c>
    </row>
    <row r="2494">
      <c r="A2494" s="47" t="inlineStr">
        <is>
          <t>Route 49</t>
        </is>
      </c>
      <c r="B2494" s="47" t="inlineStr">
        <is>
          <t>Route49_hns</t>
        </is>
      </c>
      <c r="C2494" s="48" t="inlineStr">
        <is>
          <t>Toute la journée</t>
        </is>
      </c>
      <c r="D2494" s="53" t="inlineStr">
        <is>
          <t>Surf</t>
        </is>
      </c>
      <c r="E2494" s="50" t="inlineStr">
        <is>
          <t>QWILPIK</t>
        </is>
      </c>
      <c r="F2494" s="51" t="n">
        <v>0.05</v>
      </c>
      <c r="G2494" s="52" t="n">
        <v>45</v>
      </c>
      <c r="H2494" s="52" t="n">
        <v>60</v>
      </c>
      <c r="I2494" s="29">
        <f>IF(OR(COUNTIF('Suivi des rencontres'!$A:$A,$A2494)&gt;0,COUNTIF('Suivi des rencontres'!$C:$C,$J2494)&gt;0),"Non","Oui")</f>
        <v/>
      </c>
      <c r="J2494" s="30" t="inlineStr">
        <is>
          <t>QWILFISH-H</t>
        </is>
      </c>
    </row>
    <row r="2495">
      <c r="A2495" s="47" t="inlineStr">
        <is>
          <t>Route 49</t>
        </is>
      </c>
      <c r="B2495" s="47" t="inlineStr">
        <is>
          <t>Route49_hns</t>
        </is>
      </c>
      <c r="C2495" s="48" t="inlineStr">
        <is>
          <t>Toute la journée</t>
        </is>
      </c>
      <c r="D2495" s="53" t="inlineStr">
        <is>
          <t>Surf</t>
        </is>
      </c>
      <c r="E2495" s="50" t="inlineStr">
        <is>
          <t>RELICANTH</t>
        </is>
      </c>
      <c r="F2495" s="51" t="n">
        <v>0.05</v>
      </c>
      <c r="G2495" s="52" t="n">
        <v>45</v>
      </c>
      <c r="H2495" s="52" t="n">
        <v>60</v>
      </c>
      <c r="I2495" s="29">
        <f>IF(OR(COUNTIF('Suivi des rencontres'!$A:$A,$A2495)&gt;0,COUNTIF('Suivi des rencontres'!$C:$C,$J2495)&gt;0),"Non","Oui")</f>
        <v/>
      </c>
      <c r="J2495" s="30" t="inlineStr">
        <is>
          <t>RELICANTH</t>
        </is>
      </c>
    </row>
    <row r="2496">
      <c r="A2496" s="47" t="inlineStr">
        <is>
          <t>Route 49</t>
        </is>
      </c>
      <c r="B2496" s="47" t="inlineStr">
        <is>
          <t>Route49_hns</t>
        </is>
      </c>
      <c r="C2496" s="48" t="inlineStr">
        <is>
          <t>Toute la journée</t>
        </is>
      </c>
      <c r="D2496" s="54" t="inlineStr">
        <is>
          <t>Vieille Canne</t>
        </is>
      </c>
      <c r="E2496" s="50" t="inlineStr">
        <is>
          <t>MAGICARPE</t>
        </is>
      </c>
      <c r="F2496" s="51" t="n">
        <v>1</v>
      </c>
      <c r="G2496" s="52" t="n">
        <v>5</v>
      </c>
      <c r="H2496" s="52" t="n">
        <v>5</v>
      </c>
      <c r="I2496" s="29">
        <f>IF(OR(COUNTIF('Suivi des rencontres'!$A:$A,$A2496)&gt;0,COUNTIF('Suivi des rencontres'!$C:$C,$J2496)&gt;0),"Non","Oui")</f>
        <v/>
      </c>
      <c r="J2496" s="30" t="inlineStr">
        <is>
          <t>MAGICARPE</t>
        </is>
      </c>
    </row>
    <row r="2497">
      <c r="A2497" s="47" t="inlineStr">
        <is>
          <t>Route 49</t>
        </is>
      </c>
      <c r="B2497" s="47" t="inlineStr">
        <is>
          <t>Route49_hns</t>
        </is>
      </c>
      <c r="C2497" s="48" t="inlineStr">
        <is>
          <t>Toute la journée</t>
        </is>
      </c>
      <c r="D2497" s="55" t="inlineStr">
        <is>
          <t>Bonne Canne</t>
        </is>
      </c>
      <c r="E2497" s="50" t="inlineStr">
        <is>
          <t>RELICANTH</t>
        </is>
      </c>
      <c r="F2497" s="51" t="n">
        <v>0.6</v>
      </c>
      <c r="G2497" s="52" t="n">
        <v>30</v>
      </c>
      <c r="H2497" s="52" t="n">
        <v>30</v>
      </c>
      <c r="I2497" s="29">
        <f>IF(OR(COUNTIF('Suivi des rencontres'!$A:$A,$A2497)&gt;0,COUNTIF('Suivi des rencontres'!$C:$C,$J2497)&gt;0),"Non","Oui")</f>
        <v/>
      </c>
      <c r="J2497" s="30" t="inlineStr">
        <is>
          <t>RELICANTH</t>
        </is>
      </c>
    </row>
    <row r="2498">
      <c r="A2498" s="47" t="inlineStr">
        <is>
          <t>Route 49</t>
        </is>
      </c>
      <c r="B2498" s="47" t="inlineStr">
        <is>
          <t>Route49_hns</t>
        </is>
      </c>
      <c r="C2498" s="48" t="inlineStr">
        <is>
          <t>Toute la journée</t>
        </is>
      </c>
      <c r="D2498" s="55" t="inlineStr">
        <is>
          <t>Bonne Canne</t>
        </is>
      </c>
      <c r="E2498" s="50" t="inlineStr">
        <is>
          <t>QWILFISH-H</t>
        </is>
      </c>
      <c r="F2498" s="51" t="n">
        <v>0.4</v>
      </c>
      <c r="G2498" s="52" t="n">
        <v>30</v>
      </c>
      <c r="H2498" s="52" t="n">
        <v>30</v>
      </c>
      <c r="I2498" s="29">
        <f>IF(OR(COUNTIF('Suivi des rencontres'!$A:$A,$A2498)&gt;0,COUNTIF('Suivi des rencontres'!$C:$C,$J2498)&gt;0),"Non","Oui")</f>
        <v/>
      </c>
      <c r="J2498" s="30" t="inlineStr">
        <is>
          <t>QWILFISH-H</t>
        </is>
      </c>
    </row>
    <row r="2499">
      <c r="A2499" s="47" t="inlineStr">
        <is>
          <t>Route 49</t>
        </is>
      </c>
      <c r="B2499" s="47" t="inlineStr">
        <is>
          <t>Route49_hns</t>
        </is>
      </c>
      <c r="C2499" s="48" t="inlineStr">
        <is>
          <t>Toute la journée</t>
        </is>
      </c>
      <c r="D2499" s="56" t="inlineStr">
        <is>
          <t>Super Canne</t>
        </is>
      </c>
      <c r="E2499" s="50" t="inlineStr">
        <is>
          <t>LEVIATOR</t>
        </is>
      </c>
      <c r="F2499" s="51" t="n">
        <v>0.4</v>
      </c>
      <c r="G2499" s="52" t="n">
        <v>45</v>
      </c>
      <c r="H2499" s="52" t="n">
        <v>50</v>
      </c>
      <c r="I2499" s="29">
        <f>IF(OR(COUNTIF('Suivi des rencontres'!$A:$A,$A2499)&gt;0,COUNTIF('Suivi des rencontres'!$C:$C,$J2499)&gt;0),"Non","Oui")</f>
        <v/>
      </c>
      <c r="J2499" s="30" t="inlineStr">
        <is>
          <t>MAGICARPE</t>
        </is>
      </c>
    </row>
    <row r="2500">
      <c r="A2500" s="47" t="inlineStr">
        <is>
          <t>Route 49</t>
        </is>
      </c>
      <c r="B2500" s="47" t="inlineStr">
        <is>
          <t>Route49_hns</t>
        </is>
      </c>
      <c r="C2500" s="48" t="inlineStr">
        <is>
          <t>Toute la journée</t>
        </is>
      </c>
      <c r="D2500" s="56" t="inlineStr">
        <is>
          <t>Super Canne</t>
        </is>
      </c>
      <c r="E2500" s="50" t="inlineStr">
        <is>
          <t>QWILFISH-H</t>
        </is>
      </c>
      <c r="F2500" s="51" t="n">
        <v>0.4</v>
      </c>
      <c r="G2500" s="52" t="n">
        <v>45</v>
      </c>
      <c r="H2500" s="52" t="n">
        <v>50</v>
      </c>
      <c r="I2500" s="29">
        <f>IF(OR(COUNTIF('Suivi des rencontres'!$A:$A,$A2500)&gt;0,COUNTIF('Suivi des rencontres'!$C:$C,$J2500)&gt;0),"Non","Oui")</f>
        <v/>
      </c>
      <c r="J2500" s="30" t="inlineStr">
        <is>
          <t>QWILFISH-H</t>
        </is>
      </c>
    </row>
    <row r="2501">
      <c r="A2501" s="47" t="inlineStr">
        <is>
          <t>Route 49</t>
        </is>
      </c>
      <c r="B2501" s="47" t="inlineStr">
        <is>
          <t>Route49_hns</t>
        </is>
      </c>
      <c r="C2501" s="48" t="inlineStr">
        <is>
          <t>Toute la journée</t>
        </is>
      </c>
      <c r="D2501" s="56" t="inlineStr">
        <is>
          <t>Super Canne</t>
        </is>
      </c>
      <c r="E2501" s="50" t="inlineStr">
        <is>
          <t>RELICANTH</t>
        </is>
      </c>
      <c r="F2501" s="51" t="n">
        <v>0.15</v>
      </c>
      <c r="G2501" s="52" t="n">
        <v>45</v>
      </c>
      <c r="H2501" s="52" t="n">
        <v>50</v>
      </c>
      <c r="I2501" s="29">
        <f>IF(OR(COUNTIF('Suivi des rencontres'!$A:$A,$A2501)&gt;0,COUNTIF('Suivi des rencontres'!$C:$C,$J2501)&gt;0),"Non","Oui")</f>
        <v/>
      </c>
      <c r="J2501" s="30" t="inlineStr">
        <is>
          <t>RELICANTH</t>
        </is>
      </c>
    </row>
    <row r="2502">
      <c r="A2502" s="47" t="inlineStr">
        <is>
          <t>Route 49</t>
        </is>
      </c>
      <c r="B2502" s="47" t="inlineStr">
        <is>
          <t>Route49_hns</t>
        </is>
      </c>
      <c r="C2502" s="48" t="inlineStr">
        <is>
          <t>Toute la journée</t>
        </is>
      </c>
      <c r="D2502" s="56" t="inlineStr">
        <is>
          <t>Super Canne</t>
        </is>
      </c>
      <c r="E2502" s="50" t="inlineStr">
        <is>
          <t>QWILPIK</t>
        </is>
      </c>
      <c r="F2502" s="51" t="n">
        <v>0.05</v>
      </c>
      <c r="G2502" s="52" t="n">
        <v>45</v>
      </c>
      <c r="H2502" s="52" t="n">
        <v>60</v>
      </c>
      <c r="I2502" s="29">
        <f>IF(OR(COUNTIF('Suivi des rencontres'!$A:$A,$A2502)&gt;0,COUNTIF('Suivi des rencontres'!$C:$C,$J2502)&gt;0),"Non","Oui")</f>
        <v/>
      </c>
      <c r="J2502" s="30" t="inlineStr">
        <is>
          <t>QWILFISH-H</t>
        </is>
      </c>
    </row>
    <row r="2503">
      <c r="A2503" s="57" t="inlineStr">
        <is>
          <t>Route 5</t>
        </is>
      </c>
      <c r="B2503" s="57" t="inlineStr">
        <is>
          <t>Route5_hns</t>
        </is>
      </c>
      <c r="C2503" s="58" t="inlineStr">
        <is>
          <t>Matin, jour, soir</t>
        </is>
      </c>
      <c r="D2503" s="42" t="inlineStr">
        <is>
          <t>Herbe</t>
        </is>
      </c>
      <c r="E2503" s="59" t="inlineStr">
        <is>
          <t>ROUCOOL</t>
        </is>
      </c>
      <c r="F2503" s="60" t="n">
        <v>0.3</v>
      </c>
      <c r="G2503" s="61" t="n">
        <v>44</v>
      </c>
      <c r="H2503" s="61" t="n">
        <v>46</v>
      </c>
      <c r="I2503" s="46">
        <f>IF(OR(COUNTIF('Suivi des rencontres'!$A:$A,$A2503)&gt;0,COUNTIF('Suivi des rencontres'!$C:$C,$J2503)&gt;0),"Non","Oui")</f>
        <v/>
      </c>
      <c r="J2503" s="30" t="inlineStr">
        <is>
          <t>ROUCOOL</t>
        </is>
      </c>
    </row>
    <row r="2504">
      <c r="A2504" s="35" t="inlineStr">
        <is>
          <t>Route 5</t>
        </is>
      </c>
      <c r="B2504" s="35" t="inlineStr">
        <is>
          <t>Route5_hns</t>
        </is>
      </c>
      <c r="C2504" s="33" t="inlineStr">
        <is>
          <t>Matin, jour, soir</t>
        </is>
      </c>
      <c r="D2504" s="49" t="inlineStr">
        <is>
          <t>Herbe</t>
        </is>
      </c>
      <c r="E2504" s="37" t="inlineStr">
        <is>
          <t>MIAOUSS</t>
        </is>
      </c>
      <c r="F2504" s="38" t="n">
        <v>0.2</v>
      </c>
      <c r="G2504" s="39" t="n">
        <v>44</v>
      </c>
      <c r="H2504" s="39" t="n">
        <v>48</v>
      </c>
      <c r="I2504" s="29">
        <f>IF(OR(COUNTIF('Suivi des rencontres'!$A:$A,$A2504)&gt;0,COUNTIF('Suivi des rencontres'!$C:$C,$J2504)&gt;0),"Non","Oui")</f>
        <v/>
      </c>
      <c r="J2504" s="30" t="inlineStr">
        <is>
          <t>MIAOUSS</t>
        </is>
      </c>
    </row>
    <row r="2505">
      <c r="A2505" s="35" t="inlineStr">
        <is>
          <t>Route 5</t>
        </is>
      </c>
      <c r="B2505" s="35" t="inlineStr">
        <is>
          <t>Route5_hns</t>
        </is>
      </c>
      <c r="C2505" s="33" t="inlineStr">
        <is>
          <t>Matin, jour, soir</t>
        </is>
      </c>
      <c r="D2505" s="49" t="inlineStr">
        <is>
          <t>Herbe</t>
        </is>
      </c>
      <c r="E2505" s="37" t="inlineStr">
        <is>
          <t>SNUBBULL</t>
        </is>
      </c>
      <c r="F2505" s="38" t="n">
        <v>0.2</v>
      </c>
      <c r="G2505" s="39" t="n">
        <v>44</v>
      </c>
      <c r="H2505" s="39" t="n">
        <v>46</v>
      </c>
      <c r="I2505" s="29">
        <f>IF(OR(COUNTIF('Suivi des rencontres'!$A:$A,$A2505)&gt;0,COUNTIF('Suivi des rencontres'!$C:$C,$J2505)&gt;0),"Non","Oui")</f>
        <v/>
      </c>
      <c r="J2505" s="30" t="inlineStr">
        <is>
          <t>SNUBBULL</t>
        </is>
      </c>
    </row>
    <row r="2506">
      <c r="A2506" s="35" t="inlineStr">
        <is>
          <t>Route 5</t>
        </is>
      </c>
      <c r="B2506" s="35" t="inlineStr">
        <is>
          <t>Route5_hns</t>
        </is>
      </c>
      <c r="C2506" s="33" t="inlineStr">
        <is>
          <t>Matin, jour, soir</t>
        </is>
      </c>
      <c r="D2506" s="49" t="inlineStr">
        <is>
          <t>Herbe</t>
        </is>
      </c>
      <c r="E2506" s="37" t="inlineStr">
        <is>
          <t>ABRA</t>
        </is>
      </c>
      <c r="F2506" s="38" t="n">
        <v>0.15</v>
      </c>
      <c r="G2506" s="39" t="n">
        <v>43</v>
      </c>
      <c r="H2506" s="39" t="n">
        <v>47</v>
      </c>
      <c r="I2506" s="29">
        <f>IF(OR(COUNTIF('Suivi des rencontres'!$A:$A,$A2506)&gt;0,COUNTIF('Suivi des rencontres'!$C:$C,$J2506)&gt;0),"Non","Oui")</f>
        <v/>
      </c>
      <c r="J2506" s="30" t="inlineStr">
        <is>
          <t>ABRA</t>
        </is>
      </c>
    </row>
    <row r="2507">
      <c r="A2507" s="35" t="inlineStr">
        <is>
          <t>Route 5</t>
        </is>
      </c>
      <c r="B2507" s="35" t="inlineStr">
        <is>
          <t>Route5_hns</t>
        </is>
      </c>
      <c r="C2507" s="33" t="inlineStr">
        <is>
          <t>Matin, jour, soir</t>
        </is>
      </c>
      <c r="D2507" s="49" t="inlineStr">
        <is>
          <t>Herbe</t>
        </is>
      </c>
      <c r="E2507" s="37" t="inlineStr">
        <is>
          <t>RONDOUDOU</t>
        </is>
      </c>
      <c r="F2507" s="38" t="n">
        <v>0.05</v>
      </c>
      <c r="G2507" s="39" t="n">
        <v>45</v>
      </c>
      <c r="H2507" s="39" t="n">
        <v>47</v>
      </c>
      <c r="I2507" s="29">
        <f>IF(OR(COUNTIF('Suivi des rencontres'!$A:$A,$A2507)&gt;0,COUNTIF('Suivi des rencontres'!$C:$C,$J2507)&gt;0),"Non","Oui")</f>
        <v/>
      </c>
      <c r="J2507" s="30" t="inlineStr">
        <is>
          <t>TOUDOUDOU</t>
        </is>
      </c>
    </row>
    <row r="2508">
      <c r="A2508" s="35" t="inlineStr">
        <is>
          <t>Route 5</t>
        </is>
      </c>
      <c r="B2508" s="35" t="inlineStr">
        <is>
          <t>Route5_hns</t>
        </is>
      </c>
      <c r="C2508" s="33" t="inlineStr">
        <is>
          <t>Matin, jour, soir</t>
        </is>
      </c>
      <c r="D2508" s="49" t="inlineStr">
        <is>
          <t>Herbe</t>
        </is>
      </c>
      <c r="E2508" s="37" t="inlineStr">
        <is>
          <t>ROUCOUPS</t>
        </is>
      </c>
      <c r="F2508" s="38" t="n">
        <v>0.05</v>
      </c>
      <c r="G2508" s="39" t="n">
        <v>46</v>
      </c>
      <c r="H2508" s="39" t="n">
        <v>48</v>
      </c>
      <c r="I2508" s="29">
        <f>IF(OR(COUNTIF('Suivi des rencontres'!$A:$A,$A2508)&gt;0,COUNTIF('Suivi des rencontres'!$C:$C,$J2508)&gt;0),"Non","Oui")</f>
        <v/>
      </c>
      <c r="J2508" s="30" t="inlineStr">
        <is>
          <t>ROUCOOL</t>
        </is>
      </c>
    </row>
    <row r="2509">
      <c r="A2509" s="35" t="inlineStr">
        <is>
          <t>Route 5</t>
        </is>
      </c>
      <c r="B2509" s="35" t="inlineStr">
        <is>
          <t>Route5_hns</t>
        </is>
      </c>
      <c r="C2509" s="33" t="inlineStr">
        <is>
          <t>Matin, jour, soir</t>
        </is>
      </c>
      <c r="D2509" s="49" t="inlineStr">
        <is>
          <t>Herbe</t>
        </is>
      </c>
      <c r="E2509" s="37" t="inlineStr">
        <is>
          <t>SPINDA</t>
        </is>
      </c>
      <c r="F2509" s="38" t="n">
        <v>0.05</v>
      </c>
      <c r="G2509" s="39" t="n">
        <v>43</v>
      </c>
      <c r="H2509" s="39" t="n">
        <v>47</v>
      </c>
      <c r="I2509" s="29">
        <f>IF(OR(COUNTIF('Suivi des rencontres'!$A:$A,$A2509)&gt;0,COUNTIF('Suivi des rencontres'!$C:$C,$J2509)&gt;0),"Non","Oui")</f>
        <v/>
      </c>
      <c r="J2509" s="30" t="inlineStr">
        <is>
          <t>SPINDA</t>
        </is>
      </c>
    </row>
    <row r="2510">
      <c r="A2510" s="35" t="inlineStr">
        <is>
          <t>Route 5</t>
        </is>
      </c>
      <c r="B2510" s="35" t="inlineStr">
        <is>
          <t>Route5_hns</t>
        </is>
      </c>
      <c r="C2510" s="62" t="inlineStr">
        <is>
          <t>Nuit</t>
        </is>
      </c>
      <c r="D2510" s="49" t="inlineStr">
        <is>
          <t>Herbe</t>
        </is>
      </c>
      <c r="E2510" s="37" t="inlineStr">
        <is>
          <t>MIAOUSS</t>
        </is>
      </c>
      <c r="F2510" s="38" t="n">
        <v>0.3</v>
      </c>
      <c r="G2510" s="39" t="n">
        <v>44</v>
      </c>
      <c r="H2510" s="39" t="n">
        <v>46</v>
      </c>
      <c r="I2510" s="29">
        <f>IF(OR(COUNTIF('Suivi des rencontres'!$A:$A,$A2510)&gt;0,COUNTIF('Suivi des rencontres'!$C:$C,$J2510)&gt;0),"Non","Oui")</f>
        <v/>
      </c>
      <c r="J2510" s="30" t="inlineStr">
        <is>
          <t>MIAOUSS</t>
        </is>
      </c>
    </row>
    <row r="2511">
      <c r="A2511" s="35" t="inlineStr">
        <is>
          <t>Route 5</t>
        </is>
      </c>
      <c r="B2511" s="35" t="inlineStr">
        <is>
          <t>Route5_hns</t>
        </is>
      </c>
      <c r="C2511" s="62" t="inlineStr">
        <is>
          <t>Nuit</t>
        </is>
      </c>
      <c r="D2511" s="49" t="inlineStr">
        <is>
          <t>Herbe</t>
        </is>
      </c>
      <c r="E2511" s="37" t="inlineStr">
        <is>
          <t>ABRA</t>
        </is>
      </c>
      <c r="F2511" s="38" t="n">
        <v>0.2</v>
      </c>
      <c r="G2511" s="39" t="n">
        <v>43</v>
      </c>
      <c r="H2511" s="39" t="n">
        <v>47</v>
      </c>
      <c r="I2511" s="29">
        <f>IF(OR(COUNTIF('Suivi des rencontres'!$A:$A,$A2511)&gt;0,COUNTIF('Suivi des rencontres'!$C:$C,$J2511)&gt;0),"Non","Oui")</f>
        <v/>
      </c>
      <c r="J2511" s="30" t="inlineStr">
        <is>
          <t>ABRA</t>
        </is>
      </c>
    </row>
    <row r="2512">
      <c r="A2512" s="35" t="inlineStr">
        <is>
          <t>Route 5</t>
        </is>
      </c>
      <c r="B2512" s="35" t="inlineStr">
        <is>
          <t>Route5_hns</t>
        </is>
      </c>
      <c r="C2512" s="62" t="inlineStr">
        <is>
          <t>Nuit</t>
        </is>
      </c>
      <c r="D2512" s="49" t="inlineStr">
        <is>
          <t>Herbe</t>
        </is>
      </c>
      <c r="E2512" s="37" t="inlineStr">
        <is>
          <t>HOOTHOOT</t>
        </is>
      </c>
      <c r="F2512" s="38" t="n">
        <v>0.2</v>
      </c>
      <c r="G2512" s="39" t="n">
        <v>44</v>
      </c>
      <c r="H2512" s="39" t="n">
        <v>46</v>
      </c>
      <c r="I2512" s="29">
        <f>IF(OR(COUNTIF('Suivi des rencontres'!$A:$A,$A2512)&gt;0,COUNTIF('Suivi des rencontres'!$C:$C,$J2512)&gt;0),"Non","Oui")</f>
        <v/>
      </c>
      <c r="J2512" s="30" t="inlineStr">
        <is>
          <t>HOOTHOOT</t>
        </is>
      </c>
    </row>
    <row r="2513">
      <c r="A2513" s="35" t="inlineStr">
        <is>
          <t>Route 5</t>
        </is>
      </c>
      <c r="B2513" s="35" t="inlineStr">
        <is>
          <t>Route5_hns</t>
        </is>
      </c>
      <c r="C2513" s="62" t="inlineStr">
        <is>
          <t>Nuit</t>
        </is>
      </c>
      <c r="D2513" s="49" t="inlineStr">
        <is>
          <t>Herbe</t>
        </is>
      </c>
      <c r="E2513" s="37" t="inlineStr">
        <is>
          <t>NOARFANG</t>
        </is>
      </c>
      <c r="F2513" s="38" t="n">
        <v>0.15</v>
      </c>
      <c r="G2513" s="39" t="n">
        <v>46</v>
      </c>
      <c r="H2513" s="39" t="n">
        <v>48</v>
      </c>
      <c r="I2513" s="29">
        <f>IF(OR(COUNTIF('Suivi des rencontres'!$A:$A,$A2513)&gt;0,COUNTIF('Suivi des rencontres'!$C:$C,$J2513)&gt;0),"Non","Oui")</f>
        <v/>
      </c>
      <c r="J2513" s="30" t="inlineStr">
        <is>
          <t>HOOTHOOT</t>
        </is>
      </c>
    </row>
    <row r="2514">
      <c r="A2514" s="35" t="inlineStr">
        <is>
          <t>Route 5</t>
        </is>
      </c>
      <c r="B2514" s="35" t="inlineStr">
        <is>
          <t>Route5_hns</t>
        </is>
      </c>
      <c r="C2514" s="62" t="inlineStr">
        <is>
          <t>Nuit</t>
        </is>
      </c>
      <c r="D2514" s="49" t="inlineStr">
        <is>
          <t>Herbe</t>
        </is>
      </c>
      <c r="E2514" s="37" t="inlineStr">
        <is>
          <t>SPINDA</t>
        </is>
      </c>
      <c r="F2514" s="38" t="n">
        <v>0.1</v>
      </c>
      <c r="G2514" s="39" t="n">
        <v>44</v>
      </c>
      <c r="H2514" s="39" t="n">
        <v>46</v>
      </c>
      <c r="I2514" s="29">
        <f>IF(OR(COUNTIF('Suivi des rencontres'!$A:$A,$A2514)&gt;0,COUNTIF('Suivi des rencontres'!$C:$C,$J2514)&gt;0),"Non","Oui")</f>
        <v/>
      </c>
      <c r="J2514" s="30" t="inlineStr">
        <is>
          <t>SPINDA</t>
        </is>
      </c>
    </row>
    <row r="2515">
      <c r="A2515" s="35" t="inlineStr">
        <is>
          <t>Route 5</t>
        </is>
      </c>
      <c r="B2515" s="35" t="inlineStr">
        <is>
          <t>Route5_hns</t>
        </is>
      </c>
      <c r="C2515" s="62" t="inlineStr">
        <is>
          <t>Nuit</t>
        </is>
      </c>
      <c r="D2515" s="49" t="inlineStr">
        <is>
          <t>Herbe</t>
        </is>
      </c>
      <c r="E2515" s="37" t="inlineStr">
        <is>
          <t>RONDOUDOU</t>
        </is>
      </c>
      <c r="F2515" s="38" t="n">
        <v>0.05</v>
      </c>
      <c r="G2515" s="39" t="n">
        <v>45</v>
      </c>
      <c r="H2515" s="39" t="n">
        <v>47</v>
      </c>
      <c r="I2515" s="29">
        <f>IF(OR(COUNTIF('Suivi des rencontres'!$A:$A,$A2515)&gt;0,COUNTIF('Suivi des rencontres'!$C:$C,$J2515)&gt;0),"Non","Oui")</f>
        <v/>
      </c>
      <c r="J2515" s="30" t="inlineStr">
        <is>
          <t>TOUDOUDOU</t>
        </is>
      </c>
    </row>
    <row r="2516">
      <c r="A2516" s="35" t="inlineStr">
        <is>
          <t>Route 5</t>
        </is>
      </c>
      <c r="B2516" s="35" t="inlineStr">
        <is>
          <t>Route5_hns</t>
        </is>
      </c>
      <c r="C2516" s="33" t="inlineStr">
        <is>
          <t>Matin, jour, soir</t>
        </is>
      </c>
      <c r="D2516" s="36" t="inlineStr">
        <is>
          <t>Éclate-Roc</t>
        </is>
      </c>
      <c r="E2516" s="37" t="inlineStr">
        <is>
          <t>POMDEPIK</t>
        </is>
      </c>
      <c r="F2516" s="38" t="n">
        <v>0.6</v>
      </c>
      <c r="G2516" s="39" t="n">
        <v>41</v>
      </c>
      <c r="H2516" s="39" t="n">
        <v>43</v>
      </c>
      <c r="I2516" s="29">
        <f>IF(OR(COUNTIF('Suivi des rencontres'!$A:$A,$A2516)&gt;0,COUNTIF('Suivi des rencontres'!$C:$C,$J2516)&gt;0),"Non","Oui")</f>
        <v/>
      </c>
      <c r="J2516" s="30" t="inlineStr">
        <is>
          <t>POMDEPIK</t>
        </is>
      </c>
    </row>
    <row r="2517">
      <c r="A2517" s="35" t="inlineStr">
        <is>
          <t>Route 5</t>
        </is>
      </c>
      <c r="B2517" s="35" t="inlineStr">
        <is>
          <t>Route5_hns</t>
        </is>
      </c>
      <c r="C2517" s="33" t="inlineStr">
        <is>
          <t>Matin, jour, soir</t>
        </is>
      </c>
      <c r="D2517" s="36" t="inlineStr">
        <is>
          <t>Éclate-Roc</t>
        </is>
      </c>
      <c r="E2517" s="37" t="inlineStr">
        <is>
          <t>NOEUNOEUF</t>
        </is>
      </c>
      <c r="F2517" s="38" t="n">
        <v>0.3</v>
      </c>
      <c r="G2517" s="39" t="n">
        <v>41</v>
      </c>
      <c r="H2517" s="39" t="n">
        <v>43</v>
      </c>
      <c r="I2517" s="29">
        <f>IF(OR(COUNTIF('Suivi des rencontres'!$A:$A,$A2517)&gt;0,COUNTIF('Suivi des rencontres'!$C:$C,$J2517)&gt;0),"Non","Oui")</f>
        <v/>
      </c>
      <c r="J2517" s="30" t="inlineStr">
        <is>
          <t>NOEUNOEUF</t>
        </is>
      </c>
    </row>
    <row r="2518">
      <c r="A2518" s="35" t="inlineStr">
        <is>
          <t>Route 5</t>
        </is>
      </c>
      <c r="B2518" s="35" t="inlineStr">
        <is>
          <t>Route5_hns</t>
        </is>
      </c>
      <c r="C2518" s="33" t="inlineStr">
        <is>
          <t>Matin, jour, soir</t>
        </is>
      </c>
      <c r="D2518" s="36" t="inlineStr">
        <is>
          <t>Éclate-Roc</t>
        </is>
      </c>
      <c r="E2518" s="37" t="inlineStr">
        <is>
          <t>COXY</t>
        </is>
      </c>
      <c r="F2518" s="38" t="n">
        <v>0.05</v>
      </c>
      <c r="G2518" s="39" t="n">
        <v>41</v>
      </c>
      <c r="H2518" s="39" t="n">
        <v>43</v>
      </c>
      <c r="I2518" s="29">
        <f>IF(OR(COUNTIF('Suivi des rencontres'!$A:$A,$A2518)&gt;0,COUNTIF('Suivi des rencontres'!$C:$C,$J2518)&gt;0),"Non","Oui")</f>
        <v/>
      </c>
      <c r="J2518" s="30" t="inlineStr">
        <is>
          <t>COXY</t>
        </is>
      </c>
    </row>
    <row r="2519">
      <c r="A2519" s="35" t="inlineStr">
        <is>
          <t>Route 5</t>
        </is>
      </c>
      <c r="B2519" s="35" t="inlineStr">
        <is>
          <t>Route5_hns</t>
        </is>
      </c>
      <c r="C2519" s="33" t="inlineStr">
        <is>
          <t>Matin, jour, soir</t>
        </is>
      </c>
      <c r="D2519" s="36" t="inlineStr">
        <is>
          <t>Éclate-Roc</t>
        </is>
      </c>
      <c r="E2519" s="37" t="inlineStr">
        <is>
          <t>MIMIGAL</t>
        </is>
      </c>
      <c r="F2519" s="38" t="n">
        <v>0.05</v>
      </c>
      <c r="G2519" s="39" t="n">
        <v>41</v>
      </c>
      <c r="H2519" s="39" t="n">
        <v>43</v>
      </c>
      <c r="I2519" s="29">
        <f>IF(OR(COUNTIF('Suivi des rencontres'!$A:$A,$A2519)&gt;0,COUNTIF('Suivi des rencontres'!$C:$C,$J2519)&gt;0),"Non","Oui")</f>
        <v/>
      </c>
      <c r="J2519" s="30" t="inlineStr">
        <is>
          <t>MIMIGAL</t>
        </is>
      </c>
    </row>
    <row r="2520">
      <c r="A2520" s="35" t="inlineStr">
        <is>
          <t>Route 5</t>
        </is>
      </c>
      <c r="B2520" s="35" t="inlineStr">
        <is>
          <t>Route5_hns</t>
        </is>
      </c>
      <c r="C2520" s="62" t="inlineStr">
        <is>
          <t>Nuit</t>
        </is>
      </c>
      <c r="D2520" s="36" t="inlineStr">
        <is>
          <t>Éclate-Roc</t>
        </is>
      </c>
      <c r="E2520" s="37" t="inlineStr">
        <is>
          <t>POMDEPIK</t>
        </is>
      </c>
      <c r="F2520" s="38" t="n">
        <v>0.6</v>
      </c>
      <c r="G2520" s="39" t="n">
        <v>41</v>
      </c>
      <c r="H2520" s="39" t="n">
        <v>43</v>
      </c>
      <c r="I2520" s="29">
        <f>IF(OR(COUNTIF('Suivi des rencontres'!$A:$A,$A2520)&gt;0,COUNTIF('Suivi des rencontres'!$C:$C,$J2520)&gt;0),"Non","Oui")</f>
        <v/>
      </c>
      <c r="J2520" s="30" t="inlineStr">
        <is>
          <t>POMDEPIK</t>
        </is>
      </c>
    </row>
    <row r="2521">
      <c r="A2521" s="35" t="inlineStr">
        <is>
          <t>Route 5</t>
        </is>
      </c>
      <c r="B2521" s="35" t="inlineStr">
        <is>
          <t>Route5_hns</t>
        </is>
      </c>
      <c r="C2521" s="62" t="inlineStr">
        <is>
          <t>Nuit</t>
        </is>
      </c>
      <c r="D2521" s="36" t="inlineStr">
        <is>
          <t>Éclate-Roc</t>
        </is>
      </c>
      <c r="E2521" s="37" t="inlineStr">
        <is>
          <t>NOEUNOEUF</t>
        </is>
      </c>
      <c r="F2521" s="38" t="n">
        <v>0.3</v>
      </c>
      <c r="G2521" s="39" t="n">
        <v>41</v>
      </c>
      <c r="H2521" s="39" t="n">
        <v>43</v>
      </c>
      <c r="I2521" s="29">
        <f>IF(OR(COUNTIF('Suivi des rencontres'!$A:$A,$A2521)&gt;0,COUNTIF('Suivi des rencontres'!$C:$C,$J2521)&gt;0),"Non","Oui")</f>
        <v/>
      </c>
      <c r="J2521" s="30" t="inlineStr">
        <is>
          <t>NOEUNOEUF</t>
        </is>
      </c>
    </row>
    <row r="2522">
      <c r="A2522" s="35" t="inlineStr">
        <is>
          <t>Route 5</t>
        </is>
      </c>
      <c r="B2522" s="35" t="inlineStr">
        <is>
          <t>Route5_hns</t>
        </is>
      </c>
      <c r="C2522" s="62" t="inlineStr">
        <is>
          <t>Nuit</t>
        </is>
      </c>
      <c r="D2522" s="36" t="inlineStr">
        <is>
          <t>Éclate-Roc</t>
        </is>
      </c>
      <c r="E2522" s="37" t="inlineStr">
        <is>
          <t>COXY</t>
        </is>
      </c>
      <c r="F2522" s="38" t="n">
        <v>0.05</v>
      </c>
      <c r="G2522" s="39" t="n">
        <v>41</v>
      </c>
      <c r="H2522" s="39" t="n">
        <v>43</v>
      </c>
      <c r="I2522" s="29">
        <f>IF(OR(COUNTIF('Suivi des rencontres'!$A:$A,$A2522)&gt;0,COUNTIF('Suivi des rencontres'!$C:$C,$J2522)&gt;0),"Non","Oui")</f>
        <v/>
      </c>
      <c r="J2522" s="30" t="inlineStr">
        <is>
          <t>COXY</t>
        </is>
      </c>
    </row>
    <row r="2523">
      <c r="A2523" s="35" t="inlineStr">
        <is>
          <t>Route 5</t>
        </is>
      </c>
      <c r="B2523" s="35" t="inlineStr">
        <is>
          <t>Route5_hns</t>
        </is>
      </c>
      <c r="C2523" s="62" t="inlineStr">
        <is>
          <t>Nuit</t>
        </is>
      </c>
      <c r="D2523" s="36" t="inlineStr">
        <is>
          <t>Éclate-Roc</t>
        </is>
      </c>
      <c r="E2523" s="37" t="inlineStr">
        <is>
          <t>MIMIGAL</t>
        </is>
      </c>
      <c r="F2523" s="38" t="n">
        <v>0.05</v>
      </c>
      <c r="G2523" s="39" t="n">
        <v>41</v>
      </c>
      <c r="H2523" s="39" t="n">
        <v>43</v>
      </c>
      <c r="I2523" s="29">
        <f>IF(OR(COUNTIF('Suivi des rencontres'!$A:$A,$A2523)&gt;0,COUNTIF('Suivi des rencontres'!$C:$C,$J2523)&gt;0),"Non","Oui")</f>
        <v/>
      </c>
      <c r="J2523" s="30" t="inlineStr">
        <is>
          <t>MIMIGAL</t>
        </is>
      </c>
    </row>
    <row r="2524">
      <c r="A2524" s="40" t="inlineStr">
        <is>
          <t>Route 50</t>
        </is>
      </c>
      <c r="B2524" s="40" t="inlineStr">
        <is>
          <t>Route50_hns</t>
        </is>
      </c>
      <c r="C2524" s="41" t="inlineStr">
        <is>
          <t>Toute la journée</t>
        </is>
      </c>
      <c r="D2524" s="42" t="inlineStr">
        <is>
          <t>Herbe</t>
        </is>
      </c>
      <c r="E2524" s="43" t="inlineStr">
        <is>
          <t>CERFROUSSE</t>
        </is>
      </c>
      <c r="F2524" s="44" t="n">
        <v>0.2</v>
      </c>
      <c r="G2524" s="45" t="n">
        <v>45</v>
      </c>
      <c r="H2524" s="45" t="n">
        <v>60</v>
      </c>
      <c r="I2524" s="46">
        <f>IF(OR(COUNTIF('Suivi des rencontres'!$A:$A,$A2524)&gt;0,COUNTIF('Suivi des rencontres'!$C:$C,$J2524)&gt;0),"Non","Oui")</f>
        <v/>
      </c>
      <c r="J2524" s="30" t="inlineStr">
        <is>
          <t>CERFROUSSE</t>
        </is>
      </c>
    </row>
    <row r="2525">
      <c r="A2525" s="47" t="inlineStr">
        <is>
          <t>Route 50</t>
        </is>
      </c>
      <c r="B2525" s="47" t="inlineStr">
        <is>
          <t>Route50_hns</t>
        </is>
      </c>
      <c r="C2525" s="48" t="inlineStr">
        <is>
          <t>Toute la journée</t>
        </is>
      </c>
      <c r="D2525" s="49" t="inlineStr">
        <is>
          <t>Herbe</t>
        </is>
      </c>
      <c r="E2525" s="50" t="inlineStr">
        <is>
          <t>INSECATEUR</t>
        </is>
      </c>
      <c r="F2525" s="51" t="n">
        <v>0.2</v>
      </c>
      <c r="G2525" s="52" t="n">
        <v>45</v>
      </c>
      <c r="H2525" s="52" t="n">
        <v>60</v>
      </c>
      <c r="I2525" s="29">
        <f>IF(OR(COUNTIF('Suivi des rencontres'!$A:$A,$A2525)&gt;0,COUNTIF('Suivi des rencontres'!$C:$C,$J2525)&gt;0),"Non","Oui")</f>
        <v/>
      </c>
      <c r="J2525" s="30" t="inlineStr">
        <is>
          <t>INSECATEUR</t>
        </is>
      </c>
    </row>
    <row r="2526">
      <c r="A2526" s="47" t="inlineStr">
        <is>
          <t>Route 50</t>
        </is>
      </c>
      <c r="B2526" s="47" t="inlineStr">
        <is>
          <t>Route50_hns</t>
        </is>
      </c>
      <c r="C2526" s="48" t="inlineStr">
        <is>
          <t>Toute la journée</t>
        </is>
      </c>
      <c r="D2526" s="49" t="inlineStr">
        <is>
          <t>Herbe</t>
        </is>
      </c>
      <c r="E2526" s="50" t="inlineStr">
        <is>
          <t>URSARING</t>
        </is>
      </c>
      <c r="F2526" s="51" t="n">
        <v>0.2</v>
      </c>
      <c r="G2526" s="52" t="n">
        <v>45</v>
      </c>
      <c r="H2526" s="52" t="n">
        <v>60</v>
      </c>
      <c r="I2526" s="29">
        <f>IF(OR(COUNTIF('Suivi des rencontres'!$A:$A,$A2526)&gt;0,COUNTIF('Suivi des rencontres'!$C:$C,$J2526)&gt;0),"Non","Oui")</f>
        <v/>
      </c>
      <c r="J2526" s="30" t="inlineStr">
        <is>
          <t>TEDDIURSA</t>
        </is>
      </c>
    </row>
    <row r="2527">
      <c r="A2527" s="47" t="inlineStr">
        <is>
          <t>Route 50</t>
        </is>
      </c>
      <c r="B2527" s="47" t="inlineStr">
        <is>
          <t>Route50_hns</t>
        </is>
      </c>
      <c r="C2527" s="48" t="inlineStr">
        <is>
          <t>Toute la journée</t>
        </is>
      </c>
      <c r="D2527" s="49" t="inlineStr">
        <is>
          <t>Herbe</t>
        </is>
      </c>
      <c r="E2527" s="50" t="inlineStr">
        <is>
          <t>VOLTORBE-H</t>
        </is>
      </c>
      <c r="F2527" s="51" t="n">
        <v>0.2</v>
      </c>
      <c r="G2527" s="52" t="n">
        <v>45</v>
      </c>
      <c r="H2527" s="52" t="n">
        <v>60</v>
      </c>
      <c r="I2527" s="29">
        <f>IF(OR(COUNTIF('Suivi des rencontres'!$A:$A,$A2527)&gt;0,COUNTIF('Suivi des rencontres'!$C:$C,$J2527)&gt;0),"Non","Oui")</f>
        <v/>
      </c>
      <c r="J2527" s="30" t="inlineStr">
        <is>
          <t>VOLTORBE-H</t>
        </is>
      </c>
    </row>
    <row r="2528">
      <c r="A2528" s="47" t="inlineStr">
        <is>
          <t>Route 50</t>
        </is>
      </c>
      <c r="B2528" s="47" t="inlineStr">
        <is>
          <t>Route50_hns</t>
        </is>
      </c>
      <c r="C2528" s="48" t="inlineStr">
        <is>
          <t>Toute la journée</t>
        </is>
      </c>
      <c r="D2528" s="49" t="inlineStr">
        <is>
          <t>Herbe</t>
        </is>
      </c>
      <c r="E2528" s="50" t="inlineStr">
        <is>
          <t>ELECTRODE-H</t>
        </is>
      </c>
      <c r="F2528" s="51" t="n">
        <v>0.05</v>
      </c>
      <c r="G2528" s="52" t="n">
        <v>45</v>
      </c>
      <c r="H2528" s="52" t="n">
        <v>70</v>
      </c>
      <c r="I2528" s="29">
        <f>IF(OR(COUNTIF('Suivi des rencontres'!$A:$A,$A2528)&gt;0,COUNTIF('Suivi des rencontres'!$C:$C,$J2528)&gt;0),"Non","Oui")</f>
        <v/>
      </c>
      <c r="J2528" s="30" t="inlineStr">
        <is>
          <t>VOLTORBE-H</t>
        </is>
      </c>
    </row>
    <row r="2529">
      <c r="A2529" s="47" t="inlineStr">
        <is>
          <t>Route 50</t>
        </is>
      </c>
      <c r="B2529" s="47" t="inlineStr">
        <is>
          <t>Route50_hns</t>
        </is>
      </c>
      <c r="C2529" s="48" t="inlineStr">
        <is>
          <t>Toute la journée</t>
        </is>
      </c>
      <c r="D2529" s="49" t="inlineStr">
        <is>
          <t>Herbe</t>
        </is>
      </c>
      <c r="E2529" s="50" t="inlineStr">
        <is>
          <t>HACHECATEUR</t>
        </is>
      </c>
      <c r="F2529" s="51" t="n">
        <v>0.05</v>
      </c>
      <c r="G2529" s="52" t="n">
        <v>45</v>
      </c>
      <c r="H2529" s="52" t="n">
        <v>70</v>
      </c>
      <c r="I2529" s="29">
        <f>IF(OR(COUNTIF('Suivi des rencontres'!$A:$A,$A2529)&gt;0,COUNTIF('Suivi des rencontres'!$C:$C,$J2529)&gt;0),"Non","Oui")</f>
        <v/>
      </c>
      <c r="J2529" s="30" t="inlineStr">
        <is>
          <t>INSECATEUR</t>
        </is>
      </c>
    </row>
    <row r="2530">
      <c r="A2530" s="47" t="inlineStr">
        <is>
          <t>Route 50</t>
        </is>
      </c>
      <c r="B2530" s="47" t="inlineStr">
        <is>
          <t>Route50_hns</t>
        </is>
      </c>
      <c r="C2530" s="48" t="inlineStr">
        <is>
          <t>Toute la journée</t>
        </is>
      </c>
      <c r="D2530" s="49" t="inlineStr">
        <is>
          <t>Herbe</t>
        </is>
      </c>
      <c r="E2530" s="50" t="inlineStr">
        <is>
          <t>MORPHEO</t>
        </is>
      </c>
      <c r="F2530" s="51" t="n">
        <v>0.05</v>
      </c>
      <c r="G2530" s="52" t="n">
        <v>45</v>
      </c>
      <c r="H2530" s="52" t="n">
        <v>60</v>
      </c>
      <c r="I2530" s="29">
        <f>IF(OR(COUNTIF('Suivi des rencontres'!$A:$A,$A2530)&gt;0,COUNTIF('Suivi des rencontres'!$C:$C,$J2530)&gt;0),"Non","Oui")</f>
        <v/>
      </c>
      <c r="J2530" s="30" t="inlineStr">
        <is>
          <t>MORPHEO</t>
        </is>
      </c>
    </row>
    <row r="2531">
      <c r="A2531" s="47" t="inlineStr">
        <is>
          <t>Route 50</t>
        </is>
      </c>
      <c r="B2531" s="47" t="inlineStr">
        <is>
          <t>Route50_hns</t>
        </is>
      </c>
      <c r="C2531" s="48" t="inlineStr">
        <is>
          <t>Toute la journée</t>
        </is>
      </c>
      <c r="D2531" s="49" t="inlineStr">
        <is>
          <t>Herbe</t>
        </is>
      </c>
      <c r="E2531" s="50" t="inlineStr">
        <is>
          <t>STALGAMIN</t>
        </is>
      </c>
      <c r="F2531" s="51" t="n">
        <v>0.05</v>
      </c>
      <c r="G2531" s="52" t="n">
        <v>45</v>
      </c>
      <c r="H2531" s="52" t="n">
        <v>60</v>
      </c>
      <c r="I2531" s="29">
        <f>IF(OR(COUNTIF('Suivi des rencontres'!$A:$A,$A2531)&gt;0,COUNTIF('Suivi des rencontres'!$C:$C,$J2531)&gt;0),"Non","Oui")</f>
        <v/>
      </c>
      <c r="J2531" s="30" t="inlineStr">
        <is>
          <t>STALGAMIN</t>
        </is>
      </c>
    </row>
    <row r="2532">
      <c r="A2532" s="47" t="inlineStr">
        <is>
          <t>Route 50</t>
        </is>
      </c>
      <c r="B2532" s="47" t="inlineStr">
        <is>
          <t>Route50_hns</t>
        </is>
      </c>
      <c r="C2532" s="48" t="inlineStr">
        <is>
          <t>Toute la journée</t>
        </is>
      </c>
      <c r="D2532" s="36" t="inlineStr">
        <is>
          <t>Éclate-Roc</t>
        </is>
      </c>
      <c r="E2532" s="50" t="inlineStr">
        <is>
          <t>INSECATEUR</t>
        </is>
      </c>
      <c r="F2532" s="51" t="n">
        <v>0.6</v>
      </c>
      <c r="G2532" s="52" t="n">
        <v>45</v>
      </c>
      <c r="H2532" s="52" t="n">
        <v>60</v>
      </c>
      <c r="I2532" s="29">
        <f>IF(OR(COUNTIF('Suivi des rencontres'!$A:$A,$A2532)&gt;0,COUNTIF('Suivi des rencontres'!$C:$C,$J2532)&gt;0),"Non","Oui")</f>
        <v/>
      </c>
      <c r="J2532" s="30" t="inlineStr">
        <is>
          <t>INSECATEUR</t>
        </is>
      </c>
    </row>
    <row r="2533">
      <c r="A2533" s="47" t="inlineStr">
        <is>
          <t>Route 50</t>
        </is>
      </c>
      <c r="B2533" s="47" t="inlineStr">
        <is>
          <t>Route50_hns</t>
        </is>
      </c>
      <c r="C2533" s="48" t="inlineStr">
        <is>
          <t>Toute la journée</t>
        </is>
      </c>
      <c r="D2533" s="36" t="inlineStr">
        <is>
          <t>Éclate-Roc</t>
        </is>
      </c>
      <c r="E2533" s="50" t="inlineStr">
        <is>
          <t>FORETRESS</t>
        </is>
      </c>
      <c r="F2533" s="51" t="n">
        <v>0.3</v>
      </c>
      <c r="G2533" s="52" t="n">
        <v>45</v>
      </c>
      <c r="H2533" s="52" t="n">
        <v>60</v>
      </c>
      <c r="I2533" s="29">
        <f>IF(OR(COUNTIF('Suivi des rencontres'!$A:$A,$A2533)&gt;0,COUNTIF('Suivi des rencontres'!$C:$C,$J2533)&gt;0),"Non","Oui")</f>
        <v/>
      </c>
      <c r="J2533" s="30" t="inlineStr">
        <is>
          <t>POMDEPIK</t>
        </is>
      </c>
    </row>
    <row r="2534">
      <c r="A2534" s="47" t="inlineStr">
        <is>
          <t>Route 50</t>
        </is>
      </c>
      <c r="B2534" s="47" t="inlineStr">
        <is>
          <t>Route50_hns</t>
        </is>
      </c>
      <c r="C2534" s="48" t="inlineStr">
        <is>
          <t>Toute la journée</t>
        </is>
      </c>
      <c r="D2534" s="36" t="inlineStr">
        <is>
          <t>Éclate-Roc</t>
        </is>
      </c>
      <c r="E2534" s="50" t="inlineStr">
        <is>
          <t>HACHECATEUR</t>
        </is>
      </c>
      <c r="F2534" s="51" t="n">
        <v>0.05</v>
      </c>
      <c r="G2534" s="52" t="n">
        <v>45</v>
      </c>
      <c r="H2534" s="52" t="n">
        <v>60</v>
      </c>
      <c r="I2534" s="29">
        <f>IF(OR(COUNTIF('Suivi des rencontres'!$A:$A,$A2534)&gt;0,COUNTIF('Suivi des rencontres'!$C:$C,$J2534)&gt;0),"Non","Oui")</f>
        <v/>
      </c>
      <c r="J2534" s="30" t="inlineStr">
        <is>
          <t>INSECATEUR</t>
        </is>
      </c>
    </row>
    <row r="2535">
      <c r="A2535" s="47" t="inlineStr">
        <is>
          <t>Route 50</t>
        </is>
      </c>
      <c r="B2535" s="47" t="inlineStr">
        <is>
          <t>Route50_hns</t>
        </is>
      </c>
      <c r="C2535" s="48" t="inlineStr">
        <is>
          <t>Toute la journée</t>
        </is>
      </c>
      <c r="D2535" s="36" t="inlineStr">
        <is>
          <t>Éclate-Roc</t>
        </is>
      </c>
      <c r="E2535" s="50" t="inlineStr">
        <is>
          <t>NINGALE</t>
        </is>
      </c>
      <c r="F2535" s="51" t="n">
        <v>0.05</v>
      </c>
      <c r="G2535" s="52" t="n">
        <v>45</v>
      </c>
      <c r="H2535" s="52" t="n">
        <v>60</v>
      </c>
      <c r="I2535" s="29">
        <f>IF(OR(COUNTIF('Suivi des rencontres'!$A:$A,$A2535)&gt;0,COUNTIF('Suivi des rencontres'!$C:$C,$J2535)&gt;0),"Non","Oui")</f>
        <v/>
      </c>
      <c r="J2535" s="30" t="inlineStr">
        <is>
          <t>NINGALE</t>
        </is>
      </c>
    </row>
    <row r="2536">
      <c r="A2536" s="57" t="inlineStr">
        <is>
          <t>Route 6</t>
        </is>
      </c>
      <c r="B2536" s="57" t="inlineStr">
        <is>
          <t>Route6_hns</t>
        </is>
      </c>
      <c r="C2536" s="58" t="inlineStr">
        <is>
          <t>Matin, jour, soir</t>
        </is>
      </c>
      <c r="D2536" s="42" t="inlineStr">
        <is>
          <t>Herbe</t>
        </is>
      </c>
      <c r="E2536" s="59" t="inlineStr">
        <is>
          <t>SNUBBULL</t>
        </is>
      </c>
      <c r="F2536" s="60" t="n">
        <v>0.31</v>
      </c>
      <c r="G2536" s="61" t="n">
        <v>43</v>
      </c>
      <c r="H2536" s="61" t="n">
        <v>46</v>
      </c>
      <c r="I2536" s="46">
        <f>IF(OR(COUNTIF('Suivi des rencontres'!$A:$A,$A2536)&gt;0,COUNTIF('Suivi des rencontres'!$C:$C,$J2536)&gt;0),"Non","Oui")</f>
        <v/>
      </c>
      <c r="J2536" s="30" t="inlineStr">
        <is>
          <t>SNUBBULL</t>
        </is>
      </c>
    </row>
    <row r="2537">
      <c r="A2537" s="35" t="inlineStr">
        <is>
          <t>Route 6</t>
        </is>
      </c>
      <c r="B2537" s="35" t="inlineStr">
        <is>
          <t>Route6_hns</t>
        </is>
      </c>
      <c r="C2537" s="33" t="inlineStr">
        <is>
          <t>Matin, jour, soir</t>
        </is>
      </c>
      <c r="D2537" s="49" t="inlineStr">
        <is>
          <t>Herbe</t>
        </is>
      </c>
      <c r="E2537" s="37" t="inlineStr">
        <is>
          <t>RATTATA</t>
        </is>
      </c>
      <c r="F2537" s="38" t="n">
        <v>0.3</v>
      </c>
      <c r="G2537" s="39" t="n">
        <v>44</v>
      </c>
      <c r="H2537" s="39" t="n">
        <v>46</v>
      </c>
      <c r="I2537" s="29">
        <f>IF(OR(COUNTIF('Suivi des rencontres'!$A:$A,$A2537)&gt;0,COUNTIF('Suivi des rencontres'!$C:$C,$J2537)&gt;0),"Non","Oui")</f>
        <v/>
      </c>
      <c r="J2537" s="30" t="inlineStr">
        <is>
          <t>RATTATA</t>
        </is>
      </c>
    </row>
    <row r="2538">
      <c r="A2538" s="35" t="inlineStr">
        <is>
          <t>Route 6</t>
        </is>
      </c>
      <c r="B2538" s="35" t="inlineStr">
        <is>
          <t>Route6_hns</t>
        </is>
      </c>
      <c r="C2538" s="33" t="inlineStr">
        <is>
          <t>Matin, jour, soir</t>
        </is>
      </c>
      <c r="D2538" s="49" t="inlineStr">
        <is>
          <t>Herbe</t>
        </is>
      </c>
      <c r="E2538" s="37" t="inlineStr">
        <is>
          <t>RATTATAC</t>
        </is>
      </c>
      <c r="F2538" s="38" t="n">
        <v>0.11</v>
      </c>
      <c r="G2538" s="39" t="n">
        <v>46</v>
      </c>
      <c r="H2538" s="39" t="n">
        <v>48</v>
      </c>
      <c r="I2538" s="29">
        <f>IF(OR(COUNTIF('Suivi des rencontres'!$A:$A,$A2538)&gt;0,COUNTIF('Suivi des rencontres'!$C:$C,$J2538)&gt;0),"Non","Oui")</f>
        <v/>
      </c>
      <c r="J2538" s="30" t="inlineStr">
        <is>
          <t>RATTATA</t>
        </is>
      </c>
    </row>
    <row r="2539">
      <c r="A2539" s="35" t="inlineStr">
        <is>
          <t>Route 6</t>
        </is>
      </c>
      <c r="B2539" s="35" t="inlineStr">
        <is>
          <t>Route6_hns</t>
        </is>
      </c>
      <c r="C2539" s="33" t="inlineStr">
        <is>
          <t>Matin, jour, soir</t>
        </is>
      </c>
      <c r="D2539" s="49" t="inlineStr">
        <is>
          <t>Herbe</t>
        </is>
      </c>
      <c r="E2539" s="37" t="inlineStr">
        <is>
          <t>MAGNETI</t>
        </is>
      </c>
      <c r="F2539" s="38" t="n">
        <v>0.1</v>
      </c>
      <c r="G2539" s="39" t="n">
        <v>45</v>
      </c>
      <c r="H2539" s="39" t="n">
        <v>47</v>
      </c>
      <c r="I2539" s="29">
        <f>IF(OR(COUNTIF('Suivi des rencontres'!$A:$A,$A2539)&gt;0,COUNTIF('Suivi des rencontres'!$C:$C,$J2539)&gt;0),"Non","Oui")</f>
        <v/>
      </c>
      <c r="J2539" s="30" t="inlineStr">
        <is>
          <t>MAGNETI</t>
        </is>
      </c>
    </row>
    <row r="2540">
      <c r="A2540" s="35" t="inlineStr">
        <is>
          <t>Route 6</t>
        </is>
      </c>
      <c r="B2540" s="35" t="inlineStr">
        <is>
          <t>Route6_hns</t>
        </is>
      </c>
      <c r="C2540" s="33" t="inlineStr">
        <is>
          <t>Matin, jour, soir</t>
        </is>
      </c>
      <c r="D2540" s="49" t="inlineStr">
        <is>
          <t>Herbe</t>
        </is>
      </c>
      <c r="E2540" s="37" t="inlineStr">
        <is>
          <t>GRANBULL</t>
        </is>
      </c>
      <c r="F2540" s="38" t="n">
        <v>0.08</v>
      </c>
      <c r="G2540" s="39" t="n">
        <v>46</v>
      </c>
      <c r="H2540" s="39" t="n">
        <v>48</v>
      </c>
      <c r="I2540" s="29">
        <f>IF(OR(COUNTIF('Suivi des rencontres'!$A:$A,$A2540)&gt;0,COUNTIF('Suivi des rencontres'!$C:$C,$J2540)&gt;0),"Non","Oui")</f>
        <v/>
      </c>
      <c r="J2540" s="30" t="inlineStr">
        <is>
          <t>SNUBBULL</t>
        </is>
      </c>
    </row>
    <row r="2541">
      <c r="A2541" s="35" t="inlineStr">
        <is>
          <t>Route 6</t>
        </is>
      </c>
      <c r="B2541" s="35" t="inlineStr">
        <is>
          <t>Route6_hns</t>
        </is>
      </c>
      <c r="C2541" s="33" t="inlineStr">
        <is>
          <t>Matin, jour, soir</t>
        </is>
      </c>
      <c r="D2541" s="49" t="inlineStr">
        <is>
          <t>Herbe</t>
        </is>
      </c>
      <c r="E2541" s="37" t="inlineStr">
        <is>
          <t>NEGAPI</t>
        </is>
      </c>
      <c r="F2541" s="38" t="n">
        <v>0.05</v>
      </c>
      <c r="G2541" s="39" t="n">
        <v>43</v>
      </c>
      <c r="H2541" s="39" t="n">
        <v>45</v>
      </c>
      <c r="I2541" s="29">
        <f>IF(OR(COUNTIF('Suivi des rencontres'!$A:$A,$A2541)&gt;0,COUNTIF('Suivi des rencontres'!$C:$C,$J2541)&gt;0),"Non","Oui")</f>
        <v/>
      </c>
      <c r="J2541" s="30" t="inlineStr">
        <is>
          <t>NEGAPI</t>
        </is>
      </c>
    </row>
    <row r="2542">
      <c r="A2542" s="35" t="inlineStr">
        <is>
          <t>Route 6</t>
        </is>
      </c>
      <c r="B2542" s="35" t="inlineStr">
        <is>
          <t>Route6_hns</t>
        </is>
      </c>
      <c r="C2542" s="33" t="inlineStr">
        <is>
          <t>Matin, jour, soir</t>
        </is>
      </c>
      <c r="D2542" s="49" t="inlineStr">
        <is>
          <t>Herbe</t>
        </is>
      </c>
      <c r="E2542" s="37" t="inlineStr">
        <is>
          <t>POSIPI</t>
        </is>
      </c>
      <c r="F2542" s="38" t="n">
        <v>0.05</v>
      </c>
      <c r="G2542" s="39" t="n">
        <v>45</v>
      </c>
      <c r="H2542" s="39" t="n">
        <v>47</v>
      </c>
      <c r="I2542" s="29">
        <f>IF(OR(COUNTIF('Suivi des rencontres'!$A:$A,$A2542)&gt;0,COUNTIF('Suivi des rencontres'!$C:$C,$J2542)&gt;0),"Non","Oui")</f>
        <v/>
      </c>
      <c r="J2542" s="30" t="inlineStr">
        <is>
          <t>POSIPI</t>
        </is>
      </c>
    </row>
    <row r="2543">
      <c r="A2543" s="35" t="inlineStr">
        <is>
          <t>Route 6</t>
        </is>
      </c>
      <c r="B2543" s="35" t="inlineStr">
        <is>
          <t>Route6_hns</t>
        </is>
      </c>
      <c r="C2543" s="62" t="inlineStr">
        <is>
          <t>Nuit</t>
        </is>
      </c>
      <c r="D2543" s="49" t="inlineStr">
        <is>
          <t>Herbe</t>
        </is>
      </c>
      <c r="E2543" s="37" t="inlineStr">
        <is>
          <t>MIAOUSS</t>
        </is>
      </c>
      <c r="F2543" s="38" t="n">
        <v>0.3</v>
      </c>
      <c r="G2543" s="39" t="n">
        <v>44</v>
      </c>
      <c r="H2543" s="39" t="n">
        <v>46</v>
      </c>
      <c r="I2543" s="29">
        <f>IF(OR(COUNTIF('Suivi des rencontres'!$A:$A,$A2543)&gt;0,COUNTIF('Suivi des rencontres'!$C:$C,$J2543)&gt;0),"Non","Oui")</f>
        <v/>
      </c>
      <c r="J2543" s="30" t="inlineStr">
        <is>
          <t>MIAOUSS</t>
        </is>
      </c>
    </row>
    <row r="2544">
      <c r="A2544" s="35" t="inlineStr">
        <is>
          <t>Route 6</t>
        </is>
      </c>
      <c r="B2544" s="35" t="inlineStr">
        <is>
          <t>Route6_hns</t>
        </is>
      </c>
      <c r="C2544" s="62" t="inlineStr">
        <is>
          <t>Nuit</t>
        </is>
      </c>
      <c r="D2544" s="49" t="inlineStr">
        <is>
          <t>Herbe</t>
        </is>
      </c>
      <c r="E2544" s="37" t="inlineStr">
        <is>
          <t>SOPORIFIK</t>
        </is>
      </c>
      <c r="F2544" s="38" t="n">
        <v>0.3</v>
      </c>
      <c r="G2544" s="39" t="n">
        <v>44</v>
      </c>
      <c r="H2544" s="39" t="n">
        <v>46</v>
      </c>
      <c r="I2544" s="29">
        <f>IF(OR(COUNTIF('Suivi des rencontres'!$A:$A,$A2544)&gt;0,COUNTIF('Suivi des rencontres'!$C:$C,$J2544)&gt;0),"Non","Oui")</f>
        <v/>
      </c>
      <c r="J2544" s="30" t="inlineStr">
        <is>
          <t>SOPORIFIK</t>
        </is>
      </c>
    </row>
    <row r="2545">
      <c r="A2545" s="35" t="inlineStr">
        <is>
          <t>Route 6</t>
        </is>
      </c>
      <c r="B2545" s="35" t="inlineStr">
        <is>
          <t>Route6_hns</t>
        </is>
      </c>
      <c r="C2545" s="62" t="inlineStr">
        <is>
          <t>Nuit</t>
        </is>
      </c>
      <c r="D2545" s="49" t="inlineStr">
        <is>
          <t>Herbe</t>
        </is>
      </c>
      <c r="E2545" s="37" t="inlineStr">
        <is>
          <t>PSYKOKWAK</t>
        </is>
      </c>
      <c r="F2545" s="38" t="n">
        <v>0.11</v>
      </c>
      <c r="G2545" s="39" t="n">
        <v>46</v>
      </c>
      <c r="H2545" s="39" t="n">
        <v>48</v>
      </c>
      <c r="I2545" s="29">
        <f>IF(OR(COUNTIF('Suivi des rencontres'!$A:$A,$A2545)&gt;0,COUNTIF('Suivi des rencontres'!$C:$C,$J2545)&gt;0),"Non","Oui")</f>
        <v/>
      </c>
      <c r="J2545" s="30" t="inlineStr">
        <is>
          <t>PSYKOKWAK</t>
        </is>
      </c>
    </row>
    <row r="2546">
      <c r="A2546" s="35" t="inlineStr">
        <is>
          <t>Route 6</t>
        </is>
      </c>
      <c r="B2546" s="35" t="inlineStr">
        <is>
          <t>Route6_hns</t>
        </is>
      </c>
      <c r="C2546" s="62" t="inlineStr">
        <is>
          <t>Nuit</t>
        </is>
      </c>
      <c r="D2546" s="49" t="inlineStr">
        <is>
          <t>Herbe</t>
        </is>
      </c>
      <c r="E2546" s="37" t="inlineStr">
        <is>
          <t>MAGNETI</t>
        </is>
      </c>
      <c r="F2546" s="38" t="n">
        <v>0.1</v>
      </c>
      <c r="G2546" s="39" t="n">
        <v>45</v>
      </c>
      <c r="H2546" s="39" t="n">
        <v>47</v>
      </c>
      <c r="I2546" s="29">
        <f>IF(OR(COUNTIF('Suivi des rencontres'!$A:$A,$A2546)&gt;0,COUNTIF('Suivi des rencontres'!$C:$C,$J2546)&gt;0),"Non","Oui")</f>
        <v/>
      </c>
      <c r="J2546" s="30" t="inlineStr">
        <is>
          <t>MAGNETI</t>
        </is>
      </c>
    </row>
    <row r="2547">
      <c r="A2547" s="35" t="inlineStr">
        <is>
          <t>Route 6</t>
        </is>
      </c>
      <c r="B2547" s="35" t="inlineStr">
        <is>
          <t>Route6_hns</t>
        </is>
      </c>
      <c r="C2547" s="62" t="inlineStr">
        <is>
          <t>Nuit</t>
        </is>
      </c>
      <c r="D2547" s="49" t="inlineStr">
        <is>
          <t>Herbe</t>
        </is>
      </c>
      <c r="E2547" s="37" t="inlineStr">
        <is>
          <t>RATTATAC</t>
        </is>
      </c>
      <c r="F2547" s="38" t="n">
        <v>0.08</v>
      </c>
      <c r="G2547" s="39" t="n">
        <v>46</v>
      </c>
      <c r="H2547" s="39" t="n">
        <v>48</v>
      </c>
      <c r="I2547" s="29">
        <f>IF(OR(COUNTIF('Suivi des rencontres'!$A:$A,$A2547)&gt;0,COUNTIF('Suivi des rencontres'!$C:$C,$J2547)&gt;0),"Non","Oui")</f>
        <v/>
      </c>
      <c r="J2547" s="30" t="inlineStr">
        <is>
          <t>RATTATA</t>
        </is>
      </c>
    </row>
    <row r="2548">
      <c r="A2548" s="35" t="inlineStr">
        <is>
          <t>Route 6</t>
        </is>
      </c>
      <c r="B2548" s="35" t="inlineStr">
        <is>
          <t>Route6_hns</t>
        </is>
      </c>
      <c r="C2548" s="62" t="inlineStr">
        <is>
          <t>Nuit</t>
        </is>
      </c>
      <c r="D2548" s="49" t="inlineStr">
        <is>
          <t>Herbe</t>
        </is>
      </c>
      <c r="E2548" s="37" t="inlineStr">
        <is>
          <t>NEGAPI</t>
        </is>
      </c>
      <c r="F2548" s="38" t="n">
        <v>0.05</v>
      </c>
      <c r="G2548" s="39" t="n">
        <v>46</v>
      </c>
      <c r="H2548" s="39" t="n">
        <v>48</v>
      </c>
      <c r="I2548" s="29">
        <f>IF(OR(COUNTIF('Suivi des rencontres'!$A:$A,$A2548)&gt;0,COUNTIF('Suivi des rencontres'!$C:$C,$J2548)&gt;0),"Non","Oui")</f>
        <v/>
      </c>
      <c r="J2548" s="30" t="inlineStr">
        <is>
          <t>NEGAPI</t>
        </is>
      </c>
    </row>
    <row r="2549">
      <c r="A2549" s="35" t="inlineStr">
        <is>
          <t>Route 6</t>
        </is>
      </c>
      <c r="B2549" s="35" t="inlineStr">
        <is>
          <t>Route6_hns</t>
        </is>
      </c>
      <c r="C2549" s="62" t="inlineStr">
        <is>
          <t>Nuit</t>
        </is>
      </c>
      <c r="D2549" s="49" t="inlineStr">
        <is>
          <t>Herbe</t>
        </is>
      </c>
      <c r="E2549" s="37" t="inlineStr">
        <is>
          <t>POSIPI</t>
        </is>
      </c>
      <c r="F2549" s="38" t="n">
        <v>0.05</v>
      </c>
      <c r="G2549" s="39" t="n">
        <v>45</v>
      </c>
      <c r="H2549" s="39" t="n">
        <v>47</v>
      </c>
      <c r="I2549" s="29">
        <f>IF(OR(COUNTIF('Suivi des rencontres'!$A:$A,$A2549)&gt;0,COUNTIF('Suivi des rencontres'!$C:$C,$J2549)&gt;0),"Non","Oui")</f>
        <v/>
      </c>
      <c r="J2549" s="30" t="inlineStr">
        <is>
          <t>POSIPI</t>
        </is>
      </c>
    </row>
    <row r="2550">
      <c r="A2550" s="35" t="inlineStr">
        <is>
          <t>Route 6</t>
        </is>
      </c>
      <c r="B2550" s="35" t="inlineStr">
        <is>
          <t>Route6_hns</t>
        </is>
      </c>
      <c r="C2550" s="62" t="inlineStr">
        <is>
          <t>Nuit</t>
        </is>
      </c>
      <c r="D2550" s="49" t="inlineStr">
        <is>
          <t>Herbe</t>
        </is>
      </c>
      <c r="E2550" s="37" t="inlineStr">
        <is>
          <t>RONDOUDOU</t>
        </is>
      </c>
      <c r="F2550" s="38" t="n">
        <v>0.01</v>
      </c>
      <c r="G2550" s="39" t="n">
        <v>46</v>
      </c>
      <c r="H2550" s="39" t="n">
        <v>48</v>
      </c>
      <c r="I2550" s="29">
        <f>IF(OR(COUNTIF('Suivi des rencontres'!$A:$A,$A2550)&gt;0,COUNTIF('Suivi des rencontres'!$C:$C,$J2550)&gt;0),"Non","Oui")</f>
        <v/>
      </c>
      <c r="J2550" s="30" t="inlineStr">
        <is>
          <t>TOUDOUDOU</t>
        </is>
      </c>
    </row>
    <row r="2551">
      <c r="A2551" s="35" t="inlineStr">
        <is>
          <t>Route 6</t>
        </is>
      </c>
      <c r="B2551" s="35" t="inlineStr">
        <is>
          <t>Route6_hns</t>
        </is>
      </c>
      <c r="C2551" s="33" t="inlineStr">
        <is>
          <t>Matin, jour, soir</t>
        </is>
      </c>
      <c r="D2551" s="53" t="inlineStr">
        <is>
          <t>Surf</t>
        </is>
      </c>
      <c r="E2551" s="37" t="inlineStr">
        <is>
          <t>PSYKOKWAK</t>
        </is>
      </c>
      <c r="F2551" s="38" t="n">
        <v>0.99</v>
      </c>
      <c r="G2551" s="39" t="n">
        <v>45</v>
      </c>
      <c r="H2551" s="39" t="n">
        <v>47</v>
      </c>
      <c r="I2551" s="29">
        <f>IF(OR(COUNTIF('Suivi des rencontres'!$A:$A,$A2551)&gt;0,COUNTIF('Suivi des rencontres'!$C:$C,$J2551)&gt;0),"Non","Oui")</f>
        <v/>
      </c>
      <c r="J2551" s="30" t="inlineStr">
        <is>
          <t>PSYKOKWAK</t>
        </is>
      </c>
    </row>
    <row r="2552">
      <c r="A2552" s="35" t="inlineStr">
        <is>
          <t>Route 6</t>
        </is>
      </c>
      <c r="B2552" s="35" t="inlineStr">
        <is>
          <t>Route6_hns</t>
        </is>
      </c>
      <c r="C2552" s="33" t="inlineStr">
        <is>
          <t>Matin, jour, soir</t>
        </is>
      </c>
      <c r="D2552" s="53" t="inlineStr">
        <is>
          <t>Surf</t>
        </is>
      </c>
      <c r="E2552" s="37" t="inlineStr">
        <is>
          <t>AKWAKWAK</t>
        </is>
      </c>
      <c r="F2552" s="38" t="n">
        <v>0.01</v>
      </c>
      <c r="G2552" s="39" t="n">
        <v>41</v>
      </c>
      <c r="H2552" s="39" t="n">
        <v>47</v>
      </c>
      <c r="I2552" s="29">
        <f>IF(OR(COUNTIF('Suivi des rencontres'!$A:$A,$A2552)&gt;0,COUNTIF('Suivi des rencontres'!$C:$C,$J2552)&gt;0),"Non","Oui")</f>
        <v/>
      </c>
      <c r="J2552" s="30" t="inlineStr">
        <is>
          <t>PSYKOKWAK</t>
        </is>
      </c>
    </row>
    <row r="2553">
      <c r="A2553" s="35" t="inlineStr">
        <is>
          <t>Route 6</t>
        </is>
      </c>
      <c r="B2553" s="35" t="inlineStr">
        <is>
          <t>Route6_hns</t>
        </is>
      </c>
      <c r="C2553" s="62" t="inlineStr">
        <is>
          <t>Nuit</t>
        </is>
      </c>
      <c r="D2553" s="53" t="inlineStr">
        <is>
          <t>Surf</t>
        </is>
      </c>
      <c r="E2553" s="37" t="inlineStr">
        <is>
          <t>PSYKOKWAK</t>
        </is>
      </c>
      <c r="F2553" s="38" t="n">
        <v>0.99</v>
      </c>
      <c r="G2553" s="39" t="n">
        <v>45</v>
      </c>
      <c r="H2553" s="39" t="n">
        <v>47</v>
      </c>
      <c r="I2553" s="29">
        <f>IF(OR(COUNTIF('Suivi des rencontres'!$A:$A,$A2553)&gt;0,COUNTIF('Suivi des rencontres'!$C:$C,$J2553)&gt;0),"Non","Oui")</f>
        <v/>
      </c>
      <c r="J2553" s="30" t="inlineStr">
        <is>
          <t>PSYKOKWAK</t>
        </is>
      </c>
    </row>
    <row r="2554">
      <c r="A2554" s="35" t="inlineStr">
        <is>
          <t>Route 6</t>
        </is>
      </c>
      <c r="B2554" s="35" t="inlineStr">
        <is>
          <t>Route6_hns</t>
        </is>
      </c>
      <c r="C2554" s="62" t="inlineStr">
        <is>
          <t>Nuit</t>
        </is>
      </c>
      <c r="D2554" s="53" t="inlineStr">
        <is>
          <t>Surf</t>
        </is>
      </c>
      <c r="E2554" s="37" t="inlineStr">
        <is>
          <t>AKWAKWAK</t>
        </is>
      </c>
      <c r="F2554" s="38" t="n">
        <v>0.01</v>
      </c>
      <c r="G2554" s="39" t="n">
        <v>41</v>
      </c>
      <c r="H2554" s="39" t="n">
        <v>47</v>
      </c>
      <c r="I2554" s="29">
        <f>IF(OR(COUNTIF('Suivi des rencontres'!$A:$A,$A2554)&gt;0,COUNTIF('Suivi des rencontres'!$C:$C,$J2554)&gt;0),"Non","Oui")</f>
        <v/>
      </c>
      <c r="J2554" s="30" t="inlineStr">
        <is>
          <t>PSYKOKWAK</t>
        </is>
      </c>
    </row>
    <row r="2555">
      <c r="A2555" s="35" t="inlineStr">
        <is>
          <t>Route 6</t>
        </is>
      </c>
      <c r="B2555" s="35" t="inlineStr">
        <is>
          <t>Route6_hns</t>
        </is>
      </c>
      <c r="C2555" s="33" t="inlineStr">
        <is>
          <t>Matin, jour, soir</t>
        </is>
      </c>
      <c r="D2555" s="36" t="inlineStr">
        <is>
          <t>Éclate-Roc</t>
        </is>
      </c>
      <c r="E2555" s="37" t="inlineStr">
        <is>
          <t>POMDEPIK</t>
        </is>
      </c>
      <c r="F2555" s="38" t="n">
        <v>0.6</v>
      </c>
      <c r="G2555" s="39" t="n">
        <v>41</v>
      </c>
      <c r="H2555" s="39" t="n">
        <v>43</v>
      </c>
      <c r="I2555" s="29">
        <f>IF(OR(COUNTIF('Suivi des rencontres'!$A:$A,$A2555)&gt;0,COUNTIF('Suivi des rencontres'!$C:$C,$J2555)&gt;0),"Non","Oui")</f>
        <v/>
      </c>
      <c r="J2555" s="30" t="inlineStr">
        <is>
          <t>POMDEPIK</t>
        </is>
      </c>
    </row>
    <row r="2556">
      <c r="A2556" s="35" t="inlineStr">
        <is>
          <t>Route 6</t>
        </is>
      </c>
      <c r="B2556" s="35" t="inlineStr">
        <is>
          <t>Route6_hns</t>
        </is>
      </c>
      <c r="C2556" s="33" t="inlineStr">
        <is>
          <t>Matin, jour, soir</t>
        </is>
      </c>
      <c r="D2556" s="36" t="inlineStr">
        <is>
          <t>Éclate-Roc</t>
        </is>
      </c>
      <c r="E2556" s="37" t="inlineStr">
        <is>
          <t>NOEUNOEUF</t>
        </is>
      </c>
      <c r="F2556" s="38" t="n">
        <v>0.3</v>
      </c>
      <c r="G2556" s="39" t="n">
        <v>41</v>
      </c>
      <c r="H2556" s="39" t="n">
        <v>43</v>
      </c>
      <c r="I2556" s="29">
        <f>IF(OR(COUNTIF('Suivi des rencontres'!$A:$A,$A2556)&gt;0,COUNTIF('Suivi des rencontres'!$C:$C,$J2556)&gt;0),"Non","Oui")</f>
        <v/>
      </c>
      <c r="J2556" s="30" t="inlineStr">
        <is>
          <t>NOEUNOEUF</t>
        </is>
      </c>
    </row>
    <row r="2557">
      <c r="A2557" s="35" t="inlineStr">
        <is>
          <t>Route 6</t>
        </is>
      </c>
      <c r="B2557" s="35" t="inlineStr">
        <is>
          <t>Route6_hns</t>
        </is>
      </c>
      <c r="C2557" s="33" t="inlineStr">
        <is>
          <t>Matin, jour, soir</t>
        </is>
      </c>
      <c r="D2557" s="36" t="inlineStr">
        <is>
          <t>Éclate-Roc</t>
        </is>
      </c>
      <c r="E2557" s="37" t="inlineStr">
        <is>
          <t>COXY</t>
        </is>
      </c>
      <c r="F2557" s="38" t="n">
        <v>0.05</v>
      </c>
      <c r="G2557" s="39" t="n">
        <v>41</v>
      </c>
      <c r="H2557" s="39" t="n">
        <v>43</v>
      </c>
      <c r="I2557" s="29">
        <f>IF(OR(COUNTIF('Suivi des rencontres'!$A:$A,$A2557)&gt;0,COUNTIF('Suivi des rencontres'!$C:$C,$J2557)&gt;0),"Non","Oui")</f>
        <v/>
      </c>
      <c r="J2557" s="30" t="inlineStr">
        <is>
          <t>COXY</t>
        </is>
      </c>
    </row>
    <row r="2558">
      <c r="A2558" s="35" t="inlineStr">
        <is>
          <t>Route 6</t>
        </is>
      </c>
      <c r="B2558" s="35" t="inlineStr">
        <is>
          <t>Route6_hns</t>
        </is>
      </c>
      <c r="C2558" s="33" t="inlineStr">
        <is>
          <t>Matin, jour, soir</t>
        </is>
      </c>
      <c r="D2558" s="36" t="inlineStr">
        <is>
          <t>Éclate-Roc</t>
        </is>
      </c>
      <c r="E2558" s="37" t="inlineStr">
        <is>
          <t>MIMIGAL</t>
        </is>
      </c>
      <c r="F2558" s="38" t="n">
        <v>0.05</v>
      </c>
      <c r="G2558" s="39" t="n">
        <v>41</v>
      </c>
      <c r="H2558" s="39" t="n">
        <v>43</v>
      </c>
      <c r="I2558" s="29">
        <f>IF(OR(COUNTIF('Suivi des rencontres'!$A:$A,$A2558)&gt;0,COUNTIF('Suivi des rencontres'!$C:$C,$J2558)&gt;0),"Non","Oui")</f>
        <v/>
      </c>
      <c r="J2558" s="30" t="inlineStr">
        <is>
          <t>MIMIGAL</t>
        </is>
      </c>
    </row>
    <row r="2559">
      <c r="A2559" s="35" t="inlineStr">
        <is>
          <t>Route 6</t>
        </is>
      </c>
      <c r="B2559" s="35" t="inlineStr">
        <is>
          <t>Route6_hns</t>
        </is>
      </c>
      <c r="C2559" s="62" t="inlineStr">
        <is>
          <t>Nuit</t>
        </is>
      </c>
      <c r="D2559" s="36" t="inlineStr">
        <is>
          <t>Éclate-Roc</t>
        </is>
      </c>
      <c r="E2559" s="37" t="inlineStr">
        <is>
          <t>POMDEPIK</t>
        </is>
      </c>
      <c r="F2559" s="38" t="n">
        <v>0.6</v>
      </c>
      <c r="G2559" s="39" t="n">
        <v>41</v>
      </c>
      <c r="H2559" s="39" t="n">
        <v>43</v>
      </c>
      <c r="I2559" s="29">
        <f>IF(OR(COUNTIF('Suivi des rencontres'!$A:$A,$A2559)&gt;0,COUNTIF('Suivi des rencontres'!$C:$C,$J2559)&gt;0),"Non","Oui")</f>
        <v/>
      </c>
      <c r="J2559" s="30" t="inlineStr">
        <is>
          <t>POMDEPIK</t>
        </is>
      </c>
    </row>
    <row r="2560">
      <c r="A2560" s="35" t="inlineStr">
        <is>
          <t>Route 6</t>
        </is>
      </c>
      <c r="B2560" s="35" t="inlineStr">
        <is>
          <t>Route6_hns</t>
        </is>
      </c>
      <c r="C2560" s="62" t="inlineStr">
        <is>
          <t>Nuit</t>
        </is>
      </c>
      <c r="D2560" s="36" t="inlineStr">
        <is>
          <t>Éclate-Roc</t>
        </is>
      </c>
      <c r="E2560" s="37" t="inlineStr">
        <is>
          <t>NOEUNOEUF</t>
        </is>
      </c>
      <c r="F2560" s="38" t="n">
        <v>0.3</v>
      </c>
      <c r="G2560" s="39" t="n">
        <v>41</v>
      </c>
      <c r="H2560" s="39" t="n">
        <v>43</v>
      </c>
      <c r="I2560" s="29">
        <f>IF(OR(COUNTIF('Suivi des rencontres'!$A:$A,$A2560)&gt;0,COUNTIF('Suivi des rencontres'!$C:$C,$J2560)&gt;0),"Non","Oui")</f>
        <v/>
      </c>
      <c r="J2560" s="30" t="inlineStr">
        <is>
          <t>NOEUNOEUF</t>
        </is>
      </c>
    </row>
    <row r="2561">
      <c r="A2561" s="35" t="inlineStr">
        <is>
          <t>Route 6</t>
        </is>
      </c>
      <c r="B2561" s="35" t="inlineStr">
        <is>
          <t>Route6_hns</t>
        </is>
      </c>
      <c r="C2561" s="62" t="inlineStr">
        <is>
          <t>Nuit</t>
        </is>
      </c>
      <c r="D2561" s="36" t="inlineStr">
        <is>
          <t>Éclate-Roc</t>
        </is>
      </c>
      <c r="E2561" s="37" t="inlineStr">
        <is>
          <t>COXY</t>
        </is>
      </c>
      <c r="F2561" s="38" t="n">
        <v>0.05</v>
      </c>
      <c r="G2561" s="39" t="n">
        <v>41</v>
      </c>
      <c r="H2561" s="39" t="n">
        <v>43</v>
      </c>
      <c r="I2561" s="29">
        <f>IF(OR(COUNTIF('Suivi des rencontres'!$A:$A,$A2561)&gt;0,COUNTIF('Suivi des rencontres'!$C:$C,$J2561)&gt;0),"Non","Oui")</f>
        <v/>
      </c>
      <c r="J2561" s="30" t="inlineStr">
        <is>
          <t>COXY</t>
        </is>
      </c>
    </row>
    <row r="2562">
      <c r="A2562" s="35" t="inlineStr">
        <is>
          <t>Route 6</t>
        </is>
      </c>
      <c r="B2562" s="35" t="inlineStr">
        <is>
          <t>Route6_hns</t>
        </is>
      </c>
      <c r="C2562" s="62" t="inlineStr">
        <is>
          <t>Nuit</t>
        </is>
      </c>
      <c r="D2562" s="36" t="inlineStr">
        <is>
          <t>Éclate-Roc</t>
        </is>
      </c>
      <c r="E2562" s="37" t="inlineStr">
        <is>
          <t>MIMIGAL</t>
        </is>
      </c>
      <c r="F2562" s="38" t="n">
        <v>0.05</v>
      </c>
      <c r="G2562" s="39" t="n">
        <v>41</v>
      </c>
      <c r="H2562" s="39" t="n">
        <v>43</v>
      </c>
      <c r="I2562" s="29">
        <f>IF(OR(COUNTIF('Suivi des rencontres'!$A:$A,$A2562)&gt;0,COUNTIF('Suivi des rencontres'!$C:$C,$J2562)&gt;0),"Non","Oui")</f>
        <v/>
      </c>
      <c r="J2562" s="30" t="inlineStr">
        <is>
          <t>MIMIGAL</t>
        </is>
      </c>
    </row>
    <row r="2563">
      <c r="A2563" s="35" t="inlineStr">
        <is>
          <t>Route 6</t>
        </is>
      </c>
      <c r="B2563" s="35" t="inlineStr">
        <is>
          <t>Route6_hns</t>
        </is>
      </c>
      <c r="C2563" s="33" t="inlineStr">
        <is>
          <t>Matin, jour, soir</t>
        </is>
      </c>
      <c r="D2563" s="54" t="inlineStr">
        <is>
          <t>Vieille Canne</t>
        </is>
      </c>
      <c r="E2563" s="37" t="inlineStr">
        <is>
          <t>MAGICARPE</t>
        </is>
      </c>
      <c r="F2563" s="38" t="n">
        <v>0.7</v>
      </c>
      <c r="G2563" s="39" t="n">
        <v>41</v>
      </c>
      <c r="H2563" s="39" t="n">
        <v>43</v>
      </c>
      <c r="I2563" s="29">
        <f>IF(OR(COUNTIF('Suivi des rencontres'!$A:$A,$A2563)&gt;0,COUNTIF('Suivi des rencontres'!$C:$C,$J2563)&gt;0),"Non","Oui")</f>
        <v/>
      </c>
      <c r="J2563" s="30" t="inlineStr">
        <is>
          <t>MAGICARPE</t>
        </is>
      </c>
    </row>
    <row r="2564">
      <c r="A2564" s="35" t="inlineStr">
        <is>
          <t>Route 6</t>
        </is>
      </c>
      <c r="B2564" s="35" t="inlineStr">
        <is>
          <t>Route6_hns</t>
        </is>
      </c>
      <c r="C2564" s="33" t="inlineStr">
        <is>
          <t>Matin, jour, soir</t>
        </is>
      </c>
      <c r="D2564" s="54" t="inlineStr">
        <is>
          <t>Vieille Canne</t>
        </is>
      </c>
      <c r="E2564" s="37" t="inlineStr">
        <is>
          <t>PTITARD</t>
        </is>
      </c>
      <c r="F2564" s="38" t="n">
        <v>0.3</v>
      </c>
      <c r="G2564" s="39" t="n">
        <v>41</v>
      </c>
      <c r="H2564" s="39" t="n">
        <v>43</v>
      </c>
      <c r="I2564" s="29">
        <f>IF(OR(COUNTIF('Suivi des rencontres'!$A:$A,$A2564)&gt;0,COUNTIF('Suivi des rencontres'!$C:$C,$J2564)&gt;0),"Non","Oui")</f>
        <v/>
      </c>
      <c r="J2564" s="30" t="inlineStr">
        <is>
          <t>PTITARD</t>
        </is>
      </c>
    </row>
    <row r="2565">
      <c r="A2565" s="35" t="inlineStr">
        <is>
          <t>Route 6</t>
        </is>
      </c>
      <c r="B2565" s="35" t="inlineStr">
        <is>
          <t>Route6_hns</t>
        </is>
      </c>
      <c r="C2565" s="62" t="inlineStr">
        <is>
          <t>Nuit</t>
        </is>
      </c>
      <c r="D2565" s="54" t="inlineStr">
        <is>
          <t>Vieille Canne</t>
        </is>
      </c>
      <c r="E2565" s="37" t="inlineStr">
        <is>
          <t>MAGICARPE</t>
        </is>
      </c>
      <c r="F2565" s="38" t="n">
        <v>0.7</v>
      </c>
      <c r="G2565" s="39" t="n">
        <v>41</v>
      </c>
      <c r="H2565" s="39" t="n">
        <v>43</v>
      </c>
      <c r="I2565" s="29">
        <f>IF(OR(COUNTIF('Suivi des rencontres'!$A:$A,$A2565)&gt;0,COUNTIF('Suivi des rencontres'!$C:$C,$J2565)&gt;0),"Non","Oui")</f>
        <v/>
      </c>
      <c r="J2565" s="30" t="inlineStr">
        <is>
          <t>MAGICARPE</t>
        </is>
      </c>
    </row>
    <row r="2566">
      <c r="A2566" s="35" t="inlineStr">
        <is>
          <t>Route 6</t>
        </is>
      </c>
      <c r="B2566" s="35" t="inlineStr">
        <is>
          <t>Route6_hns</t>
        </is>
      </c>
      <c r="C2566" s="62" t="inlineStr">
        <is>
          <t>Nuit</t>
        </is>
      </c>
      <c r="D2566" s="54" t="inlineStr">
        <is>
          <t>Vieille Canne</t>
        </is>
      </c>
      <c r="E2566" s="37" t="inlineStr">
        <is>
          <t>PTITARD</t>
        </is>
      </c>
      <c r="F2566" s="38" t="n">
        <v>0.3</v>
      </c>
      <c r="G2566" s="39" t="n">
        <v>41</v>
      </c>
      <c r="H2566" s="39" t="n">
        <v>43</v>
      </c>
      <c r="I2566" s="29">
        <f>IF(OR(COUNTIF('Suivi des rencontres'!$A:$A,$A2566)&gt;0,COUNTIF('Suivi des rencontres'!$C:$C,$J2566)&gt;0),"Non","Oui")</f>
        <v/>
      </c>
      <c r="J2566" s="30" t="inlineStr">
        <is>
          <t>PTITARD</t>
        </is>
      </c>
    </row>
    <row r="2567">
      <c r="A2567" s="35" t="inlineStr">
        <is>
          <t>Route 6</t>
        </is>
      </c>
      <c r="B2567" s="35" t="inlineStr">
        <is>
          <t>Route6_hns</t>
        </is>
      </c>
      <c r="C2567" s="33" t="inlineStr">
        <is>
          <t>Matin, jour, soir</t>
        </is>
      </c>
      <c r="D2567" s="55" t="inlineStr">
        <is>
          <t>Bonne Canne</t>
        </is>
      </c>
      <c r="E2567" s="37" t="inlineStr">
        <is>
          <t>PTITARD</t>
        </is>
      </c>
      <c r="F2567" s="38" t="n">
        <v>0.8</v>
      </c>
      <c r="G2567" s="39" t="n">
        <v>42</v>
      </c>
      <c r="H2567" s="39" t="n">
        <v>44</v>
      </c>
      <c r="I2567" s="29">
        <f>IF(OR(COUNTIF('Suivi des rencontres'!$A:$A,$A2567)&gt;0,COUNTIF('Suivi des rencontres'!$C:$C,$J2567)&gt;0),"Non","Oui")</f>
        <v/>
      </c>
      <c r="J2567" s="30" t="inlineStr">
        <is>
          <t>PTITARD</t>
        </is>
      </c>
    </row>
    <row r="2568">
      <c r="A2568" s="35" t="inlineStr">
        <is>
          <t>Route 6</t>
        </is>
      </c>
      <c r="B2568" s="35" t="inlineStr">
        <is>
          <t>Route6_hns</t>
        </is>
      </c>
      <c r="C2568" s="33" t="inlineStr">
        <is>
          <t>Matin, jour, soir</t>
        </is>
      </c>
      <c r="D2568" s="55" t="inlineStr">
        <is>
          <t>Bonne Canne</t>
        </is>
      </c>
      <c r="E2568" s="37" t="inlineStr">
        <is>
          <t>MAGICARPE</t>
        </is>
      </c>
      <c r="F2568" s="38" t="n">
        <v>0.2</v>
      </c>
      <c r="G2568" s="39" t="n">
        <v>42</v>
      </c>
      <c r="H2568" s="39" t="n">
        <v>44</v>
      </c>
      <c r="I2568" s="29">
        <f>IF(OR(COUNTIF('Suivi des rencontres'!$A:$A,$A2568)&gt;0,COUNTIF('Suivi des rencontres'!$C:$C,$J2568)&gt;0),"Non","Oui")</f>
        <v/>
      </c>
      <c r="J2568" s="30" t="inlineStr">
        <is>
          <t>MAGICARPE</t>
        </is>
      </c>
    </row>
    <row r="2569">
      <c r="A2569" s="35" t="inlineStr">
        <is>
          <t>Route 6</t>
        </is>
      </c>
      <c r="B2569" s="35" t="inlineStr">
        <is>
          <t>Route6_hns</t>
        </is>
      </c>
      <c r="C2569" s="62" t="inlineStr">
        <is>
          <t>Nuit</t>
        </is>
      </c>
      <c r="D2569" s="55" t="inlineStr">
        <is>
          <t>Bonne Canne</t>
        </is>
      </c>
      <c r="E2569" s="37" t="inlineStr">
        <is>
          <t>PTITARD</t>
        </is>
      </c>
      <c r="F2569" s="38" t="n">
        <v>0.8</v>
      </c>
      <c r="G2569" s="39" t="n">
        <v>42</v>
      </c>
      <c r="H2569" s="39" t="n">
        <v>44</v>
      </c>
      <c r="I2569" s="29">
        <f>IF(OR(COUNTIF('Suivi des rencontres'!$A:$A,$A2569)&gt;0,COUNTIF('Suivi des rencontres'!$C:$C,$J2569)&gt;0),"Non","Oui")</f>
        <v/>
      </c>
      <c r="J2569" s="30" t="inlineStr">
        <is>
          <t>PTITARD</t>
        </is>
      </c>
    </row>
    <row r="2570">
      <c r="A2570" s="35" t="inlineStr">
        <is>
          <t>Route 6</t>
        </is>
      </c>
      <c r="B2570" s="35" t="inlineStr">
        <is>
          <t>Route6_hns</t>
        </is>
      </c>
      <c r="C2570" s="62" t="inlineStr">
        <is>
          <t>Nuit</t>
        </is>
      </c>
      <c r="D2570" s="55" t="inlineStr">
        <is>
          <t>Bonne Canne</t>
        </is>
      </c>
      <c r="E2570" s="37" t="inlineStr">
        <is>
          <t>MAGICARPE</t>
        </is>
      </c>
      <c r="F2570" s="38" t="n">
        <v>0.2</v>
      </c>
      <c r="G2570" s="39" t="n">
        <v>42</v>
      </c>
      <c r="H2570" s="39" t="n">
        <v>44</v>
      </c>
      <c r="I2570" s="29">
        <f>IF(OR(COUNTIF('Suivi des rencontres'!$A:$A,$A2570)&gt;0,COUNTIF('Suivi des rencontres'!$C:$C,$J2570)&gt;0),"Non","Oui")</f>
        <v/>
      </c>
      <c r="J2570" s="30" t="inlineStr">
        <is>
          <t>MAGICARPE</t>
        </is>
      </c>
    </row>
    <row r="2571">
      <c r="A2571" s="35" t="inlineStr">
        <is>
          <t>Route 6</t>
        </is>
      </c>
      <c r="B2571" s="35" t="inlineStr">
        <is>
          <t>Route6_hns</t>
        </is>
      </c>
      <c r="C2571" s="33" t="inlineStr">
        <is>
          <t>Matin, jour, soir</t>
        </is>
      </c>
      <c r="D2571" s="56" t="inlineStr">
        <is>
          <t>Super Canne</t>
        </is>
      </c>
      <c r="E2571" s="37" t="inlineStr">
        <is>
          <t>PTITARD</t>
        </is>
      </c>
      <c r="F2571" s="38" t="n">
        <v>0.55</v>
      </c>
      <c r="G2571" s="39" t="n">
        <v>40</v>
      </c>
      <c r="H2571" s="39" t="n">
        <v>40</v>
      </c>
      <c r="I2571" s="29">
        <f>IF(OR(COUNTIF('Suivi des rencontres'!$A:$A,$A2571)&gt;0,COUNTIF('Suivi des rencontres'!$C:$C,$J2571)&gt;0),"Non","Oui")</f>
        <v/>
      </c>
      <c r="J2571" s="30" t="inlineStr">
        <is>
          <t>PTITARD</t>
        </is>
      </c>
    </row>
    <row r="2572">
      <c r="A2572" s="35" t="inlineStr">
        <is>
          <t>Route 6</t>
        </is>
      </c>
      <c r="B2572" s="35" t="inlineStr">
        <is>
          <t>Route6_hns</t>
        </is>
      </c>
      <c r="C2572" s="33" t="inlineStr">
        <is>
          <t>Matin, jour, soir</t>
        </is>
      </c>
      <c r="D2572" s="56" t="inlineStr">
        <is>
          <t>Super Canne</t>
        </is>
      </c>
      <c r="E2572" s="37" t="inlineStr">
        <is>
          <t>MAGICARPE</t>
        </is>
      </c>
      <c r="F2572" s="38" t="n">
        <v>0.44</v>
      </c>
      <c r="G2572" s="39" t="n">
        <v>40</v>
      </c>
      <c r="H2572" s="39" t="n">
        <v>44</v>
      </c>
      <c r="I2572" s="29">
        <f>IF(OR(COUNTIF('Suivi des rencontres'!$A:$A,$A2572)&gt;0,COUNTIF('Suivi des rencontres'!$C:$C,$J2572)&gt;0),"Non","Oui")</f>
        <v/>
      </c>
      <c r="J2572" s="30" t="inlineStr">
        <is>
          <t>MAGICARPE</t>
        </is>
      </c>
    </row>
    <row r="2573">
      <c r="A2573" s="35" t="inlineStr">
        <is>
          <t>Route 6</t>
        </is>
      </c>
      <c r="B2573" s="35" t="inlineStr">
        <is>
          <t>Route6_hns</t>
        </is>
      </c>
      <c r="C2573" s="33" t="inlineStr">
        <is>
          <t>Matin, jour, soir</t>
        </is>
      </c>
      <c r="D2573" s="56" t="inlineStr">
        <is>
          <t>Super Canne</t>
        </is>
      </c>
      <c r="E2573" s="37" t="inlineStr">
        <is>
          <t>TETARTE</t>
        </is>
      </c>
      <c r="F2573" s="38" t="n">
        <v>0.01</v>
      </c>
      <c r="G2573" s="39" t="n">
        <v>40</v>
      </c>
      <c r="H2573" s="39" t="n">
        <v>40</v>
      </c>
      <c r="I2573" s="29">
        <f>IF(OR(COUNTIF('Suivi des rencontres'!$A:$A,$A2573)&gt;0,COUNTIF('Suivi des rencontres'!$C:$C,$J2573)&gt;0),"Non","Oui")</f>
        <v/>
      </c>
      <c r="J2573" s="30" t="inlineStr">
        <is>
          <t>PTITARD</t>
        </is>
      </c>
    </row>
    <row r="2574">
      <c r="A2574" s="35" t="inlineStr">
        <is>
          <t>Route 6</t>
        </is>
      </c>
      <c r="B2574" s="35" t="inlineStr">
        <is>
          <t>Route6_hns</t>
        </is>
      </c>
      <c r="C2574" s="62" t="inlineStr">
        <is>
          <t>Nuit</t>
        </is>
      </c>
      <c r="D2574" s="56" t="inlineStr">
        <is>
          <t>Super Canne</t>
        </is>
      </c>
      <c r="E2574" s="37" t="inlineStr">
        <is>
          <t>PTITARD</t>
        </is>
      </c>
      <c r="F2574" s="38" t="n">
        <v>0.55</v>
      </c>
      <c r="G2574" s="39" t="n">
        <v>40</v>
      </c>
      <c r="H2574" s="39" t="n">
        <v>40</v>
      </c>
      <c r="I2574" s="29">
        <f>IF(OR(COUNTIF('Suivi des rencontres'!$A:$A,$A2574)&gt;0,COUNTIF('Suivi des rencontres'!$C:$C,$J2574)&gt;0),"Non","Oui")</f>
        <v/>
      </c>
      <c r="J2574" s="30" t="inlineStr">
        <is>
          <t>PTITARD</t>
        </is>
      </c>
    </row>
    <row r="2575">
      <c r="A2575" s="35" t="inlineStr">
        <is>
          <t>Route 6</t>
        </is>
      </c>
      <c r="B2575" s="35" t="inlineStr">
        <is>
          <t>Route6_hns</t>
        </is>
      </c>
      <c r="C2575" s="62" t="inlineStr">
        <is>
          <t>Nuit</t>
        </is>
      </c>
      <c r="D2575" s="56" t="inlineStr">
        <is>
          <t>Super Canne</t>
        </is>
      </c>
      <c r="E2575" s="37" t="inlineStr">
        <is>
          <t>MAGICARPE</t>
        </is>
      </c>
      <c r="F2575" s="38" t="n">
        <v>0.44</v>
      </c>
      <c r="G2575" s="39" t="n">
        <v>40</v>
      </c>
      <c r="H2575" s="39" t="n">
        <v>44</v>
      </c>
      <c r="I2575" s="29">
        <f>IF(OR(COUNTIF('Suivi des rencontres'!$A:$A,$A2575)&gt;0,COUNTIF('Suivi des rencontres'!$C:$C,$J2575)&gt;0),"Non","Oui")</f>
        <v/>
      </c>
      <c r="J2575" s="30" t="inlineStr">
        <is>
          <t>MAGICARPE</t>
        </is>
      </c>
    </row>
    <row r="2576">
      <c r="A2576" s="35" t="inlineStr">
        <is>
          <t>Route 6</t>
        </is>
      </c>
      <c r="B2576" s="35" t="inlineStr">
        <is>
          <t>Route6_hns</t>
        </is>
      </c>
      <c r="C2576" s="62" t="inlineStr">
        <is>
          <t>Nuit</t>
        </is>
      </c>
      <c r="D2576" s="56" t="inlineStr">
        <is>
          <t>Super Canne</t>
        </is>
      </c>
      <c r="E2576" s="37" t="inlineStr">
        <is>
          <t>TETARTE</t>
        </is>
      </c>
      <c r="F2576" s="38" t="n">
        <v>0.01</v>
      </c>
      <c r="G2576" s="39" t="n">
        <v>40</v>
      </c>
      <c r="H2576" s="39" t="n">
        <v>40</v>
      </c>
      <c r="I2576" s="29">
        <f>IF(OR(COUNTIF('Suivi des rencontres'!$A:$A,$A2576)&gt;0,COUNTIF('Suivi des rencontres'!$C:$C,$J2576)&gt;0),"Non","Oui")</f>
        <v/>
      </c>
      <c r="J2576" s="30" t="inlineStr">
        <is>
          <t>PTITARD</t>
        </is>
      </c>
    </row>
    <row r="2577">
      <c r="A2577" s="40" t="inlineStr">
        <is>
          <t>Route 7</t>
        </is>
      </c>
      <c r="B2577" s="40" t="inlineStr">
        <is>
          <t>Route7_hns</t>
        </is>
      </c>
      <c r="C2577" s="41" t="inlineStr">
        <is>
          <t>Matin, jour, soir</t>
        </is>
      </c>
      <c r="D2577" s="42" t="inlineStr">
        <is>
          <t>Herbe</t>
        </is>
      </c>
      <c r="E2577" s="43" t="inlineStr">
        <is>
          <t>PIAFABEC</t>
        </is>
      </c>
      <c r="F2577" s="44" t="n">
        <v>0.3</v>
      </c>
      <c r="G2577" s="45" t="n">
        <v>48</v>
      </c>
      <c r="H2577" s="45" t="n">
        <v>50</v>
      </c>
      <c r="I2577" s="46">
        <f>IF(OR(COUNTIF('Suivi des rencontres'!$A:$A,$A2577)&gt;0,COUNTIF('Suivi des rencontres'!$C:$C,$J2577)&gt;0),"Non","Oui")</f>
        <v/>
      </c>
      <c r="J2577" s="30" t="inlineStr">
        <is>
          <t>PIAFABEC</t>
        </is>
      </c>
    </row>
    <row r="2578">
      <c r="A2578" s="47" t="inlineStr">
        <is>
          <t>Route 7</t>
        </is>
      </c>
      <c r="B2578" s="47" t="inlineStr">
        <is>
          <t>Route7_hns</t>
        </is>
      </c>
      <c r="C2578" s="48" t="inlineStr">
        <is>
          <t>Matin, jour, soir</t>
        </is>
      </c>
      <c r="D2578" s="49" t="inlineStr">
        <is>
          <t>Herbe</t>
        </is>
      </c>
      <c r="E2578" s="50" t="inlineStr">
        <is>
          <t>RATTATA</t>
        </is>
      </c>
      <c r="F2578" s="51" t="n">
        <v>0.2</v>
      </c>
      <c r="G2578" s="52" t="n">
        <v>48</v>
      </c>
      <c r="H2578" s="52" t="n">
        <v>50</v>
      </c>
      <c r="I2578" s="29">
        <f>IF(OR(COUNTIF('Suivi des rencontres'!$A:$A,$A2578)&gt;0,COUNTIF('Suivi des rencontres'!$C:$C,$J2578)&gt;0),"Non","Oui")</f>
        <v/>
      </c>
      <c r="J2578" s="30" t="inlineStr">
        <is>
          <t>RATTATA</t>
        </is>
      </c>
    </row>
    <row r="2579">
      <c r="A2579" s="47" t="inlineStr">
        <is>
          <t>Route 7</t>
        </is>
      </c>
      <c r="B2579" s="47" t="inlineStr">
        <is>
          <t>Route7_hns</t>
        </is>
      </c>
      <c r="C2579" s="48" t="inlineStr">
        <is>
          <t>Matin, jour, soir</t>
        </is>
      </c>
      <c r="D2579" s="49" t="inlineStr">
        <is>
          <t>Herbe</t>
        </is>
      </c>
      <c r="E2579" s="50" t="inlineStr">
        <is>
          <t>SNUBBULL</t>
        </is>
      </c>
      <c r="F2579" s="51" t="n">
        <v>0.2</v>
      </c>
      <c r="G2579" s="52" t="n">
        <v>40</v>
      </c>
      <c r="H2579" s="52" t="n">
        <v>50</v>
      </c>
      <c r="I2579" s="29">
        <f>IF(OR(COUNTIF('Suivi des rencontres'!$A:$A,$A2579)&gt;0,COUNTIF('Suivi des rencontres'!$C:$C,$J2579)&gt;0),"Non","Oui")</f>
        <v/>
      </c>
      <c r="J2579" s="30" t="inlineStr">
        <is>
          <t>SNUBBULL</t>
        </is>
      </c>
    </row>
    <row r="2580">
      <c r="A2580" s="47" t="inlineStr">
        <is>
          <t>Route 7</t>
        </is>
      </c>
      <c r="B2580" s="47" t="inlineStr">
        <is>
          <t>Route7_hns</t>
        </is>
      </c>
      <c r="C2580" s="48" t="inlineStr">
        <is>
          <t>Matin, jour, soir</t>
        </is>
      </c>
      <c r="D2580" s="49" t="inlineStr">
        <is>
          <t>Herbe</t>
        </is>
      </c>
      <c r="E2580" s="50" t="inlineStr">
        <is>
          <t>RATTATAC</t>
        </is>
      </c>
      <c r="F2580" s="51" t="n">
        <v>0.14</v>
      </c>
      <c r="G2580" s="52" t="n">
        <v>40</v>
      </c>
      <c r="H2580" s="52" t="n">
        <v>42</v>
      </c>
      <c r="I2580" s="29">
        <f>IF(OR(COUNTIF('Suivi des rencontres'!$A:$A,$A2580)&gt;0,COUNTIF('Suivi des rencontres'!$C:$C,$J2580)&gt;0),"Non","Oui")</f>
        <v/>
      </c>
      <c r="J2580" s="30" t="inlineStr">
        <is>
          <t>RATTATA</t>
        </is>
      </c>
    </row>
    <row r="2581">
      <c r="A2581" s="47" t="inlineStr">
        <is>
          <t>Route 7</t>
        </is>
      </c>
      <c r="B2581" s="47" t="inlineStr">
        <is>
          <t>Route7_hns</t>
        </is>
      </c>
      <c r="C2581" s="48" t="inlineStr">
        <is>
          <t>Matin, jour, soir</t>
        </is>
      </c>
      <c r="D2581" s="49" t="inlineStr">
        <is>
          <t>Herbe</t>
        </is>
      </c>
      <c r="E2581" s="50" t="inlineStr">
        <is>
          <t>RONDOUDOU</t>
        </is>
      </c>
      <c r="F2581" s="51" t="n">
        <v>0.06</v>
      </c>
      <c r="G2581" s="52" t="n">
        <v>40</v>
      </c>
      <c r="H2581" s="52" t="n">
        <v>42</v>
      </c>
      <c r="I2581" s="29">
        <f>IF(OR(COUNTIF('Suivi des rencontres'!$A:$A,$A2581)&gt;0,COUNTIF('Suivi des rencontres'!$C:$C,$J2581)&gt;0),"Non","Oui")</f>
        <v/>
      </c>
      <c r="J2581" s="30" t="inlineStr">
        <is>
          <t>TOUDOUDOU</t>
        </is>
      </c>
    </row>
    <row r="2582">
      <c r="A2582" s="47" t="inlineStr">
        <is>
          <t>Route 7</t>
        </is>
      </c>
      <c r="B2582" s="47" t="inlineStr">
        <is>
          <t>Route7_hns</t>
        </is>
      </c>
      <c r="C2582" s="48" t="inlineStr">
        <is>
          <t>Matin, jour, soir</t>
        </is>
      </c>
      <c r="D2582" s="49" t="inlineStr">
        <is>
          <t>Herbe</t>
        </is>
      </c>
      <c r="E2582" s="50" t="inlineStr">
        <is>
          <t>ABRA</t>
        </is>
      </c>
      <c r="F2582" s="51" t="n">
        <v>0.05</v>
      </c>
      <c r="G2582" s="52" t="n">
        <v>47</v>
      </c>
      <c r="H2582" s="52" t="n">
        <v>49</v>
      </c>
      <c r="I2582" s="29">
        <f>IF(OR(COUNTIF('Suivi des rencontres'!$A:$A,$A2582)&gt;0,COUNTIF('Suivi des rencontres'!$C:$C,$J2582)&gt;0),"Non","Oui")</f>
        <v/>
      </c>
      <c r="J2582" s="30" t="inlineStr">
        <is>
          <t>ABRA</t>
        </is>
      </c>
    </row>
    <row r="2583">
      <c r="A2583" s="47" t="inlineStr">
        <is>
          <t>Route 7</t>
        </is>
      </c>
      <c r="B2583" s="47" t="inlineStr">
        <is>
          <t>Route7_hns</t>
        </is>
      </c>
      <c r="C2583" s="48" t="inlineStr">
        <is>
          <t>Matin, jour, soir</t>
        </is>
      </c>
      <c r="D2583" s="49" t="inlineStr">
        <is>
          <t>Herbe</t>
        </is>
      </c>
      <c r="E2583" s="50" t="inlineStr">
        <is>
          <t>TARSAL</t>
        </is>
      </c>
      <c r="F2583" s="51" t="n">
        <v>0.05</v>
      </c>
      <c r="G2583" s="52" t="n">
        <v>40</v>
      </c>
      <c r="H2583" s="52" t="n">
        <v>42</v>
      </c>
      <c r="I2583" s="29">
        <f>IF(OR(COUNTIF('Suivi des rencontres'!$A:$A,$A2583)&gt;0,COUNTIF('Suivi des rencontres'!$C:$C,$J2583)&gt;0),"Non","Oui")</f>
        <v/>
      </c>
      <c r="J2583" s="30" t="inlineStr">
        <is>
          <t>TARSAL</t>
        </is>
      </c>
    </row>
    <row r="2584">
      <c r="A2584" s="47" t="inlineStr">
        <is>
          <t>Route 7</t>
        </is>
      </c>
      <c r="B2584" s="47" t="inlineStr">
        <is>
          <t>Route7_hns</t>
        </is>
      </c>
      <c r="C2584" s="62" t="inlineStr">
        <is>
          <t>Nuit</t>
        </is>
      </c>
      <c r="D2584" s="49" t="inlineStr">
        <is>
          <t>Herbe</t>
        </is>
      </c>
      <c r="E2584" s="50" t="inlineStr">
        <is>
          <t>CORNEBRE</t>
        </is>
      </c>
      <c r="F2584" s="51" t="n">
        <v>0.3</v>
      </c>
      <c r="G2584" s="52" t="n">
        <v>48</v>
      </c>
      <c r="H2584" s="52" t="n">
        <v>50</v>
      </c>
      <c r="I2584" s="29">
        <f>IF(OR(COUNTIF('Suivi des rencontres'!$A:$A,$A2584)&gt;0,COUNTIF('Suivi des rencontres'!$C:$C,$J2584)&gt;0),"Non","Oui")</f>
        <v/>
      </c>
      <c r="J2584" s="30" t="inlineStr">
        <is>
          <t>CORNEBRE</t>
        </is>
      </c>
    </row>
    <row r="2585">
      <c r="A2585" s="47" t="inlineStr">
        <is>
          <t>Route 7</t>
        </is>
      </c>
      <c r="B2585" s="47" t="inlineStr">
        <is>
          <t>Route7_hns</t>
        </is>
      </c>
      <c r="C2585" s="62" t="inlineStr">
        <is>
          <t>Nuit</t>
        </is>
      </c>
      <c r="D2585" s="49" t="inlineStr">
        <is>
          <t>Herbe</t>
        </is>
      </c>
      <c r="E2585" s="50" t="inlineStr">
        <is>
          <t>MIAOUSS</t>
        </is>
      </c>
      <c r="F2585" s="51" t="n">
        <v>0.2</v>
      </c>
      <c r="G2585" s="52" t="n">
        <v>48</v>
      </c>
      <c r="H2585" s="52" t="n">
        <v>50</v>
      </c>
      <c r="I2585" s="29">
        <f>IF(OR(COUNTIF('Suivi des rencontres'!$A:$A,$A2585)&gt;0,COUNTIF('Suivi des rencontres'!$C:$C,$J2585)&gt;0),"Non","Oui")</f>
        <v/>
      </c>
      <c r="J2585" s="30" t="inlineStr">
        <is>
          <t>MIAOUSS</t>
        </is>
      </c>
    </row>
    <row r="2586">
      <c r="A2586" s="47" t="inlineStr">
        <is>
          <t>Route 7</t>
        </is>
      </c>
      <c r="B2586" s="47" t="inlineStr">
        <is>
          <t>Route7_hns</t>
        </is>
      </c>
      <c r="C2586" s="62" t="inlineStr">
        <is>
          <t>Nuit</t>
        </is>
      </c>
      <c r="D2586" s="49" t="inlineStr">
        <is>
          <t>Herbe</t>
        </is>
      </c>
      <c r="E2586" s="50" t="inlineStr">
        <is>
          <t>MALOSSE</t>
        </is>
      </c>
      <c r="F2586" s="51" t="n">
        <v>0.15</v>
      </c>
      <c r="G2586" s="52" t="n">
        <v>40</v>
      </c>
      <c r="H2586" s="52" t="n">
        <v>42</v>
      </c>
      <c r="I2586" s="29">
        <f>IF(OR(COUNTIF('Suivi des rencontres'!$A:$A,$A2586)&gt;0,COUNTIF('Suivi des rencontres'!$C:$C,$J2586)&gt;0),"Non","Oui")</f>
        <v/>
      </c>
      <c r="J2586" s="30" t="inlineStr">
        <is>
          <t>MALOSSE</t>
        </is>
      </c>
    </row>
    <row r="2587">
      <c r="A2587" s="47" t="inlineStr">
        <is>
          <t>Route 7</t>
        </is>
      </c>
      <c r="B2587" s="47" t="inlineStr">
        <is>
          <t>Route7_hns</t>
        </is>
      </c>
      <c r="C2587" s="62" t="inlineStr">
        <is>
          <t>Nuit</t>
        </is>
      </c>
      <c r="D2587" s="49" t="inlineStr">
        <is>
          <t>Herbe</t>
        </is>
      </c>
      <c r="E2587" s="50" t="inlineStr">
        <is>
          <t>PERSIAN</t>
        </is>
      </c>
      <c r="F2587" s="51" t="n">
        <v>0.14</v>
      </c>
      <c r="G2587" s="52" t="n">
        <v>40</v>
      </c>
      <c r="H2587" s="52" t="n">
        <v>42</v>
      </c>
      <c r="I2587" s="29">
        <f>IF(OR(COUNTIF('Suivi des rencontres'!$A:$A,$A2587)&gt;0,COUNTIF('Suivi des rencontres'!$C:$C,$J2587)&gt;0),"Non","Oui")</f>
        <v/>
      </c>
      <c r="J2587" s="30" t="inlineStr">
        <is>
          <t>MIAOUSS</t>
        </is>
      </c>
    </row>
    <row r="2588">
      <c r="A2588" s="47" t="inlineStr">
        <is>
          <t>Route 7</t>
        </is>
      </c>
      <c r="B2588" s="47" t="inlineStr">
        <is>
          <t>Route7_hns</t>
        </is>
      </c>
      <c r="C2588" s="62" t="inlineStr">
        <is>
          <t>Nuit</t>
        </is>
      </c>
      <c r="D2588" s="49" t="inlineStr">
        <is>
          <t>Herbe</t>
        </is>
      </c>
      <c r="E2588" s="50" t="inlineStr">
        <is>
          <t>RONDOUDOU</t>
        </is>
      </c>
      <c r="F2588" s="51" t="n">
        <v>0.11</v>
      </c>
      <c r="G2588" s="52" t="n">
        <v>40</v>
      </c>
      <c r="H2588" s="52" t="n">
        <v>50</v>
      </c>
      <c r="I2588" s="29">
        <f>IF(OR(COUNTIF('Suivi des rencontres'!$A:$A,$A2588)&gt;0,COUNTIF('Suivi des rencontres'!$C:$C,$J2588)&gt;0),"Non","Oui")</f>
        <v/>
      </c>
      <c r="J2588" s="30" t="inlineStr">
        <is>
          <t>TOUDOUDOU</t>
        </is>
      </c>
    </row>
    <row r="2589">
      <c r="A2589" s="47" t="inlineStr">
        <is>
          <t>Route 7</t>
        </is>
      </c>
      <c r="B2589" s="47" t="inlineStr">
        <is>
          <t>Route7_hns</t>
        </is>
      </c>
      <c r="C2589" s="62" t="inlineStr">
        <is>
          <t>Nuit</t>
        </is>
      </c>
      <c r="D2589" s="49" t="inlineStr">
        <is>
          <t>Herbe</t>
        </is>
      </c>
      <c r="E2589" s="50" t="inlineStr">
        <is>
          <t>ABRA</t>
        </is>
      </c>
      <c r="F2589" s="51" t="n">
        <v>0.05</v>
      </c>
      <c r="G2589" s="52" t="n">
        <v>47</v>
      </c>
      <c r="H2589" s="52" t="n">
        <v>49</v>
      </c>
      <c r="I2589" s="29">
        <f>IF(OR(COUNTIF('Suivi des rencontres'!$A:$A,$A2589)&gt;0,COUNTIF('Suivi des rencontres'!$C:$C,$J2589)&gt;0),"Non","Oui")</f>
        <v/>
      </c>
      <c r="J2589" s="30" t="inlineStr">
        <is>
          <t>ABRA</t>
        </is>
      </c>
    </row>
    <row r="2590">
      <c r="A2590" s="47" t="inlineStr">
        <is>
          <t>Route 7</t>
        </is>
      </c>
      <c r="B2590" s="47" t="inlineStr">
        <is>
          <t>Route7_hns</t>
        </is>
      </c>
      <c r="C2590" s="62" t="inlineStr">
        <is>
          <t>Nuit</t>
        </is>
      </c>
      <c r="D2590" s="49" t="inlineStr">
        <is>
          <t>Herbe</t>
        </is>
      </c>
      <c r="E2590" s="50" t="inlineStr">
        <is>
          <t>TARSAL</t>
        </is>
      </c>
      <c r="F2590" s="51" t="n">
        <v>0.05</v>
      </c>
      <c r="G2590" s="52" t="n">
        <v>40</v>
      </c>
      <c r="H2590" s="52" t="n">
        <v>42</v>
      </c>
      <c r="I2590" s="29">
        <f>IF(OR(COUNTIF('Suivi des rencontres'!$A:$A,$A2590)&gt;0,COUNTIF('Suivi des rencontres'!$C:$C,$J2590)&gt;0),"Non","Oui")</f>
        <v/>
      </c>
      <c r="J2590" s="30" t="inlineStr">
        <is>
          <t>TARSAL</t>
        </is>
      </c>
    </row>
    <row r="2591">
      <c r="A2591" s="47" t="inlineStr">
        <is>
          <t>Route 7</t>
        </is>
      </c>
      <c r="B2591" s="47" t="inlineStr">
        <is>
          <t>Route7_hns</t>
        </is>
      </c>
      <c r="C2591" s="48" t="inlineStr">
        <is>
          <t>Matin, jour, soir</t>
        </is>
      </c>
      <c r="D2591" s="36" t="inlineStr">
        <is>
          <t>Éclate-Roc</t>
        </is>
      </c>
      <c r="E2591" s="50" t="inlineStr">
        <is>
          <t>POMDEPIK</t>
        </is>
      </c>
      <c r="F2591" s="51" t="n">
        <v>0.6</v>
      </c>
      <c r="G2591" s="52" t="n">
        <v>41</v>
      </c>
      <c r="H2591" s="52" t="n">
        <v>43</v>
      </c>
      <c r="I2591" s="29">
        <f>IF(OR(COUNTIF('Suivi des rencontres'!$A:$A,$A2591)&gt;0,COUNTIF('Suivi des rencontres'!$C:$C,$J2591)&gt;0),"Non","Oui")</f>
        <v/>
      </c>
      <c r="J2591" s="30" t="inlineStr">
        <is>
          <t>POMDEPIK</t>
        </is>
      </c>
    </row>
    <row r="2592">
      <c r="A2592" s="47" t="inlineStr">
        <is>
          <t>Route 7</t>
        </is>
      </c>
      <c r="B2592" s="47" t="inlineStr">
        <is>
          <t>Route7_hns</t>
        </is>
      </c>
      <c r="C2592" s="48" t="inlineStr">
        <is>
          <t>Matin, jour, soir</t>
        </is>
      </c>
      <c r="D2592" s="36" t="inlineStr">
        <is>
          <t>Éclate-Roc</t>
        </is>
      </c>
      <c r="E2592" s="50" t="inlineStr">
        <is>
          <t>NOEUNOEUF</t>
        </is>
      </c>
      <c r="F2592" s="51" t="n">
        <v>0.3</v>
      </c>
      <c r="G2592" s="52" t="n">
        <v>41</v>
      </c>
      <c r="H2592" s="52" t="n">
        <v>43</v>
      </c>
      <c r="I2592" s="29">
        <f>IF(OR(COUNTIF('Suivi des rencontres'!$A:$A,$A2592)&gt;0,COUNTIF('Suivi des rencontres'!$C:$C,$J2592)&gt;0),"Non","Oui")</f>
        <v/>
      </c>
      <c r="J2592" s="30" t="inlineStr">
        <is>
          <t>NOEUNOEUF</t>
        </is>
      </c>
    </row>
    <row r="2593">
      <c r="A2593" s="47" t="inlineStr">
        <is>
          <t>Route 7</t>
        </is>
      </c>
      <c r="B2593" s="47" t="inlineStr">
        <is>
          <t>Route7_hns</t>
        </is>
      </c>
      <c r="C2593" s="48" t="inlineStr">
        <is>
          <t>Matin, jour, soir</t>
        </is>
      </c>
      <c r="D2593" s="36" t="inlineStr">
        <is>
          <t>Éclate-Roc</t>
        </is>
      </c>
      <c r="E2593" s="50" t="inlineStr">
        <is>
          <t>COXY</t>
        </is>
      </c>
      <c r="F2593" s="51" t="n">
        <v>0.05</v>
      </c>
      <c r="G2593" s="52" t="n">
        <v>41</v>
      </c>
      <c r="H2593" s="52" t="n">
        <v>43</v>
      </c>
      <c r="I2593" s="29">
        <f>IF(OR(COUNTIF('Suivi des rencontres'!$A:$A,$A2593)&gt;0,COUNTIF('Suivi des rencontres'!$C:$C,$J2593)&gt;0),"Non","Oui")</f>
        <v/>
      </c>
      <c r="J2593" s="30" t="inlineStr">
        <is>
          <t>COXY</t>
        </is>
      </c>
    </row>
    <row r="2594">
      <c r="A2594" s="47" t="inlineStr">
        <is>
          <t>Route 7</t>
        </is>
      </c>
      <c r="B2594" s="47" t="inlineStr">
        <is>
          <t>Route7_hns</t>
        </is>
      </c>
      <c r="C2594" s="48" t="inlineStr">
        <is>
          <t>Matin, jour, soir</t>
        </is>
      </c>
      <c r="D2594" s="36" t="inlineStr">
        <is>
          <t>Éclate-Roc</t>
        </is>
      </c>
      <c r="E2594" s="50" t="inlineStr">
        <is>
          <t>MIMIGAL</t>
        </is>
      </c>
      <c r="F2594" s="51" t="n">
        <v>0.05</v>
      </c>
      <c r="G2594" s="52" t="n">
        <v>41</v>
      </c>
      <c r="H2594" s="52" t="n">
        <v>43</v>
      </c>
      <c r="I2594" s="29">
        <f>IF(OR(COUNTIF('Suivi des rencontres'!$A:$A,$A2594)&gt;0,COUNTIF('Suivi des rencontres'!$C:$C,$J2594)&gt;0),"Non","Oui")</f>
        <v/>
      </c>
      <c r="J2594" s="30" t="inlineStr">
        <is>
          <t>MIMIGAL</t>
        </is>
      </c>
    </row>
    <row r="2595">
      <c r="A2595" s="47" t="inlineStr">
        <is>
          <t>Route 7</t>
        </is>
      </c>
      <c r="B2595" s="47" t="inlineStr">
        <is>
          <t>Route7_hns</t>
        </is>
      </c>
      <c r="C2595" s="62" t="inlineStr">
        <is>
          <t>Nuit</t>
        </is>
      </c>
      <c r="D2595" s="36" t="inlineStr">
        <is>
          <t>Éclate-Roc</t>
        </is>
      </c>
      <c r="E2595" s="50" t="inlineStr">
        <is>
          <t>POMDEPIK</t>
        </is>
      </c>
      <c r="F2595" s="51" t="n">
        <v>0.6</v>
      </c>
      <c r="G2595" s="52" t="n">
        <v>41</v>
      </c>
      <c r="H2595" s="52" t="n">
        <v>43</v>
      </c>
      <c r="I2595" s="29">
        <f>IF(OR(COUNTIF('Suivi des rencontres'!$A:$A,$A2595)&gt;0,COUNTIF('Suivi des rencontres'!$C:$C,$J2595)&gt;0),"Non","Oui")</f>
        <v/>
      </c>
      <c r="J2595" s="30" t="inlineStr">
        <is>
          <t>POMDEPIK</t>
        </is>
      </c>
    </row>
    <row r="2596">
      <c r="A2596" s="47" t="inlineStr">
        <is>
          <t>Route 7</t>
        </is>
      </c>
      <c r="B2596" s="47" t="inlineStr">
        <is>
          <t>Route7_hns</t>
        </is>
      </c>
      <c r="C2596" s="62" t="inlineStr">
        <is>
          <t>Nuit</t>
        </is>
      </c>
      <c r="D2596" s="36" t="inlineStr">
        <is>
          <t>Éclate-Roc</t>
        </is>
      </c>
      <c r="E2596" s="50" t="inlineStr">
        <is>
          <t>NOEUNOEUF</t>
        </is>
      </c>
      <c r="F2596" s="51" t="n">
        <v>0.3</v>
      </c>
      <c r="G2596" s="52" t="n">
        <v>41</v>
      </c>
      <c r="H2596" s="52" t="n">
        <v>43</v>
      </c>
      <c r="I2596" s="29">
        <f>IF(OR(COUNTIF('Suivi des rencontres'!$A:$A,$A2596)&gt;0,COUNTIF('Suivi des rencontres'!$C:$C,$J2596)&gt;0),"Non","Oui")</f>
        <v/>
      </c>
      <c r="J2596" s="30" t="inlineStr">
        <is>
          <t>NOEUNOEUF</t>
        </is>
      </c>
    </row>
    <row r="2597">
      <c r="A2597" s="47" t="inlineStr">
        <is>
          <t>Route 7</t>
        </is>
      </c>
      <c r="B2597" s="47" t="inlineStr">
        <is>
          <t>Route7_hns</t>
        </is>
      </c>
      <c r="C2597" s="62" t="inlineStr">
        <is>
          <t>Nuit</t>
        </is>
      </c>
      <c r="D2597" s="36" t="inlineStr">
        <is>
          <t>Éclate-Roc</t>
        </is>
      </c>
      <c r="E2597" s="50" t="inlineStr">
        <is>
          <t>COXY</t>
        </is>
      </c>
      <c r="F2597" s="51" t="n">
        <v>0.05</v>
      </c>
      <c r="G2597" s="52" t="n">
        <v>41</v>
      </c>
      <c r="H2597" s="52" t="n">
        <v>43</v>
      </c>
      <c r="I2597" s="29">
        <f>IF(OR(COUNTIF('Suivi des rencontres'!$A:$A,$A2597)&gt;0,COUNTIF('Suivi des rencontres'!$C:$C,$J2597)&gt;0),"Non","Oui")</f>
        <v/>
      </c>
      <c r="J2597" s="30" t="inlineStr">
        <is>
          <t>COXY</t>
        </is>
      </c>
    </row>
    <row r="2598">
      <c r="A2598" s="47" t="inlineStr">
        <is>
          <t>Route 7</t>
        </is>
      </c>
      <c r="B2598" s="47" t="inlineStr">
        <is>
          <t>Route7_hns</t>
        </is>
      </c>
      <c r="C2598" s="62" t="inlineStr">
        <is>
          <t>Nuit</t>
        </is>
      </c>
      <c r="D2598" s="36" t="inlineStr">
        <is>
          <t>Éclate-Roc</t>
        </is>
      </c>
      <c r="E2598" s="50" t="inlineStr">
        <is>
          <t>MIMIGAL</t>
        </is>
      </c>
      <c r="F2598" s="51" t="n">
        <v>0.05</v>
      </c>
      <c r="G2598" s="52" t="n">
        <v>41</v>
      </c>
      <c r="H2598" s="52" t="n">
        <v>43</v>
      </c>
      <c r="I2598" s="29">
        <f>IF(OR(COUNTIF('Suivi des rencontres'!$A:$A,$A2598)&gt;0,COUNTIF('Suivi des rencontres'!$C:$C,$J2598)&gt;0),"Non","Oui")</f>
        <v/>
      </c>
      <c r="J2598" s="30" t="inlineStr">
        <is>
          <t>MIMIGAL</t>
        </is>
      </c>
    </row>
    <row r="2599">
      <c r="A2599" s="57" t="inlineStr">
        <is>
          <t>Route 8</t>
        </is>
      </c>
      <c r="B2599" s="57" t="inlineStr">
        <is>
          <t>Route8_hns</t>
        </is>
      </c>
      <c r="C2599" s="58" t="inlineStr">
        <is>
          <t>Matin, jour, soir</t>
        </is>
      </c>
      <c r="D2599" s="42" t="inlineStr">
        <is>
          <t>Herbe</t>
        </is>
      </c>
      <c r="E2599" s="59" t="inlineStr">
        <is>
          <t>ROUCOUPS</t>
        </is>
      </c>
      <c r="F2599" s="60" t="n">
        <v>0.3</v>
      </c>
      <c r="G2599" s="61" t="n">
        <v>41</v>
      </c>
      <c r="H2599" s="61" t="n">
        <v>43</v>
      </c>
      <c r="I2599" s="46">
        <f>IF(OR(COUNTIF('Suivi des rencontres'!$A:$A,$A2599)&gt;0,COUNTIF('Suivi des rencontres'!$C:$C,$J2599)&gt;0),"Non","Oui")</f>
        <v/>
      </c>
      <c r="J2599" s="30" t="inlineStr">
        <is>
          <t>ROUCOOL</t>
        </is>
      </c>
    </row>
    <row r="2600">
      <c r="A2600" s="35" t="inlineStr">
        <is>
          <t>Route 8</t>
        </is>
      </c>
      <c r="B2600" s="35" t="inlineStr">
        <is>
          <t>Route8_hns</t>
        </is>
      </c>
      <c r="C2600" s="33" t="inlineStr">
        <is>
          <t>Matin, jour, soir</t>
        </is>
      </c>
      <c r="D2600" s="49" t="inlineStr">
        <is>
          <t>Herbe</t>
        </is>
      </c>
      <c r="E2600" s="37" t="inlineStr">
        <is>
          <t>SNUBBULL</t>
        </is>
      </c>
      <c r="F2600" s="38" t="n">
        <v>0.3</v>
      </c>
      <c r="G2600" s="39" t="n">
        <v>48</v>
      </c>
      <c r="H2600" s="39" t="n">
        <v>50</v>
      </c>
      <c r="I2600" s="29">
        <f>IF(OR(COUNTIF('Suivi des rencontres'!$A:$A,$A2600)&gt;0,COUNTIF('Suivi des rencontres'!$C:$C,$J2600)&gt;0),"Non","Oui")</f>
        <v/>
      </c>
      <c r="J2600" s="30" t="inlineStr">
        <is>
          <t>SNUBBULL</t>
        </is>
      </c>
    </row>
    <row r="2601">
      <c r="A2601" s="35" t="inlineStr">
        <is>
          <t>Route 8</t>
        </is>
      </c>
      <c r="B2601" s="35" t="inlineStr">
        <is>
          <t>Route8_hns</t>
        </is>
      </c>
      <c r="C2601" s="33" t="inlineStr">
        <is>
          <t>Matin, jour, soir</t>
        </is>
      </c>
      <c r="D2601" s="49" t="inlineStr">
        <is>
          <t>Herbe</t>
        </is>
      </c>
      <c r="E2601" s="37" t="inlineStr">
        <is>
          <t>ABRA</t>
        </is>
      </c>
      <c r="F2601" s="38" t="n">
        <v>0.15</v>
      </c>
      <c r="G2601" s="39" t="n">
        <v>47</v>
      </c>
      <c r="H2601" s="39" t="n">
        <v>49</v>
      </c>
      <c r="I2601" s="29">
        <f>IF(OR(COUNTIF('Suivi des rencontres'!$A:$A,$A2601)&gt;0,COUNTIF('Suivi des rencontres'!$C:$C,$J2601)&gt;0),"Non","Oui")</f>
        <v/>
      </c>
      <c r="J2601" s="30" t="inlineStr">
        <is>
          <t>ABRA</t>
        </is>
      </c>
    </row>
    <row r="2602">
      <c r="A2602" s="35" t="inlineStr">
        <is>
          <t>Route 8</t>
        </is>
      </c>
      <c r="B2602" s="35" t="inlineStr">
        <is>
          <t>Route8_hns</t>
        </is>
      </c>
      <c r="C2602" s="33" t="inlineStr">
        <is>
          <t>Matin, jour, soir</t>
        </is>
      </c>
      <c r="D2602" s="49" t="inlineStr">
        <is>
          <t>Herbe</t>
        </is>
      </c>
      <c r="E2602" s="37" t="inlineStr">
        <is>
          <t>CANINOS</t>
        </is>
      </c>
      <c r="F2602" s="38" t="n">
        <v>0.14</v>
      </c>
      <c r="G2602" s="39" t="n">
        <v>48</v>
      </c>
      <c r="H2602" s="39" t="n">
        <v>50</v>
      </c>
      <c r="I2602" s="29">
        <f>IF(OR(COUNTIF('Suivi des rencontres'!$A:$A,$A2602)&gt;0,COUNTIF('Suivi des rencontres'!$C:$C,$J2602)&gt;0),"Non","Oui")</f>
        <v/>
      </c>
      <c r="J2602" s="30" t="inlineStr">
        <is>
          <t>CANINOS</t>
        </is>
      </c>
    </row>
    <row r="2603">
      <c r="A2603" s="35" t="inlineStr">
        <is>
          <t>Route 8</t>
        </is>
      </c>
      <c r="B2603" s="35" t="inlineStr">
        <is>
          <t>Route8_hns</t>
        </is>
      </c>
      <c r="C2603" s="33" t="inlineStr">
        <is>
          <t>Matin, jour, soir</t>
        </is>
      </c>
      <c r="D2603" s="49" t="inlineStr">
        <is>
          <t>Herbe</t>
        </is>
      </c>
      <c r="E2603" s="37" t="inlineStr">
        <is>
          <t>GOUPIX</t>
        </is>
      </c>
      <c r="F2603" s="38" t="n">
        <v>0.05</v>
      </c>
      <c r="G2603" s="39" t="n">
        <v>47</v>
      </c>
      <c r="H2603" s="39" t="n">
        <v>49</v>
      </c>
      <c r="I2603" s="29">
        <f>IF(OR(COUNTIF('Suivi des rencontres'!$A:$A,$A2603)&gt;0,COUNTIF('Suivi des rencontres'!$C:$C,$J2603)&gt;0),"Non","Oui")</f>
        <v/>
      </c>
      <c r="J2603" s="30" t="inlineStr">
        <is>
          <t>GOUPIX</t>
        </is>
      </c>
    </row>
    <row r="2604">
      <c r="A2604" s="35" t="inlineStr">
        <is>
          <t>Route 8</t>
        </is>
      </c>
      <c r="B2604" s="35" t="inlineStr">
        <is>
          <t>Route8_hns</t>
        </is>
      </c>
      <c r="C2604" s="33" t="inlineStr">
        <is>
          <t>Matin, jour, soir</t>
        </is>
      </c>
      <c r="D2604" s="49" t="inlineStr">
        <is>
          <t>Herbe</t>
        </is>
      </c>
      <c r="E2604" s="37" t="inlineStr">
        <is>
          <t>KADABRA</t>
        </is>
      </c>
      <c r="F2604" s="38" t="n">
        <v>0.05</v>
      </c>
      <c r="G2604" s="39" t="n">
        <v>40</v>
      </c>
      <c r="H2604" s="39" t="n">
        <v>42</v>
      </c>
      <c r="I2604" s="29">
        <f>IF(OR(COUNTIF('Suivi des rencontres'!$A:$A,$A2604)&gt;0,COUNTIF('Suivi des rencontres'!$C:$C,$J2604)&gt;0),"Non","Oui")</f>
        <v/>
      </c>
      <c r="J2604" s="30" t="inlineStr">
        <is>
          <t>ABRA</t>
        </is>
      </c>
    </row>
    <row r="2605">
      <c r="A2605" s="35" t="inlineStr">
        <is>
          <t>Route 8</t>
        </is>
      </c>
      <c r="B2605" s="35" t="inlineStr">
        <is>
          <t>Route8_hns</t>
        </is>
      </c>
      <c r="C2605" s="33" t="inlineStr">
        <is>
          <t>Matin, jour, soir</t>
        </is>
      </c>
      <c r="D2605" s="49" t="inlineStr">
        <is>
          <t>Herbe</t>
        </is>
      </c>
      <c r="E2605" s="37" t="inlineStr">
        <is>
          <t>RONDOUDOU</t>
        </is>
      </c>
      <c r="F2605" s="38" t="n">
        <v>0.01</v>
      </c>
      <c r="G2605" s="39" t="n">
        <v>47</v>
      </c>
      <c r="H2605" s="39" t="n">
        <v>49</v>
      </c>
      <c r="I2605" s="29">
        <f>IF(OR(COUNTIF('Suivi des rencontres'!$A:$A,$A2605)&gt;0,COUNTIF('Suivi des rencontres'!$C:$C,$J2605)&gt;0),"Non","Oui")</f>
        <v/>
      </c>
      <c r="J2605" s="30" t="inlineStr">
        <is>
          <t>TOUDOUDOU</t>
        </is>
      </c>
    </row>
    <row r="2606">
      <c r="A2606" s="35" t="inlineStr">
        <is>
          <t>Route 8</t>
        </is>
      </c>
      <c r="B2606" s="35" t="inlineStr">
        <is>
          <t>Route8_hns</t>
        </is>
      </c>
      <c r="C2606" s="62" t="inlineStr">
        <is>
          <t>Nuit</t>
        </is>
      </c>
      <c r="D2606" s="49" t="inlineStr">
        <is>
          <t>Herbe</t>
        </is>
      </c>
      <c r="E2606" s="37" t="inlineStr">
        <is>
          <t>MIAOUSS</t>
        </is>
      </c>
      <c r="F2606" s="38" t="n">
        <v>0.3</v>
      </c>
      <c r="G2606" s="39" t="n">
        <v>48</v>
      </c>
      <c r="H2606" s="39" t="n">
        <v>50</v>
      </c>
      <c r="I2606" s="29">
        <f>IF(OR(COUNTIF('Suivi des rencontres'!$A:$A,$A2606)&gt;0,COUNTIF('Suivi des rencontres'!$C:$C,$J2606)&gt;0),"Non","Oui")</f>
        <v/>
      </c>
      <c r="J2606" s="30" t="inlineStr">
        <is>
          <t>MIAOUSS</t>
        </is>
      </c>
    </row>
    <row r="2607">
      <c r="A2607" s="35" t="inlineStr">
        <is>
          <t>Route 8</t>
        </is>
      </c>
      <c r="B2607" s="35" t="inlineStr">
        <is>
          <t>Route8_hns</t>
        </is>
      </c>
      <c r="C2607" s="62" t="inlineStr">
        <is>
          <t>Nuit</t>
        </is>
      </c>
      <c r="D2607" s="49" t="inlineStr">
        <is>
          <t>Herbe</t>
        </is>
      </c>
      <c r="E2607" s="37" t="inlineStr">
        <is>
          <t>ABRA</t>
        </is>
      </c>
      <c r="F2607" s="38" t="n">
        <v>0.2</v>
      </c>
      <c r="G2607" s="39" t="n">
        <v>42</v>
      </c>
      <c r="H2607" s="39" t="n">
        <v>49</v>
      </c>
      <c r="I2607" s="29">
        <f>IF(OR(COUNTIF('Suivi des rencontres'!$A:$A,$A2607)&gt;0,COUNTIF('Suivi des rencontres'!$C:$C,$J2607)&gt;0),"Non","Oui")</f>
        <v/>
      </c>
      <c r="J2607" s="30" t="inlineStr">
        <is>
          <t>ABRA</t>
        </is>
      </c>
    </row>
    <row r="2608">
      <c r="A2608" s="35" t="inlineStr">
        <is>
          <t>Route 8</t>
        </is>
      </c>
      <c r="B2608" s="35" t="inlineStr">
        <is>
          <t>Route8_hns</t>
        </is>
      </c>
      <c r="C2608" s="62" t="inlineStr">
        <is>
          <t>Nuit</t>
        </is>
      </c>
      <c r="D2608" s="49" t="inlineStr">
        <is>
          <t>Herbe</t>
        </is>
      </c>
      <c r="E2608" s="37" t="inlineStr">
        <is>
          <t>NOARFANG</t>
        </is>
      </c>
      <c r="F2608" s="38" t="n">
        <v>0.2</v>
      </c>
      <c r="G2608" s="39" t="n">
        <v>42</v>
      </c>
      <c r="H2608" s="39" t="n">
        <v>44</v>
      </c>
      <c r="I2608" s="29">
        <f>IF(OR(COUNTIF('Suivi des rencontres'!$A:$A,$A2608)&gt;0,COUNTIF('Suivi des rencontres'!$C:$C,$J2608)&gt;0),"Non","Oui")</f>
        <v/>
      </c>
      <c r="J2608" s="30" t="inlineStr">
        <is>
          <t>HOOTHOOT</t>
        </is>
      </c>
    </row>
    <row r="2609">
      <c r="A2609" s="35" t="inlineStr">
        <is>
          <t>Route 8</t>
        </is>
      </c>
      <c r="B2609" s="35" t="inlineStr">
        <is>
          <t>Route8_hns</t>
        </is>
      </c>
      <c r="C2609" s="62" t="inlineStr">
        <is>
          <t>Nuit</t>
        </is>
      </c>
      <c r="D2609" s="49" t="inlineStr">
        <is>
          <t>Herbe</t>
        </is>
      </c>
      <c r="E2609" s="37" t="inlineStr">
        <is>
          <t>SPECTRUM</t>
        </is>
      </c>
      <c r="F2609" s="38" t="n">
        <v>0.14</v>
      </c>
      <c r="G2609" s="39" t="n">
        <v>48</v>
      </c>
      <c r="H2609" s="39" t="n">
        <v>50</v>
      </c>
      <c r="I2609" s="29">
        <f>IF(OR(COUNTIF('Suivi des rencontres'!$A:$A,$A2609)&gt;0,COUNTIF('Suivi des rencontres'!$C:$C,$J2609)&gt;0),"Non","Oui")</f>
        <v/>
      </c>
      <c r="J2609" s="30" t="inlineStr">
        <is>
          <t>FANTOMINUS</t>
        </is>
      </c>
    </row>
    <row r="2610">
      <c r="A2610" s="35" t="inlineStr">
        <is>
          <t>Route 8</t>
        </is>
      </c>
      <c r="B2610" s="35" t="inlineStr">
        <is>
          <t>Route8_hns</t>
        </is>
      </c>
      <c r="C2610" s="62" t="inlineStr">
        <is>
          <t>Nuit</t>
        </is>
      </c>
      <c r="D2610" s="49" t="inlineStr">
        <is>
          <t>Herbe</t>
        </is>
      </c>
      <c r="E2610" s="37" t="inlineStr">
        <is>
          <t>RONDOUDOU</t>
        </is>
      </c>
      <c r="F2610" s="38" t="n">
        <v>0.06</v>
      </c>
      <c r="G2610" s="39" t="n">
        <v>47</v>
      </c>
      <c r="H2610" s="39" t="n">
        <v>49</v>
      </c>
      <c r="I2610" s="29">
        <f>IF(OR(COUNTIF('Suivi des rencontres'!$A:$A,$A2610)&gt;0,COUNTIF('Suivi des rencontres'!$C:$C,$J2610)&gt;0),"Non","Oui")</f>
        <v/>
      </c>
      <c r="J2610" s="30" t="inlineStr">
        <is>
          <t>TOUDOUDOU</t>
        </is>
      </c>
    </row>
    <row r="2611">
      <c r="A2611" s="35" t="inlineStr">
        <is>
          <t>Route 8</t>
        </is>
      </c>
      <c r="B2611" s="35" t="inlineStr">
        <is>
          <t>Route8_hns</t>
        </is>
      </c>
      <c r="C2611" s="62" t="inlineStr">
        <is>
          <t>Nuit</t>
        </is>
      </c>
      <c r="D2611" s="49" t="inlineStr">
        <is>
          <t>Herbe</t>
        </is>
      </c>
      <c r="E2611" s="37" t="inlineStr">
        <is>
          <t>KADABRA</t>
        </is>
      </c>
      <c r="F2611" s="38" t="n">
        <v>0.05</v>
      </c>
      <c r="G2611" s="39" t="n">
        <v>40</v>
      </c>
      <c r="H2611" s="39" t="n">
        <v>42</v>
      </c>
      <c r="I2611" s="29">
        <f>IF(OR(COUNTIF('Suivi des rencontres'!$A:$A,$A2611)&gt;0,COUNTIF('Suivi des rencontres'!$C:$C,$J2611)&gt;0),"Non","Oui")</f>
        <v/>
      </c>
      <c r="J2611" s="30" t="inlineStr">
        <is>
          <t>ABRA</t>
        </is>
      </c>
    </row>
    <row r="2612">
      <c r="A2612" s="35" t="inlineStr">
        <is>
          <t>Route 8</t>
        </is>
      </c>
      <c r="B2612" s="35" t="inlineStr">
        <is>
          <t>Route8_hns</t>
        </is>
      </c>
      <c r="C2612" s="62" t="inlineStr">
        <is>
          <t>Nuit</t>
        </is>
      </c>
      <c r="D2612" s="49" t="inlineStr">
        <is>
          <t>Herbe</t>
        </is>
      </c>
      <c r="E2612" s="37" t="inlineStr">
        <is>
          <t>SKELENOX</t>
        </is>
      </c>
      <c r="F2612" s="38" t="n">
        <v>0.05</v>
      </c>
      <c r="G2612" s="39" t="n">
        <v>47</v>
      </c>
      <c r="H2612" s="39" t="n">
        <v>49</v>
      </c>
      <c r="I2612" s="29">
        <f>IF(OR(COUNTIF('Suivi des rencontres'!$A:$A,$A2612)&gt;0,COUNTIF('Suivi des rencontres'!$C:$C,$J2612)&gt;0),"Non","Oui")</f>
        <v/>
      </c>
      <c r="J2612" s="30" t="inlineStr">
        <is>
          <t>SKELENOX</t>
        </is>
      </c>
    </row>
    <row r="2613">
      <c r="A2613" s="35" t="inlineStr">
        <is>
          <t>Route 8</t>
        </is>
      </c>
      <c r="B2613" s="35" t="inlineStr">
        <is>
          <t>Route8_hns</t>
        </is>
      </c>
      <c r="C2613" s="33" t="inlineStr">
        <is>
          <t>Matin, jour, soir</t>
        </is>
      </c>
      <c r="D2613" s="36" t="inlineStr">
        <is>
          <t>Éclate-Roc</t>
        </is>
      </c>
      <c r="E2613" s="37" t="inlineStr">
        <is>
          <t>POMDEPIK</t>
        </is>
      </c>
      <c r="F2613" s="38" t="n">
        <v>0.6</v>
      </c>
      <c r="G2613" s="39" t="n">
        <v>41</v>
      </c>
      <c r="H2613" s="39" t="n">
        <v>43</v>
      </c>
      <c r="I2613" s="29">
        <f>IF(OR(COUNTIF('Suivi des rencontres'!$A:$A,$A2613)&gt;0,COUNTIF('Suivi des rencontres'!$C:$C,$J2613)&gt;0),"Non","Oui")</f>
        <v/>
      </c>
      <c r="J2613" s="30" t="inlineStr">
        <is>
          <t>POMDEPIK</t>
        </is>
      </c>
    </row>
    <row r="2614">
      <c r="A2614" s="35" t="inlineStr">
        <is>
          <t>Route 8</t>
        </is>
      </c>
      <c r="B2614" s="35" t="inlineStr">
        <is>
          <t>Route8_hns</t>
        </is>
      </c>
      <c r="C2614" s="33" t="inlineStr">
        <is>
          <t>Matin, jour, soir</t>
        </is>
      </c>
      <c r="D2614" s="36" t="inlineStr">
        <is>
          <t>Éclate-Roc</t>
        </is>
      </c>
      <c r="E2614" s="37" t="inlineStr">
        <is>
          <t>NOEUNOEUF</t>
        </is>
      </c>
      <c r="F2614" s="38" t="n">
        <v>0.3</v>
      </c>
      <c r="G2614" s="39" t="n">
        <v>41</v>
      </c>
      <c r="H2614" s="39" t="n">
        <v>43</v>
      </c>
      <c r="I2614" s="29">
        <f>IF(OR(COUNTIF('Suivi des rencontres'!$A:$A,$A2614)&gt;0,COUNTIF('Suivi des rencontres'!$C:$C,$J2614)&gt;0),"Non","Oui")</f>
        <v/>
      </c>
      <c r="J2614" s="30" t="inlineStr">
        <is>
          <t>NOEUNOEUF</t>
        </is>
      </c>
    </row>
    <row r="2615">
      <c r="A2615" s="35" t="inlineStr">
        <is>
          <t>Route 8</t>
        </is>
      </c>
      <c r="B2615" s="35" t="inlineStr">
        <is>
          <t>Route8_hns</t>
        </is>
      </c>
      <c r="C2615" s="33" t="inlineStr">
        <is>
          <t>Matin, jour, soir</t>
        </is>
      </c>
      <c r="D2615" s="36" t="inlineStr">
        <is>
          <t>Éclate-Roc</t>
        </is>
      </c>
      <c r="E2615" s="37" t="inlineStr">
        <is>
          <t>COXY</t>
        </is>
      </c>
      <c r="F2615" s="38" t="n">
        <v>0.05</v>
      </c>
      <c r="G2615" s="39" t="n">
        <v>41</v>
      </c>
      <c r="H2615" s="39" t="n">
        <v>43</v>
      </c>
      <c r="I2615" s="29">
        <f>IF(OR(COUNTIF('Suivi des rencontres'!$A:$A,$A2615)&gt;0,COUNTIF('Suivi des rencontres'!$C:$C,$J2615)&gt;0),"Non","Oui")</f>
        <v/>
      </c>
      <c r="J2615" s="30" t="inlineStr">
        <is>
          <t>COXY</t>
        </is>
      </c>
    </row>
    <row r="2616">
      <c r="A2616" s="35" t="inlineStr">
        <is>
          <t>Route 8</t>
        </is>
      </c>
      <c r="B2616" s="35" t="inlineStr">
        <is>
          <t>Route8_hns</t>
        </is>
      </c>
      <c r="C2616" s="33" t="inlineStr">
        <is>
          <t>Matin, jour, soir</t>
        </is>
      </c>
      <c r="D2616" s="36" t="inlineStr">
        <is>
          <t>Éclate-Roc</t>
        </is>
      </c>
      <c r="E2616" s="37" t="inlineStr">
        <is>
          <t>MIMIGAL</t>
        </is>
      </c>
      <c r="F2616" s="38" t="n">
        <v>0.05</v>
      </c>
      <c r="G2616" s="39" t="n">
        <v>41</v>
      </c>
      <c r="H2616" s="39" t="n">
        <v>43</v>
      </c>
      <c r="I2616" s="29">
        <f>IF(OR(COUNTIF('Suivi des rencontres'!$A:$A,$A2616)&gt;0,COUNTIF('Suivi des rencontres'!$C:$C,$J2616)&gt;0),"Non","Oui")</f>
        <v/>
      </c>
      <c r="J2616" s="30" t="inlineStr">
        <is>
          <t>MIMIGAL</t>
        </is>
      </c>
    </row>
    <row r="2617">
      <c r="A2617" s="35" t="inlineStr">
        <is>
          <t>Route 8</t>
        </is>
      </c>
      <c r="B2617" s="35" t="inlineStr">
        <is>
          <t>Route8_hns</t>
        </is>
      </c>
      <c r="C2617" s="62" t="inlineStr">
        <is>
          <t>Nuit</t>
        </is>
      </c>
      <c r="D2617" s="36" t="inlineStr">
        <is>
          <t>Éclate-Roc</t>
        </is>
      </c>
      <c r="E2617" s="37" t="inlineStr">
        <is>
          <t>POMDEPIK</t>
        </is>
      </c>
      <c r="F2617" s="38" t="n">
        <v>0.6</v>
      </c>
      <c r="G2617" s="39" t="n">
        <v>41</v>
      </c>
      <c r="H2617" s="39" t="n">
        <v>43</v>
      </c>
      <c r="I2617" s="29">
        <f>IF(OR(COUNTIF('Suivi des rencontres'!$A:$A,$A2617)&gt;0,COUNTIF('Suivi des rencontres'!$C:$C,$J2617)&gt;0),"Non","Oui")</f>
        <v/>
      </c>
      <c r="J2617" s="30" t="inlineStr">
        <is>
          <t>POMDEPIK</t>
        </is>
      </c>
    </row>
    <row r="2618">
      <c r="A2618" s="35" t="inlineStr">
        <is>
          <t>Route 8</t>
        </is>
      </c>
      <c r="B2618" s="35" t="inlineStr">
        <is>
          <t>Route8_hns</t>
        </is>
      </c>
      <c r="C2618" s="62" t="inlineStr">
        <is>
          <t>Nuit</t>
        </is>
      </c>
      <c r="D2618" s="36" t="inlineStr">
        <is>
          <t>Éclate-Roc</t>
        </is>
      </c>
      <c r="E2618" s="37" t="inlineStr">
        <is>
          <t>NOEUNOEUF</t>
        </is>
      </c>
      <c r="F2618" s="38" t="n">
        <v>0.3</v>
      </c>
      <c r="G2618" s="39" t="n">
        <v>41</v>
      </c>
      <c r="H2618" s="39" t="n">
        <v>43</v>
      </c>
      <c r="I2618" s="29">
        <f>IF(OR(COUNTIF('Suivi des rencontres'!$A:$A,$A2618)&gt;0,COUNTIF('Suivi des rencontres'!$C:$C,$J2618)&gt;0),"Non","Oui")</f>
        <v/>
      </c>
      <c r="J2618" s="30" t="inlineStr">
        <is>
          <t>NOEUNOEUF</t>
        </is>
      </c>
    </row>
    <row r="2619">
      <c r="A2619" s="35" t="inlineStr">
        <is>
          <t>Route 8</t>
        </is>
      </c>
      <c r="B2619" s="35" t="inlineStr">
        <is>
          <t>Route8_hns</t>
        </is>
      </c>
      <c r="C2619" s="62" t="inlineStr">
        <is>
          <t>Nuit</t>
        </is>
      </c>
      <c r="D2619" s="36" t="inlineStr">
        <is>
          <t>Éclate-Roc</t>
        </is>
      </c>
      <c r="E2619" s="37" t="inlineStr">
        <is>
          <t>COXY</t>
        </is>
      </c>
      <c r="F2619" s="38" t="n">
        <v>0.05</v>
      </c>
      <c r="G2619" s="39" t="n">
        <v>41</v>
      </c>
      <c r="H2619" s="39" t="n">
        <v>43</v>
      </c>
      <c r="I2619" s="29">
        <f>IF(OR(COUNTIF('Suivi des rencontres'!$A:$A,$A2619)&gt;0,COUNTIF('Suivi des rencontres'!$C:$C,$J2619)&gt;0),"Non","Oui")</f>
        <v/>
      </c>
      <c r="J2619" s="30" t="inlineStr">
        <is>
          <t>COXY</t>
        </is>
      </c>
    </row>
    <row r="2620">
      <c r="A2620" s="35" t="inlineStr">
        <is>
          <t>Route 8</t>
        </is>
      </c>
      <c r="B2620" s="35" t="inlineStr">
        <is>
          <t>Route8_hns</t>
        </is>
      </c>
      <c r="C2620" s="62" t="inlineStr">
        <is>
          <t>Nuit</t>
        </is>
      </c>
      <c r="D2620" s="36" t="inlineStr">
        <is>
          <t>Éclate-Roc</t>
        </is>
      </c>
      <c r="E2620" s="37" t="inlineStr">
        <is>
          <t>MIMIGAL</t>
        </is>
      </c>
      <c r="F2620" s="38" t="n">
        <v>0.05</v>
      </c>
      <c r="G2620" s="39" t="n">
        <v>41</v>
      </c>
      <c r="H2620" s="39" t="n">
        <v>43</v>
      </c>
      <c r="I2620" s="29">
        <f>IF(OR(COUNTIF('Suivi des rencontres'!$A:$A,$A2620)&gt;0,COUNTIF('Suivi des rencontres'!$C:$C,$J2620)&gt;0),"Non","Oui")</f>
        <v/>
      </c>
      <c r="J2620" s="30" t="inlineStr">
        <is>
          <t>MIMIGAL</t>
        </is>
      </c>
    </row>
    <row r="2621">
      <c r="A2621" s="40" t="inlineStr">
        <is>
          <t>Route 9</t>
        </is>
      </c>
      <c r="B2621" s="40" t="inlineStr">
        <is>
          <t>Route9_hns</t>
        </is>
      </c>
      <c r="C2621" s="41" t="inlineStr">
        <is>
          <t>Matin, jour, soir</t>
        </is>
      </c>
      <c r="D2621" s="42" t="inlineStr">
        <is>
          <t>Herbe</t>
        </is>
      </c>
      <c r="E2621" s="43" t="inlineStr">
        <is>
          <t>PIAFABEC</t>
        </is>
      </c>
      <c r="F2621" s="44" t="n">
        <v>0.3</v>
      </c>
      <c r="G2621" s="45" t="n">
        <v>46</v>
      </c>
      <c r="H2621" s="45" t="n">
        <v>48</v>
      </c>
      <c r="I2621" s="46">
        <f>IF(OR(COUNTIF('Suivi des rencontres'!$A:$A,$A2621)&gt;0,COUNTIF('Suivi des rencontres'!$C:$C,$J2621)&gt;0),"Non","Oui")</f>
        <v/>
      </c>
      <c r="J2621" s="30" t="inlineStr">
        <is>
          <t>PIAFABEC</t>
        </is>
      </c>
    </row>
    <row r="2622">
      <c r="A2622" s="47" t="inlineStr">
        <is>
          <t>Route 9</t>
        </is>
      </c>
      <c r="B2622" s="47" t="inlineStr">
        <is>
          <t>Route9_hns</t>
        </is>
      </c>
      <c r="C2622" s="48" t="inlineStr">
        <is>
          <t>Matin, jour, soir</t>
        </is>
      </c>
      <c r="D2622" s="49" t="inlineStr">
        <is>
          <t>Herbe</t>
        </is>
      </c>
      <c r="E2622" s="50" t="inlineStr">
        <is>
          <t>RATTATAC</t>
        </is>
      </c>
      <c r="F2622" s="51" t="n">
        <v>0.21</v>
      </c>
      <c r="G2622" s="52" t="n">
        <v>46</v>
      </c>
      <c r="H2622" s="52" t="n">
        <v>48</v>
      </c>
      <c r="I2622" s="29">
        <f>IF(OR(COUNTIF('Suivi des rencontres'!$A:$A,$A2622)&gt;0,COUNTIF('Suivi des rencontres'!$C:$C,$J2622)&gt;0),"Non","Oui")</f>
        <v/>
      </c>
      <c r="J2622" s="30" t="inlineStr">
        <is>
          <t>RATTATA</t>
        </is>
      </c>
    </row>
    <row r="2623">
      <c r="A2623" s="47" t="inlineStr">
        <is>
          <t>Route 9</t>
        </is>
      </c>
      <c r="B2623" s="47" t="inlineStr">
        <is>
          <t>Route9_hns</t>
        </is>
      </c>
      <c r="C2623" s="48" t="inlineStr">
        <is>
          <t>Matin, jour, soir</t>
        </is>
      </c>
      <c r="D2623" s="49" t="inlineStr">
        <is>
          <t>Herbe</t>
        </is>
      </c>
      <c r="E2623" s="50" t="inlineStr">
        <is>
          <t>RATTATA</t>
        </is>
      </c>
      <c r="F2623" s="51" t="n">
        <v>0.2</v>
      </c>
      <c r="G2623" s="52" t="n">
        <v>46</v>
      </c>
      <c r="H2623" s="52" t="n">
        <v>48</v>
      </c>
      <c r="I2623" s="29">
        <f>IF(OR(COUNTIF('Suivi des rencontres'!$A:$A,$A2623)&gt;0,COUNTIF('Suivi des rencontres'!$C:$C,$J2623)&gt;0),"Non","Oui")</f>
        <v/>
      </c>
      <c r="J2623" s="30" t="inlineStr">
        <is>
          <t>RATTATA</t>
        </is>
      </c>
    </row>
    <row r="2624">
      <c r="A2624" s="47" t="inlineStr">
        <is>
          <t>Route 9</t>
        </is>
      </c>
      <c r="B2624" s="47" t="inlineStr">
        <is>
          <t>Route9_hns</t>
        </is>
      </c>
      <c r="C2624" s="48" t="inlineStr">
        <is>
          <t>Matin, jour, soir</t>
        </is>
      </c>
      <c r="D2624" s="49" t="inlineStr">
        <is>
          <t>Herbe</t>
        </is>
      </c>
      <c r="E2624" s="50" t="inlineStr">
        <is>
          <t>RAPASDEPIC</t>
        </is>
      </c>
      <c r="F2624" s="51" t="n">
        <v>0.15</v>
      </c>
      <c r="G2624" s="52" t="n">
        <v>46</v>
      </c>
      <c r="H2624" s="52" t="n">
        <v>48</v>
      </c>
      <c r="I2624" s="29">
        <f>IF(OR(COUNTIF('Suivi des rencontres'!$A:$A,$A2624)&gt;0,COUNTIF('Suivi des rencontres'!$C:$C,$J2624)&gt;0),"Non","Oui")</f>
        <v/>
      </c>
      <c r="J2624" s="30" t="inlineStr">
        <is>
          <t>PIAFABEC</t>
        </is>
      </c>
    </row>
    <row r="2625">
      <c r="A2625" s="47" t="inlineStr">
        <is>
          <t>Route 9</t>
        </is>
      </c>
      <c r="B2625" s="47" t="inlineStr">
        <is>
          <t>Route9_hns</t>
        </is>
      </c>
      <c r="C2625" s="48" t="inlineStr">
        <is>
          <t>Matin, jour, soir</t>
        </is>
      </c>
      <c r="D2625" s="49" t="inlineStr">
        <is>
          <t>Herbe</t>
        </is>
      </c>
      <c r="E2625" s="50" t="inlineStr">
        <is>
          <t>OSSATUEUR</t>
        </is>
      </c>
      <c r="F2625" s="51" t="n">
        <v>0.09</v>
      </c>
      <c r="G2625" s="52" t="n">
        <v>40</v>
      </c>
      <c r="H2625" s="52" t="n">
        <v>42</v>
      </c>
      <c r="I2625" s="29">
        <f>IF(OR(COUNTIF('Suivi des rencontres'!$A:$A,$A2625)&gt;0,COUNTIF('Suivi des rencontres'!$C:$C,$J2625)&gt;0),"Non","Oui")</f>
        <v/>
      </c>
      <c r="J2625" s="30" t="inlineStr">
        <is>
          <t>OSSELAIT</t>
        </is>
      </c>
    </row>
    <row r="2626">
      <c r="A2626" s="47" t="inlineStr">
        <is>
          <t>Route 9</t>
        </is>
      </c>
      <c r="B2626" s="47" t="inlineStr">
        <is>
          <t>Route9_hns</t>
        </is>
      </c>
      <c r="C2626" s="48" t="inlineStr">
        <is>
          <t>Matin, jour, soir</t>
        </is>
      </c>
      <c r="D2626" s="49" t="inlineStr">
        <is>
          <t>Herbe</t>
        </is>
      </c>
      <c r="E2626" s="50" t="inlineStr">
        <is>
          <t>GALEKID</t>
        </is>
      </c>
      <c r="F2626" s="51" t="n">
        <v>0.05</v>
      </c>
      <c r="G2626" s="52" t="n">
        <v>46</v>
      </c>
      <c r="H2626" s="52" t="n">
        <v>48</v>
      </c>
      <c r="I2626" s="29">
        <f>IF(OR(COUNTIF('Suivi des rencontres'!$A:$A,$A2626)&gt;0,COUNTIF('Suivi des rencontres'!$C:$C,$J2626)&gt;0),"Non","Oui")</f>
        <v/>
      </c>
      <c r="J2626" s="30" t="inlineStr">
        <is>
          <t>GALEKID</t>
        </is>
      </c>
    </row>
    <row r="2627">
      <c r="A2627" s="47" t="inlineStr">
        <is>
          <t>Route 9</t>
        </is>
      </c>
      <c r="B2627" s="47" t="inlineStr">
        <is>
          <t>Route9_hns</t>
        </is>
      </c>
      <c r="C2627" s="62" t="inlineStr">
        <is>
          <t>Nuit</t>
        </is>
      </c>
      <c r="D2627" s="49" t="inlineStr">
        <is>
          <t>Herbe</t>
        </is>
      </c>
      <c r="E2627" s="50" t="inlineStr">
        <is>
          <t>MIMITOSS</t>
        </is>
      </c>
      <c r="F2627" s="51" t="n">
        <v>0.3</v>
      </c>
      <c r="G2627" s="52" t="n">
        <v>46</v>
      </c>
      <c r="H2627" s="52" t="n">
        <v>48</v>
      </c>
      <c r="I2627" s="29">
        <f>IF(OR(COUNTIF('Suivi des rencontres'!$A:$A,$A2627)&gt;0,COUNTIF('Suivi des rencontres'!$C:$C,$J2627)&gt;0),"Non","Oui")</f>
        <v/>
      </c>
      <c r="J2627" s="30" t="inlineStr">
        <is>
          <t>MIMITOSS</t>
        </is>
      </c>
    </row>
    <row r="2628">
      <c r="A2628" s="47" t="inlineStr">
        <is>
          <t>Route 9</t>
        </is>
      </c>
      <c r="B2628" s="47" t="inlineStr">
        <is>
          <t>Route9_hns</t>
        </is>
      </c>
      <c r="C2628" s="62" t="inlineStr">
        <is>
          <t>Nuit</t>
        </is>
      </c>
      <c r="D2628" s="49" t="inlineStr">
        <is>
          <t>Herbe</t>
        </is>
      </c>
      <c r="E2628" s="50" t="inlineStr">
        <is>
          <t>RATTATAC</t>
        </is>
      </c>
      <c r="F2628" s="51" t="n">
        <v>0.24</v>
      </c>
      <c r="G2628" s="52" t="n">
        <v>46</v>
      </c>
      <c r="H2628" s="52" t="n">
        <v>48</v>
      </c>
      <c r="I2628" s="29">
        <f>IF(OR(COUNTIF('Suivi des rencontres'!$A:$A,$A2628)&gt;0,COUNTIF('Suivi des rencontres'!$C:$C,$J2628)&gt;0),"Non","Oui")</f>
        <v/>
      </c>
      <c r="J2628" s="30" t="inlineStr">
        <is>
          <t>RATTATA</t>
        </is>
      </c>
    </row>
    <row r="2629">
      <c r="A2629" s="47" t="inlineStr">
        <is>
          <t>Route 9</t>
        </is>
      </c>
      <c r="B2629" s="47" t="inlineStr">
        <is>
          <t>Route9_hns</t>
        </is>
      </c>
      <c r="C2629" s="62" t="inlineStr">
        <is>
          <t>Nuit</t>
        </is>
      </c>
      <c r="D2629" s="49" t="inlineStr">
        <is>
          <t>Herbe</t>
        </is>
      </c>
      <c r="E2629" s="50" t="inlineStr">
        <is>
          <t>RATTATA</t>
        </is>
      </c>
      <c r="F2629" s="51" t="n">
        <v>0.2</v>
      </c>
      <c r="G2629" s="52" t="n">
        <v>46</v>
      </c>
      <c r="H2629" s="52" t="n">
        <v>48</v>
      </c>
      <c r="I2629" s="29">
        <f>IF(OR(COUNTIF('Suivi des rencontres'!$A:$A,$A2629)&gt;0,COUNTIF('Suivi des rencontres'!$C:$C,$J2629)&gt;0),"Non","Oui")</f>
        <v/>
      </c>
      <c r="J2629" s="30" t="inlineStr">
        <is>
          <t>RATTATA</t>
        </is>
      </c>
    </row>
    <row r="2630">
      <c r="A2630" s="47" t="inlineStr">
        <is>
          <t>Route 9</t>
        </is>
      </c>
      <c r="B2630" s="47" t="inlineStr">
        <is>
          <t>Route9_hns</t>
        </is>
      </c>
      <c r="C2630" s="62" t="inlineStr">
        <is>
          <t>Nuit</t>
        </is>
      </c>
      <c r="D2630" s="49" t="inlineStr">
        <is>
          <t>Herbe</t>
        </is>
      </c>
      <c r="E2630" s="50" t="inlineStr">
        <is>
          <t>AEROMITE</t>
        </is>
      </c>
      <c r="F2630" s="51" t="n">
        <v>0.11</v>
      </c>
      <c r="G2630" s="52" t="n">
        <v>46</v>
      </c>
      <c r="H2630" s="52" t="n">
        <v>48</v>
      </c>
      <c r="I2630" s="29">
        <f>IF(OR(COUNTIF('Suivi des rencontres'!$A:$A,$A2630)&gt;0,COUNTIF('Suivi des rencontres'!$C:$C,$J2630)&gt;0),"Non","Oui")</f>
        <v/>
      </c>
      <c r="J2630" s="30" t="inlineStr">
        <is>
          <t>MIMITOSS</t>
        </is>
      </c>
    </row>
    <row r="2631">
      <c r="A2631" s="47" t="inlineStr">
        <is>
          <t>Route 9</t>
        </is>
      </c>
      <c r="B2631" s="47" t="inlineStr">
        <is>
          <t>Route9_hns</t>
        </is>
      </c>
      <c r="C2631" s="62" t="inlineStr">
        <is>
          <t>Nuit</t>
        </is>
      </c>
      <c r="D2631" s="49" t="inlineStr">
        <is>
          <t>Herbe</t>
        </is>
      </c>
      <c r="E2631" s="50" t="inlineStr">
        <is>
          <t>NOSFERAPTI</t>
        </is>
      </c>
      <c r="F2631" s="51" t="n">
        <v>0.1</v>
      </c>
      <c r="G2631" s="52" t="n">
        <v>46</v>
      </c>
      <c r="H2631" s="52" t="n">
        <v>48</v>
      </c>
      <c r="I2631" s="29">
        <f>IF(OR(COUNTIF('Suivi des rencontres'!$A:$A,$A2631)&gt;0,COUNTIF('Suivi des rencontres'!$C:$C,$J2631)&gt;0),"Non","Oui")</f>
        <v/>
      </c>
      <c r="J2631" s="30" t="inlineStr">
        <is>
          <t>NOSFERAPTI</t>
        </is>
      </c>
    </row>
    <row r="2632">
      <c r="A2632" s="47" t="inlineStr">
        <is>
          <t>Route 9</t>
        </is>
      </c>
      <c r="B2632" s="47" t="inlineStr">
        <is>
          <t>Route9_hns</t>
        </is>
      </c>
      <c r="C2632" s="62" t="inlineStr">
        <is>
          <t>Nuit</t>
        </is>
      </c>
      <c r="D2632" s="49" t="inlineStr">
        <is>
          <t>Herbe</t>
        </is>
      </c>
      <c r="E2632" s="50" t="inlineStr">
        <is>
          <t>GALEKID</t>
        </is>
      </c>
      <c r="F2632" s="51" t="n">
        <v>0.05</v>
      </c>
      <c r="G2632" s="52" t="n">
        <v>46</v>
      </c>
      <c r="H2632" s="52" t="n">
        <v>46</v>
      </c>
      <c r="I2632" s="29">
        <f>IF(OR(COUNTIF('Suivi des rencontres'!$A:$A,$A2632)&gt;0,COUNTIF('Suivi des rencontres'!$C:$C,$J2632)&gt;0),"Non","Oui")</f>
        <v/>
      </c>
      <c r="J2632" s="30" t="inlineStr">
        <is>
          <t>GALEKID</t>
        </is>
      </c>
    </row>
    <row r="2633">
      <c r="A2633" s="47" t="inlineStr">
        <is>
          <t>Route 9</t>
        </is>
      </c>
      <c r="B2633" s="47" t="inlineStr">
        <is>
          <t>Route9_hns</t>
        </is>
      </c>
      <c r="C2633" s="48" t="inlineStr">
        <is>
          <t>Matin, jour, soir</t>
        </is>
      </c>
      <c r="D2633" s="53" t="inlineStr">
        <is>
          <t>Surf</t>
        </is>
      </c>
      <c r="E2633" s="50" t="inlineStr">
        <is>
          <t>POISSIRENE</t>
        </is>
      </c>
      <c r="F2633" s="51" t="n">
        <v>0.99</v>
      </c>
      <c r="G2633" s="52" t="n">
        <v>41</v>
      </c>
      <c r="H2633" s="52" t="n">
        <v>43</v>
      </c>
      <c r="I2633" s="29">
        <f>IF(OR(COUNTIF('Suivi des rencontres'!$A:$A,$A2633)&gt;0,COUNTIF('Suivi des rencontres'!$C:$C,$J2633)&gt;0),"Non","Oui")</f>
        <v/>
      </c>
      <c r="J2633" s="30" t="inlineStr">
        <is>
          <t>POISSIRENE</t>
        </is>
      </c>
    </row>
    <row r="2634">
      <c r="A2634" s="47" t="inlineStr">
        <is>
          <t>Route 9</t>
        </is>
      </c>
      <c r="B2634" s="47" t="inlineStr">
        <is>
          <t>Route9_hns</t>
        </is>
      </c>
      <c r="C2634" s="48" t="inlineStr">
        <is>
          <t>Matin, jour, soir</t>
        </is>
      </c>
      <c r="D2634" s="53" t="inlineStr">
        <is>
          <t>Surf</t>
        </is>
      </c>
      <c r="E2634" s="50" t="inlineStr">
        <is>
          <t>POISSOROY</t>
        </is>
      </c>
      <c r="F2634" s="51" t="n">
        <v>0.01</v>
      </c>
      <c r="G2634" s="52" t="n">
        <v>46</v>
      </c>
      <c r="H2634" s="52" t="n">
        <v>46</v>
      </c>
      <c r="I2634" s="29">
        <f>IF(OR(COUNTIF('Suivi des rencontres'!$A:$A,$A2634)&gt;0,COUNTIF('Suivi des rencontres'!$C:$C,$J2634)&gt;0),"Non","Oui")</f>
        <v/>
      </c>
      <c r="J2634" s="30" t="inlineStr">
        <is>
          <t>POISSIRENE</t>
        </is>
      </c>
    </row>
    <row r="2635">
      <c r="A2635" s="47" t="inlineStr">
        <is>
          <t>Route 9</t>
        </is>
      </c>
      <c r="B2635" s="47" t="inlineStr">
        <is>
          <t>Route9_hns</t>
        </is>
      </c>
      <c r="C2635" s="62" t="inlineStr">
        <is>
          <t>Nuit</t>
        </is>
      </c>
      <c r="D2635" s="53" t="inlineStr">
        <is>
          <t>Surf</t>
        </is>
      </c>
      <c r="E2635" s="50" t="inlineStr">
        <is>
          <t>POISSIRENE</t>
        </is>
      </c>
      <c r="F2635" s="51" t="n">
        <v>0.99</v>
      </c>
      <c r="G2635" s="52" t="n">
        <v>41</v>
      </c>
      <c r="H2635" s="52" t="n">
        <v>43</v>
      </c>
      <c r="I2635" s="29">
        <f>IF(OR(COUNTIF('Suivi des rencontres'!$A:$A,$A2635)&gt;0,COUNTIF('Suivi des rencontres'!$C:$C,$J2635)&gt;0),"Non","Oui")</f>
        <v/>
      </c>
      <c r="J2635" s="30" t="inlineStr">
        <is>
          <t>POISSIRENE</t>
        </is>
      </c>
    </row>
    <row r="2636">
      <c r="A2636" s="47" t="inlineStr">
        <is>
          <t>Route 9</t>
        </is>
      </c>
      <c r="B2636" s="47" t="inlineStr">
        <is>
          <t>Route9_hns</t>
        </is>
      </c>
      <c r="C2636" s="62" t="inlineStr">
        <is>
          <t>Nuit</t>
        </is>
      </c>
      <c r="D2636" s="53" t="inlineStr">
        <is>
          <t>Surf</t>
        </is>
      </c>
      <c r="E2636" s="50" t="inlineStr">
        <is>
          <t>POISSOROY</t>
        </is>
      </c>
      <c r="F2636" s="51" t="n">
        <v>0.01</v>
      </c>
      <c r="G2636" s="52" t="n">
        <v>46</v>
      </c>
      <c r="H2636" s="52" t="n">
        <v>46</v>
      </c>
      <c r="I2636" s="29">
        <f>IF(OR(COUNTIF('Suivi des rencontres'!$A:$A,$A2636)&gt;0,COUNTIF('Suivi des rencontres'!$C:$C,$J2636)&gt;0),"Non","Oui")</f>
        <v/>
      </c>
      <c r="J2636" s="30" t="inlineStr">
        <is>
          <t>POISSIRENE</t>
        </is>
      </c>
    </row>
    <row r="2637">
      <c r="A2637" s="47" t="inlineStr">
        <is>
          <t>Route 9</t>
        </is>
      </c>
      <c r="B2637" s="47" t="inlineStr">
        <is>
          <t>Route9_hns</t>
        </is>
      </c>
      <c r="C2637" s="48" t="inlineStr">
        <is>
          <t>Matin, jour, soir</t>
        </is>
      </c>
      <c r="D2637" s="36" t="inlineStr">
        <is>
          <t>Éclate-Roc</t>
        </is>
      </c>
      <c r="E2637" s="50" t="inlineStr">
        <is>
          <t>POMDEPIK</t>
        </is>
      </c>
      <c r="F2637" s="51" t="n">
        <v>0.6</v>
      </c>
      <c r="G2637" s="52" t="n">
        <v>41</v>
      </c>
      <c r="H2637" s="52" t="n">
        <v>43</v>
      </c>
      <c r="I2637" s="29">
        <f>IF(OR(COUNTIF('Suivi des rencontres'!$A:$A,$A2637)&gt;0,COUNTIF('Suivi des rencontres'!$C:$C,$J2637)&gt;0),"Non","Oui")</f>
        <v/>
      </c>
      <c r="J2637" s="30" t="inlineStr">
        <is>
          <t>POMDEPIK</t>
        </is>
      </c>
    </row>
    <row r="2638">
      <c r="A2638" s="47" t="inlineStr">
        <is>
          <t>Route 9</t>
        </is>
      </c>
      <c r="B2638" s="47" t="inlineStr">
        <is>
          <t>Route9_hns</t>
        </is>
      </c>
      <c r="C2638" s="48" t="inlineStr">
        <is>
          <t>Matin, jour, soir</t>
        </is>
      </c>
      <c r="D2638" s="36" t="inlineStr">
        <is>
          <t>Éclate-Roc</t>
        </is>
      </c>
      <c r="E2638" s="50" t="inlineStr">
        <is>
          <t>NOEUNOEUF</t>
        </is>
      </c>
      <c r="F2638" s="51" t="n">
        <v>0.3</v>
      </c>
      <c r="G2638" s="52" t="n">
        <v>41</v>
      </c>
      <c r="H2638" s="52" t="n">
        <v>43</v>
      </c>
      <c r="I2638" s="29">
        <f>IF(OR(COUNTIF('Suivi des rencontres'!$A:$A,$A2638)&gt;0,COUNTIF('Suivi des rencontres'!$C:$C,$J2638)&gt;0),"Non","Oui")</f>
        <v/>
      </c>
      <c r="J2638" s="30" t="inlineStr">
        <is>
          <t>NOEUNOEUF</t>
        </is>
      </c>
    </row>
    <row r="2639">
      <c r="A2639" s="47" t="inlineStr">
        <is>
          <t>Route 9</t>
        </is>
      </c>
      <c r="B2639" s="47" t="inlineStr">
        <is>
          <t>Route9_hns</t>
        </is>
      </c>
      <c r="C2639" s="48" t="inlineStr">
        <is>
          <t>Matin, jour, soir</t>
        </is>
      </c>
      <c r="D2639" s="36" t="inlineStr">
        <is>
          <t>Éclate-Roc</t>
        </is>
      </c>
      <c r="E2639" s="50" t="inlineStr">
        <is>
          <t>COXY</t>
        </is>
      </c>
      <c r="F2639" s="51" t="n">
        <v>0.05</v>
      </c>
      <c r="G2639" s="52" t="n">
        <v>41</v>
      </c>
      <c r="H2639" s="52" t="n">
        <v>43</v>
      </c>
      <c r="I2639" s="29">
        <f>IF(OR(COUNTIF('Suivi des rencontres'!$A:$A,$A2639)&gt;0,COUNTIF('Suivi des rencontres'!$C:$C,$J2639)&gt;0),"Non","Oui")</f>
        <v/>
      </c>
      <c r="J2639" s="30" t="inlineStr">
        <is>
          <t>COXY</t>
        </is>
      </c>
    </row>
    <row r="2640">
      <c r="A2640" s="47" t="inlineStr">
        <is>
          <t>Route 9</t>
        </is>
      </c>
      <c r="B2640" s="47" t="inlineStr">
        <is>
          <t>Route9_hns</t>
        </is>
      </c>
      <c r="C2640" s="48" t="inlineStr">
        <is>
          <t>Matin, jour, soir</t>
        </is>
      </c>
      <c r="D2640" s="36" t="inlineStr">
        <is>
          <t>Éclate-Roc</t>
        </is>
      </c>
      <c r="E2640" s="50" t="inlineStr">
        <is>
          <t>MIMIGAL</t>
        </is>
      </c>
      <c r="F2640" s="51" t="n">
        <v>0.05</v>
      </c>
      <c r="G2640" s="52" t="n">
        <v>41</v>
      </c>
      <c r="H2640" s="52" t="n">
        <v>43</v>
      </c>
      <c r="I2640" s="29">
        <f>IF(OR(COUNTIF('Suivi des rencontres'!$A:$A,$A2640)&gt;0,COUNTIF('Suivi des rencontres'!$C:$C,$J2640)&gt;0),"Non","Oui")</f>
        <v/>
      </c>
      <c r="J2640" s="30" t="inlineStr">
        <is>
          <t>MIMIGAL</t>
        </is>
      </c>
    </row>
    <row r="2641">
      <c r="A2641" s="47" t="inlineStr">
        <is>
          <t>Route 9</t>
        </is>
      </c>
      <c r="B2641" s="47" t="inlineStr">
        <is>
          <t>Route9_hns</t>
        </is>
      </c>
      <c r="C2641" s="62" t="inlineStr">
        <is>
          <t>Nuit</t>
        </is>
      </c>
      <c r="D2641" s="36" t="inlineStr">
        <is>
          <t>Éclate-Roc</t>
        </is>
      </c>
      <c r="E2641" s="50" t="inlineStr">
        <is>
          <t>POMDEPIK</t>
        </is>
      </c>
      <c r="F2641" s="51" t="n">
        <v>0.6</v>
      </c>
      <c r="G2641" s="52" t="n">
        <v>41</v>
      </c>
      <c r="H2641" s="52" t="n">
        <v>43</v>
      </c>
      <c r="I2641" s="29">
        <f>IF(OR(COUNTIF('Suivi des rencontres'!$A:$A,$A2641)&gt;0,COUNTIF('Suivi des rencontres'!$C:$C,$J2641)&gt;0),"Non","Oui")</f>
        <v/>
      </c>
      <c r="J2641" s="30" t="inlineStr">
        <is>
          <t>POMDEPIK</t>
        </is>
      </c>
    </row>
    <row r="2642">
      <c r="A2642" s="47" t="inlineStr">
        <is>
          <t>Route 9</t>
        </is>
      </c>
      <c r="B2642" s="47" t="inlineStr">
        <is>
          <t>Route9_hns</t>
        </is>
      </c>
      <c r="C2642" s="62" t="inlineStr">
        <is>
          <t>Nuit</t>
        </is>
      </c>
      <c r="D2642" s="36" t="inlineStr">
        <is>
          <t>Éclate-Roc</t>
        </is>
      </c>
      <c r="E2642" s="50" t="inlineStr">
        <is>
          <t>NOEUNOEUF</t>
        </is>
      </c>
      <c r="F2642" s="51" t="n">
        <v>0.3</v>
      </c>
      <c r="G2642" s="52" t="n">
        <v>41</v>
      </c>
      <c r="H2642" s="52" t="n">
        <v>43</v>
      </c>
      <c r="I2642" s="29">
        <f>IF(OR(COUNTIF('Suivi des rencontres'!$A:$A,$A2642)&gt;0,COUNTIF('Suivi des rencontres'!$C:$C,$J2642)&gt;0),"Non","Oui")</f>
        <v/>
      </c>
      <c r="J2642" s="30" t="inlineStr">
        <is>
          <t>NOEUNOEUF</t>
        </is>
      </c>
    </row>
    <row r="2643">
      <c r="A2643" s="47" t="inlineStr">
        <is>
          <t>Route 9</t>
        </is>
      </c>
      <c r="B2643" s="47" t="inlineStr">
        <is>
          <t>Route9_hns</t>
        </is>
      </c>
      <c r="C2643" s="62" t="inlineStr">
        <is>
          <t>Nuit</t>
        </is>
      </c>
      <c r="D2643" s="36" t="inlineStr">
        <is>
          <t>Éclate-Roc</t>
        </is>
      </c>
      <c r="E2643" s="50" t="inlineStr">
        <is>
          <t>COXY</t>
        </is>
      </c>
      <c r="F2643" s="51" t="n">
        <v>0.05</v>
      </c>
      <c r="G2643" s="52" t="n">
        <v>41</v>
      </c>
      <c r="H2643" s="52" t="n">
        <v>43</v>
      </c>
      <c r="I2643" s="29">
        <f>IF(OR(COUNTIF('Suivi des rencontres'!$A:$A,$A2643)&gt;0,COUNTIF('Suivi des rencontres'!$C:$C,$J2643)&gt;0),"Non","Oui")</f>
        <v/>
      </c>
      <c r="J2643" s="30" t="inlineStr">
        <is>
          <t>COXY</t>
        </is>
      </c>
    </row>
    <row r="2644">
      <c r="A2644" s="47" t="inlineStr">
        <is>
          <t>Route 9</t>
        </is>
      </c>
      <c r="B2644" s="47" t="inlineStr">
        <is>
          <t>Route9_hns</t>
        </is>
      </c>
      <c r="C2644" s="62" t="inlineStr">
        <is>
          <t>Nuit</t>
        </is>
      </c>
      <c r="D2644" s="36" t="inlineStr">
        <is>
          <t>Éclate-Roc</t>
        </is>
      </c>
      <c r="E2644" s="50" t="inlineStr">
        <is>
          <t>MIMIGAL</t>
        </is>
      </c>
      <c r="F2644" s="51" t="n">
        <v>0.05</v>
      </c>
      <c r="G2644" s="52" t="n">
        <v>41</v>
      </c>
      <c r="H2644" s="52" t="n">
        <v>43</v>
      </c>
      <c r="I2644" s="29">
        <f>IF(OR(COUNTIF('Suivi des rencontres'!$A:$A,$A2644)&gt;0,COUNTIF('Suivi des rencontres'!$C:$C,$J2644)&gt;0),"Non","Oui")</f>
        <v/>
      </c>
      <c r="J2644" s="30" t="inlineStr">
        <is>
          <t>MIMIGAL</t>
        </is>
      </c>
    </row>
    <row r="2645">
      <c r="A2645" s="47" t="inlineStr">
        <is>
          <t>Route 9</t>
        </is>
      </c>
      <c r="B2645" s="47" t="inlineStr">
        <is>
          <t>Route9_hns</t>
        </is>
      </c>
      <c r="C2645" s="48" t="inlineStr">
        <is>
          <t>Matin, jour, soir</t>
        </is>
      </c>
      <c r="D2645" s="54" t="inlineStr">
        <is>
          <t>Vieille Canne</t>
        </is>
      </c>
      <c r="E2645" s="50" t="inlineStr">
        <is>
          <t>MAGICARPE</t>
        </is>
      </c>
      <c r="F2645" s="51" t="n">
        <v>0.7</v>
      </c>
      <c r="G2645" s="52" t="n">
        <v>41</v>
      </c>
      <c r="H2645" s="52" t="n">
        <v>43</v>
      </c>
      <c r="I2645" s="29">
        <f>IF(OR(COUNTIF('Suivi des rencontres'!$A:$A,$A2645)&gt;0,COUNTIF('Suivi des rencontres'!$C:$C,$J2645)&gt;0),"Non","Oui")</f>
        <v/>
      </c>
      <c r="J2645" s="30" t="inlineStr">
        <is>
          <t>MAGICARPE</t>
        </is>
      </c>
    </row>
    <row r="2646">
      <c r="A2646" s="47" t="inlineStr">
        <is>
          <t>Route 9</t>
        </is>
      </c>
      <c r="B2646" s="47" t="inlineStr">
        <is>
          <t>Route9_hns</t>
        </is>
      </c>
      <c r="C2646" s="48" t="inlineStr">
        <is>
          <t>Matin, jour, soir</t>
        </is>
      </c>
      <c r="D2646" s="54" t="inlineStr">
        <is>
          <t>Vieille Canne</t>
        </is>
      </c>
      <c r="E2646" s="50" t="inlineStr">
        <is>
          <t>POISSIRENE</t>
        </is>
      </c>
      <c r="F2646" s="51" t="n">
        <v>0.3</v>
      </c>
      <c r="G2646" s="52" t="n">
        <v>41</v>
      </c>
      <c r="H2646" s="52" t="n">
        <v>43</v>
      </c>
      <c r="I2646" s="29">
        <f>IF(OR(COUNTIF('Suivi des rencontres'!$A:$A,$A2646)&gt;0,COUNTIF('Suivi des rencontres'!$C:$C,$J2646)&gt;0),"Non","Oui")</f>
        <v/>
      </c>
      <c r="J2646" s="30" t="inlineStr">
        <is>
          <t>POISSIRENE</t>
        </is>
      </c>
    </row>
    <row r="2647">
      <c r="A2647" s="47" t="inlineStr">
        <is>
          <t>Route 9</t>
        </is>
      </c>
      <c r="B2647" s="47" t="inlineStr">
        <is>
          <t>Route9_hns</t>
        </is>
      </c>
      <c r="C2647" s="62" t="inlineStr">
        <is>
          <t>Nuit</t>
        </is>
      </c>
      <c r="D2647" s="54" t="inlineStr">
        <is>
          <t>Vieille Canne</t>
        </is>
      </c>
      <c r="E2647" s="50" t="inlineStr">
        <is>
          <t>MAGICARPE</t>
        </is>
      </c>
      <c r="F2647" s="51" t="n">
        <v>0.7</v>
      </c>
      <c r="G2647" s="52" t="n">
        <v>41</v>
      </c>
      <c r="H2647" s="52" t="n">
        <v>43</v>
      </c>
      <c r="I2647" s="29">
        <f>IF(OR(COUNTIF('Suivi des rencontres'!$A:$A,$A2647)&gt;0,COUNTIF('Suivi des rencontres'!$C:$C,$J2647)&gt;0),"Non","Oui")</f>
        <v/>
      </c>
      <c r="J2647" s="30" t="inlineStr">
        <is>
          <t>MAGICARPE</t>
        </is>
      </c>
    </row>
    <row r="2648">
      <c r="A2648" s="47" t="inlineStr">
        <is>
          <t>Route 9</t>
        </is>
      </c>
      <c r="B2648" s="47" t="inlineStr">
        <is>
          <t>Route9_hns</t>
        </is>
      </c>
      <c r="C2648" s="62" t="inlineStr">
        <is>
          <t>Nuit</t>
        </is>
      </c>
      <c r="D2648" s="54" t="inlineStr">
        <is>
          <t>Vieille Canne</t>
        </is>
      </c>
      <c r="E2648" s="50" t="inlineStr">
        <is>
          <t>POISSIRENE</t>
        </is>
      </c>
      <c r="F2648" s="51" t="n">
        <v>0.3</v>
      </c>
      <c r="G2648" s="52" t="n">
        <v>41</v>
      </c>
      <c r="H2648" s="52" t="n">
        <v>43</v>
      </c>
      <c r="I2648" s="29">
        <f>IF(OR(COUNTIF('Suivi des rencontres'!$A:$A,$A2648)&gt;0,COUNTIF('Suivi des rencontres'!$C:$C,$J2648)&gt;0),"Non","Oui")</f>
        <v/>
      </c>
      <c r="J2648" s="30" t="inlineStr">
        <is>
          <t>POISSIRENE</t>
        </is>
      </c>
    </row>
    <row r="2649">
      <c r="A2649" s="47" t="inlineStr">
        <is>
          <t>Route 9</t>
        </is>
      </c>
      <c r="B2649" s="47" t="inlineStr">
        <is>
          <t>Route9_hns</t>
        </is>
      </c>
      <c r="C2649" s="48" t="inlineStr">
        <is>
          <t>Matin, jour, soir</t>
        </is>
      </c>
      <c r="D2649" s="55" t="inlineStr">
        <is>
          <t>Bonne Canne</t>
        </is>
      </c>
      <c r="E2649" s="50" t="inlineStr">
        <is>
          <t>MAGICARPE</t>
        </is>
      </c>
      <c r="F2649" s="51" t="n">
        <v>0.6</v>
      </c>
      <c r="G2649" s="52" t="n">
        <v>42</v>
      </c>
      <c r="H2649" s="52" t="n">
        <v>44</v>
      </c>
      <c r="I2649" s="29">
        <f>IF(OR(COUNTIF('Suivi des rencontres'!$A:$A,$A2649)&gt;0,COUNTIF('Suivi des rencontres'!$C:$C,$J2649)&gt;0),"Non","Oui")</f>
        <v/>
      </c>
      <c r="J2649" s="30" t="inlineStr">
        <is>
          <t>MAGICARPE</t>
        </is>
      </c>
    </row>
    <row r="2650">
      <c r="A2650" s="47" t="inlineStr">
        <is>
          <t>Route 9</t>
        </is>
      </c>
      <c r="B2650" s="47" t="inlineStr">
        <is>
          <t>Route9_hns</t>
        </is>
      </c>
      <c r="C2650" s="48" t="inlineStr">
        <is>
          <t>Matin, jour, soir</t>
        </is>
      </c>
      <c r="D2650" s="55" t="inlineStr">
        <is>
          <t>Bonne Canne</t>
        </is>
      </c>
      <c r="E2650" s="50" t="inlineStr">
        <is>
          <t>POISSIRENE</t>
        </is>
      </c>
      <c r="F2650" s="51" t="n">
        <v>0.4</v>
      </c>
      <c r="G2650" s="52" t="n">
        <v>40</v>
      </c>
      <c r="H2650" s="52" t="n">
        <v>44</v>
      </c>
      <c r="I2650" s="29">
        <f>IF(OR(COUNTIF('Suivi des rencontres'!$A:$A,$A2650)&gt;0,COUNTIF('Suivi des rencontres'!$C:$C,$J2650)&gt;0),"Non","Oui")</f>
        <v/>
      </c>
      <c r="J2650" s="30" t="inlineStr">
        <is>
          <t>POISSIRENE</t>
        </is>
      </c>
    </row>
    <row r="2651">
      <c r="A2651" s="47" t="inlineStr">
        <is>
          <t>Route 9</t>
        </is>
      </c>
      <c r="B2651" s="47" t="inlineStr">
        <is>
          <t>Route9_hns</t>
        </is>
      </c>
      <c r="C2651" s="62" t="inlineStr">
        <is>
          <t>Nuit</t>
        </is>
      </c>
      <c r="D2651" s="55" t="inlineStr">
        <is>
          <t>Bonne Canne</t>
        </is>
      </c>
      <c r="E2651" s="50" t="inlineStr">
        <is>
          <t>MAGICARPE</t>
        </is>
      </c>
      <c r="F2651" s="51" t="n">
        <v>0.6</v>
      </c>
      <c r="G2651" s="52" t="n">
        <v>42</v>
      </c>
      <c r="H2651" s="52" t="n">
        <v>44</v>
      </c>
      <c r="I2651" s="29">
        <f>IF(OR(COUNTIF('Suivi des rencontres'!$A:$A,$A2651)&gt;0,COUNTIF('Suivi des rencontres'!$C:$C,$J2651)&gt;0),"Non","Oui")</f>
        <v/>
      </c>
      <c r="J2651" s="30" t="inlineStr">
        <is>
          <t>MAGICARPE</t>
        </is>
      </c>
    </row>
    <row r="2652">
      <c r="A2652" s="47" t="inlineStr">
        <is>
          <t>Route 9</t>
        </is>
      </c>
      <c r="B2652" s="47" t="inlineStr">
        <is>
          <t>Route9_hns</t>
        </is>
      </c>
      <c r="C2652" s="62" t="inlineStr">
        <is>
          <t>Nuit</t>
        </is>
      </c>
      <c r="D2652" s="55" t="inlineStr">
        <is>
          <t>Bonne Canne</t>
        </is>
      </c>
      <c r="E2652" s="50" t="inlineStr">
        <is>
          <t>POISSIRENE</t>
        </is>
      </c>
      <c r="F2652" s="51" t="n">
        <v>0.4</v>
      </c>
      <c r="G2652" s="52" t="n">
        <v>40</v>
      </c>
      <c r="H2652" s="52" t="n">
        <v>44</v>
      </c>
      <c r="I2652" s="29">
        <f>IF(OR(COUNTIF('Suivi des rencontres'!$A:$A,$A2652)&gt;0,COUNTIF('Suivi des rencontres'!$C:$C,$J2652)&gt;0),"Non","Oui")</f>
        <v/>
      </c>
      <c r="J2652" s="30" t="inlineStr">
        <is>
          <t>POISSIRENE</t>
        </is>
      </c>
    </row>
    <row r="2653">
      <c r="A2653" s="47" t="inlineStr">
        <is>
          <t>Route 9</t>
        </is>
      </c>
      <c r="B2653" s="47" t="inlineStr">
        <is>
          <t>Route9_hns</t>
        </is>
      </c>
      <c r="C2653" s="48" t="inlineStr">
        <is>
          <t>Matin, jour, soir</t>
        </is>
      </c>
      <c r="D2653" s="56" t="inlineStr">
        <is>
          <t>Super Canne</t>
        </is>
      </c>
      <c r="E2653" s="50" t="inlineStr">
        <is>
          <t>MAGICARPE</t>
        </is>
      </c>
      <c r="F2653" s="51" t="n">
        <v>0.45</v>
      </c>
      <c r="G2653" s="52" t="n">
        <v>40</v>
      </c>
      <c r="H2653" s="52" t="n">
        <v>44</v>
      </c>
      <c r="I2653" s="29">
        <f>IF(OR(COUNTIF('Suivi des rencontres'!$A:$A,$A2653)&gt;0,COUNTIF('Suivi des rencontres'!$C:$C,$J2653)&gt;0),"Non","Oui")</f>
        <v/>
      </c>
      <c r="J2653" s="30" t="inlineStr">
        <is>
          <t>MAGICARPE</t>
        </is>
      </c>
    </row>
    <row r="2654">
      <c r="A2654" s="47" t="inlineStr">
        <is>
          <t>Route 9</t>
        </is>
      </c>
      <c r="B2654" s="47" t="inlineStr">
        <is>
          <t>Route9_hns</t>
        </is>
      </c>
      <c r="C2654" s="48" t="inlineStr">
        <is>
          <t>Matin, jour, soir</t>
        </is>
      </c>
      <c r="D2654" s="56" t="inlineStr">
        <is>
          <t>Super Canne</t>
        </is>
      </c>
      <c r="E2654" s="50" t="inlineStr">
        <is>
          <t>POISSOROY</t>
        </is>
      </c>
      <c r="F2654" s="51" t="n">
        <v>0.4</v>
      </c>
      <c r="G2654" s="52" t="n">
        <v>40</v>
      </c>
      <c r="H2654" s="52" t="n">
        <v>40</v>
      </c>
      <c r="I2654" s="29">
        <f>IF(OR(COUNTIF('Suivi des rencontres'!$A:$A,$A2654)&gt;0,COUNTIF('Suivi des rencontres'!$C:$C,$J2654)&gt;0),"Non","Oui")</f>
        <v/>
      </c>
      <c r="J2654" s="30" t="inlineStr">
        <is>
          <t>POISSIRENE</t>
        </is>
      </c>
    </row>
    <row r="2655">
      <c r="A2655" s="47" t="inlineStr">
        <is>
          <t>Route 9</t>
        </is>
      </c>
      <c r="B2655" s="47" t="inlineStr">
        <is>
          <t>Route9_hns</t>
        </is>
      </c>
      <c r="C2655" s="48" t="inlineStr">
        <is>
          <t>Matin, jour, soir</t>
        </is>
      </c>
      <c r="D2655" s="56" t="inlineStr">
        <is>
          <t>Super Canne</t>
        </is>
      </c>
      <c r="E2655" s="50" t="inlineStr">
        <is>
          <t>POISSIRENE</t>
        </is>
      </c>
      <c r="F2655" s="51" t="n">
        <v>0.15</v>
      </c>
      <c r="G2655" s="52" t="n">
        <v>42</v>
      </c>
      <c r="H2655" s="52" t="n">
        <v>44</v>
      </c>
      <c r="I2655" s="29">
        <f>IF(OR(COUNTIF('Suivi des rencontres'!$A:$A,$A2655)&gt;0,COUNTIF('Suivi des rencontres'!$C:$C,$J2655)&gt;0),"Non","Oui")</f>
        <v/>
      </c>
      <c r="J2655" s="30" t="inlineStr">
        <is>
          <t>POISSIRENE</t>
        </is>
      </c>
    </row>
    <row r="2656">
      <c r="A2656" s="47" t="inlineStr">
        <is>
          <t>Route 9</t>
        </is>
      </c>
      <c r="B2656" s="47" t="inlineStr">
        <is>
          <t>Route9_hns</t>
        </is>
      </c>
      <c r="C2656" s="62" t="inlineStr">
        <is>
          <t>Nuit</t>
        </is>
      </c>
      <c r="D2656" s="56" t="inlineStr">
        <is>
          <t>Super Canne</t>
        </is>
      </c>
      <c r="E2656" s="50" t="inlineStr">
        <is>
          <t>MAGICARPE</t>
        </is>
      </c>
      <c r="F2656" s="51" t="n">
        <v>0.45</v>
      </c>
      <c r="G2656" s="52" t="n">
        <v>40</v>
      </c>
      <c r="H2656" s="52" t="n">
        <v>44</v>
      </c>
      <c r="I2656" s="29">
        <f>IF(OR(COUNTIF('Suivi des rencontres'!$A:$A,$A2656)&gt;0,COUNTIF('Suivi des rencontres'!$C:$C,$J2656)&gt;0),"Non","Oui")</f>
        <v/>
      </c>
      <c r="J2656" s="30" t="inlineStr">
        <is>
          <t>MAGICARPE</t>
        </is>
      </c>
    </row>
    <row r="2657">
      <c r="A2657" s="47" t="inlineStr">
        <is>
          <t>Route 9</t>
        </is>
      </c>
      <c r="B2657" s="47" t="inlineStr">
        <is>
          <t>Route9_hns</t>
        </is>
      </c>
      <c r="C2657" s="62" t="inlineStr">
        <is>
          <t>Nuit</t>
        </is>
      </c>
      <c r="D2657" s="56" t="inlineStr">
        <is>
          <t>Super Canne</t>
        </is>
      </c>
      <c r="E2657" s="50" t="inlineStr">
        <is>
          <t>POISSOROY</t>
        </is>
      </c>
      <c r="F2657" s="51" t="n">
        <v>0.4</v>
      </c>
      <c r="G2657" s="52" t="n">
        <v>40</v>
      </c>
      <c r="H2657" s="52" t="n">
        <v>40</v>
      </c>
      <c r="I2657" s="29">
        <f>IF(OR(COUNTIF('Suivi des rencontres'!$A:$A,$A2657)&gt;0,COUNTIF('Suivi des rencontres'!$C:$C,$J2657)&gt;0),"Non","Oui")</f>
        <v/>
      </c>
      <c r="J2657" s="30" t="inlineStr">
        <is>
          <t>POISSIRENE</t>
        </is>
      </c>
    </row>
    <row r="2658">
      <c r="A2658" s="47" t="inlineStr">
        <is>
          <t>Route 9</t>
        </is>
      </c>
      <c r="B2658" s="47" t="inlineStr">
        <is>
          <t>Route9_hns</t>
        </is>
      </c>
      <c r="C2658" s="62" t="inlineStr">
        <is>
          <t>Nuit</t>
        </is>
      </c>
      <c r="D2658" s="56" t="inlineStr">
        <is>
          <t>Super Canne</t>
        </is>
      </c>
      <c r="E2658" s="50" t="inlineStr">
        <is>
          <t>POISSIRENE</t>
        </is>
      </c>
      <c r="F2658" s="51" t="n">
        <v>0.15</v>
      </c>
      <c r="G2658" s="52" t="n">
        <v>42</v>
      </c>
      <c r="H2658" s="52" t="n">
        <v>44</v>
      </c>
      <c r="I2658" s="29">
        <f>IF(OR(COUNTIF('Suivi des rencontres'!$A:$A,$A2658)&gt;0,COUNTIF('Suivi des rencontres'!$C:$C,$J2658)&gt;0),"Non","Oui")</f>
        <v/>
      </c>
      <c r="J2658" s="30" t="inlineStr">
        <is>
          <t>POISSIRENE</t>
        </is>
      </c>
    </row>
    <row r="2659">
      <c r="A2659" s="57" t="inlineStr">
        <is>
          <t>Route Victoire</t>
        </is>
      </c>
      <c r="B2659" s="57" t="inlineStr">
        <is>
          <t>VictoryRoadKanto_1F_hns</t>
        </is>
      </c>
      <c r="C2659" s="58" t="inlineStr">
        <is>
          <t>Toute la journée</t>
        </is>
      </c>
      <c r="D2659" s="42" t="inlineStr">
        <is>
          <t>Herbe</t>
        </is>
      </c>
      <c r="E2659" s="59" t="inlineStr">
        <is>
          <t>GROLEM</t>
        </is>
      </c>
      <c r="F2659" s="60" t="n">
        <v>0.3</v>
      </c>
      <c r="G2659" s="61" t="n">
        <v>44</v>
      </c>
      <c r="H2659" s="61" t="n">
        <v>44</v>
      </c>
      <c r="I2659" s="46">
        <f>IF(OR(COUNTIF('Suivi des rencontres'!$A:$A,$A2659)&gt;0,COUNTIF('Suivi des rencontres'!$C:$C,$J2659)&gt;0),"Non","Oui")</f>
        <v/>
      </c>
      <c r="J2659" s="30" t="inlineStr">
        <is>
          <t>RACAILLOU</t>
        </is>
      </c>
    </row>
    <row r="2660">
      <c r="A2660" s="35" t="inlineStr">
        <is>
          <t>Route Victoire</t>
        </is>
      </c>
      <c r="B2660" s="35" t="inlineStr">
        <is>
          <t>VictoryRoadKanto_1F_hns</t>
        </is>
      </c>
      <c r="C2660" s="33" t="inlineStr">
        <is>
          <t>Toute la journée</t>
        </is>
      </c>
      <c r="D2660" s="49" t="inlineStr">
        <is>
          <t>Herbe</t>
        </is>
      </c>
      <c r="E2660" s="37" t="inlineStr">
        <is>
          <t>RHINOFEROS</t>
        </is>
      </c>
      <c r="F2660" s="38" t="n">
        <v>0.3</v>
      </c>
      <c r="G2660" s="39" t="n">
        <v>42</v>
      </c>
      <c r="H2660" s="39" t="n">
        <v>42</v>
      </c>
      <c r="I2660" s="29">
        <f>IF(OR(COUNTIF('Suivi des rencontres'!$A:$A,$A2660)&gt;0,COUNTIF('Suivi des rencontres'!$C:$C,$J2660)&gt;0),"Non","Oui")</f>
        <v/>
      </c>
      <c r="J2660" s="30" t="inlineStr">
        <is>
          <t>RHINOCORNE</t>
        </is>
      </c>
    </row>
    <row r="2661">
      <c r="A2661" s="35" t="inlineStr">
        <is>
          <t>Route Victoire</t>
        </is>
      </c>
      <c r="B2661" s="35" t="inlineStr">
        <is>
          <t>VictoryRoadKanto_1F_hns</t>
        </is>
      </c>
      <c r="C2661" s="33" t="inlineStr">
        <is>
          <t>Toute la journée</t>
        </is>
      </c>
      <c r="D2661" s="49" t="inlineStr">
        <is>
          <t>Herbe</t>
        </is>
      </c>
      <c r="E2661" s="37" t="inlineStr">
        <is>
          <t>DONPHAN</t>
        </is>
      </c>
      <c r="F2661" s="38" t="n">
        <v>0.15</v>
      </c>
      <c r="G2661" s="39" t="n">
        <v>43</v>
      </c>
      <c r="H2661" s="39" t="n">
        <v>43</v>
      </c>
      <c r="I2661" s="29">
        <f>IF(OR(COUNTIF('Suivi des rencontres'!$A:$A,$A2661)&gt;0,COUNTIF('Suivi des rencontres'!$C:$C,$J2661)&gt;0),"Non","Oui")</f>
        <v/>
      </c>
      <c r="J2661" s="30" t="inlineStr">
        <is>
          <t>PHANPY</t>
        </is>
      </c>
    </row>
    <row r="2662">
      <c r="A2662" s="35" t="inlineStr">
        <is>
          <t>Route Victoire</t>
        </is>
      </c>
      <c r="B2662" s="35" t="inlineStr">
        <is>
          <t>VictoryRoadKanto_1F_hns</t>
        </is>
      </c>
      <c r="C2662" s="33" t="inlineStr">
        <is>
          <t>Toute la journée</t>
        </is>
      </c>
      <c r="D2662" s="49" t="inlineStr">
        <is>
          <t>Herbe</t>
        </is>
      </c>
      <c r="E2662" s="37" t="inlineStr">
        <is>
          <t>NOSFERALTO</t>
        </is>
      </c>
      <c r="F2662" s="38" t="n">
        <v>0.1</v>
      </c>
      <c r="G2662" s="39" t="n">
        <v>44</v>
      </c>
      <c r="H2662" s="39" t="n">
        <v>44</v>
      </c>
      <c r="I2662" s="29">
        <f>IF(OR(COUNTIF('Suivi des rencontres'!$A:$A,$A2662)&gt;0,COUNTIF('Suivi des rencontres'!$C:$C,$J2662)&gt;0),"Non","Oui")</f>
        <v/>
      </c>
      <c r="J2662" s="30" t="inlineStr">
        <is>
          <t>NOSFERAPTI</t>
        </is>
      </c>
    </row>
    <row r="2663">
      <c r="A2663" s="35" t="inlineStr">
        <is>
          <t>Route Victoire</t>
        </is>
      </c>
      <c r="B2663" s="35" t="inlineStr">
        <is>
          <t>VictoryRoadKanto_1F_hns</t>
        </is>
      </c>
      <c r="C2663" s="33" t="inlineStr">
        <is>
          <t>Toute la journée</t>
        </is>
      </c>
      <c r="D2663" s="49" t="inlineStr">
        <is>
          <t>Herbe</t>
        </is>
      </c>
      <c r="E2663" s="37" t="inlineStr">
        <is>
          <t>ONIX</t>
        </is>
      </c>
      <c r="F2663" s="38" t="n">
        <v>0.09</v>
      </c>
      <c r="G2663" s="39" t="n">
        <v>45</v>
      </c>
      <c r="H2663" s="39" t="n">
        <v>45</v>
      </c>
      <c r="I2663" s="29">
        <f>IF(OR(COUNTIF('Suivi des rencontres'!$A:$A,$A2663)&gt;0,COUNTIF('Suivi des rencontres'!$C:$C,$J2663)&gt;0),"Non","Oui")</f>
        <v/>
      </c>
      <c r="J2663" s="30" t="inlineStr">
        <is>
          <t>ONIX</t>
        </is>
      </c>
    </row>
    <row r="2664">
      <c r="A2664" s="35" t="inlineStr">
        <is>
          <t>Route Victoire</t>
        </is>
      </c>
      <c r="B2664" s="35" t="inlineStr">
        <is>
          <t>VictoryRoadKanto_1F_hns</t>
        </is>
      </c>
      <c r="C2664" s="33" t="inlineStr">
        <is>
          <t>Toute la journée</t>
        </is>
      </c>
      <c r="D2664" s="49" t="inlineStr">
        <is>
          <t>Herbe</t>
        </is>
      </c>
      <c r="E2664" s="37" t="inlineStr">
        <is>
          <t>SABLAIREAU</t>
        </is>
      </c>
      <c r="F2664" s="38" t="n">
        <v>0.05</v>
      </c>
      <c r="G2664" s="39" t="n">
        <v>45</v>
      </c>
      <c r="H2664" s="39" t="n">
        <v>45</v>
      </c>
      <c r="I2664" s="29">
        <f>IF(OR(COUNTIF('Suivi des rencontres'!$A:$A,$A2664)&gt;0,COUNTIF('Suivi des rencontres'!$C:$C,$J2664)&gt;0),"Non","Oui")</f>
        <v/>
      </c>
      <c r="J2664" s="30" t="inlineStr">
        <is>
          <t>SABELETTE</t>
        </is>
      </c>
    </row>
    <row r="2665">
      <c r="A2665" s="35" t="inlineStr">
        <is>
          <t>Route Victoire</t>
        </is>
      </c>
      <c r="B2665" s="35" t="inlineStr">
        <is>
          <t>VictoryRoadKanto_1F_hns</t>
        </is>
      </c>
      <c r="C2665" s="33" t="inlineStr">
        <is>
          <t>Toute la journée</t>
        </is>
      </c>
      <c r="D2665" s="49" t="inlineStr">
        <is>
          <t>Herbe</t>
        </is>
      </c>
      <c r="E2665" s="37" t="inlineStr">
        <is>
          <t>STEELIX</t>
        </is>
      </c>
      <c r="F2665" s="38" t="n">
        <v>0.01</v>
      </c>
      <c r="G2665" s="39" t="n">
        <v>45</v>
      </c>
      <c r="H2665" s="39" t="n">
        <v>45</v>
      </c>
      <c r="I2665" s="29">
        <f>IF(OR(COUNTIF('Suivi des rencontres'!$A:$A,$A2665)&gt;0,COUNTIF('Suivi des rencontres'!$C:$C,$J2665)&gt;0),"Non","Oui")</f>
        <v/>
      </c>
      <c r="J2665" s="30" t="inlineStr">
        <is>
          <t>ONIX</t>
        </is>
      </c>
    </row>
    <row r="2666">
      <c r="A2666" s="35" t="inlineStr">
        <is>
          <t>Route Victoire</t>
        </is>
      </c>
      <c r="B2666" s="35" t="inlineStr">
        <is>
          <t>VictoryRoadKanto_1F_hns</t>
        </is>
      </c>
      <c r="C2666" s="33" t="inlineStr">
        <is>
          <t>Toute la journée</t>
        </is>
      </c>
      <c r="D2666" s="54" t="inlineStr">
        <is>
          <t>Vieille Canne</t>
        </is>
      </c>
      <c r="E2666" s="37" t="inlineStr">
        <is>
          <t>MAGICARPE</t>
        </is>
      </c>
      <c r="F2666" s="38" t="n">
        <v>0.7</v>
      </c>
      <c r="G2666" s="39" t="n">
        <v>10</v>
      </c>
      <c r="H2666" s="39" t="n">
        <v>10</v>
      </c>
      <c r="I2666" s="29">
        <f>IF(OR(COUNTIF('Suivi des rencontres'!$A:$A,$A2666)&gt;0,COUNTIF('Suivi des rencontres'!$C:$C,$J2666)&gt;0),"Non","Oui")</f>
        <v/>
      </c>
      <c r="J2666" s="30" t="inlineStr">
        <is>
          <t>MAGICARPE</t>
        </is>
      </c>
    </row>
    <row r="2667">
      <c r="A2667" s="35" t="inlineStr">
        <is>
          <t>Route Victoire</t>
        </is>
      </c>
      <c r="B2667" s="35" t="inlineStr">
        <is>
          <t>VictoryRoadKanto_1F_hns</t>
        </is>
      </c>
      <c r="C2667" s="33" t="inlineStr">
        <is>
          <t>Toute la journée</t>
        </is>
      </c>
      <c r="D2667" s="54" t="inlineStr">
        <is>
          <t>Vieille Canne</t>
        </is>
      </c>
      <c r="E2667" s="37" t="inlineStr">
        <is>
          <t>TENTACOOL</t>
        </is>
      </c>
      <c r="F2667" s="38" t="n">
        <v>0.3</v>
      </c>
      <c r="G2667" s="39" t="n">
        <v>10</v>
      </c>
      <c r="H2667" s="39" t="n">
        <v>10</v>
      </c>
      <c r="I2667" s="29">
        <f>IF(OR(COUNTIF('Suivi des rencontres'!$A:$A,$A2667)&gt;0,COUNTIF('Suivi des rencontres'!$C:$C,$J2667)&gt;0),"Non","Oui")</f>
        <v/>
      </c>
      <c r="J2667" s="30" t="inlineStr">
        <is>
          <t>TENTACOOL</t>
        </is>
      </c>
    </row>
    <row r="2668">
      <c r="A2668" s="35" t="inlineStr">
        <is>
          <t>Route Victoire</t>
        </is>
      </c>
      <c r="B2668" s="35" t="inlineStr">
        <is>
          <t>VictoryRoadKanto_1F_hns</t>
        </is>
      </c>
      <c r="C2668" s="33" t="inlineStr">
        <is>
          <t>Toute la journée</t>
        </is>
      </c>
      <c r="D2668" s="55" t="inlineStr">
        <is>
          <t>Bonne Canne</t>
        </is>
      </c>
      <c r="E2668" s="37" t="inlineStr">
        <is>
          <t>MAGICARPE</t>
        </is>
      </c>
      <c r="F2668" s="38" t="n">
        <v>0.6</v>
      </c>
      <c r="G2668" s="39" t="n">
        <v>20</v>
      </c>
      <c r="H2668" s="39" t="n">
        <v>20</v>
      </c>
      <c r="I2668" s="29">
        <f>IF(OR(COUNTIF('Suivi des rencontres'!$A:$A,$A2668)&gt;0,COUNTIF('Suivi des rencontres'!$C:$C,$J2668)&gt;0),"Non","Oui")</f>
        <v/>
      </c>
      <c r="J2668" s="30" t="inlineStr">
        <is>
          <t>MAGICARPE</t>
        </is>
      </c>
    </row>
    <row r="2669">
      <c r="A2669" s="35" t="inlineStr">
        <is>
          <t>Route Victoire</t>
        </is>
      </c>
      <c r="B2669" s="35" t="inlineStr">
        <is>
          <t>VictoryRoadKanto_1F_hns</t>
        </is>
      </c>
      <c r="C2669" s="33" t="inlineStr">
        <is>
          <t>Toute la journée</t>
        </is>
      </c>
      <c r="D2669" s="55" t="inlineStr">
        <is>
          <t>Bonne Canne</t>
        </is>
      </c>
      <c r="E2669" s="37" t="inlineStr">
        <is>
          <t>LOUPIO</t>
        </is>
      </c>
      <c r="F2669" s="38" t="n">
        <v>0.2</v>
      </c>
      <c r="G2669" s="39" t="n">
        <v>20</v>
      </c>
      <c r="H2669" s="39" t="n">
        <v>20</v>
      </c>
      <c r="I2669" s="29">
        <f>IF(OR(COUNTIF('Suivi des rencontres'!$A:$A,$A2669)&gt;0,COUNTIF('Suivi des rencontres'!$C:$C,$J2669)&gt;0),"Non","Oui")</f>
        <v/>
      </c>
      <c r="J2669" s="30" t="inlineStr">
        <is>
          <t>LOUPIO</t>
        </is>
      </c>
    </row>
    <row r="2670">
      <c r="A2670" s="35" t="inlineStr">
        <is>
          <t>Route Victoire</t>
        </is>
      </c>
      <c r="B2670" s="35" t="inlineStr">
        <is>
          <t>VictoryRoadKanto_1F_hns</t>
        </is>
      </c>
      <c r="C2670" s="33" t="inlineStr">
        <is>
          <t>Toute la journée</t>
        </is>
      </c>
      <c r="D2670" s="55" t="inlineStr">
        <is>
          <t>Bonne Canne</t>
        </is>
      </c>
      <c r="E2670" s="37" t="inlineStr">
        <is>
          <t>TENTACOOL</t>
        </is>
      </c>
      <c r="F2670" s="38" t="n">
        <v>0.2</v>
      </c>
      <c r="G2670" s="39" t="n">
        <v>20</v>
      </c>
      <c r="H2670" s="39" t="n">
        <v>20</v>
      </c>
      <c r="I2670" s="29">
        <f>IF(OR(COUNTIF('Suivi des rencontres'!$A:$A,$A2670)&gt;0,COUNTIF('Suivi des rencontres'!$C:$C,$J2670)&gt;0),"Non","Oui")</f>
        <v/>
      </c>
      <c r="J2670" s="30" t="inlineStr">
        <is>
          <t>TENTACOOL</t>
        </is>
      </c>
    </row>
    <row r="2671">
      <c r="A2671" s="35" t="inlineStr">
        <is>
          <t>Route Victoire</t>
        </is>
      </c>
      <c r="B2671" s="35" t="inlineStr">
        <is>
          <t>VictoryRoadKanto_1F_hns</t>
        </is>
      </c>
      <c r="C2671" s="33" t="inlineStr">
        <is>
          <t>Toute la journée</t>
        </is>
      </c>
      <c r="D2671" s="56" t="inlineStr">
        <is>
          <t>Super Canne</t>
        </is>
      </c>
      <c r="E2671" s="37" t="inlineStr">
        <is>
          <t>KOKIYAS</t>
        </is>
      </c>
      <c r="F2671" s="38" t="n">
        <v>0.55</v>
      </c>
      <c r="G2671" s="39" t="n">
        <v>20</v>
      </c>
      <c r="H2671" s="39" t="n">
        <v>40</v>
      </c>
      <c r="I2671" s="29">
        <f>IF(OR(COUNTIF('Suivi des rencontres'!$A:$A,$A2671)&gt;0,COUNTIF('Suivi des rencontres'!$C:$C,$J2671)&gt;0),"Non","Oui")</f>
        <v/>
      </c>
      <c r="J2671" s="30" t="inlineStr">
        <is>
          <t>KOKIYAS</t>
        </is>
      </c>
    </row>
    <row r="2672">
      <c r="A2672" s="35" t="inlineStr">
        <is>
          <t>Route Victoire</t>
        </is>
      </c>
      <c r="B2672" s="35" t="inlineStr">
        <is>
          <t>VictoryRoadKanto_1F_hns</t>
        </is>
      </c>
      <c r="C2672" s="33" t="inlineStr">
        <is>
          <t>Toute la journée</t>
        </is>
      </c>
      <c r="D2672" s="56" t="inlineStr">
        <is>
          <t>Super Canne</t>
        </is>
      </c>
      <c r="E2672" s="37" t="inlineStr">
        <is>
          <t>LOUPIO</t>
        </is>
      </c>
      <c r="F2672" s="38" t="n">
        <v>0.4</v>
      </c>
      <c r="G2672" s="39" t="n">
        <v>40</v>
      </c>
      <c r="H2672" s="39" t="n">
        <v>40</v>
      </c>
      <c r="I2672" s="29">
        <f>IF(OR(COUNTIF('Suivi des rencontres'!$A:$A,$A2672)&gt;0,COUNTIF('Suivi des rencontres'!$C:$C,$J2672)&gt;0),"Non","Oui")</f>
        <v/>
      </c>
      <c r="J2672" s="30" t="inlineStr">
        <is>
          <t>LOUPIO</t>
        </is>
      </c>
    </row>
    <row r="2673">
      <c r="A2673" s="35" t="inlineStr">
        <is>
          <t>Route Victoire</t>
        </is>
      </c>
      <c r="B2673" s="35" t="inlineStr">
        <is>
          <t>VictoryRoadKanto_1F_hns</t>
        </is>
      </c>
      <c r="C2673" s="33" t="inlineStr">
        <is>
          <t>Toute la journée</t>
        </is>
      </c>
      <c r="D2673" s="56" t="inlineStr">
        <is>
          <t>Super Canne</t>
        </is>
      </c>
      <c r="E2673" s="37" t="inlineStr">
        <is>
          <t>TENTACRUEL</t>
        </is>
      </c>
      <c r="F2673" s="38" t="n">
        <v>0.04</v>
      </c>
      <c r="G2673" s="39" t="n">
        <v>40</v>
      </c>
      <c r="H2673" s="39" t="n">
        <v>40</v>
      </c>
      <c r="I2673" s="29">
        <f>IF(OR(COUNTIF('Suivi des rencontres'!$A:$A,$A2673)&gt;0,COUNTIF('Suivi des rencontres'!$C:$C,$J2673)&gt;0),"Non","Oui")</f>
        <v/>
      </c>
      <c r="J2673" s="30" t="inlineStr">
        <is>
          <t>TENTACOOL</t>
        </is>
      </c>
    </row>
    <row r="2674">
      <c r="A2674" s="35" t="inlineStr">
        <is>
          <t>Route Victoire</t>
        </is>
      </c>
      <c r="B2674" s="35" t="inlineStr">
        <is>
          <t>VictoryRoadKanto_1F_hns</t>
        </is>
      </c>
      <c r="C2674" s="33" t="inlineStr">
        <is>
          <t>Toute la journée</t>
        </is>
      </c>
      <c r="D2674" s="56" t="inlineStr">
        <is>
          <t>Super Canne</t>
        </is>
      </c>
      <c r="E2674" s="37" t="inlineStr">
        <is>
          <t>LANTURN</t>
        </is>
      </c>
      <c r="F2674" s="38" t="n">
        <v>0.01</v>
      </c>
      <c r="G2674" s="39" t="n">
        <v>40</v>
      </c>
      <c r="H2674" s="39" t="n">
        <v>40</v>
      </c>
      <c r="I2674" s="29">
        <f>IF(OR(COUNTIF('Suivi des rencontres'!$A:$A,$A2674)&gt;0,COUNTIF('Suivi des rencontres'!$C:$C,$J2674)&gt;0),"Non","Oui")</f>
        <v/>
      </c>
      <c r="J2674" s="30" t="inlineStr">
        <is>
          <t>LOUPIO</t>
        </is>
      </c>
    </row>
    <row r="2675">
      <c r="A2675" s="35" t="inlineStr">
        <is>
          <t>Route Victoire</t>
        </is>
      </c>
      <c r="B2675" s="35" t="inlineStr">
        <is>
          <t>VictoryRoadKanto_B1F_hns</t>
        </is>
      </c>
      <c r="C2675" s="33" t="inlineStr">
        <is>
          <t>Toute la journée</t>
        </is>
      </c>
      <c r="D2675" s="49" t="inlineStr">
        <is>
          <t>Herbe</t>
        </is>
      </c>
      <c r="E2675" s="37" t="inlineStr">
        <is>
          <t>GROLEM</t>
        </is>
      </c>
      <c r="F2675" s="38" t="n">
        <v>0.3</v>
      </c>
      <c r="G2675" s="39" t="n">
        <v>44</v>
      </c>
      <c r="H2675" s="39" t="n">
        <v>44</v>
      </c>
      <c r="I2675" s="29">
        <f>IF(OR(COUNTIF('Suivi des rencontres'!$A:$A,$A2675)&gt;0,COUNTIF('Suivi des rencontres'!$C:$C,$J2675)&gt;0),"Non","Oui")</f>
        <v/>
      </c>
      <c r="J2675" s="30" t="inlineStr">
        <is>
          <t>RACAILLOU</t>
        </is>
      </c>
    </row>
    <row r="2676">
      <c r="A2676" s="35" t="inlineStr">
        <is>
          <t>Route Victoire</t>
        </is>
      </c>
      <c r="B2676" s="35" t="inlineStr">
        <is>
          <t>VictoryRoadKanto_B1F_hns</t>
        </is>
      </c>
      <c r="C2676" s="33" t="inlineStr">
        <is>
          <t>Toute la journée</t>
        </is>
      </c>
      <c r="D2676" s="49" t="inlineStr">
        <is>
          <t>Herbe</t>
        </is>
      </c>
      <c r="E2676" s="37" t="inlineStr">
        <is>
          <t>RHINOFEROS</t>
        </is>
      </c>
      <c r="F2676" s="38" t="n">
        <v>0.3</v>
      </c>
      <c r="G2676" s="39" t="n">
        <v>42</v>
      </c>
      <c r="H2676" s="39" t="n">
        <v>42</v>
      </c>
      <c r="I2676" s="29">
        <f>IF(OR(COUNTIF('Suivi des rencontres'!$A:$A,$A2676)&gt;0,COUNTIF('Suivi des rencontres'!$C:$C,$J2676)&gt;0),"Non","Oui")</f>
        <v/>
      </c>
      <c r="J2676" s="30" t="inlineStr">
        <is>
          <t>RHINOCORNE</t>
        </is>
      </c>
    </row>
    <row r="2677">
      <c r="A2677" s="35" t="inlineStr">
        <is>
          <t>Route Victoire</t>
        </is>
      </c>
      <c r="B2677" s="35" t="inlineStr">
        <is>
          <t>VictoryRoadKanto_B1F_hns</t>
        </is>
      </c>
      <c r="C2677" s="33" t="inlineStr">
        <is>
          <t>Toute la journée</t>
        </is>
      </c>
      <c r="D2677" s="49" t="inlineStr">
        <is>
          <t>Herbe</t>
        </is>
      </c>
      <c r="E2677" s="37" t="inlineStr">
        <is>
          <t>DONPHAN</t>
        </is>
      </c>
      <c r="F2677" s="38" t="n">
        <v>0.15</v>
      </c>
      <c r="G2677" s="39" t="n">
        <v>43</v>
      </c>
      <c r="H2677" s="39" t="n">
        <v>43</v>
      </c>
      <c r="I2677" s="29">
        <f>IF(OR(COUNTIF('Suivi des rencontres'!$A:$A,$A2677)&gt;0,COUNTIF('Suivi des rencontres'!$C:$C,$J2677)&gt;0),"Non","Oui")</f>
        <v/>
      </c>
      <c r="J2677" s="30" t="inlineStr">
        <is>
          <t>PHANPY</t>
        </is>
      </c>
    </row>
    <row r="2678">
      <c r="A2678" s="35" t="inlineStr">
        <is>
          <t>Route Victoire</t>
        </is>
      </c>
      <c r="B2678" s="35" t="inlineStr">
        <is>
          <t>VictoryRoadKanto_B1F_hns</t>
        </is>
      </c>
      <c r="C2678" s="33" t="inlineStr">
        <is>
          <t>Toute la journée</t>
        </is>
      </c>
      <c r="D2678" s="49" t="inlineStr">
        <is>
          <t>Herbe</t>
        </is>
      </c>
      <c r="E2678" s="37" t="inlineStr">
        <is>
          <t>NOSFERALTO</t>
        </is>
      </c>
      <c r="F2678" s="38" t="n">
        <v>0.1</v>
      </c>
      <c r="G2678" s="39" t="n">
        <v>44</v>
      </c>
      <c r="H2678" s="39" t="n">
        <v>44</v>
      </c>
      <c r="I2678" s="29">
        <f>IF(OR(COUNTIF('Suivi des rencontres'!$A:$A,$A2678)&gt;0,COUNTIF('Suivi des rencontres'!$C:$C,$J2678)&gt;0),"Non","Oui")</f>
        <v/>
      </c>
      <c r="J2678" s="30" t="inlineStr">
        <is>
          <t>NOSFERAPTI</t>
        </is>
      </c>
    </row>
    <row r="2679">
      <c r="A2679" s="35" t="inlineStr">
        <is>
          <t>Route Victoire</t>
        </is>
      </c>
      <c r="B2679" s="35" t="inlineStr">
        <is>
          <t>VictoryRoadKanto_B1F_hns</t>
        </is>
      </c>
      <c r="C2679" s="33" t="inlineStr">
        <is>
          <t>Toute la journée</t>
        </is>
      </c>
      <c r="D2679" s="49" t="inlineStr">
        <is>
          <t>Herbe</t>
        </is>
      </c>
      <c r="E2679" s="37" t="inlineStr">
        <is>
          <t>ONIX</t>
        </is>
      </c>
      <c r="F2679" s="38" t="n">
        <v>0.09</v>
      </c>
      <c r="G2679" s="39" t="n">
        <v>45</v>
      </c>
      <c r="H2679" s="39" t="n">
        <v>45</v>
      </c>
      <c r="I2679" s="29">
        <f>IF(OR(COUNTIF('Suivi des rencontres'!$A:$A,$A2679)&gt;0,COUNTIF('Suivi des rencontres'!$C:$C,$J2679)&gt;0),"Non","Oui")</f>
        <v/>
      </c>
      <c r="J2679" s="30" t="inlineStr">
        <is>
          <t>ONIX</t>
        </is>
      </c>
    </row>
    <row r="2680">
      <c r="A2680" s="35" t="inlineStr">
        <is>
          <t>Route Victoire</t>
        </is>
      </c>
      <c r="B2680" s="35" t="inlineStr">
        <is>
          <t>VictoryRoadKanto_B1F_hns</t>
        </is>
      </c>
      <c r="C2680" s="33" t="inlineStr">
        <is>
          <t>Toute la journée</t>
        </is>
      </c>
      <c r="D2680" s="49" t="inlineStr">
        <is>
          <t>Herbe</t>
        </is>
      </c>
      <c r="E2680" s="37" t="inlineStr">
        <is>
          <t>SABLAIREAU</t>
        </is>
      </c>
      <c r="F2680" s="38" t="n">
        <v>0.05</v>
      </c>
      <c r="G2680" s="39" t="n">
        <v>45</v>
      </c>
      <c r="H2680" s="39" t="n">
        <v>45</v>
      </c>
      <c r="I2680" s="29">
        <f>IF(OR(COUNTIF('Suivi des rencontres'!$A:$A,$A2680)&gt;0,COUNTIF('Suivi des rencontres'!$C:$C,$J2680)&gt;0),"Non","Oui")</f>
        <v/>
      </c>
      <c r="J2680" s="30" t="inlineStr">
        <is>
          <t>SABELETTE</t>
        </is>
      </c>
    </row>
    <row r="2681">
      <c r="A2681" s="35" t="inlineStr">
        <is>
          <t>Route Victoire</t>
        </is>
      </c>
      <c r="B2681" s="35" t="inlineStr">
        <is>
          <t>VictoryRoadKanto_B1F_hns</t>
        </is>
      </c>
      <c r="C2681" s="33" t="inlineStr">
        <is>
          <t>Toute la journée</t>
        </is>
      </c>
      <c r="D2681" s="49" t="inlineStr">
        <is>
          <t>Herbe</t>
        </is>
      </c>
      <c r="E2681" s="37" t="inlineStr">
        <is>
          <t>STEELIX</t>
        </is>
      </c>
      <c r="F2681" s="38" t="n">
        <v>0.01</v>
      </c>
      <c r="G2681" s="39" t="n">
        <v>45</v>
      </c>
      <c r="H2681" s="39" t="n">
        <v>45</v>
      </c>
      <c r="I2681" s="29">
        <f>IF(OR(COUNTIF('Suivi des rencontres'!$A:$A,$A2681)&gt;0,COUNTIF('Suivi des rencontres'!$C:$C,$J2681)&gt;0),"Non","Oui")</f>
        <v/>
      </c>
      <c r="J2681" s="30" t="inlineStr">
        <is>
          <t>ONIX</t>
        </is>
      </c>
    </row>
    <row r="2682">
      <c r="A2682" s="35" t="inlineStr">
        <is>
          <t>Route Victoire</t>
        </is>
      </c>
      <c r="B2682" s="35" t="inlineStr">
        <is>
          <t>VictoryRoadKanto_B1F_hns</t>
        </is>
      </c>
      <c r="C2682" s="33" t="inlineStr">
        <is>
          <t>Toute la journée</t>
        </is>
      </c>
      <c r="D2682" s="53" t="inlineStr">
        <is>
          <t>Surf</t>
        </is>
      </c>
      <c r="E2682" s="37" t="inlineStr">
        <is>
          <t>AXOLOTO</t>
        </is>
      </c>
      <c r="F2682" s="38" t="n">
        <v>0.95</v>
      </c>
      <c r="G2682" s="39" t="n">
        <v>30</v>
      </c>
      <c r="H2682" s="39" t="n">
        <v>40</v>
      </c>
      <c r="I2682" s="29">
        <f>IF(OR(COUNTIF('Suivi des rencontres'!$A:$A,$A2682)&gt;0,COUNTIF('Suivi des rencontres'!$C:$C,$J2682)&gt;0),"Non","Oui")</f>
        <v/>
      </c>
      <c r="J2682" s="30" t="inlineStr">
        <is>
          <t>AXOLOTO</t>
        </is>
      </c>
    </row>
    <row r="2683">
      <c r="A2683" s="35" t="inlineStr">
        <is>
          <t>Route Victoire</t>
        </is>
      </c>
      <c r="B2683" s="35" t="inlineStr">
        <is>
          <t>VictoryRoadKanto_B1F_hns</t>
        </is>
      </c>
      <c r="C2683" s="33" t="inlineStr">
        <is>
          <t>Toute la journée</t>
        </is>
      </c>
      <c r="D2683" s="53" t="inlineStr">
        <is>
          <t>Surf</t>
        </is>
      </c>
      <c r="E2683" s="37" t="inlineStr">
        <is>
          <t>MARAISTE</t>
        </is>
      </c>
      <c r="F2683" s="38" t="n">
        <v>0.05</v>
      </c>
      <c r="G2683" s="39" t="n">
        <v>30</v>
      </c>
      <c r="H2683" s="39" t="n">
        <v>40</v>
      </c>
      <c r="I2683" s="29">
        <f>IF(OR(COUNTIF('Suivi des rencontres'!$A:$A,$A2683)&gt;0,COUNTIF('Suivi des rencontres'!$C:$C,$J2683)&gt;0),"Non","Oui")</f>
        <v/>
      </c>
      <c r="J2683" s="30" t="inlineStr">
        <is>
          <t>AXOLOTO</t>
        </is>
      </c>
    </row>
    <row r="2684">
      <c r="A2684" s="35" t="inlineStr">
        <is>
          <t>Route Victoire</t>
        </is>
      </c>
      <c r="B2684" s="35" t="inlineStr">
        <is>
          <t>VictoryRoadKanto_B1F_hns</t>
        </is>
      </c>
      <c r="C2684" s="33" t="inlineStr">
        <is>
          <t>Toute la journée</t>
        </is>
      </c>
      <c r="D2684" s="54" t="inlineStr">
        <is>
          <t>Vieille Canne</t>
        </is>
      </c>
      <c r="E2684" s="37" t="inlineStr">
        <is>
          <t>MAGICARPE</t>
        </is>
      </c>
      <c r="F2684" s="38" t="n">
        <v>0.7</v>
      </c>
      <c r="G2684" s="39" t="n">
        <v>10</v>
      </c>
      <c r="H2684" s="39" t="n">
        <v>10</v>
      </c>
      <c r="I2684" s="29">
        <f>IF(OR(COUNTIF('Suivi des rencontres'!$A:$A,$A2684)&gt;0,COUNTIF('Suivi des rencontres'!$C:$C,$J2684)&gt;0),"Non","Oui")</f>
        <v/>
      </c>
      <c r="J2684" s="30" t="inlineStr">
        <is>
          <t>MAGICARPE</t>
        </is>
      </c>
    </row>
    <row r="2685">
      <c r="A2685" s="35" t="inlineStr">
        <is>
          <t>Route Victoire</t>
        </is>
      </c>
      <c r="B2685" s="35" t="inlineStr">
        <is>
          <t>VictoryRoadKanto_B1F_hns</t>
        </is>
      </c>
      <c r="C2685" s="33" t="inlineStr">
        <is>
          <t>Toute la journée</t>
        </is>
      </c>
      <c r="D2685" s="54" t="inlineStr">
        <is>
          <t>Vieille Canne</t>
        </is>
      </c>
      <c r="E2685" s="37" t="inlineStr">
        <is>
          <t>TENTACOOL</t>
        </is>
      </c>
      <c r="F2685" s="38" t="n">
        <v>0.3</v>
      </c>
      <c r="G2685" s="39" t="n">
        <v>10</v>
      </c>
      <c r="H2685" s="39" t="n">
        <v>10</v>
      </c>
      <c r="I2685" s="29">
        <f>IF(OR(COUNTIF('Suivi des rencontres'!$A:$A,$A2685)&gt;0,COUNTIF('Suivi des rencontres'!$C:$C,$J2685)&gt;0),"Non","Oui")</f>
        <v/>
      </c>
      <c r="J2685" s="30" t="inlineStr">
        <is>
          <t>TENTACOOL</t>
        </is>
      </c>
    </row>
    <row r="2686">
      <c r="A2686" s="35" t="inlineStr">
        <is>
          <t>Route Victoire</t>
        </is>
      </c>
      <c r="B2686" s="35" t="inlineStr">
        <is>
          <t>VictoryRoadKanto_B1F_hns</t>
        </is>
      </c>
      <c r="C2686" s="33" t="inlineStr">
        <is>
          <t>Toute la journée</t>
        </is>
      </c>
      <c r="D2686" s="55" t="inlineStr">
        <is>
          <t>Bonne Canne</t>
        </is>
      </c>
      <c r="E2686" s="37" t="inlineStr">
        <is>
          <t>MAGICARPE</t>
        </is>
      </c>
      <c r="F2686" s="38" t="n">
        <v>0.6</v>
      </c>
      <c r="G2686" s="39" t="n">
        <v>20</v>
      </c>
      <c r="H2686" s="39" t="n">
        <v>20</v>
      </c>
      <c r="I2686" s="29">
        <f>IF(OR(COUNTIF('Suivi des rencontres'!$A:$A,$A2686)&gt;0,COUNTIF('Suivi des rencontres'!$C:$C,$J2686)&gt;0),"Non","Oui")</f>
        <v/>
      </c>
      <c r="J2686" s="30" t="inlineStr">
        <is>
          <t>MAGICARPE</t>
        </is>
      </c>
    </row>
    <row r="2687">
      <c r="A2687" s="35" t="inlineStr">
        <is>
          <t>Route Victoire</t>
        </is>
      </c>
      <c r="B2687" s="35" t="inlineStr">
        <is>
          <t>VictoryRoadKanto_B1F_hns</t>
        </is>
      </c>
      <c r="C2687" s="33" t="inlineStr">
        <is>
          <t>Toute la journée</t>
        </is>
      </c>
      <c r="D2687" s="55" t="inlineStr">
        <is>
          <t>Bonne Canne</t>
        </is>
      </c>
      <c r="E2687" s="37" t="inlineStr">
        <is>
          <t>LOUPIO</t>
        </is>
      </c>
      <c r="F2687" s="38" t="n">
        <v>0.2</v>
      </c>
      <c r="G2687" s="39" t="n">
        <v>20</v>
      </c>
      <c r="H2687" s="39" t="n">
        <v>20</v>
      </c>
      <c r="I2687" s="29">
        <f>IF(OR(COUNTIF('Suivi des rencontres'!$A:$A,$A2687)&gt;0,COUNTIF('Suivi des rencontres'!$C:$C,$J2687)&gt;0),"Non","Oui")</f>
        <v/>
      </c>
      <c r="J2687" s="30" t="inlineStr">
        <is>
          <t>LOUPIO</t>
        </is>
      </c>
    </row>
    <row r="2688">
      <c r="A2688" s="35" t="inlineStr">
        <is>
          <t>Route Victoire</t>
        </is>
      </c>
      <c r="B2688" s="35" t="inlineStr">
        <is>
          <t>VictoryRoadKanto_B1F_hns</t>
        </is>
      </c>
      <c r="C2688" s="33" t="inlineStr">
        <is>
          <t>Toute la journée</t>
        </is>
      </c>
      <c r="D2688" s="55" t="inlineStr">
        <is>
          <t>Bonne Canne</t>
        </is>
      </c>
      <c r="E2688" s="37" t="inlineStr">
        <is>
          <t>TENTACOOL</t>
        </is>
      </c>
      <c r="F2688" s="38" t="n">
        <v>0.2</v>
      </c>
      <c r="G2688" s="39" t="n">
        <v>20</v>
      </c>
      <c r="H2688" s="39" t="n">
        <v>20</v>
      </c>
      <c r="I2688" s="29">
        <f>IF(OR(COUNTIF('Suivi des rencontres'!$A:$A,$A2688)&gt;0,COUNTIF('Suivi des rencontres'!$C:$C,$J2688)&gt;0),"Non","Oui")</f>
        <v/>
      </c>
      <c r="J2688" s="30" t="inlineStr">
        <is>
          <t>TENTACOOL</t>
        </is>
      </c>
    </row>
    <row r="2689">
      <c r="A2689" s="35" t="inlineStr">
        <is>
          <t>Route Victoire</t>
        </is>
      </c>
      <c r="B2689" s="35" t="inlineStr">
        <is>
          <t>VictoryRoadKanto_B1F_hns</t>
        </is>
      </c>
      <c r="C2689" s="33" t="inlineStr">
        <is>
          <t>Toute la journée</t>
        </is>
      </c>
      <c r="D2689" s="56" t="inlineStr">
        <is>
          <t>Super Canne</t>
        </is>
      </c>
      <c r="E2689" s="37" t="inlineStr">
        <is>
          <t>KOKIYAS</t>
        </is>
      </c>
      <c r="F2689" s="38" t="n">
        <v>0.55</v>
      </c>
      <c r="G2689" s="39" t="n">
        <v>20</v>
      </c>
      <c r="H2689" s="39" t="n">
        <v>40</v>
      </c>
      <c r="I2689" s="29">
        <f>IF(OR(COUNTIF('Suivi des rencontres'!$A:$A,$A2689)&gt;0,COUNTIF('Suivi des rencontres'!$C:$C,$J2689)&gt;0),"Non","Oui")</f>
        <v/>
      </c>
      <c r="J2689" s="30" t="inlineStr">
        <is>
          <t>KOKIYAS</t>
        </is>
      </c>
    </row>
    <row r="2690">
      <c r="A2690" s="35" t="inlineStr">
        <is>
          <t>Route Victoire</t>
        </is>
      </c>
      <c r="B2690" s="35" t="inlineStr">
        <is>
          <t>VictoryRoadKanto_B1F_hns</t>
        </is>
      </c>
      <c r="C2690" s="33" t="inlineStr">
        <is>
          <t>Toute la journée</t>
        </is>
      </c>
      <c r="D2690" s="56" t="inlineStr">
        <is>
          <t>Super Canne</t>
        </is>
      </c>
      <c r="E2690" s="37" t="inlineStr">
        <is>
          <t>LOUPIO</t>
        </is>
      </c>
      <c r="F2690" s="38" t="n">
        <v>0.4</v>
      </c>
      <c r="G2690" s="39" t="n">
        <v>40</v>
      </c>
      <c r="H2690" s="39" t="n">
        <v>40</v>
      </c>
      <c r="I2690" s="29">
        <f>IF(OR(COUNTIF('Suivi des rencontres'!$A:$A,$A2690)&gt;0,COUNTIF('Suivi des rencontres'!$C:$C,$J2690)&gt;0),"Non","Oui")</f>
        <v/>
      </c>
      <c r="J2690" s="30" t="inlineStr">
        <is>
          <t>LOUPIO</t>
        </is>
      </c>
    </row>
    <row r="2691">
      <c r="A2691" s="35" t="inlineStr">
        <is>
          <t>Route Victoire</t>
        </is>
      </c>
      <c r="B2691" s="35" t="inlineStr">
        <is>
          <t>VictoryRoadKanto_B1F_hns</t>
        </is>
      </c>
      <c r="C2691" s="33" t="inlineStr">
        <is>
          <t>Toute la journée</t>
        </is>
      </c>
      <c r="D2691" s="56" t="inlineStr">
        <is>
          <t>Super Canne</t>
        </is>
      </c>
      <c r="E2691" s="37" t="inlineStr">
        <is>
          <t>TENTACRUEL</t>
        </is>
      </c>
      <c r="F2691" s="38" t="n">
        <v>0.04</v>
      </c>
      <c r="G2691" s="39" t="n">
        <v>40</v>
      </c>
      <c r="H2691" s="39" t="n">
        <v>40</v>
      </c>
      <c r="I2691" s="29">
        <f>IF(OR(COUNTIF('Suivi des rencontres'!$A:$A,$A2691)&gt;0,COUNTIF('Suivi des rencontres'!$C:$C,$J2691)&gt;0),"Non","Oui")</f>
        <v/>
      </c>
      <c r="J2691" s="30" t="inlineStr">
        <is>
          <t>TENTACOOL</t>
        </is>
      </c>
    </row>
    <row r="2692">
      <c r="A2692" s="35" t="inlineStr">
        <is>
          <t>Route Victoire</t>
        </is>
      </c>
      <c r="B2692" s="35" t="inlineStr">
        <is>
          <t>VictoryRoadKanto_B1F_hns</t>
        </is>
      </c>
      <c r="C2692" s="33" t="inlineStr">
        <is>
          <t>Toute la journée</t>
        </is>
      </c>
      <c r="D2692" s="56" t="inlineStr">
        <is>
          <t>Super Canne</t>
        </is>
      </c>
      <c r="E2692" s="37" t="inlineStr">
        <is>
          <t>LANTURN</t>
        </is>
      </c>
      <c r="F2692" s="38" t="n">
        <v>0.01</v>
      </c>
      <c r="G2692" s="39" t="n">
        <v>40</v>
      </c>
      <c r="H2692" s="39" t="n">
        <v>40</v>
      </c>
      <c r="I2692" s="29">
        <f>IF(OR(COUNTIF('Suivi des rencontres'!$A:$A,$A2692)&gt;0,COUNTIF('Suivi des rencontres'!$C:$C,$J2692)&gt;0),"Non","Oui")</f>
        <v/>
      </c>
      <c r="J2692" s="30" t="inlineStr">
        <is>
          <t>LOUPIO</t>
        </is>
      </c>
    </row>
    <row r="2693">
      <c r="A2693" s="35" t="inlineStr">
        <is>
          <t>Route Victoire</t>
        </is>
      </c>
      <c r="B2693" s="35" t="inlineStr">
        <is>
          <t>VictoryRoadKanto_B2F_hns</t>
        </is>
      </c>
      <c r="C2693" s="33" t="inlineStr">
        <is>
          <t>Toute la journée</t>
        </is>
      </c>
      <c r="D2693" s="49" t="inlineStr">
        <is>
          <t>Herbe</t>
        </is>
      </c>
      <c r="E2693" s="37" t="inlineStr">
        <is>
          <t>GROLEM</t>
        </is>
      </c>
      <c r="F2693" s="38" t="n">
        <v>0.3</v>
      </c>
      <c r="G2693" s="39" t="n">
        <v>44</v>
      </c>
      <c r="H2693" s="39" t="n">
        <v>44</v>
      </c>
      <c r="I2693" s="29">
        <f>IF(OR(COUNTIF('Suivi des rencontres'!$A:$A,$A2693)&gt;0,COUNTIF('Suivi des rencontres'!$C:$C,$J2693)&gt;0),"Non","Oui")</f>
        <v/>
      </c>
      <c r="J2693" s="30" t="inlineStr">
        <is>
          <t>RACAILLOU</t>
        </is>
      </c>
    </row>
    <row r="2694">
      <c r="A2694" s="35" t="inlineStr">
        <is>
          <t>Route Victoire</t>
        </is>
      </c>
      <c r="B2694" s="35" t="inlineStr">
        <is>
          <t>VictoryRoadKanto_B2F_hns</t>
        </is>
      </c>
      <c r="C2694" s="33" t="inlineStr">
        <is>
          <t>Toute la journée</t>
        </is>
      </c>
      <c r="D2694" s="49" t="inlineStr">
        <is>
          <t>Herbe</t>
        </is>
      </c>
      <c r="E2694" s="37" t="inlineStr">
        <is>
          <t>RHINOFEROS</t>
        </is>
      </c>
      <c r="F2694" s="38" t="n">
        <v>0.3</v>
      </c>
      <c r="G2694" s="39" t="n">
        <v>42</v>
      </c>
      <c r="H2694" s="39" t="n">
        <v>42</v>
      </c>
      <c r="I2694" s="29">
        <f>IF(OR(COUNTIF('Suivi des rencontres'!$A:$A,$A2694)&gt;0,COUNTIF('Suivi des rencontres'!$C:$C,$J2694)&gt;0),"Non","Oui")</f>
        <v/>
      </c>
      <c r="J2694" s="30" t="inlineStr">
        <is>
          <t>RHINOCORNE</t>
        </is>
      </c>
    </row>
    <row r="2695">
      <c r="A2695" s="35" t="inlineStr">
        <is>
          <t>Route Victoire</t>
        </is>
      </c>
      <c r="B2695" s="35" t="inlineStr">
        <is>
          <t>VictoryRoadKanto_B2F_hns</t>
        </is>
      </c>
      <c r="C2695" s="33" t="inlineStr">
        <is>
          <t>Toute la journée</t>
        </is>
      </c>
      <c r="D2695" s="49" t="inlineStr">
        <is>
          <t>Herbe</t>
        </is>
      </c>
      <c r="E2695" s="37" t="inlineStr">
        <is>
          <t>DONPHAN</t>
        </is>
      </c>
      <c r="F2695" s="38" t="n">
        <v>0.15</v>
      </c>
      <c r="G2695" s="39" t="n">
        <v>43</v>
      </c>
      <c r="H2695" s="39" t="n">
        <v>43</v>
      </c>
      <c r="I2695" s="29">
        <f>IF(OR(COUNTIF('Suivi des rencontres'!$A:$A,$A2695)&gt;0,COUNTIF('Suivi des rencontres'!$C:$C,$J2695)&gt;0),"Non","Oui")</f>
        <v/>
      </c>
      <c r="J2695" s="30" t="inlineStr">
        <is>
          <t>PHANPY</t>
        </is>
      </c>
    </row>
    <row r="2696">
      <c r="A2696" s="35" t="inlineStr">
        <is>
          <t>Route Victoire</t>
        </is>
      </c>
      <c r="B2696" s="35" t="inlineStr">
        <is>
          <t>VictoryRoadKanto_B2F_hns</t>
        </is>
      </c>
      <c r="C2696" s="33" t="inlineStr">
        <is>
          <t>Toute la journée</t>
        </is>
      </c>
      <c r="D2696" s="49" t="inlineStr">
        <is>
          <t>Herbe</t>
        </is>
      </c>
      <c r="E2696" s="37" t="inlineStr">
        <is>
          <t>NOSFERALTO</t>
        </is>
      </c>
      <c r="F2696" s="38" t="n">
        <v>0.1</v>
      </c>
      <c r="G2696" s="39" t="n">
        <v>44</v>
      </c>
      <c r="H2696" s="39" t="n">
        <v>44</v>
      </c>
      <c r="I2696" s="29">
        <f>IF(OR(COUNTIF('Suivi des rencontres'!$A:$A,$A2696)&gt;0,COUNTIF('Suivi des rencontres'!$C:$C,$J2696)&gt;0),"Non","Oui")</f>
        <v/>
      </c>
      <c r="J2696" s="30" t="inlineStr">
        <is>
          <t>NOSFERAPTI</t>
        </is>
      </c>
    </row>
    <row r="2697">
      <c r="A2697" s="35" t="inlineStr">
        <is>
          <t>Route Victoire</t>
        </is>
      </c>
      <c r="B2697" s="35" t="inlineStr">
        <is>
          <t>VictoryRoadKanto_B2F_hns</t>
        </is>
      </c>
      <c r="C2697" s="33" t="inlineStr">
        <is>
          <t>Toute la journée</t>
        </is>
      </c>
      <c r="D2697" s="49" t="inlineStr">
        <is>
          <t>Herbe</t>
        </is>
      </c>
      <c r="E2697" s="37" t="inlineStr">
        <is>
          <t>ONIX</t>
        </is>
      </c>
      <c r="F2697" s="38" t="n">
        <v>0.09</v>
      </c>
      <c r="G2697" s="39" t="n">
        <v>45</v>
      </c>
      <c r="H2697" s="39" t="n">
        <v>45</v>
      </c>
      <c r="I2697" s="29">
        <f>IF(OR(COUNTIF('Suivi des rencontres'!$A:$A,$A2697)&gt;0,COUNTIF('Suivi des rencontres'!$C:$C,$J2697)&gt;0),"Non","Oui")</f>
        <v/>
      </c>
      <c r="J2697" s="30" t="inlineStr">
        <is>
          <t>ONIX</t>
        </is>
      </c>
    </row>
    <row r="2698">
      <c r="A2698" s="35" t="inlineStr">
        <is>
          <t>Route Victoire</t>
        </is>
      </c>
      <c r="B2698" s="35" t="inlineStr">
        <is>
          <t>VictoryRoadKanto_B2F_hns</t>
        </is>
      </c>
      <c r="C2698" s="33" t="inlineStr">
        <is>
          <t>Toute la journée</t>
        </is>
      </c>
      <c r="D2698" s="49" t="inlineStr">
        <is>
          <t>Herbe</t>
        </is>
      </c>
      <c r="E2698" s="37" t="inlineStr">
        <is>
          <t>SABLAIREAU</t>
        </is>
      </c>
      <c r="F2698" s="38" t="n">
        <v>0.05</v>
      </c>
      <c r="G2698" s="39" t="n">
        <v>45</v>
      </c>
      <c r="H2698" s="39" t="n">
        <v>45</v>
      </c>
      <c r="I2698" s="29">
        <f>IF(OR(COUNTIF('Suivi des rencontres'!$A:$A,$A2698)&gt;0,COUNTIF('Suivi des rencontres'!$C:$C,$J2698)&gt;0),"Non","Oui")</f>
        <v/>
      </c>
      <c r="J2698" s="30" t="inlineStr">
        <is>
          <t>SABELETTE</t>
        </is>
      </c>
    </row>
    <row r="2699">
      <c r="A2699" s="35" t="inlineStr">
        <is>
          <t>Route Victoire</t>
        </is>
      </c>
      <c r="B2699" s="35" t="inlineStr">
        <is>
          <t>VictoryRoadKanto_B2F_hns</t>
        </is>
      </c>
      <c r="C2699" s="33" t="inlineStr">
        <is>
          <t>Toute la journée</t>
        </is>
      </c>
      <c r="D2699" s="49" t="inlineStr">
        <is>
          <t>Herbe</t>
        </is>
      </c>
      <c r="E2699" s="37" t="inlineStr">
        <is>
          <t>STEELIX</t>
        </is>
      </c>
      <c r="F2699" s="38" t="n">
        <v>0.01</v>
      </c>
      <c r="G2699" s="39" t="n">
        <v>45</v>
      </c>
      <c r="H2699" s="39" t="n">
        <v>45</v>
      </c>
      <c r="I2699" s="29">
        <f>IF(OR(COUNTIF('Suivi des rencontres'!$A:$A,$A2699)&gt;0,COUNTIF('Suivi des rencontres'!$C:$C,$J2699)&gt;0),"Non","Oui")</f>
        <v/>
      </c>
      <c r="J2699" s="30" t="inlineStr">
        <is>
          <t>ONIX</t>
        </is>
      </c>
    </row>
    <row r="2700">
      <c r="A2700" s="40" t="inlineStr">
        <is>
          <t>Route de Glace</t>
        </is>
      </c>
      <c r="B2700" s="40" t="inlineStr">
        <is>
          <t>IcePath_1F_hns</t>
        </is>
      </c>
      <c r="C2700" s="41" t="inlineStr">
        <is>
          <t>Matin, jour, soir</t>
        </is>
      </c>
      <c r="D2700" s="42" t="inlineStr">
        <is>
          <t>Herbe</t>
        </is>
      </c>
      <c r="E2700" s="43" t="inlineStr">
        <is>
          <t>NOSFERAPTI</t>
        </is>
      </c>
      <c r="F2700" s="44" t="n">
        <v>0.36</v>
      </c>
      <c r="G2700" s="45" t="n">
        <v>22</v>
      </c>
      <c r="H2700" s="45" t="n">
        <v>22</v>
      </c>
      <c r="I2700" s="46">
        <f>IF(OR(COUNTIF('Suivi des rencontres'!$A:$A,$A2700)&gt;0,COUNTIF('Suivi des rencontres'!$C:$C,$J2700)&gt;0),"Non","Oui")</f>
        <v/>
      </c>
      <c r="J2700" s="30" t="inlineStr">
        <is>
          <t>NOSFERAPTI</t>
        </is>
      </c>
    </row>
    <row r="2701">
      <c r="A2701" s="47" t="inlineStr">
        <is>
          <t>Route de Glace</t>
        </is>
      </c>
      <c r="B2701" s="47" t="inlineStr">
        <is>
          <t>IcePath_1F_hns</t>
        </is>
      </c>
      <c r="C2701" s="48" t="inlineStr">
        <is>
          <t>Matin, jour, soir</t>
        </is>
      </c>
      <c r="D2701" s="49" t="inlineStr">
        <is>
          <t>Herbe</t>
        </is>
      </c>
      <c r="E2701" s="50" t="inlineStr">
        <is>
          <t>MARCACRIN</t>
        </is>
      </c>
      <c r="F2701" s="51" t="n">
        <v>0.35</v>
      </c>
      <c r="G2701" s="52" t="n">
        <v>21</v>
      </c>
      <c r="H2701" s="52" t="n">
        <v>23</v>
      </c>
      <c r="I2701" s="29">
        <f>IF(OR(COUNTIF('Suivi des rencontres'!$A:$A,$A2701)&gt;0,COUNTIF('Suivi des rencontres'!$C:$C,$J2701)&gt;0),"Non","Oui")</f>
        <v/>
      </c>
      <c r="J2701" s="30" t="inlineStr">
        <is>
          <t>MARCACRIN</t>
        </is>
      </c>
    </row>
    <row r="2702">
      <c r="A2702" s="47" t="inlineStr">
        <is>
          <t>Route de Glace</t>
        </is>
      </c>
      <c r="B2702" s="47" t="inlineStr">
        <is>
          <t>IcePath_1F_hns</t>
        </is>
      </c>
      <c r="C2702" s="48" t="inlineStr">
        <is>
          <t>Matin, jour, soir</t>
        </is>
      </c>
      <c r="D2702" s="49" t="inlineStr">
        <is>
          <t>Herbe</t>
        </is>
      </c>
      <c r="E2702" s="50" t="inlineStr">
        <is>
          <t>NOSFERALTO</t>
        </is>
      </c>
      <c r="F2702" s="51" t="n">
        <v>0.29</v>
      </c>
      <c r="G2702" s="52" t="n">
        <v>22</v>
      </c>
      <c r="H2702" s="52" t="n">
        <v>24</v>
      </c>
      <c r="I2702" s="29">
        <f>IF(OR(COUNTIF('Suivi des rencontres'!$A:$A,$A2702)&gt;0,COUNTIF('Suivi des rencontres'!$C:$C,$J2702)&gt;0),"Non","Oui")</f>
        <v/>
      </c>
      <c r="J2702" s="30" t="inlineStr">
        <is>
          <t>NOSFERAPTI</t>
        </is>
      </c>
    </row>
    <row r="2703">
      <c r="A2703" s="47" t="inlineStr">
        <is>
          <t>Route de Glace</t>
        </is>
      </c>
      <c r="B2703" s="47" t="inlineStr">
        <is>
          <t>IcePath_1F_hns</t>
        </is>
      </c>
      <c r="C2703" s="62" t="inlineStr">
        <is>
          <t>Nuit</t>
        </is>
      </c>
      <c r="D2703" s="49" t="inlineStr">
        <is>
          <t>Herbe</t>
        </is>
      </c>
      <c r="E2703" s="50" t="inlineStr">
        <is>
          <t>NOSFERAPTI</t>
        </is>
      </c>
      <c r="F2703" s="51" t="n">
        <v>0.36</v>
      </c>
      <c r="G2703" s="52" t="n">
        <v>22</v>
      </c>
      <c r="H2703" s="52" t="n">
        <v>22</v>
      </c>
      <c r="I2703" s="29">
        <f>IF(OR(COUNTIF('Suivi des rencontres'!$A:$A,$A2703)&gt;0,COUNTIF('Suivi des rencontres'!$C:$C,$J2703)&gt;0),"Non","Oui")</f>
        <v/>
      </c>
      <c r="J2703" s="30" t="inlineStr">
        <is>
          <t>NOSFERAPTI</t>
        </is>
      </c>
    </row>
    <row r="2704">
      <c r="A2704" s="47" t="inlineStr">
        <is>
          <t>Route de Glace</t>
        </is>
      </c>
      <c r="B2704" s="47" t="inlineStr">
        <is>
          <t>IcePath_1F_hns</t>
        </is>
      </c>
      <c r="C2704" s="62" t="inlineStr">
        <is>
          <t>Nuit</t>
        </is>
      </c>
      <c r="D2704" s="49" t="inlineStr">
        <is>
          <t>Herbe</t>
        </is>
      </c>
      <c r="E2704" s="50" t="inlineStr">
        <is>
          <t>CADOIZO</t>
        </is>
      </c>
      <c r="F2704" s="51" t="n">
        <v>0.35</v>
      </c>
      <c r="G2704" s="52" t="n">
        <v>21</v>
      </c>
      <c r="H2704" s="52" t="n">
        <v>23</v>
      </c>
      <c r="I2704" s="29">
        <f>IF(OR(COUNTIF('Suivi des rencontres'!$A:$A,$A2704)&gt;0,COUNTIF('Suivi des rencontres'!$C:$C,$J2704)&gt;0),"Non","Oui")</f>
        <v/>
      </c>
      <c r="J2704" s="30" t="inlineStr">
        <is>
          <t>CADOIZO</t>
        </is>
      </c>
    </row>
    <row r="2705">
      <c r="A2705" s="47" t="inlineStr">
        <is>
          <t>Route de Glace</t>
        </is>
      </c>
      <c r="B2705" s="47" t="inlineStr">
        <is>
          <t>IcePath_1F_hns</t>
        </is>
      </c>
      <c r="C2705" s="62" t="inlineStr">
        <is>
          <t>Nuit</t>
        </is>
      </c>
      <c r="D2705" s="49" t="inlineStr">
        <is>
          <t>Herbe</t>
        </is>
      </c>
      <c r="E2705" s="50" t="inlineStr">
        <is>
          <t>NOSFERALTO</t>
        </is>
      </c>
      <c r="F2705" s="51" t="n">
        <v>0.29</v>
      </c>
      <c r="G2705" s="52" t="n">
        <v>22</v>
      </c>
      <c r="H2705" s="52" t="n">
        <v>24</v>
      </c>
      <c r="I2705" s="29">
        <f>IF(OR(COUNTIF('Suivi des rencontres'!$A:$A,$A2705)&gt;0,COUNTIF('Suivi des rencontres'!$C:$C,$J2705)&gt;0),"Non","Oui")</f>
        <v/>
      </c>
      <c r="J2705" s="30" t="inlineStr">
        <is>
          <t>NOSFERAPTI</t>
        </is>
      </c>
    </row>
    <row r="2706">
      <c r="A2706" s="47" t="inlineStr">
        <is>
          <t>Route de Glace</t>
        </is>
      </c>
      <c r="B2706" s="47" t="inlineStr">
        <is>
          <t>IcePath_B1F_hns</t>
        </is>
      </c>
      <c r="C2706" s="48" t="inlineStr">
        <is>
          <t>Matin, jour, soir</t>
        </is>
      </c>
      <c r="D2706" s="49" t="inlineStr">
        <is>
          <t>Herbe</t>
        </is>
      </c>
      <c r="E2706" s="50" t="inlineStr">
        <is>
          <t>LIPPOUTOU</t>
        </is>
      </c>
      <c r="F2706" s="51" t="n">
        <v>0.31</v>
      </c>
      <c r="G2706" s="52" t="n">
        <v>33</v>
      </c>
      <c r="H2706" s="52" t="n">
        <v>33</v>
      </c>
      <c r="I2706" s="29">
        <f>IF(OR(COUNTIF('Suivi des rencontres'!$A:$A,$A2706)&gt;0,COUNTIF('Suivi des rencontres'!$C:$C,$J2706)&gt;0),"Non","Oui")</f>
        <v/>
      </c>
      <c r="J2706" s="30" t="inlineStr">
        <is>
          <t>LIPPOUTI</t>
        </is>
      </c>
    </row>
    <row r="2707">
      <c r="A2707" s="47" t="inlineStr">
        <is>
          <t>Route de Glace</t>
        </is>
      </c>
      <c r="B2707" s="47" t="inlineStr">
        <is>
          <t>IcePath_B1F_hns</t>
        </is>
      </c>
      <c r="C2707" s="48" t="inlineStr">
        <is>
          <t>Matin, jour, soir</t>
        </is>
      </c>
      <c r="D2707" s="49" t="inlineStr">
        <is>
          <t>Herbe</t>
        </is>
      </c>
      <c r="E2707" s="50" t="inlineStr">
        <is>
          <t>MARCACRIN</t>
        </is>
      </c>
      <c r="F2707" s="51" t="n">
        <v>0.3</v>
      </c>
      <c r="G2707" s="52" t="n">
        <v>32</v>
      </c>
      <c r="H2707" s="52" t="n">
        <v>32</v>
      </c>
      <c r="I2707" s="29">
        <f>IF(OR(COUNTIF('Suivi des rencontres'!$A:$A,$A2707)&gt;0,COUNTIF('Suivi des rencontres'!$C:$C,$J2707)&gt;0),"Non","Oui")</f>
        <v/>
      </c>
      <c r="J2707" s="30" t="inlineStr">
        <is>
          <t>MARCACRIN</t>
        </is>
      </c>
    </row>
    <row r="2708">
      <c r="A2708" s="47" t="inlineStr">
        <is>
          <t>Route de Glace</t>
        </is>
      </c>
      <c r="B2708" s="47" t="inlineStr">
        <is>
          <t>IcePath_B1F_hns</t>
        </is>
      </c>
      <c r="C2708" s="48" t="inlineStr">
        <is>
          <t>Matin, jour, soir</t>
        </is>
      </c>
      <c r="D2708" s="49" t="inlineStr">
        <is>
          <t>Herbe</t>
        </is>
      </c>
      <c r="E2708" s="50" t="inlineStr">
        <is>
          <t>NOSFERALTO</t>
        </is>
      </c>
      <c r="F2708" s="51" t="n">
        <v>0.2</v>
      </c>
      <c r="G2708" s="52" t="n">
        <v>33</v>
      </c>
      <c r="H2708" s="52" t="n">
        <v>33</v>
      </c>
      <c r="I2708" s="29">
        <f>IF(OR(COUNTIF('Suivi des rencontres'!$A:$A,$A2708)&gt;0,COUNTIF('Suivi des rencontres'!$C:$C,$J2708)&gt;0),"Non","Oui")</f>
        <v/>
      </c>
      <c r="J2708" s="30" t="inlineStr">
        <is>
          <t>NOSFERAPTI</t>
        </is>
      </c>
    </row>
    <row r="2709">
      <c r="A2709" s="47" t="inlineStr">
        <is>
          <t>Route de Glace</t>
        </is>
      </c>
      <c r="B2709" s="47" t="inlineStr">
        <is>
          <t>IcePath_B1F_hns</t>
        </is>
      </c>
      <c r="C2709" s="48" t="inlineStr">
        <is>
          <t>Matin, jour, soir</t>
        </is>
      </c>
      <c r="D2709" s="49" t="inlineStr">
        <is>
          <t>Herbe</t>
        </is>
      </c>
      <c r="E2709" s="50" t="inlineStr">
        <is>
          <t>FARFURET</t>
        </is>
      </c>
      <c r="F2709" s="51" t="n">
        <v>0.19</v>
      </c>
      <c r="G2709" s="52" t="n">
        <v>34</v>
      </c>
      <c r="H2709" s="52" t="n">
        <v>34</v>
      </c>
      <c r="I2709" s="29">
        <f>IF(OR(COUNTIF('Suivi des rencontres'!$A:$A,$A2709)&gt;0,COUNTIF('Suivi des rencontres'!$C:$C,$J2709)&gt;0),"Non","Oui")</f>
        <v/>
      </c>
      <c r="J2709" s="30" t="inlineStr">
        <is>
          <t>FARFURET</t>
        </is>
      </c>
    </row>
    <row r="2710">
      <c r="A2710" s="47" t="inlineStr">
        <is>
          <t>Route de Glace</t>
        </is>
      </c>
      <c r="B2710" s="47" t="inlineStr">
        <is>
          <t>IcePath_B1F_hns</t>
        </is>
      </c>
      <c r="C2710" s="62" t="inlineStr">
        <is>
          <t>Nuit</t>
        </is>
      </c>
      <c r="D2710" s="49" t="inlineStr">
        <is>
          <t>Herbe</t>
        </is>
      </c>
      <c r="E2710" s="50" t="inlineStr">
        <is>
          <t>FARFURET</t>
        </is>
      </c>
      <c r="F2710" s="51" t="n">
        <v>0.45</v>
      </c>
      <c r="G2710" s="52" t="n">
        <v>33</v>
      </c>
      <c r="H2710" s="52" t="n">
        <v>34</v>
      </c>
      <c r="I2710" s="29">
        <f>IF(OR(COUNTIF('Suivi des rencontres'!$A:$A,$A2710)&gt;0,COUNTIF('Suivi des rencontres'!$C:$C,$J2710)&gt;0),"Non","Oui")</f>
        <v/>
      </c>
      <c r="J2710" s="30" t="inlineStr">
        <is>
          <t>FARFURET</t>
        </is>
      </c>
    </row>
    <row r="2711">
      <c r="A2711" s="47" t="inlineStr">
        <is>
          <t>Route de Glace</t>
        </is>
      </c>
      <c r="B2711" s="47" t="inlineStr">
        <is>
          <t>IcePath_B1F_hns</t>
        </is>
      </c>
      <c r="C2711" s="62" t="inlineStr">
        <is>
          <t>Nuit</t>
        </is>
      </c>
      <c r="D2711" s="49" t="inlineStr">
        <is>
          <t>Herbe</t>
        </is>
      </c>
      <c r="E2711" s="50" t="inlineStr">
        <is>
          <t>CADOIZO</t>
        </is>
      </c>
      <c r="F2711" s="51" t="n">
        <v>0.35</v>
      </c>
      <c r="G2711" s="52" t="n">
        <v>32</v>
      </c>
      <c r="H2711" s="52" t="n">
        <v>34</v>
      </c>
      <c r="I2711" s="29">
        <f>IF(OR(COUNTIF('Suivi des rencontres'!$A:$A,$A2711)&gt;0,COUNTIF('Suivi des rencontres'!$C:$C,$J2711)&gt;0),"Non","Oui")</f>
        <v/>
      </c>
      <c r="J2711" s="30" t="inlineStr">
        <is>
          <t>CADOIZO</t>
        </is>
      </c>
    </row>
    <row r="2712">
      <c r="A2712" s="47" t="inlineStr">
        <is>
          <t>Route de Glace</t>
        </is>
      </c>
      <c r="B2712" s="47" t="inlineStr">
        <is>
          <t>IcePath_B1F_hns</t>
        </is>
      </c>
      <c r="C2712" s="62" t="inlineStr">
        <is>
          <t>Nuit</t>
        </is>
      </c>
      <c r="D2712" s="49" t="inlineStr">
        <is>
          <t>Herbe</t>
        </is>
      </c>
      <c r="E2712" s="50" t="inlineStr">
        <is>
          <t>NOSFERALTO</t>
        </is>
      </c>
      <c r="F2712" s="51" t="n">
        <v>0.2</v>
      </c>
      <c r="G2712" s="52" t="n">
        <v>32</v>
      </c>
      <c r="H2712" s="52" t="n">
        <v>33</v>
      </c>
      <c r="I2712" s="29">
        <f>IF(OR(COUNTIF('Suivi des rencontres'!$A:$A,$A2712)&gt;0,COUNTIF('Suivi des rencontres'!$C:$C,$J2712)&gt;0),"Non","Oui")</f>
        <v/>
      </c>
      <c r="J2712" s="30" t="inlineStr">
        <is>
          <t>NOSFERAPTI</t>
        </is>
      </c>
    </row>
    <row r="2713">
      <c r="A2713" s="47" t="inlineStr">
        <is>
          <t>Route de Glace</t>
        </is>
      </c>
      <c r="B2713" s="47" t="inlineStr">
        <is>
          <t>IcePath_B2F_hns</t>
        </is>
      </c>
      <c r="C2713" s="48" t="inlineStr">
        <is>
          <t>Matin, jour, soir</t>
        </is>
      </c>
      <c r="D2713" s="49" t="inlineStr">
        <is>
          <t>Herbe</t>
        </is>
      </c>
      <c r="E2713" s="50" t="inlineStr">
        <is>
          <t>LIPPOUTOU</t>
        </is>
      </c>
      <c r="F2713" s="51" t="n">
        <v>0.31</v>
      </c>
      <c r="G2713" s="52" t="n">
        <v>33</v>
      </c>
      <c r="H2713" s="52" t="n">
        <v>33</v>
      </c>
      <c r="I2713" s="29">
        <f>IF(OR(COUNTIF('Suivi des rencontres'!$A:$A,$A2713)&gt;0,COUNTIF('Suivi des rencontres'!$C:$C,$J2713)&gt;0),"Non","Oui")</f>
        <v/>
      </c>
      <c r="J2713" s="30" t="inlineStr">
        <is>
          <t>LIPPOUTI</t>
        </is>
      </c>
    </row>
    <row r="2714">
      <c r="A2714" s="47" t="inlineStr">
        <is>
          <t>Route de Glace</t>
        </is>
      </c>
      <c r="B2714" s="47" t="inlineStr">
        <is>
          <t>IcePath_B2F_hns</t>
        </is>
      </c>
      <c r="C2714" s="48" t="inlineStr">
        <is>
          <t>Matin, jour, soir</t>
        </is>
      </c>
      <c r="D2714" s="49" t="inlineStr">
        <is>
          <t>Herbe</t>
        </is>
      </c>
      <c r="E2714" s="50" t="inlineStr">
        <is>
          <t>MARCACRIN</t>
        </is>
      </c>
      <c r="F2714" s="51" t="n">
        <v>0.3</v>
      </c>
      <c r="G2714" s="52" t="n">
        <v>32</v>
      </c>
      <c r="H2714" s="52" t="n">
        <v>32</v>
      </c>
      <c r="I2714" s="29">
        <f>IF(OR(COUNTIF('Suivi des rencontres'!$A:$A,$A2714)&gt;0,COUNTIF('Suivi des rencontres'!$C:$C,$J2714)&gt;0),"Non","Oui")</f>
        <v/>
      </c>
      <c r="J2714" s="30" t="inlineStr">
        <is>
          <t>MARCACRIN</t>
        </is>
      </c>
    </row>
    <row r="2715">
      <c r="A2715" s="47" t="inlineStr">
        <is>
          <t>Route de Glace</t>
        </is>
      </c>
      <c r="B2715" s="47" t="inlineStr">
        <is>
          <t>IcePath_B2F_hns</t>
        </is>
      </c>
      <c r="C2715" s="48" t="inlineStr">
        <is>
          <t>Matin, jour, soir</t>
        </is>
      </c>
      <c r="D2715" s="49" t="inlineStr">
        <is>
          <t>Herbe</t>
        </is>
      </c>
      <c r="E2715" s="50" t="inlineStr">
        <is>
          <t>NOSFERALTO</t>
        </is>
      </c>
      <c r="F2715" s="51" t="n">
        <v>0.2</v>
      </c>
      <c r="G2715" s="52" t="n">
        <v>33</v>
      </c>
      <c r="H2715" s="52" t="n">
        <v>33</v>
      </c>
      <c r="I2715" s="29">
        <f>IF(OR(COUNTIF('Suivi des rencontres'!$A:$A,$A2715)&gt;0,COUNTIF('Suivi des rencontres'!$C:$C,$J2715)&gt;0),"Non","Oui")</f>
        <v/>
      </c>
      <c r="J2715" s="30" t="inlineStr">
        <is>
          <t>NOSFERAPTI</t>
        </is>
      </c>
    </row>
    <row r="2716">
      <c r="A2716" s="47" t="inlineStr">
        <is>
          <t>Route de Glace</t>
        </is>
      </c>
      <c r="B2716" s="47" t="inlineStr">
        <is>
          <t>IcePath_B2F_hns</t>
        </is>
      </c>
      <c r="C2716" s="48" t="inlineStr">
        <is>
          <t>Matin, jour, soir</t>
        </is>
      </c>
      <c r="D2716" s="49" t="inlineStr">
        <is>
          <t>Herbe</t>
        </is>
      </c>
      <c r="E2716" s="50" t="inlineStr">
        <is>
          <t>FARFURET</t>
        </is>
      </c>
      <c r="F2716" s="51" t="n">
        <v>0.19</v>
      </c>
      <c r="G2716" s="52" t="n">
        <v>34</v>
      </c>
      <c r="H2716" s="52" t="n">
        <v>34</v>
      </c>
      <c r="I2716" s="29">
        <f>IF(OR(COUNTIF('Suivi des rencontres'!$A:$A,$A2716)&gt;0,COUNTIF('Suivi des rencontres'!$C:$C,$J2716)&gt;0),"Non","Oui")</f>
        <v/>
      </c>
      <c r="J2716" s="30" t="inlineStr">
        <is>
          <t>FARFURET</t>
        </is>
      </c>
    </row>
    <row r="2717">
      <c r="A2717" s="47" t="inlineStr">
        <is>
          <t>Route de Glace</t>
        </is>
      </c>
      <c r="B2717" s="47" t="inlineStr">
        <is>
          <t>IcePath_B2F_hns</t>
        </is>
      </c>
      <c r="C2717" s="62" t="inlineStr">
        <is>
          <t>Nuit</t>
        </is>
      </c>
      <c r="D2717" s="49" t="inlineStr">
        <is>
          <t>Herbe</t>
        </is>
      </c>
      <c r="E2717" s="50" t="inlineStr">
        <is>
          <t>FARFURET</t>
        </is>
      </c>
      <c r="F2717" s="51" t="n">
        <v>0.49</v>
      </c>
      <c r="G2717" s="52" t="n">
        <v>33</v>
      </c>
      <c r="H2717" s="52" t="n">
        <v>34</v>
      </c>
      <c r="I2717" s="29">
        <f>IF(OR(COUNTIF('Suivi des rencontres'!$A:$A,$A2717)&gt;0,COUNTIF('Suivi des rencontres'!$C:$C,$J2717)&gt;0),"Non","Oui")</f>
        <v/>
      </c>
      <c r="J2717" s="30" t="inlineStr">
        <is>
          <t>FARFURET</t>
        </is>
      </c>
    </row>
    <row r="2718">
      <c r="A2718" s="47" t="inlineStr">
        <is>
          <t>Route de Glace</t>
        </is>
      </c>
      <c r="B2718" s="47" t="inlineStr">
        <is>
          <t>IcePath_B2F_hns</t>
        </is>
      </c>
      <c r="C2718" s="62" t="inlineStr">
        <is>
          <t>Nuit</t>
        </is>
      </c>
      <c r="D2718" s="49" t="inlineStr">
        <is>
          <t>Herbe</t>
        </is>
      </c>
      <c r="E2718" s="50" t="inlineStr">
        <is>
          <t>CADOIZO</t>
        </is>
      </c>
      <c r="F2718" s="51" t="n">
        <v>0.31</v>
      </c>
      <c r="G2718" s="52" t="n">
        <v>32</v>
      </c>
      <c r="H2718" s="52" t="n">
        <v>34</v>
      </c>
      <c r="I2718" s="29">
        <f>IF(OR(COUNTIF('Suivi des rencontres'!$A:$A,$A2718)&gt;0,COUNTIF('Suivi des rencontres'!$C:$C,$J2718)&gt;0),"Non","Oui")</f>
        <v/>
      </c>
      <c r="J2718" s="30" t="inlineStr">
        <is>
          <t>CADOIZO</t>
        </is>
      </c>
    </row>
    <row r="2719">
      <c r="A2719" s="47" t="inlineStr">
        <is>
          <t>Route de Glace</t>
        </is>
      </c>
      <c r="B2719" s="47" t="inlineStr">
        <is>
          <t>IcePath_B2F_hns</t>
        </is>
      </c>
      <c r="C2719" s="62" t="inlineStr">
        <is>
          <t>Nuit</t>
        </is>
      </c>
      <c r="D2719" s="49" t="inlineStr">
        <is>
          <t>Herbe</t>
        </is>
      </c>
      <c r="E2719" s="50" t="inlineStr">
        <is>
          <t>NOSFERALTO</t>
        </is>
      </c>
      <c r="F2719" s="51" t="n">
        <v>0.2</v>
      </c>
      <c r="G2719" s="52" t="n">
        <v>32</v>
      </c>
      <c r="H2719" s="52" t="n">
        <v>33</v>
      </c>
      <c r="I2719" s="29">
        <f>IF(OR(COUNTIF('Suivi des rencontres'!$A:$A,$A2719)&gt;0,COUNTIF('Suivi des rencontres'!$C:$C,$J2719)&gt;0),"Non","Oui")</f>
        <v/>
      </c>
      <c r="J2719" s="30" t="inlineStr">
        <is>
          <t>NOSFERAPTI</t>
        </is>
      </c>
    </row>
    <row r="2720">
      <c r="A2720" s="47" t="inlineStr">
        <is>
          <t>Route de Glace</t>
        </is>
      </c>
      <c r="B2720" s="47" t="inlineStr">
        <is>
          <t>IcePath_B3F_hns</t>
        </is>
      </c>
      <c r="C2720" s="48" t="inlineStr">
        <is>
          <t>Matin, jour, soir</t>
        </is>
      </c>
      <c r="D2720" s="49" t="inlineStr">
        <is>
          <t>Herbe</t>
        </is>
      </c>
      <c r="E2720" s="50" t="inlineStr">
        <is>
          <t>FARFURET</t>
        </is>
      </c>
      <c r="F2720" s="51" t="n">
        <v>0.34</v>
      </c>
      <c r="G2720" s="52" t="n">
        <v>34</v>
      </c>
      <c r="H2720" s="52" t="n">
        <v>34</v>
      </c>
      <c r="I2720" s="29">
        <f>IF(OR(COUNTIF('Suivi des rencontres'!$A:$A,$A2720)&gt;0,COUNTIF('Suivi des rencontres'!$C:$C,$J2720)&gt;0),"Non","Oui")</f>
        <v/>
      </c>
      <c r="J2720" s="30" t="inlineStr">
        <is>
          <t>FARFURET</t>
        </is>
      </c>
    </row>
    <row r="2721">
      <c r="A2721" s="47" t="inlineStr">
        <is>
          <t>Route de Glace</t>
        </is>
      </c>
      <c r="B2721" s="47" t="inlineStr">
        <is>
          <t>IcePath_B3F_hns</t>
        </is>
      </c>
      <c r="C2721" s="48" t="inlineStr">
        <is>
          <t>Matin, jour, soir</t>
        </is>
      </c>
      <c r="D2721" s="49" t="inlineStr">
        <is>
          <t>Herbe</t>
        </is>
      </c>
      <c r="E2721" s="50" t="inlineStr">
        <is>
          <t>LIPPOUTOU</t>
        </is>
      </c>
      <c r="F2721" s="51" t="n">
        <v>0.31</v>
      </c>
      <c r="G2721" s="52" t="n">
        <v>32</v>
      </c>
      <c r="H2721" s="52" t="n">
        <v>36</v>
      </c>
      <c r="I2721" s="29">
        <f>IF(OR(COUNTIF('Suivi des rencontres'!$A:$A,$A2721)&gt;0,COUNTIF('Suivi des rencontres'!$C:$C,$J2721)&gt;0),"Non","Oui")</f>
        <v/>
      </c>
      <c r="J2721" s="30" t="inlineStr">
        <is>
          <t>LIPPOUTI</t>
        </is>
      </c>
    </row>
    <row r="2722">
      <c r="A2722" s="47" t="inlineStr">
        <is>
          <t>Route de Glace</t>
        </is>
      </c>
      <c r="B2722" s="47" t="inlineStr">
        <is>
          <t>IcePath_B3F_hns</t>
        </is>
      </c>
      <c r="C2722" s="48" t="inlineStr">
        <is>
          <t>Matin, jour, soir</t>
        </is>
      </c>
      <c r="D2722" s="49" t="inlineStr">
        <is>
          <t>Herbe</t>
        </is>
      </c>
      <c r="E2722" s="50" t="inlineStr">
        <is>
          <t>MARCACRIN</t>
        </is>
      </c>
      <c r="F2722" s="51" t="n">
        <v>0.2</v>
      </c>
      <c r="G2722" s="52" t="n">
        <v>36</v>
      </c>
      <c r="H2722" s="52" t="n">
        <v>36</v>
      </c>
      <c r="I2722" s="29">
        <f>IF(OR(COUNTIF('Suivi des rencontres'!$A:$A,$A2722)&gt;0,COUNTIF('Suivi des rencontres'!$C:$C,$J2722)&gt;0),"Non","Oui")</f>
        <v/>
      </c>
      <c r="J2722" s="30" t="inlineStr">
        <is>
          <t>MARCACRIN</t>
        </is>
      </c>
    </row>
    <row r="2723">
      <c r="A2723" s="47" t="inlineStr">
        <is>
          <t>Route de Glace</t>
        </is>
      </c>
      <c r="B2723" s="47" t="inlineStr">
        <is>
          <t>IcePath_B3F_hns</t>
        </is>
      </c>
      <c r="C2723" s="48" t="inlineStr">
        <is>
          <t>Matin, jour, soir</t>
        </is>
      </c>
      <c r="D2723" s="49" t="inlineStr">
        <is>
          <t>Herbe</t>
        </is>
      </c>
      <c r="E2723" s="50" t="inlineStr">
        <is>
          <t>NOSFERALTO</t>
        </is>
      </c>
      <c r="F2723" s="51" t="n">
        <v>0.15</v>
      </c>
      <c r="G2723" s="52" t="n">
        <v>35</v>
      </c>
      <c r="H2723" s="52" t="n">
        <v>35</v>
      </c>
      <c r="I2723" s="29">
        <f>IF(OR(COUNTIF('Suivi des rencontres'!$A:$A,$A2723)&gt;0,COUNTIF('Suivi des rencontres'!$C:$C,$J2723)&gt;0),"Non","Oui")</f>
        <v/>
      </c>
      <c r="J2723" s="30" t="inlineStr">
        <is>
          <t>NOSFERAPTI</t>
        </is>
      </c>
    </row>
    <row r="2724">
      <c r="A2724" s="47" t="inlineStr">
        <is>
          <t>Route de Glace</t>
        </is>
      </c>
      <c r="B2724" s="47" t="inlineStr">
        <is>
          <t>IcePath_B3F_hns</t>
        </is>
      </c>
      <c r="C2724" s="62" t="inlineStr">
        <is>
          <t>Nuit</t>
        </is>
      </c>
      <c r="D2724" s="49" t="inlineStr">
        <is>
          <t>Herbe</t>
        </is>
      </c>
      <c r="E2724" s="50" t="inlineStr">
        <is>
          <t>FARFURET</t>
        </is>
      </c>
      <c r="F2724" s="51" t="n">
        <v>0.34</v>
      </c>
      <c r="G2724" s="52" t="n">
        <v>32</v>
      </c>
      <c r="H2724" s="52" t="n">
        <v>36</v>
      </c>
      <c r="I2724" s="29">
        <f>IF(OR(COUNTIF('Suivi des rencontres'!$A:$A,$A2724)&gt;0,COUNTIF('Suivi des rencontres'!$C:$C,$J2724)&gt;0),"Non","Oui")</f>
        <v/>
      </c>
      <c r="J2724" s="30" t="inlineStr">
        <is>
          <t>FARFURET</t>
        </is>
      </c>
    </row>
    <row r="2725">
      <c r="A2725" s="47" t="inlineStr">
        <is>
          <t>Route de Glace</t>
        </is>
      </c>
      <c r="B2725" s="47" t="inlineStr">
        <is>
          <t>IcePath_B3F_hns</t>
        </is>
      </c>
      <c r="C2725" s="62" t="inlineStr">
        <is>
          <t>Nuit</t>
        </is>
      </c>
      <c r="D2725" s="49" t="inlineStr">
        <is>
          <t>Herbe</t>
        </is>
      </c>
      <c r="E2725" s="50" t="inlineStr">
        <is>
          <t>LIPPOUTOU</t>
        </is>
      </c>
      <c r="F2725" s="51" t="n">
        <v>0.31</v>
      </c>
      <c r="G2725" s="52" t="n">
        <v>35</v>
      </c>
      <c r="H2725" s="52" t="n">
        <v>35</v>
      </c>
      <c r="I2725" s="29">
        <f>IF(OR(COUNTIF('Suivi des rencontres'!$A:$A,$A2725)&gt;0,COUNTIF('Suivi des rencontres'!$C:$C,$J2725)&gt;0),"Non","Oui")</f>
        <v/>
      </c>
      <c r="J2725" s="30" t="inlineStr">
        <is>
          <t>LIPPOUTI</t>
        </is>
      </c>
    </row>
    <row r="2726">
      <c r="A2726" s="47" t="inlineStr">
        <is>
          <t>Route de Glace</t>
        </is>
      </c>
      <c r="B2726" s="47" t="inlineStr">
        <is>
          <t>IcePath_B3F_hns</t>
        </is>
      </c>
      <c r="C2726" s="62" t="inlineStr">
        <is>
          <t>Nuit</t>
        </is>
      </c>
      <c r="D2726" s="49" t="inlineStr">
        <is>
          <t>Herbe</t>
        </is>
      </c>
      <c r="E2726" s="50" t="inlineStr">
        <is>
          <t>CADOIZO</t>
        </is>
      </c>
      <c r="F2726" s="51" t="n">
        <v>0.2</v>
      </c>
      <c r="G2726" s="52" t="n">
        <v>36</v>
      </c>
      <c r="H2726" s="52" t="n">
        <v>36</v>
      </c>
      <c r="I2726" s="29">
        <f>IF(OR(COUNTIF('Suivi des rencontres'!$A:$A,$A2726)&gt;0,COUNTIF('Suivi des rencontres'!$C:$C,$J2726)&gt;0),"Non","Oui")</f>
        <v/>
      </c>
      <c r="J2726" s="30" t="inlineStr">
        <is>
          <t>CADOIZO</t>
        </is>
      </c>
    </row>
    <row r="2727">
      <c r="A2727" s="47" t="inlineStr">
        <is>
          <t>Route de Glace</t>
        </is>
      </c>
      <c r="B2727" s="47" t="inlineStr">
        <is>
          <t>IcePath_B3F_hns</t>
        </is>
      </c>
      <c r="C2727" s="62" t="inlineStr">
        <is>
          <t>Nuit</t>
        </is>
      </c>
      <c r="D2727" s="49" t="inlineStr">
        <is>
          <t>Herbe</t>
        </is>
      </c>
      <c r="E2727" s="50" t="inlineStr">
        <is>
          <t>NOSFERALTO</t>
        </is>
      </c>
      <c r="F2727" s="51" t="n">
        <v>0.15</v>
      </c>
      <c r="G2727" s="52" t="n">
        <v>35</v>
      </c>
      <c r="H2727" s="52" t="n">
        <v>35</v>
      </c>
      <c r="I2727" s="29">
        <f>IF(OR(COUNTIF('Suivi des rencontres'!$A:$A,$A2727)&gt;0,COUNTIF('Suivi des rencontres'!$C:$C,$J2727)&gt;0),"Non","Oui")</f>
        <v/>
      </c>
      <c r="J2727" s="30" t="inlineStr">
        <is>
          <t>NOSFERAPTI</t>
        </is>
      </c>
    </row>
    <row r="2728">
      <c r="A2728" s="47" t="inlineStr">
        <is>
          <t>Route de Glace</t>
        </is>
      </c>
      <c r="B2728" s="47" t="inlineStr">
        <is>
          <t>IcePath_B4F_hns</t>
        </is>
      </c>
      <c r="C2728" s="48" t="inlineStr">
        <is>
          <t>Matin, jour, soir</t>
        </is>
      </c>
      <c r="D2728" s="49" t="inlineStr">
        <is>
          <t>Herbe</t>
        </is>
      </c>
      <c r="E2728" s="50" t="inlineStr">
        <is>
          <t>FARFURET</t>
        </is>
      </c>
      <c r="F2728" s="51" t="n">
        <v>0.34</v>
      </c>
      <c r="G2728" s="52" t="n">
        <v>34</v>
      </c>
      <c r="H2728" s="52" t="n">
        <v>34</v>
      </c>
      <c r="I2728" s="29">
        <f>IF(OR(COUNTIF('Suivi des rencontres'!$A:$A,$A2728)&gt;0,COUNTIF('Suivi des rencontres'!$C:$C,$J2728)&gt;0),"Non","Oui")</f>
        <v/>
      </c>
      <c r="J2728" s="30" t="inlineStr">
        <is>
          <t>FARFURET</t>
        </is>
      </c>
    </row>
    <row r="2729">
      <c r="A2729" s="47" t="inlineStr">
        <is>
          <t>Route de Glace</t>
        </is>
      </c>
      <c r="B2729" s="47" t="inlineStr">
        <is>
          <t>IcePath_B4F_hns</t>
        </is>
      </c>
      <c r="C2729" s="48" t="inlineStr">
        <is>
          <t>Matin, jour, soir</t>
        </is>
      </c>
      <c r="D2729" s="49" t="inlineStr">
        <is>
          <t>Herbe</t>
        </is>
      </c>
      <c r="E2729" s="50" t="inlineStr">
        <is>
          <t>LIPPOUTOU</t>
        </is>
      </c>
      <c r="F2729" s="51" t="n">
        <v>0.31</v>
      </c>
      <c r="G2729" s="52" t="n">
        <v>32</v>
      </c>
      <c r="H2729" s="52" t="n">
        <v>36</v>
      </c>
      <c r="I2729" s="29">
        <f>IF(OR(COUNTIF('Suivi des rencontres'!$A:$A,$A2729)&gt;0,COUNTIF('Suivi des rencontres'!$C:$C,$J2729)&gt;0),"Non","Oui")</f>
        <v/>
      </c>
      <c r="J2729" s="30" t="inlineStr">
        <is>
          <t>LIPPOUTI</t>
        </is>
      </c>
    </row>
    <row r="2730">
      <c r="A2730" s="47" t="inlineStr">
        <is>
          <t>Route de Glace</t>
        </is>
      </c>
      <c r="B2730" s="47" t="inlineStr">
        <is>
          <t>IcePath_B4F_hns</t>
        </is>
      </c>
      <c r="C2730" s="48" t="inlineStr">
        <is>
          <t>Matin, jour, soir</t>
        </is>
      </c>
      <c r="D2730" s="49" t="inlineStr">
        <is>
          <t>Herbe</t>
        </is>
      </c>
      <c r="E2730" s="50" t="inlineStr">
        <is>
          <t>MARCACRIN</t>
        </is>
      </c>
      <c r="F2730" s="51" t="n">
        <v>0.2</v>
      </c>
      <c r="G2730" s="52" t="n">
        <v>36</v>
      </c>
      <c r="H2730" s="52" t="n">
        <v>36</v>
      </c>
      <c r="I2730" s="29">
        <f>IF(OR(COUNTIF('Suivi des rencontres'!$A:$A,$A2730)&gt;0,COUNTIF('Suivi des rencontres'!$C:$C,$J2730)&gt;0),"Non","Oui")</f>
        <v/>
      </c>
      <c r="J2730" s="30" t="inlineStr">
        <is>
          <t>MARCACRIN</t>
        </is>
      </c>
    </row>
    <row r="2731">
      <c r="A2731" s="47" t="inlineStr">
        <is>
          <t>Route de Glace</t>
        </is>
      </c>
      <c r="B2731" s="47" t="inlineStr">
        <is>
          <t>IcePath_B4F_hns</t>
        </is>
      </c>
      <c r="C2731" s="48" t="inlineStr">
        <is>
          <t>Matin, jour, soir</t>
        </is>
      </c>
      <c r="D2731" s="49" t="inlineStr">
        <is>
          <t>Herbe</t>
        </is>
      </c>
      <c r="E2731" s="50" t="inlineStr">
        <is>
          <t>NOSFERALTO</t>
        </is>
      </c>
      <c r="F2731" s="51" t="n">
        <v>0.15</v>
      </c>
      <c r="G2731" s="52" t="n">
        <v>35</v>
      </c>
      <c r="H2731" s="52" t="n">
        <v>35</v>
      </c>
      <c r="I2731" s="29">
        <f>IF(OR(COUNTIF('Suivi des rencontres'!$A:$A,$A2731)&gt;0,COUNTIF('Suivi des rencontres'!$C:$C,$J2731)&gt;0),"Non","Oui")</f>
        <v/>
      </c>
      <c r="J2731" s="30" t="inlineStr">
        <is>
          <t>NOSFERAPTI</t>
        </is>
      </c>
    </row>
    <row r="2732">
      <c r="A2732" s="47" t="inlineStr">
        <is>
          <t>Route de Glace</t>
        </is>
      </c>
      <c r="B2732" s="47" t="inlineStr">
        <is>
          <t>IcePath_B4F_hns</t>
        </is>
      </c>
      <c r="C2732" s="62" t="inlineStr">
        <is>
          <t>Nuit</t>
        </is>
      </c>
      <c r="D2732" s="49" t="inlineStr">
        <is>
          <t>Herbe</t>
        </is>
      </c>
      <c r="E2732" s="50" t="inlineStr">
        <is>
          <t>FARFURET</t>
        </is>
      </c>
      <c r="F2732" s="51" t="n">
        <v>0.34</v>
      </c>
      <c r="G2732" s="52" t="n">
        <v>32</v>
      </c>
      <c r="H2732" s="52" t="n">
        <v>36</v>
      </c>
      <c r="I2732" s="29">
        <f>IF(OR(COUNTIF('Suivi des rencontres'!$A:$A,$A2732)&gt;0,COUNTIF('Suivi des rencontres'!$C:$C,$J2732)&gt;0),"Non","Oui")</f>
        <v/>
      </c>
      <c r="J2732" s="30" t="inlineStr">
        <is>
          <t>FARFURET</t>
        </is>
      </c>
    </row>
    <row r="2733">
      <c r="A2733" s="47" t="inlineStr">
        <is>
          <t>Route de Glace</t>
        </is>
      </c>
      <c r="B2733" s="47" t="inlineStr">
        <is>
          <t>IcePath_B4F_hns</t>
        </is>
      </c>
      <c r="C2733" s="62" t="inlineStr">
        <is>
          <t>Nuit</t>
        </is>
      </c>
      <c r="D2733" s="49" t="inlineStr">
        <is>
          <t>Herbe</t>
        </is>
      </c>
      <c r="E2733" s="50" t="inlineStr">
        <is>
          <t>LIPPOUTOU</t>
        </is>
      </c>
      <c r="F2733" s="51" t="n">
        <v>0.31</v>
      </c>
      <c r="G2733" s="52" t="n">
        <v>35</v>
      </c>
      <c r="H2733" s="52" t="n">
        <v>35</v>
      </c>
      <c r="I2733" s="29">
        <f>IF(OR(COUNTIF('Suivi des rencontres'!$A:$A,$A2733)&gt;0,COUNTIF('Suivi des rencontres'!$C:$C,$J2733)&gt;0),"Non","Oui")</f>
        <v/>
      </c>
      <c r="J2733" s="30" t="inlineStr">
        <is>
          <t>LIPPOUTI</t>
        </is>
      </c>
    </row>
    <row r="2734">
      <c r="A2734" s="47" t="inlineStr">
        <is>
          <t>Route de Glace</t>
        </is>
      </c>
      <c r="B2734" s="47" t="inlineStr">
        <is>
          <t>IcePath_B4F_hns</t>
        </is>
      </c>
      <c r="C2734" s="62" t="inlineStr">
        <is>
          <t>Nuit</t>
        </is>
      </c>
      <c r="D2734" s="49" t="inlineStr">
        <is>
          <t>Herbe</t>
        </is>
      </c>
      <c r="E2734" s="50" t="inlineStr">
        <is>
          <t>CADOIZO</t>
        </is>
      </c>
      <c r="F2734" s="51" t="n">
        <v>0.2</v>
      </c>
      <c r="G2734" s="52" t="n">
        <v>36</v>
      </c>
      <c r="H2734" s="52" t="n">
        <v>36</v>
      </c>
      <c r="I2734" s="29">
        <f>IF(OR(COUNTIF('Suivi des rencontres'!$A:$A,$A2734)&gt;0,COUNTIF('Suivi des rencontres'!$C:$C,$J2734)&gt;0),"Non","Oui")</f>
        <v/>
      </c>
      <c r="J2734" s="30" t="inlineStr">
        <is>
          <t>CADOIZO</t>
        </is>
      </c>
    </row>
    <row r="2735">
      <c r="A2735" s="47" t="inlineStr">
        <is>
          <t>Route de Glace</t>
        </is>
      </c>
      <c r="B2735" s="47" t="inlineStr">
        <is>
          <t>IcePath_B4F_hns</t>
        </is>
      </c>
      <c r="C2735" s="62" t="inlineStr">
        <is>
          <t>Nuit</t>
        </is>
      </c>
      <c r="D2735" s="49" t="inlineStr">
        <is>
          <t>Herbe</t>
        </is>
      </c>
      <c r="E2735" s="50" t="inlineStr">
        <is>
          <t>NOSFERALTO</t>
        </is>
      </c>
      <c r="F2735" s="51" t="n">
        <v>0.15</v>
      </c>
      <c r="G2735" s="52" t="n">
        <v>35</v>
      </c>
      <c r="H2735" s="52" t="n">
        <v>35</v>
      </c>
      <c r="I2735" s="29">
        <f>IF(OR(COUNTIF('Suivi des rencontres'!$A:$A,$A2735)&gt;0,COUNTIF('Suivi des rencontres'!$C:$C,$J2735)&gt;0),"Non","Oui")</f>
        <v/>
      </c>
      <c r="J2735" s="30" t="inlineStr">
        <is>
          <t>NOSFERAPTI</t>
        </is>
      </c>
    </row>
    <row r="2736">
      <c r="A2736" s="57" t="inlineStr">
        <is>
          <t>Ruines Sinjoh</t>
        </is>
      </c>
      <c r="B2736" s="57" t="inlineStr">
        <is>
          <t>SinjohRuins_RegiceRoom_hns</t>
        </is>
      </c>
      <c r="C2736" s="58" t="inlineStr">
        <is>
          <t>Toute la journée</t>
        </is>
      </c>
      <c r="D2736" s="42" t="inlineStr">
        <is>
          <t>Herbe</t>
        </is>
      </c>
      <c r="E2736" s="59" t="inlineStr">
        <is>
          <t>ZARBI</t>
        </is>
      </c>
      <c r="F2736" s="60" t="n">
        <v>0.25</v>
      </c>
      <c r="G2736" s="61" t="n">
        <v>5</v>
      </c>
      <c r="H2736" s="61" t="n">
        <v>5</v>
      </c>
      <c r="I2736" s="46">
        <f>IF(OR(COUNTIF('Suivi des rencontres'!$A:$A,$A2736)&gt;0,COUNTIF('Suivi des rencontres'!$C:$C,$J2736)&gt;0),"Non","Oui")</f>
        <v/>
      </c>
      <c r="J2736" s="30" t="inlineStr">
        <is>
          <t>ZARBI</t>
        </is>
      </c>
    </row>
    <row r="2737">
      <c r="A2737" s="35" t="inlineStr">
        <is>
          <t>Ruines Sinjoh</t>
        </is>
      </c>
      <c r="B2737" s="35" t="inlineStr">
        <is>
          <t>SinjohRuins_RegiceRoom_hns</t>
        </is>
      </c>
      <c r="C2737" s="33" t="inlineStr">
        <is>
          <t>Toute la journée</t>
        </is>
      </c>
      <c r="D2737" s="49" t="inlineStr">
        <is>
          <t>Herbe</t>
        </is>
      </c>
      <c r="E2737" s="37" t="inlineStr">
        <is>
          <t>ZARBI</t>
        </is>
      </c>
      <c r="F2737" s="38" t="n">
        <v>0.2</v>
      </c>
      <c r="G2737" s="39" t="n">
        <v>5</v>
      </c>
      <c r="H2737" s="39" t="n">
        <v>5</v>
      </c>
      <c r="I2737" s="29">
        <f>IF(OR(COUNTIF('Suivi des rencontres'!$A:$A,$A2737)&gt;0,COUNTIF('Suivi des rencontres'!$C:$C,$J2737)&gt;0),"Non","Oui")</f>
        <v/>
      </c>
      <c r="J2737" s="30" t="inlineStr">
        <is>
          <t>ZARBI</t>
        </is>
      </c>
    </row>
    <row r="2738">
      <c r="A2738" s="35" t="inlineStr">
        <is>
          <t>Ruines Sinjoh</t>
        </is>
      </c>
      <c r="B2738" s="35" t="inlineStr">
        <is>
          <t>SinjohRuins_RegiceRoom_hns</t>
        </is>
      </c>
      <c r="C2738" s="33" t="inlineStr">
        <is>
          <t>Toute la journée</t>
        </is>
      </c>
      <c r="D2738" s="49" t="inlineStr">
        <is>
          <t>Herbe</t>
        </is>
      </c>
      <c r="E2738" s="37" t="inlineStr">
        <is>
          <t>ZARBI</t>
        </is>
      </c>
      <c r="F2738" s="38" t="n">
        <v>0.14</v>
      </c>
      <c r="G2738" s="39" t="n">
        <v>5</v>
      </c>
      <c r="H2738" s="39" t="n">
        <v>5</v>
      </c>
      <c r="I2738" s="29">
        <f>IF(OR(COUNTIF('Suivi des rencontres'!$A:$A,$A2738)&gt;0,COUNTIF('Suivi des rencontres'!$C:$C,$J2738)&gt;0),"Non","Oui")</f>
        <v/>
      </c>
      <c r="J2738" s="30" t="inlineStr">
        <is>
          <t>ZARBI</t>
        </is>
      </c>
    </row>
    <row r="2739">
      <c r="A2739" s="35" t="inlineStr">
        <is>
          <t>Ruines Sinjoh</t>
        </is>
      </c>
      <c r="B2739" s="35" t="inlineStr">
        <is>
          <t>SinjohRuins_RegiceRoom_hns</t>
        </is>
      </c>
      <c r="C2739" s="33" t="inlineStr">
        <is>
          <t>Toute la journée</t>
        </is>
      </c>
      <c r="D2739" s="49" t="inlineStr">
        <is>
          <t>Herbe</t>
        </is>
      </c>
      <c r="E2739" s="37" t="inlineStr">
        <is>
          <t>ZARBI</t>
        </is>
      </c>
      <c r="F2739" s="38" t="n">
        <v>0.1</v>
      </c>
      <c r="G2739" s="39" t="n">
        <v>5</v>
      </c>
      <c r="H2739" s="39" t="n">
        <v>5</v>
      </c>
      <c r="I2739" s="29">
        <f>IF(OR(COUNTIF('Suivi des rencontres'!$A:$A,$A2739)&gt;0,COUNTIF('Suivi des rencontres'!$C:$C,$J2739)&gt;0),"Non","Oui")</f>
        <v/>
      </c>
      <c r="J2739" s="30" t="inlineStr">
        <is>
          <t>ZARBI</t>
        </is>
      </c>
    </row>
    <row r="2740">
      <c r="A2740" s="35" t="inlineStr">
        <is>
          <t>Ruines Sinjoh</t>
        </is>
      </c>
      <c r="B2740" s="35" t="inlineStr">
        <is>
          <t>SinjohRuins_RegiceRoom_hns</t>
        </is>
      </c>
      <c r="C2740" s="33" t="inlineStr">
        <is>
          <t>Toute la journée</t>
        </is>
      </c>
      <c r="D2740" s="49" t="inlineStr">
        <is>
          <t>Herbe</t>
        </is>
      </c>
      <c r="E2740" s="37" t="inlineStr">
        <is>
          <t>ZARBI</t>
        </is>
      </c>
      <c r="F2740" s="38" t="n">
        <v>0.1</v>
      </c>
      <c r="G2740" s="39" t="n">
        <v>5</v>
      </c>
      <c r="H2740" s="39" t="n">
        <v>5</v>
      </c>
      <c r="I2740" s="29">
        <f>IF(OR(COUNTIF('Suivi des rencontres'!$A:$A,$A2740)&gt;0,COUNTIF('Suivi des rencontres'!$C:$C,$J2740)&gt;0),"Non","Oui")</f>
        <v/>
      </c>
      <c r="J2740" s="30" t="inlineStr">
        <is>
          <t>ZARBI</t>
        </is>
      </c>
    </row>
    <row r="2741">
      <c r="A2741" s="35" t="inlineStr">
        <is>
          <t>Ruines Sinjoh</t>
        </is>
      </c>
      <c r="B2741" s="35" t="inlineStr">
        <is>
          <t>SinjohRuins_RegiceRoom_hns</t>
        </is>
      </c>
      <c r="C2741" s="33" t="inlineStr">
        <is>
          <t>Toute la journée</t>
        </is>
      </c>
      <c r="D2741" s="49" t="inlineStr">
        <is>
          <t>Herbe</t>
        </is>
      </c>
      <c r="E2741" s="37" t="inlineStr">
        <is>
          <t>ZARBI</t>
        </is>
      </c>
      <c r="F2741" s="38" t="n">
        <v>0.1</v>
      </c>
      <c r="G2741" s="39" t="n">
        <v>5</v>
      </c>
      <c r="H2741" s="39" t="n">
        <v>5</v>
      </c>
      <c r="I2741" s="29">
        <f>IF(OR(COUNTIF('Suivi des rencontres'!$A:$A,$A2741)&gt;0,COUNTIF('Suivi des rencontres'!$C:$C,$J2741)&gt;0),"Non","Oui")</f>
        <v/>
      </c>
      <c r="J2741" s="30" t="inlineStr">
        <is>
          <t>ZARBI</t>
        </is>
      </c>
    </row>
    <row r="2742">
      <c r="A2742" s="35" t="inlineStr">
        <is>
          <t>Ruines Sinjoh</t>
        </is>
      </c>
      <c r="B2742" s="35" t="inlineStr">
        <is>
          <t>SinjohRuins_RegiceRoom_hns</t>
        </is>
      </c>
      <c r="C2742" s="33" t="inlineStr">
        <is>
          <t>Toute la journée</t>
        </is>
      </c>
      <c r="D2742" s="49" t="inlineStr">
        <is>
          <t>Herbe</t>
        </is>
      </c>
      <c r="E2742" s="37" t="inlineStr">
        <is>
          <t>ZARBI</t>
        </is>
      </c>
      <c r="F2742" s="38" t="n">
        <v>0.05</v>
      </c>
      <c r="G2742" s="39" t="n">
        <v>5</v>
      </c>
      <c r="H2742" s="39" t="n">
        <v>5</v>
      </c>
      <c r="I2742" s="29">
        <f>IF(OR(COUNTIF('Suivi des rencontres'!$A:$A,$A2742)&gt;0,COUNTIF('Suivi des rencontres'!$C:$C,$J2742)&gt;0),"Non","Oui")</f>
        <v/>
      </c>
      <c r="J2742" s="30" t="inlineStr">
        <is>
          <t>ZARBI</t>
        </is>
      </c>
    </row>
    <row r="2743">
      <c r="A2743" s="35" t="inlineStr">
        <is>
          <t>Ruines Sinjoh</t>
        </is>
      </c>
      <c r="B2743" s="35" t="inlineStr">
        <is>
          <t>SinjohRuins_RegiceRoom_hns</t>
        </is>
      </c>
      <c r="C2743" s="33" t="inlineStr">
        <is>
          <t>Toute la journée</t>
        </is>
      </c>
      <c r="D2743" s="49" t="inlineStr">
        <is>
          <t>Herbe</t>
        </is>
      </c>
      <c r="E2743" s="37" t="inlineStr">
        <is>
          <t>ZARBI</t>
        </is>
      </c>
      <c r="F2743" s="38" t="n">
        <v>0.05</v>
      </c>
      <c r="G2743" s="39" t="n">
        <v>5</v>
      </c>
      <c r="H2743" s="39" t="n">
        <v>5</v>
      </c>
      <c r="I2743" s="29">
        <f>IF(OR(COUNTIF('Suivi des rencontres'!$A:$A,$A2743)&gt;0,COUNTIF('Suivi des rencontres'!$C:$C,$J2743)&gt;0),"Non","Oui")</f>
        <v/>
      </c>
      <c r="J2743" s="30" t="inlineStr">
        <is>
          <t>ZARBI</t>
        </is>
      </c>
    </row>
    <row r="2744">
      <c r="A2744" s="35" t="inlineStr">
        <is>
          <t>Ruines Sinjoh</t>
        </is>
      </c>
      <c r="B2744" s="35" t="inlineStr">
        <is>
          <t>SinjohRuins_RegiceRoom_hns</t>
        </is>
      </c>
      <c r="C2744" s="33" t="inlineStr">
        <is>
          <t>Toute la journée</t>
        </is>
      </c>
      <c r="D2744" s="49" t="inlineStr">
        <is>
          <t>Herbe</t>
        </is>
      </c>
      <c r="E2744" s="37" t="inlineStr">
        <is>
          <t>ZARBI</t>
        </is>
      </c>
      <c r="F2744" s="38" t="n">
        <v>0.01</v>
      </c>
      <c r="G2744" s="39" t="n">
        <v>5</v>
      </c>
      <c r="H2744" s="39" t="n">
        <v>5</v>
      </c>
      <c r="I2744" s="29">
        <f>IF(OR(COUNTIF('Suivi des rencontres'!$A:$A,$A2744)&gt;0,COUNTIF('Suivi des rencontres'!$C:$C,$J2744)&gt;0),"Non","Oui")</f>
        <v/>
      </c>
      <c r="J2744" s="30" t="inlineStr">
        <is>
          <t>ZARBI</t>
        </is>
      </c>
    </row>
    <row r="2745">
      <c r="A2745" s="35" t="inlineStr">
        <is>
          <t>Ruines Sinjoh</t>
        </is>
      </c>
      <c r="B2745" s="35" t="inlineStr">
        <is>
          <t>SinjohRuins_RegirockRoom_hns</t>
        </is>
      </c>
      <c r="C2745" s="33" t="inlineStr">
        <is>
          <t>Toute la journée</t>
        </is>
      </c>
      <c r="D2745" s="49" t="inlineStr">
        <is>
          <t>Herbe</t>
        </is>
      </c>
      <c r="E2745" s="37" t="inlineStr">
        <is>
          <t>ZARBI</t>
        </is>
      </c>
      <c r="F2745" s="38" t="n">
        <v>0.2</v>
      </c>
      <c r="G2745" s="39" t="n">
        <v>5</v>
      </c>
      <c r="H2745" s="39" t="n">
        <v>5</v>
      </c>
      <c r="I2745" s="29">
        <f>IF(OR(COUNTIF('Suivi des rencontres'!$A:$A,$A2745)&gt;0,COUNTIF('Suivi des rencontres'!$C:$C,$J2745)&gt;0),"Non","Oui")</f>
        <v/>
      </c>
      <c r="J2745" s="30" t="inlineStr">
        <is>
          <t>ZARBI</t>
        </is>
      </c>
    </row>
    <row r="2746">
      <c r="A2746" s="35" t="inlineStr">
        <is>
          <t>Ruines Sinjoh</t>
        </is>
      </c>
      <c r="B2746" s="35" t="inlineStr">
        <is>
          <t>SinjohRuins_RegirockRoom_hns</t>
        </is>
      </c>
      <c r="C2746" s="33" t="inlineStr">
        <is>
          <t>Toute la journée</t>
        </is>
      </c>
      <c r="D2746" s="49" t="inlineStr">
        <is>
          <t>Herbe</t>
        </is>
      </c>
      <c r="E2746" s="37" t="inlineStr">
        <is>
          <t>ZARBI</t>
        </is>
      </c>
      <c r="F2746" s="38" t="n">
        <v>0.2</v>
      </c>
      <c r="G2746" s="39" t="n">
        <v>5</v>
      </c>
      <c r="H2746" s="39" t="n">
        <v>5</v>
      </c>
      <c r="I2746" s="29">
        <f>IF(OR(COUNTIF('Suivi des rencontres'!$A:$A,$A2746)&gt;0,COUNTIF('Suivi des rencontres'!$C:$C,$J2746)&gt;0),"Non","Oui")</f>
        <v/>
      </c>
      <c r="J2746" s="30" t="inlineStr">
        <is>
          <t>ZARBI</t>
        </is>
      </c>
    </row>
    <row r="2747">
      <c r="A2747" s="35" t="inlineStr">
        <is>
          <t>Ruines Sinjoh</t>
        </is>
      </c>
      <c r="B2747" s="35" t="inlineStr">
        <is>
          <t>SinjohRuins_RegirockRoom_hns</t>
        </is>
      </c>
      <c r="C2747" s="33" t="inlineStr">
        <is>
          <t>Toute la journée</t>
        </is>
      </c>
      <c r="D2747" s="49" t="inlineStr">
        <is>
          <t>Herbe</t>
        </is>
      </c>
      <c r="E2747" s="37" t="inlineStr">
        <is>
          <t>ZARBI</t>
        </is>
      </c>
      <c r="F2747" s="38" t="n">
        <v>0.1</v>
      </c>
      <c r="G2747" s="39" t="n">
        <v>5</v>
      </c>
      <c r="H2747" s="39" t="n">
        <v>5</v>
      </c>
      <c r="I2747" s="29">
        <f>IF(OR(COUNTIF('Suivi des rencontres'!$A:$A,$A2747)&gt;0,COUNTIF('Suivi des rencontres'!$C:$C,$J2747)&gt;0),"Non","Oui")</f>
        <v/>
      </c>
      <c r="J2747" s="30" t="inlineStr">
        <is>
          <t>ZARBI</t>
        </is>
      </c>
    </row>
    <row r="2748">
      <c r="A2748" s="35" t="inlineStr">
        <is>
          <t>Ruines Sinjoh</t>
        </is>
      </c>
      <c r="B2748" s="35" t="inlineStr">
        <is>
          <t>SinjohRuins_RegirockRoom_hns</t>
        </is>
      </c>
      <c r="C2748" s="33" t="inlineStr">
        <is>
          <t>Toute la journée</t>
        </is>
      </c>
      <c r="D2748" s="49" t="inlineStr">
        <is>
          <t>Herbe</t>
        </is>
      </c>
      <c r="E2748" s="37" t="inlineStr">
        <is>
          <t>ZARBI</t>
        </is>
      </c>
      <c r="F2748" s="38" t="n">
        <v>0.1</v>
      </c>
      <c r="G2748" s="39" t="n">
        <v>5</v>
      </c>
      <c r="H2748" s="39" t="n">
        <v>5</v>
      </c>
      <c r="I2748" s="29">
        <f>IF(OR(COUNTIF('Suivi des rencontres'!$A:$A,$A2748)&gt;0,COUNTIF('Suivi des rencontres'!$C:$C,$J2748)&gt;0),"Non","Oui")</f>
        <v/>
      </c>
      <c r="J2748" s="30" t="inlineStr">
        <is>
          <t>ZARBI</t>
        </is>
      </c>
    </row>
    <row r="2749">
      <c r="A2749" s="35" t="inlineStr">
        <is>
          <t>Ruines Sinjoh</t>
        </is>
      </c>
      <c r="B2749" s="35" t="inlineStr">
        <is>
          <t>SinjohRuins_RegirockRoom_hns</t>
        </is>
      </c>
      <c r="C2749" s="33" t="inlineStr">
        <is>
          <t>Toute la journée</t>
        </is>
      </c>
      <c r="D2749" s="49" t="inlineStr">
        <is>
          <t>Herbe</t>
        </is>
      </c>
      <c r="E2749" s="37" t="inlineStr">
        <is>
          <t>ZARBI</t>
        </is>
      </c>
      <c r="F2749" s="38" t="n">
        <v>0.1</v>
      </c>
      <c r="G2749" s="39" t="n">
        <v>5</v>
      </c>
      <c r="H2749" s="39" t="n">
        <v>5</v>
      </c>
      <c r="I2749" s="29">
        <f>IF(OR(COUNTIF('Suivi des rencontres'!$A:$A,$A2749)&gt;0,COUNTIF('Suivi des rencontres'!$C:$C,$J2749)&gt;0),"Non","Oui")</f>
        <v/>
      </c>
      <c r="J2749" s="30" t="inlineStr">
        <is>
          <t>ZARBI</t>
        </is>
      </c>
    </row>
    <row r="2750">
      <c r="A2750" s="35" t="inlineStr">
        <is>
          <t>Ruines Sinjoh</t>
        </is>
      </c>
      <c r="B2750" s="35" t="inlineStr">
        <is>
          <t>SinjohRuins_RegirockRoom_hns</t>
        </is>
      </c>
      <c r="C2750" s="33" t="inlineStr">
        <is>
          <t>Toute la journée</t>
        </is>
      </c>
      <c r="D2750" s="49" t="inlineStr">
        <is>
          <t>Herbe</t>
        </is>
      </c>
      <c r="E2750" s="37" t="inlineStr">
        <is>
          <t>ZARBI</t>
        </is>
      </c>
      <c r="F2750" s="38" t="n">
        <v>0.1</v>
      </c>
      <c r="G2750" s="39" t="n">
        <v>5</v>
      </c>
      <c r="H2750" s="39" t="n">
        <v>5</v>
      </c>
      <c r="I2750" s="29">
        <f>IF(OR(COUNTIF('Suivi des rencontres'!$A:$A,$A2750)&gt;0,COUNTIF('Suivi des rencontres'!$C:$C,$J2750)&gt;0),"Non","Oui")</f>
        <v/>
      </c>
      <c r="J2750" s="30" t="inlineStr">
        <is>
          <t>ZARBI</t>
        </is>
      </c>
    </row>
    <row r="2751">
      <c r="A2751" s="35" t="inlineStr">
        <is>
          <t>Ruines Sinjoh</t>
        </is>
      </c>
      <c r="B2751" s="35" t="inlineStr">
        <is>
          <t>SinjohRuins_RegirockRoom_hns</t>
        </is>
      </c>
      <c r="C2751" s="33" t="inlineStr">
        <is>
          <t>Toute la journée</t>
        </is>
      </c>
      <c r="D2751" s="49" t="inlineStr">
        <is>
          <t>Herbe</t>
        </is>
      </c>
      <c r="E2751" s="37" t="inlineStr">
        <is>
          <t>ZARBI</t>
        </is>
      </c>
      <c r="F2751" s="38" t="n">
        <v>0.05</v>
      </c>
      <c r="G2751" s="39" t="n">
        <v>5</v>
      </c>
      <c r="H2751" s="39" t="n">
        <v>5</v>
      </c>
      <c r="I2751" s="29">
        <f>IF(OR(COUNTIF('Suivi des rencontres'!$A:$A,$A2751)&gt;0,COUNTIF('Suivi des rencontres'!$C:$C,$J2751)&gt;0),"Non","Oui")</f>
        <v/>
      </c>
      <c r="J2751" s="30" t="inlineStr">
        <is>
          <t>ZARBI</t>
        </is>
      </c>
    </row>
    <row r="2752">
      <c r="A2752" s="35" t="inlineStr">
        <is>
          <t>Ruines Sinjoh</t>
        </is>
      </c>
      <c r="B2752" s="35" t="inlineStr">
        <is>
          <t>SinjohRuins_RegirockRoom_hns</t>
        </is>
      </c>
      <c r="C2752" s="33" t="inlineStr">
        <is>
          <t>Toute la journée</t>
        </is>
      </c>
      <c r="D2752" s="49" t="inlineStr">
        <is>
          <t>Herbe</t>
        </is>
      </c>
      <c r="E2752" s="37" t="inlineStr">
        <is>
          <t>ZARBI</t>
        </is>
      </c>
      <c r="F2752" s="38" t="n">
        <v>0.05</v>
      </c>
      <c r="G2752" s="39" t="n">
        <v>5</v>
      </c>
      <c r="H2752" s="39" t="n">
        <v>5</v>
      </c>
      <c r="I2752" s="29">
        <f>IF(OR(COUNTIF('Suivi des rencontres'!$A:$A,$A2752)&gt;0,COUNTIF('Suivi des rencontres'!$C:$C,$J2752)&gt;0),"Non","Oui")</f>
        <v/>
      </c>
      <c r="J2752" s="30" t="inlineStr">
        <is>
          <t>ZARBI</t>
        </is>
      </c>
    </row>
    <row r="2753">
      <c r="A2753" s="35" t="inlineStr">
        <is>
          <t>Ruines Sinjoh</t>
        </is>
      </c>
      <c r="B2753" s="35" t="inlineStr">
        <is>
          <t>SinjohRuins_RegirockRoom_hns</t>
        </is>
      </c>
      <c r="C2753" s="33" t="inlineStr">
        <is>
          <t>Toute la journée</t>
        </is>
      </c>
      <c r="D2753" s="49" t="inlineStr">
        <is>
          <t>Herbe</t>
        </is>
      </c>
      <c r="E2753" s="37" t="inlineStr">
        <is>
          <t>ZARBI</t>
        </is>
      </c>
      <c r="F2753" s="38" t="n">
        <v>0.04</v>
      </c>
      <c r="G2753" s="39" t="n">
        <v>5</v>
      </c>
      <c r="H2753" s="39" t="n">
        <v>5</v>
      </c>
      <c r="I2753" s="29">
        <f>IF(OR(COUNTIF('Suivi des rencontres'!$A:$A,$A2753)&gt;0,COUNTIF('Suivi des rencontres'!$C:$C,$J2753)&gt;0),"Non","Oui")</f>
        <v/>
      </c>
      <c r="J2753" s="30" t="inlineStr">
        <is>
          <t>ZARBI</t>
        </is>
      </c>
    </row>
    <row r="2754">
      <c r="A2754" s="35" t="inlineStr">
        <is>
          <t>Ruines Sinjoh</t>
        </is>
      </c>
      <c r="B2754" s="35" t="inlineStr">
        <is>
          <t>SinjohRuins_RegirockRoom_hns</t>
        </is>
      </c>
      <c r="C2754" s="33" t="inlineStr">
        <is>
          <t>Toute la journée</t>
        </is>
      </c>
      <c r="D2754" s="49" t="inlineStr">
        <is>
          <t>Herbe</t>
        </is>
      </c>
      <c r="E2754" s="37" t="inlineStr">
        <is>
          <t>ZARBI</t>
        </is>
      </c>
      <c r="F2754" s="38" t="n">
        <v>0.04</v>
      </c>
      <c r="G2754" s="39" t="n">
        <v>5</v>
      </c>
      <c r="H2754" s="39" t="n">
        <v>5</v>
      </c>
      <c r="I2754" s="29">
        <f>IF(OR(COUNTIF('Suivi des rencontres'!$A:$A,$A2754)&gt;0,COUNTIF('Suivi des rencontres'!$C:$C,$J2754)&gt;0),"Non","Oui")</f>
        <v/>
      </c>
      <c r="J2754" s="30" t="inlineStr">
        <is>
          <t>ZARBI</t>
        </is>
      </c>
    </row>
    <row r="2755">
      <c r="A2755" s="35" t="inlineStr">
        <is>
          <t>Ruines Sinjoh</t>
        </is>
      </c>
      <c r="B2755" s="35" t="inlineStr">
        <is>
          <t>SinjohRuins_RegirockRoom_hns</t>
        </is>
      </c>
      <c r="C2755" s="33" t="inlineStr">
        <is>
          <t>Toute la journée</t>
        </is>
      </c>
      <c r="D2755" s="49" t="inlineStr">
        <is>
          <t>Herbe</t>
        </is>
      </c>
      <c r="E2755" s="37" t="inlineStr">
        <is>
          <t>ZARBI</t>
        </is>
      </c>
      <c r="F2755" s="38" t="n">
        <v>0.01</v>
      </c>
      <c r="G2755" s="39" t="n">
        <v>5</v>
      </c>
      <c r="H2755" s="39" t="n">
        <v>5</v>
      </c>
      <c r="I2755" s="29">
        <f>IF(OR(COUNTIF('Suivi des rencontres'!$A:$A,$A2755)&gt;0,COUNTIF('Suivi des rencontres'!$C:$C,$J2755)&gt;0),"Non","Oui")</f>
        <v/>
      </c>
      <c r="J2755" s="30" t="inlineStr">
        <is>
          <t>ZARBI</t>
        </is>
      </c>
    </row>
    <row r="2756">
      <c r="A2756" s="35" t="inlineStr">
        <is>
          <t>Ruines Sinjoh</t>
        </is>
      </c>
      <c r="B2756" s="35" t="inlineStr">
        <is>
          <t>SinjohRuins_RegirockRoom_hns</t>
        </is>
      </c>
      <c r="C2756" s="33" t="inlineStr">
        <is>
          <t>Toute la journée</t>
        </is>
      </c>
      <c r="D2756" s="49" t="inlineStr">
        <is>
          <t>Herbe</t>
        </is>
      </c>
      <c r="E2756" s="37" t="inlineStr">
        <is>
          <t>ZARBI</t>
        </is>
      </c>
      <c r="F2756" s="38" t="n">
        <v>0.01</v>
      </c>
      <c r="G2756" s="39" t="n">
        <v>5</v>
      </c>
      <c r="H2756" s="39" t="n">
        <v>5</v>
      </c>
      <c r="I2756" s="29">
        <f>IF(OR(COUNTIF('Suivi des rencontres'!$A:$A,$A2756)&gt;0,COUNTIF('Suivi des rencontres'!$C:$C,$J2756)&gt;0),"Non","Oui")</f>
        <v/>
      </c>
      <c r="J2756" s="30" t="inlineStr">
        <is>
          <t>ZARBI</t>
        </is>
      </c>
    </row>
    <row r="2757">
      <c r="A2757" s="35" t="inlineStr">
        <is>
          <t>Ruines Sinjoh</t>
        </is>
      </c>
      <c r="B2757" s="35" t="inlineStr">
        <is>
          <t>SinjohRuins_Temple_hns</t>
        </is>
      </c>
      <c r="C2757" s="33" t="inlineStr">
        <is>
          <t>Toute la journée</t>
        </is>
      </c>
      <c r="D2757" s="49" t="inlineStr">
        <is>
          <t>Herbe</t>
        </is>
      </c>
      <c r="E2757" s="37" t="inlineStr">
        <is>
          <t>ZARBI</t>
        </is>
      </c>
      <c r="F2757" s="38" t="n">
        <v>0.4</v>
      </c>
      <c r="G2757" s="39" t="n">
        <v>5</v>
      </c>
      <c r="H2757" s="39" t="n">
        <v>5</v>
      </c>
      <c r="I2757" s="29">
        <f>IF(OR(COUNTIF('Suivi des rencontres'!$A:$A,$A2757)&gt;0,COUNTIF('Suivi des rencontres'!$C:$C,$J2757)&gt;0),"Non","Oui")</f>
        <v/>
      </c>
      <c r="J2757" s="30" t="inlineStr">
        <is>
          <t>ZARBI</t>
        </is>
      </c>
    </row>
    <row r="2758">
      <c r="A2758" s="35" t="inlineStr">
        <is>
          <t>Ruines Sinjoh</t>
        </is>
      </c>
      <c r="B2758" s="35" t="inlineStr">
        <is>
          <t>SinjohRuins_Temple_hns</t>
        </is>
      </c>
      <c r="C2758" s="33" t="inlineStr">
        <is>
          <t>Toute la journée</t>
        </is>
      </c>
      <c r="D2758" s="49" t="inlineStr">
        <is>
          <t>Herbe</t>
        </is>
      </c>
      <c r="E2758" s="37" t="inlineStr">
        <is>
          <t>ZARBI</t>
        </is>
      </c>
      <c r="F2758" s="38" t="n">
        <v>0.2</v>
      </c>
      <c r="G2758" s="39" t="n">
        <v>5</v>
      </c>
      <c r="H2758" s="39" t="n">
        <v>5</v>
      </c>
      <c r="I2758" s="29">
        <f>IF(OR(COUNTIF('Suivi des rencontres'!$A:$A,$A2758)&gt;0,COUNTIF('Suivi des rencontres'!$C:$C,$J2758)&gt;0),"Non","Oui")</f>
        <v/>
      </c>
      <c r="J2758" s="30" t="inlineStr">
        <is>
          <t>ZARBI</t>
        </is>
      </c>
    </row>
    <row r="2759">
      <c r="A2759" s="35" t="inlineStr">
        <is>
          <t>Ruines Sinjoh</t>
        </is>
      </c>
      <c r="B2759" s="35" t="inlineStr">
        <is>
          <t>SinjohRuins_Temple_hns</t>
        </is>
      </c>
      <c r="C2759" s="33" t="inlineStr">
        <is>
          <t>Toute la journée</t>
        </is>
      </c>
      <c r="D2759" s="49" t="inlineStr">
        <is>
          <t>Herbe</t>
        </is>
      </c>
      <c r="E2759" s="37" t="inlineStr">
        <is>
          <t>ZARBI</t>
        </is>
      </c>
      <c r="F2759" s="38" t="n">
        <v>0.1</v>
      </c>
      <c r="G2759" s="39" t="n">
        <v>5</v>
      </c>
      <c r="H2759" s="39" t="n">
        <v>5</v>
      </c>
      <c r="I2759" s="29">
        <f>IF(OR(COUNTIF('Suivi des rencontres'!$A:$A,$A2759)&gt;0,COUNTIF('Suivi des rencontres'!$C:$C,$J2759)&gt;0),"Non","Oui")</f>
        <v/>
      </c>
      <c r="J2759" s="30" t="inlineStr">
        <is>
          <t>ZARBI</t>
        </is>
      </c>
    </row>
    <row r="2760">
      <c r="A2760" s="35" t="inlineStr">
        <is>
          <t>Ruines Sinjoh</t>
        </is>
      </c>
      <c r="B2760" s="35" t="inlineStr">
        <is>
          <t>SinjohRuins_Temple_hns</t>
        </is>
      </c>
      <c r="C2760" s="33" t="inlineStr">
        <is>
          <t>Toute la journée</t>
        </is>
      </c>
      <c r="D2760" s="49" t="inlineStr">
        <is>
          <t>Herbe</t>
        </is>
      </c>
      <c r="E2760" s="37" t="inlineStr">
        <is>
          <t>ZARBI</t>
        </is>
      </c>
      <c r="F2760" s="38" t="n">
        <v>0.1</v>
      </c>
      <c r="G2760" s="39" t="n">
        <v>5</v>
      </c>
      <c r="H2760" s="39" t="n">
        <v>5</v>
      </c>
      <c r="I2760" s="29">
        <f>IF(OR(COUNTIF('Suivi des rencontres'!$A:$A,$A2760)&gt;0,COUNTIF('Suivi des rencontres'!$C:$C,$J2760)&gt;0),"Non","Oui")</f>
        <v/>
      </c>
      <c r="J2760" s="30" t="inlineStr">
        <is>
          <t>ZARBI</t>
        </is>
      </c>
    </row>
    <row r="2761">
      <c r="A2761" s="35" t="inlineStr">
        <is>
          <t>Ruines Sinjoh</t>
        </is>
      </c>
      <c r="B2761" s="35" t="inlineStr">
        <is>
          <t>SinjohRuins_Temple_hns</t>
        </is>
      </c>
      <c r="C2761" s="33" t="inlineStr">
        <is>
          <t>Toute la journée</t>
        </is>
      </c>
      <c r="D2761" s="49" t="inlineStr">
        <is>
          <t>Herbe</t>
        </is>
      </c>
      <c r="E2761" s="37" t="inlineStr">
        <is>
          <t>ANORITH</t>
        </is>
      </c>
      <c r="F2761" s="38" t="n">
        <v>0.05</v>
      </c>
      <c r="G2761" s="39" t="n">
        <v>5</v>
      </c>
      <c r="H2761" s="39" t="n">
        <v>5</v>
      </c>
      <c r="I2761" s="29">
        <f>IF(OR(COUNTIF('Suivi des rencontres'!$A:$A,$A2761)&gt;0,COUNTIF('Suivi des rencontres'!$C:$C,$J2761)&gt;0),"Non","Oui")</f>
        <v/>
      </c>
      <c r="J2761" s="30" t="inlineStr">
        <is>
          <t>ANORITH</t>
        </is>
      </c>
    </row>
    <row r="2762">
      <c r="A2762" s="35" t="inlineStr">
        <is>
          <t>Ruines Sinjoh</t>
        </is>
      </c>
      <c r="B2762" s="35" t="inlineStr">
        <is>
          <t>SinjohRuins_Temple_hns</t>
        </is>
      </c>
      <c r="C2762" s="33" t="inlineStr">
        <is>
          <t>Toute la journée</t>
        </is>
      </c>
      <c r="D2762" s="49" t="inlineStr">
        <is>
          <t>Herbe</t>
        </is>
      </c>
      <c r="E2762" s="37" t="inlineStr">
        <is>
          <t>LILIA</t>
        </is>
      </c>
      <c r="F2762" s="38" t="n">
        <v>0.05</v>
      </c>
      <c r="G2762" s="39" t="n">
        <v>5</v>
      </c>
      <c r="H2762" s="39" t="n">
        <v>5</v>
      </c>
      <c r="I2762" s="29">
        <f>IF(OR(COUNTIF('Suivi des rencontres'!$A:$A,$A2762)&gt;0,COUNTIF('Suivi des rencontres'!$C:$C,$J2762)&gt;0),"Non","Oui")</f>
        <v/>
      </c>
      <c r="J2762" s="30" t="inlineStr">
        <is>
          <t>LILIA</t>
        </is>
      </c>
    </row>
    <row r="2763">
      <c r="A2763" s="35" t="inlineStr">
        <is>
          <t>Ruines Sinjoh</t>
        </is>
      </c>
      <c r="B2763" s="35" t="inlineStr">
        <is>
          <t>SinjohRuins_Temple_hns</t>
        </is>
      </c>
      <c r="C2763" s="33" t="inlineStr">
        <is>
          <t>Toute la journée</t>
        </is>
      </c>
      <c r="D2763" s="49" t="inlineStr">
        <is>
          <t>Herbe</t>
        </is>
      </c>
      <c r="E2763" s="37" t="inlineStr">
        <is>
          <t>PTERA</t>
        </is>
      </c>
      <c r="F2763" s="38" t="n">
        <v>0.05</v>
      </c>
      <c r="G2763" s="39" t="n">
        <v>5</v>
      </c>
      <c r="H2763" s="39" t="n">
        <v>5</v>
      </c>
      <c r="I2763" s="29">
        <f>IF(OR(COUNTIF('Suivi des rencontres'!$A:$A,$A2763)&gt;0,COUNTIF('Suivi des rencontres'!$C:$C,$J2763)&gt;0),"Non","Oui")</f>
        <v/>
      </c>
      <c r="J2763" s="30" t="inlineStr">
        <is>
          <t>PTERA</t>
        </is>
      </c>
    </row>
    <row r="2764">
      <c r="A2764" s="35" t="inlineStr">
        <is>
          <t>Ruines Sinjoh</t>
        </is>
      </c>
      <c r="B2764" s="35" t="inlineStr">
        <is>
          <t>SinjohRuins_Temple_hns</t>
        </is>
      </c>
      <c r="C2764" s="33" t="inlineStr">
        <is>
          <t>Toute la journée</t>
        </is>
      </c>
      <c r="D2764" s="49" t="inlineStr">
        <is>
          <t>Herbe</t>
        </is>
      </c>
      <c r="E2764" s="37" t="inlineStr">
        <is>
          <t>ZARBI</t>
        </is>
      </c>
      <c r="F2764" s="38" t="n">
        <v>0.04</v>
      </c>
      <c r="G2764" s="39" t="n">
        <v>5</v>
      </c>
      <c r="H2764" s="39" t="n">
        <v>5</v>
      </c>
      <c r="I2764" s="29">
        <f>IF(OR(COUNTIF('Suivi des rencontres'!$A:$A,$A2764)&gt;0,COUNTIF('Suivi des rencontres'!$C:$C,$J2764)&gt;0),"Non","Oui")</f>
        <v/>
      </c>
      <c r="J2764" s="30" t="inlineStr">
        <is>
          <t>ZARBI</t>
        </is>
      </c>
    </row>
    <row r="2765">
      <c r="A2765" s="35" t="inlineStr">
        <is>
          <t>Ruines Sinjoh</t>
        </is>
      </c>
      <c r="B2765" s="35" t="inlineStr">
        <is>
          <t>SinjohRuins_Temple_hns</t>
        </is>
      </c>
      <c r="C2765" s="33" t="inlineStr">
        <is>
          <t>Toute la journée</t>
        </is>
      </c>
      <c r="D2765" s="49" t="inlineStr">
        <is>
          <t>Herbe</t>
        </is>
      </c>
      <c r="E2765" s="37" t="inlineStr">
        <is>
          <t>ZARBI</t>
        </is>
      </c>
      <c r="F2765" s="38" t="n">
        <v>0.01</v>
      </c>
      <c r="G2765" s="39" t="n">
        <v>5</v>
      </c>
      <c r="H2765" s="39" t="n">
        <v>5</v>
      </c>
      <c r="I2765" s="29">
        <f>IF(OR(COUNTIF('Suivi des rencontres'!$A:$A,$A2765)&gt;0,COUNTIF('Suivi des rencontres'!$C:$C,$J2765)&gt;0),"Non","Oui")</f>
        <v/>
      </c>
      <c r="J2765" s="30" t="inlineStr">
        <is>
          <t>ZARBI</t>
        </is>
      </c>
    </row>
    <row r="2766">
      <c r="A2766" s="35" t="inlineStr">
        <is>
          <t>Ruines Sinjoh</t>
        </is>
      </c>
      <c r="B2766" s="35" t="inlineStr">
        <is>
          <t>SinjohRuins_hns</t>
        </is>
      </c>
      <c r="C2766" s="33" t="inlineStr">
        <is>
          <t>Matin, jour, soir</t>
        </is>
      </c>
      <c r="D2766" s="49" t="inlineStr">
        <is>
          <t>Herbe</t>
        </is>
      </c>
      <c r="E2766" s="37" t="inlineStr">
        <is>
          <t>CANINOS-H</t>
        </is>
      </c>
      <c r="F2766" s="38" t="n">
        <v>0.2</v>
      </c>
      <c r="G2766" s="39" t="n">
        <v>45</v>
      </c>
      <c r="H2766" s="39" t="n">
        <v>60</v>
      </c>
      <c r="I2766" s="29">
        <f>IF(OR(COUNTIF('Suivi des rencontres'!$A:$A,$A2766)&gt;0,COUNTIF('Suivi des rencontres'!$C:$C,$J2766)&gt;0),"Non","Oui")</f>
        <v/>
      </c>
      <c r="J2766" s="30" t="inlineStr">
        <is>
          <t>CANINOS-H</t>
        </is>
      </c>
    </row>
    <row r="2767">
      <c r="A2767" s="35" t="inlineStr">
        <is>
          <t>Ruines Sinjoh</t>
        </is>
      </c>
      <c r="B2767" s="35" t="inlineStr">
        <is>
          <t>SinjohRuins_hns</t>
        </is>
      </c>
      <c r="C2767" s="33" t="inlineStr">
        <is>
          <t>Matin, jour, soir</t>
        </is>
      </c>
      <c r="D2767" s="49" t="inlineStr">
        <is>
          <t>Herbe</t>
        </is>
      </c>
      <c r="E2767" s="37" t="inlineStr">
        <is>
          <t>CERFROUSSE</t>
        </is>
      </c>
      <c r="F2767" s="38" t="n">
        <v>0.2</v>
      </c>
      <c r="G2767" s="39" t="n">
        <v>45</v>
      </c>
      <c r="H2767" s="39" t="n">
        <v>60</v>
      </c>
      <c r="I2767" s="29">
        <f>IF(OR(COUNTIF('Suivi des rencontres'!$A:$A,$A2767)&gt;0,COUNTIF('Suivi des rencontres'!$C:$C,$J2767)&gt;0),"Non","Oui")</f>
        <v/>
      </c>
      <c r="J2767" s="30" t="inlineStr">
        <is>
          <t>CERFROUSSE</t>
        </is>
      </c>
    </row>
    <row r="2768">
      <c r="A2768" s="35" t="inlineStr">
        <is>
          <t>Ruines Sinjoh</t>
        </is>
      </c>
      <c r="B2768" s="35" t="inlineStr">
        <is>
          <t>SinjohRuins_hns</t>
        </is>
      </c>
      <c r="C2768" s="33" t="inlineStr">
        <is>
          <t>Matin, jour, soir</t>
        </is>
      </c>
      <c r="D2768" s="49" t="inlineStr">
        <is>
          <t>Herbe</t>
        </is>
      </c>
      <c r="E2768" s="37" t="inlineStr">
        <is>
          <t>URSARING</t>
        </is>
      </c>
      <c r="F2768" s="38" t="n">
        <v>0.2</v>
      </c>
      <c r="G2768" s="39" t="n">
        <v>45</v>
      </c>
      <c r="H2768" s="39" t="n">
        <v>60</v>
      </c>
      <c r="I2768" s="29">
        <f>IF(OR(COUNTIF('Suivi des rencontres'!$A:$A,$A2768)&gt;0,COUNTIF('Suivi des rencontres'!$C:$C,$J2768)&gt;0),"Non","Oui")</f>
        <v/>
      </c>
      <c r="J2768" s="30" t="inlineStr">
        <is>
          <t>TEDDIURSA</t>
        </is>
      </c>
    </row>
    <row r="2769">
      <c r="A2769" s="35" t="inlineStr">
        <is>
          <t>Ruines Sinjoh</t>
        </is>
      </c>
      <c r="B2769" s="35" t="inlineStr">
        <is>
          <t>SinjohRuins_hns</t>
        </is>
      </c>
      <c r="C2769" s="33" t="inlineStr">
        <is>
          <t>Matin, jour, soir</t>
        </is>
      </c>
      <c r="D2769" s="49" t="inlineStr">
        <is>
          <t>Herbe</t>
        </is>
      </c>
      <c r="E2769" s="37" t="inlineStr">
        <is>
          <t>VOLTORBE-H</t>
        </is>
      </c>
      <c r="F2769" s="38" t="n">
        <v>0.2</v>
      </c>
      <c r="G2769" s="39" t="n">
        <v>45</v>
      </c>
      <c r="H2769" s="39" t="n">
        <v>66</v>
      </c>
      <c r="I2769" s="29">
        <f>IF(OR(COUNTIF('Suivi des rencontres'!$A:$A,$A2769)&gt;0,COUNTIF('Suivi des rencontres'!$C:$C,$J2769)&gt;0),"Non","Oui")</f>
        <v/>
      </c>
      <c r="J2769" s="30" t="inlineStr">
        <is>
          <t>VOLTORBE-H</t>
        </is>
      </c>
    </row>
    <row r="2770">
      <c r="A2770" s="35" t="inlineStr">
        <is>
          <t>Ruines Sinjoh</t>
        </is>
      </c>
      <c r="B2770" s="35" t="inlineStr">
        <is>
          <t>SinjohRuins_hns</t>
        </is>
      </c>
      <c r="C2770" s="33" t="inlineStr">
        <is>
          <t>Matin, jour, soir</t>
        </is>
      </c>
      <c r="D2770" s="49" t="inlineStr">
        <is>
          <t>Herbe</t>
        </is>
      </c>
      <c r="E2770" s="37" t="inlineStr">
        <is>
          <t>ARCANIN-H</t>
        </is>
      </c>
      <c r="F2770" s="38" t="n">
        <v>0.05</v>
      </c>
      <c r="G2770" s="39" t="n">
        <v>45</v>
      </c>
      <c r="H2770" s="39" t="n">
        <v>70</v>
      </c>
      <c r="I2770" s="29">
        <f>IF(OR(COUNTIF('Suivi des rencontres'!$A:$A,$A2770)&gt;0,COUNTIF('Suivi des rencontres'!$C:$C,$J2770)&gt;0),"Non","Oui")</f>
        <v/>
      </c>
      <c r="J2770" s="30" t="inlineStr">
        <is>
          <t>CANINOS-H</t>
        </is>
      </c>
    </row>
    <row r="2771">
      <c r="A2771" s="35" t="inlineStr">
        <is>
          <t>Ruines Sinjoh</t>
        </is>
      </c>
      <c r="B2771" s="35" t="inlineStr">
        <is>
          <t>SinjohRuins_hns</t>
        </is>
      </c>
      <c r="C2771" s="33" t="inlineStr">
        <is>
          <t>Matin, jour, soir</t>
        </is>
      </c>
      <c r="D2771" s="49" t="inlineStr">
        <is>
          <t>Herbe</t>
        </is>
      </c>
      <c r="E2771" s="37" t="inlineStr">
        <is>
          <t>EOKO</t>
        </is>
      </c>
      <c r="F2771" s="38" t="n">
        <v>0.05</v>
      </c>
      <c r="G2771" s="39" t="n">
        <v>45</v>
      </c>
      <c r="H2771" s="39" t="n">
        <v>70</v>
      </c>
      <c r="I2771" s="29">
        <f>IF(OR(COUNTIF('Suivi des rencontres'!$A:$A,$A2771)&gt;0,COUNTIF('Suivi des rencontres'!$C:$C,$J2771)&gt;0),"Non","Oui")</f>
        <v/>
      </c>
      <c r="J2771" s="30" t="inlineStr">
        <is>
          <t>KORILLON</t>
        </is>
      </c>
    </row>
    <row r="2772">
      <c r="A2772" s="35" t="inlineStr">
        <is>
          <t>Ruines Sinjoh</t>
        </is>
      </c>
      <c r="B2772" s="35" t="inlineStr">
        <is>
          <t>SinjohRuins_hns</t>
        </is>
      </c>
      <c r="C2772" s="33" t="inlineStr">
        <is>
          <t>Matin, jour, soir</t>
        </is>
      </c>
      <c r="D2772" s="49" t="inlineStr">
        <is>
          <t>Herbe</t>
        </is>
      </c>
      <c r="E2772" s="37" t="inlineStr">
        <is>
          <t>FEUFOREVE</t>
        </is>
      </c>
      <c r="F2772" s="38" t="n">
        <v>0.05</v>
      </c>
      <c r="G2772" s="39" t="n">
        <v>45</v>
      </c>
      <c r="H2772" s="39" t="n">
        <v>60</v>
      </c>
      <c r="I2772" s="29">
        <f>IF(OR(COUNTIF('Suivi des rencontres'!$A:$A,$A2772)&gt;0,COUNTIF('Suivi des rencontres'!$C:$C,$J2772)&gt;0),"Non","Oui")</f>
        <v/>
      </c>
      <c r="J2772" s="30" t="inlineStr">
        <is>
          <t>FEUFOREVE</t>
        </is>
      </c>
    </row>
    <row r="2773">
      <c r="A2773" s="35" t="inlineStr">
        <is>
          <t>Ruines Sinjoh</t>
        </is>
      </c>
      <c r="B2773" s="35" t="inlineStr">
        <is>
          <t>SinjohRuins_hns</t>
        </is>
      </c>
      <c r="C2773" s="33" t="inlineStr">
        <is>
          <t>Matin, jour, soir</t>
        </is>
      </c>
      <c r="D2773" s="49" t="inlineStr">
        <is>
          <t>Herbe</t>
        </is>
      </c>
      <c r="E2773" s="37" t="inlineStr">
        <is>
          <t>TARINOR</t>
        </is>
      </c>
      <c r="F2773" s="38" t="n">
        <v>0.05</v>
      </c>
      <c r="G2773" s="39" t="n">
        <v>45</v>
      </c>
      <c r="H2773" s="39" t="n">
        <v>60</v>
      </c>
      <c r="I2773" s="29">
        <f>IF(OR(COUNTIF('Suivi des rencontres'!$A:$A,$A2773)&gt;0,COUNTIF('Suivi des rencontres'!$C:$C,$J2773)&gt;0),"Non","Oui")</f>
        <v/>
      </c>
      <c r="J2773" s="30" t="inlineStr">
        <is>
          <t>TARINOR</t>
        </is>
      </c>
    </row>
    <row r="2774">
      <c r="A2774" s="35" t="inlineStr">
        <is>
          <t>Ruines Sinjoh</t>
        </is>
      </c>
      <c r="B2774" s="35" t="inlineStr">
        <is>
          <t>SinjohRuins_hns</t>
        </is>
      </c>
      <c r="C2774" s="62" t="inlineStr">
        <is>
          <t>Nuit</t>
        </is>
      </c>
      <c r="D2774" s="49" t="inlineStr">
        <is>
          <t>Herbe</t>
        </is>
      </c>
      <c r="E2774" s="37" t="inlineStr">
        <is>
          <t>CERFROUSSE</t>
        </is>
      </c>
      <c r="F2774" s="38" t="n">
        <v>0.2</v>
      </c>
      <c r="G2774" s="39" t="n">
        <v>45</v>
      </c>
      <c r="H2774" s="39" t="n">
        <v>60</v>
      </c>
      <c r="I2774" s="29">
        <f>IF(OR(COUNTIF('Suivi des rencontres'!$A:$A,$A2774)&gt;0,COUNTIF('Suivi des rencontres'!$C:$C,$J2774)&gt;0),"Non","Oui")</f>
        <v/>
      </c>
      <c r="J2774" s="30" t="inlineStr">
        <is>
          <t>CERFROUSSE</t>
        </is>
      </c>
    </row>
    <row r="2775">
      <c r="A2775" s="35" t="inlineStr">
        <is>
          <t>Ruines Sinjoh</t>
        </is>
      </c>
      <c r="B2775" s="35" t="inlineStr">
        <is>
          <t>SinjohRuins_hns</t>
        </is>
      </c>
      <c r="C2775" s="62" t="inlineStr">
        <is>
          <t>Nuit</t>
        </is>
      </c>
      <c r="D2775" s="49" t="inlineStr">
        <is>
          <t>Herbe</t>
        </is>
      </c>
      <c r="E2775" s="37" t="inlineStr">
        <is>
          <t>MALOSSE</t>
        </is>
      </c>
      <c r="F2775" s="38" t="n">
        <v>0.2</v>
      </c>
      <c r="G2775" s="39" t="n">
        <v>45</v>
      </c>
      <c r="H2775" s="39" t="n">
        <v>60</v>
      </c>
      <c r="I2775" s="29">
        <f>IF(OR(COUNTIF('Suivi des rencontres'!$A:$A,$A2775)&gt;0,COUNTIF('Suivi des rencontres'!$C:$C,$J2775)&gt;0),"Non","Oui")</f>
        <v/>
      </c>
      <c r="J2775" s="30" t="inlineStr">
        <is>
          <t>MALOSSE</t>
        </is>
      </c>
    </row>
    <row r="2776">
      <c r="A2776" s="35" t="inlineStr">
        <is>
          <t>Ruines Sinjoh</t>
        </is>
      </c>
      <c r="B2776" s="35" t="inlineStr">
        <is>
          <t>SinjohRuins_hns</t>
        </is>
      </c>
      <c r="C2776" s="62" t="inlineStr">
        <is>
          <t>Nuit</t>
        </is>
      </c>
      <c r="D2776" s="49" t="inlineStr">
        <is>
          <t>Herbe</t>
        </is>
      </c>
      <c r="E2776" s="37" t="inlineStr">
        <is>
          <t>FEUFOREVE</t>
        </is>
      </c>
      <c r="F2776" s="38" t="n">
        <v>0.1</v>
      </c>
      <c r="G2776" s="39" t="n">
        <v>45</v>
      </c>
      <c r="H2776" s="39" t="n">
        <v>60</v>
      </c>
      <c r="I2776" s="29">
        <f>IF(OR(COUNTIF('Suivi des rencontres'!$A:$A,$A2776)&gt;0,COUNTIF('Suivi des rencontres'!$C:$C,$J2776)&gt;0),"Non","Oui")</f>
        <v/>
      </c>
      <c r="J2776" s="30" t="inlineStr">
        <is>
          <t>FEUFOREVE</t>
        </is>
      </c>
    </row>
    <row r="2777">
      <c r="A2777" s="35" t="inlineStr">
        <is>
          <t>Ruines Sinjoh</t>
        </is>
      </c>
      <c r="B2777" s="35" t="inlineStr">
        <is>
          <t>SinjohRuins_hns</t>
        </is>
      </c>
      <c r="C2777" s="62" t="inlineStr">
        <is>
          <t>Nuit</t>
        </is>
      </c>
      <c r="D2777" s="49" t="inlineStr">
        <is>
          <t>Herbe</t>
        </is>
      </c>
      <c r="E2777" s="37" t="inlineStr">
        <is>
          <t>MAGIREVE</t>
        </is>
      </c>
      <c r="F2777" s="38" t="n">
        <v>0.1</v>
      </c>
      <c r="G2777" s="39" t="n">
        <v>45</v>
      </c>
      <c r="H2777" s="39" t="n">
        <v>66</v>
      </c>
      <c r="I2777" s="29">
        <f>IF(OR(COUNTIF('Suivi des rencontres'!$A:$A,$A2777)&gt;0,COUNTIF('Suivi des rencontres'!$C:$C,$J2777)&gt;0),"Non","Oui")</f>
        <v/>
      </c>
      <c r="J2777" s="30" t="inlineStr">
        <is>
          <t>FEUFOREVE</t>
        </is>
      </c>
    </row>
    <row r="2778">
      <c r="A2778" s="35" t="inlineStr">
        <is>
          <t>Ruines Sinjoh</t>
        </is>
      </c>
      <c r="B2778" s="35" t="inlineStr">
        <is>
          <t>SinjohRuins_hns</t>
        </is>
      </c>
      <c r="C2778" s="62" t="inlineStr">
        <is>
          <t>Nuit</t>
        </is>
      </c>
      <c r="D2778" s="49" t="inlineStr">
        <is>
          <t>Herbe</t>
        </is>
      </c>
      <c r="E2778" s="37" t="inlineStr">
        <is>
          <t>SPECTRUM</t>
        </is>
      </c>
      <c r="F2778" s="38" t="n">
        <v>0.1</v>
      </c>
      <c r="G2778" s="39" t="n">
        <v>45</v>
      </c>
      <c r="H2778" s="39" t="n">
        <v>60</v>
      </c>
      <c r="I2778" s="29">
        <f>IF(OR(COUNTIF('Suivi des rencontres'!$A:$A,$A2778)&gt;0,COUNTIF('Suivi des rencontres'!$C:$C,$J2778)&gt;0),"Non","Oui")</f>
        <v/>
      </c>
      <c r="J2778" s="30" t="inlineStr">
        <is>
          <t>FANTOMINUS</t>
        </is>
      </c>
    </row>
    <row r="2779">
      <c r="A2779" s="35" t="inlineStr">
        <is>
          <t>Ruines Sinjoh</t>
        </is>
      </c>
      <c r="B2779" s="35" t="inlineStr">
        <is>
          <t>SinjohRuins_hns</t>
        </is>
      </c>
      <c r="C2779" s="62" t="inlineStr">
        <is>
          <t>Nuit</t>
        </is>
      </c>
      <c r="D2779" s="49" t="inlineStr">
        <is>
          <t>Herbe</t>
        </is>
      </c>
      <c r="E2779" s="37" t="inlineStr">
        <is>
          <t>URSARING</t>
        </is>
      </c>
      <c r="F2779" s="38" t="n">
        <v>0.1</v>
      </c>
      <c r="G2779" s="39" t="n">
        <v>45</v>
      </c>
      <c r="H2779" s="39" t="n">
        <v>60</v>
      </c>
      <c r="I2779" s="29">
        <f>IF(OR(COUNTIF('Suivi des rencontres'!$A:$A,$A2779)&gt;0,COUNTIF('Suivi des rencontres'!$C:$C,$J2779)&gt;0),"Non","Oui")</f>
        <v/>
      </c>
      <c r="J2779" s="30" t="inlineStr">
        <is>
          <t>TEDDIURSA</t>
        </is>
      </c>
    </row>
    <row r="2780">
      <c r="A2780" s="35" t="inlineStr">
        <is>
          <t>Ruines Sinjoh</t>
        </is>
      </c>
      <c r="B2780" s="35" t="inlineStr">
        <is>
          <t>SinjohRuins_hns</t>
        </is>
      </c>
      <c r="C2780" s="62" t="inlineStr">
        <is>
          <t>Nuit</t>
        </is>
      </c>
      <c r="D2780" s="49" t="inlineStr">
        <is>
          <t>Herbe</t>
        </is>
      </c>
      <c r="E2780" s="37" t="inlineStr">
        <is>
          <t>DEMOLOSSE</t>
        </is>
      </c>
      <c r="F2780" s="38" t="n">
        <v>0.05</v>
      </c>
      <c r="G2780" s="39" t="n">
        <v>45</v>
      </c>
      <c r="H2780" s="39" t="n">
        <v>70</v>
      </c>
      <c r="I2780" s="29">
        <f>IF(OR(COUNTIF('Suivi des rencontres'!$A:$A,$A2780)&gt;0,COUNTIF('Suivi des rencontres'!$C:$C,$J2780)&gt;0),"Non","Oui")</f>
        <v/>
      </c>
      <c r="J2780" s="30" t="inlineStr">
        <is>
          <t>MALOSSE</t>
        </is>
      </c>
    </row>
    <row r="2781">
      <c r="A2781" s="35" t="inlineStr">
        <is>
          <t>Ruines Sinjoh</t>
        </is>
      </c>
      <c r="B2781" s="35" t="inlineStr">
        <is>
          <t>SinjohRuins_hns</t>
        </is>
      </c>
      <c r="C2781" s="62" t="inlineStr">
        <is>
          <t>Nuit</t>
        </is>
      </c>
      <c r="D2781" s="49" t="inlineStr">
        <is>
          <t>Herbe</t>
        </is>
      </c>
      <c r="E2781" s="37" t="inlineStr">
        <is>
          <t>EOKO</t>
        </is>
      </c>
      <c r="F2781" s="38" t="n">
        <v>0.05</v>
      </c>
      <c r="G2781" s="39" t="n">
        <v>45</v>
      </c>
      <c r="H2781" s="39" t="n">
        <v>70</v>
      </c>
      <c r="I2781" s="29">
        <f>IF(OR(COUNTIF('Suivi des rencontres'!$A:$A,$A2781)&gt;0,COUNTIF('Suivi des rencontres'!$C:$C,$J2781)&gt;0),"Non","Oui")</f>
        <v/>
      </c>
      <c r="J2781" s="30" t="inlineStr">
        <is>
          <t>KORILLON</t>
        </is>
      </c>
    </row>
    <row r="2782">
      <c r="A2782" s="35" t="inlineStr">
        <is>
          <t>Ruines Sinjoh</t>
        </is>
      </c>
      <c r="B2782" s="35" t="inlineStr">
        <is>
          <t>SinjohRuins_hns</t>
        </is>
      </c>
      <c r="C2782" s="62" t="inlineStr">
        <is>
          <t>Nuit</t>
        </is>
      </c>
      <c r="D2782" s="49" t="inlineStr">
        <is>
          <t>Herbe</t>
        </is>
      </c>
      <c r="E2782" s="37" t="inlineStr">
        <is>
          <t>POLICHOMBR</t>
        </is>
      </c>
      <c r="F2782" s="38" t="n">
        <v>0.05</v>
      </c>
      <c r="G2782" s="39" t="n">
        <v>45</v>
      </c>
      <c r="H2782" s="39" t="n">
        <v>60</v>
      </c>
      <c r="I2782" s="29">
        <f>IF(OR(COUNTIF('Suivi des rencontres'!$A:$A,$A2782)&gt;0,COUNTIF('Suivi des rencontres'!$C:$C,$J2782)&gt;0),"Non","Oui")</f>
        <v/>
      </c>
      <c r="J2782" s="30" t="inlineStr">
        <is>
          <t>POLICHOMBR</t>
        </is>
      </c>
    </row>
    <row r="2783">
      <c r="A2783" s="35" t="inlineStr">
        <is>
          <t>Ruines Sinjoh</t>
        </is>
      </c>
      <c r="B2783" s="35" t="inlineStr">
        <is>
          <t>SinjohRuins_hns</t>
        </is>
      </c>
      <c r="C2783" s="62" t="inlineStr">
        <is>
          <t>Nuit</t>
        </is>
      </c>
      <c r="D2783" s="49" t="inlineStr">
        <is>
          <t>Herbe</t>
        </is>
      </c>
      <c r="E2783" s="37" t="inlineStr">
        <is>
          <t>SKELENOX</t>
        </is>
      </c>
      <c r="F2783" s="38" t="n">
        <v>0.05</v>
      </c>
      <c r="G2783" s="39" t="n">
        <v>45</v>
      </c>
      <c r="H2783" s="39" t="n">
        <v>60</v>
      </c>
      <c r="I2783" s="29">
        <f>IF(OR(COUNTIF('Suivi des rencontres'!$A:$A,$A2783)&gt;0,COUNTIF('Suivi des rencontres'!$C:$C,$J2783)&gt;0),"Non","Oui")</f>
        <v/>
      </c>
      <c r="J2783" s="30" t="inlineStr">
        <is>
          <t>SKELENOX</t>
        </is>
      </c>
    </row>
    <row r="2784">
      <c r="A2784" s="35" t="inlineStr">
        <is>
          <t>Ruines Sinjoh</t>
        </is>
      </c>
      <c r="B2784" s="35" t="inlineStr">
        <is>
          <t>SinjohRuins_hns</t>
        </is>
      </c>
      <c r="C2784" s="33" t="inlineStr">
        <is>
          <t>Matin, jour, soir</t>
        </is>
      </c>
      <c r="D2784" s="36" t="inlineStr">
        <is>
          <t>Éclate-Roc</t>
        </is>
      </c>
      <c r="E2784" s="37" t="inlineStr">
        <is>
          <t>RACAILLOU</t>
        </is>
      </c>
      <c r="F2784" s="38" t="n">
        <v>0.6</v>
      </c>
      <c r="G2784" s="39" t="n">
        <v>45</v>
      </c>
      <c r="H2784" s="39" t="n">
        <v>50</v>
      </c>
      <c r="I2784" s="29">
        <f>IF(OR(COUNTIF('Suivi des rencontres'!$A:$A,$A2784)&gt;0,COUNTIF('Suivi des rencontres'!$C:$C,$J2784)&gt;0),"Non","Oui")</f>
        <v/>
      </c>
      <c r="J2784" s="30" t="inlineStr">
        <is>
          <t>RACAILLOU</t>
        </is>
      </c>
    </row>
    <row r="2785">
      <c r="A2785" s="35" t="inlineStr">
        <is>
          <t>Ruines Sinjoh</t>
        </is>
      </c>
      <c r="B2785" s="35" t="inlineStr">
        <is>
          <t>SinjohRuins_hns</t>
        </is>
      </c>
      <c r="C2785" s="33" t="inlineStr">
        <is>
          <t>Matin, jour, soir</t>
        </is>
      </c>
      <c r="D2785" s="36" t="inlineStr">
        <is>
          <t>Éclate-Roc</t>
        </is>
      </c>
      <c r="E2785" s="37" t="inlineStr">
        <is>
          <t>GRAVALANCH</t>
        </is>
      </c>
      <c r="F2785" s="38" t="n">
        <v>0.3</v>
      </c>
      <c r="G2785" s="39" t="n">
        <v>45</v>
      </c>
      <c r="H2785" s="39" t="n">
        <v>50</v>
      </c>
      <c r="I2785" s="29">
        <f>IF(OR(COUNTIF('Suivi des rencontres'!$A:$A,$A2785)&gt;0,COUNTIF('Suivi des rencontres'!$C:$C,$J2785)&gt;0),"Non","Oui")</f>
        <v/>
      </c>
      <c r="J2785" s="30" t="inlineStr">
        <is>
          <t>RACAILLOU</t>
        </is>
      </c>
    </row>
    <row r="2786">
      <c r="A2786" s="35" t="inlineStr">
        <is>
          <t>Ruines Sinjoh</t>
        </is>
      </c>
      <c r="B2786" s="35" t="inlineStr">
        <is>
          <t>SinjohRuins_hns</t>
        </is>
      </c>
      <c r="C2786" s="33" t="inlineStr">
        <is>
          <t>Matin, jour, soir</t>
        </is>
      </c>
      <c r="D2786" s="36" t="inlineStr">
        <is>
          <t>Éclate-Roc</t>
        </is>
      </c>
      <c r="E2786" s="37" t="inlineStr">
        <is>
          <t>BALBUTO</t>
        </is>
      </c>
      <c r="F2786" s="38" t="n">
        <v>0.05</v>
      </c>
      <c r="G2786" s="39" t="n">
        <v>45</v>
      </c>
      <c r="H2786" s="39" t="n">
        <v>50</v>
      </c>
      <c r="I2786" s="29">
        <f>IF(OR(COUNTIF('Suivi des rencontres'!$A:$A,$A2786)&gt;0,COUNTIF('Suivi des rencontres'!$C:$C,$J2786)&gt;0),"Non","Oui")</f>
        <v/>
      </c>
      <c r="J2786" s="30" t="inlineStr">
        <is>
          <t>BALBUTO</t>
        </is>
      </c>
    </row>
    <row r="2787">
      <c r="A2787" s="35" t="inlineStr">
        <is>
          <t>Ruines Sinjoh</t>
        </is>
      </c>
      <c r="B2787" s="35" t="inlineStr">
        <is>
          <t>SinjohRuins_hns</t>
        </is>
      </c>
      <c r="C2787" s="33" t="inlineStr">
        <is>
          <t>Matin, jour, soir</t>
        </is>
      </c>
      <c r="D2787" s="36" t="inlineStr">
        <is>
          <t>Éclate-Roc</t>
        </is>
      </c>
      <c r="E2787" s="37" t="inlineStr">
        <is>
          <t>TARINOR</t>
        </is>
      </c>
      <c r="F2787" s="38" t="n">
        <v>0.05</v>
      </c>
      <c r="G2787" s="39" t="n">
        <v>45</v>
      </c>
      <c r="H2787" s="39" t="n">
        <v>50</v>
      </c>
      <c r="I2787" s="29">
        <f>IF(OR(COUNTIF('Suivi des rencontres'!$A:$A,$A2787)&gt;0,COUNTIF('Suivi des rencontres'!$C:$C,$J2787)&gt;0),"Non","Oui")</f>
        <v/>
      </c>
      <c r="J2787" s="30" t="inlineStr">
        <is>
          <t>TARINOR</t>
        </is>
      </c>
    </row>
    <row r="2788">
      <c r="A2788" s="35" t="inlineStr">
        <is>
          <t>Ruines Sinjoh</t>
        </is>
      </c>
      <c r="B2788" s="35" t="inlineStr">
        <is>
          <t>SinjohRuins_hns</t>
        </is>
      </c>
      <c r="C2788" s="62" t="inlineStr">
        <is>
          <t>Nuit</t>
        </is>
      </c>
      <c r="D2788" s="36" t="inlineStr">
        <is>
          <t>Éclate-Roc</t>
        </is>
      </c>
      <c r="E2788" s="37" t="inlineStr">
        <is>
          <t>RACAILLOU</t>
        </is>
      </c>
      <c r="F2788" s="38" t="n">
        <v>0.6</v>
      </c>
      <c r="G2788" s="39" t="n">
        <v>45</v>
      </c>
      <c r="H2788" s="39" t="n">
        <v>50</v>
      </c>
      <c r="I2788" s="29">
        <f>IF(OR(COUNTIF('Suivi des rencontres'!$A:$A,$A2788)&gt;0,COUNTIF('Suivi des rencontres'!$C:$C,$J2788)&gt;0),"Non","Oui")</f>
        <v/>
      </c>
      <c r="J2788" s="30" t="inlineStr">
        <is>
          <t>RACAILLOU</t>
        </is>
      </c>
    </row>
    <row r="2789">
      <c r="A2789" s="35" t="inlineStr">
        <is>
          <t>Ruines Sinjoh</t>
        </is>
      </c>
      <c r="B2789" s="35" t="inlineStr">
        <is>
          <t>SinjohRuins_hns</t>
        </is>
      </c>
      <c r="C2789" s="62" t="inlineStr">
        <is>
          <t>Nuit</t>
        </is>
      </c>
      <c r="D2789" s="36" t="inlineStr">
        <is>
          <t>Éclate-Roc</t>
        </is>
      </c>
      <c r="E2789" s="37" t="inlineStr">
        <is>
          <t>GRAVALANCH</t>
        </is>
      </c>
      <c r="F2789" s="38" t="n">
        <v>0.3</v>
      </c>
      <c r="G2789" s="39" t="n">
        <v>45</v>
      </c>
      <c r="H2789" s="39" t="n">
        <v>50</v>
      </c>
      <c r="I2789" s="29">
        <f>IF(OR(COUNTIF('Suivi des rencontres'!$A:$A,$A2789)&gt;0,COUNTIF('Suivi des rencontres'!$C:$C,$J2789)&gt;0),"Non","Oui")</f>
        <v/>
      </c>
      <c r="J2789" s="30" t="inlineStr">
        <is>
          <t>RACAILLOU</t>
        </is>
      </c>
    </row>
    <row r="2790">
      <c r="A2790" s="35" t="inlineStr">
        <is>
          <t>Ruines Sinjoh</t>
        </is>
      </c>
      <c r="B2790" s="35" t="inlineStr">
        <is>
          <t>SinjohRuins_hns</t>
        </is>
      </c>
      <c r="C2790" s="62" t="inlineStr">
        <is>
          <t>Nuit</t>
        </is>
      </c>
      <c r="D2790" s="36" t="inlineStr">
        <is>
          <t>Éclate-Roc</t>
        </is>
      </c>
      <c r="E2790" s="37" t="inlineStr">
        <is>
          <t>BALBUTO</t>
        </is>
      </c>
      <c r="F2790" s="38" t="n">
        <v>0.05</v>
      </c>
      <c r="G2790" s="39" t="n">
        <v>45</v>
      </c>
      <c r="H2790" s="39" t="n">
        <v>50</v>
      </c>
      <c r="I2790" s="29">
        <f>IF(OR(COUNTIF('Suivi des rencontres'!$A:$A,$A2790)&gt;0,COUNTIF('Suivi des rencontres'!$C:$C,$J2790)&gt;0),"Non","Oui")</f>
        <v/>
      </c>
      <c r="J2790" s="30" t="inlineStr">
        <is>
          <t>BALBUTO</t>
        </is>
      </c>
    </row>
    <row r="2791">
      <c r="A2791" s="35" t="inlineStr">
        <is>
          <t>Ruines Sinjoh</t>
        </is>
      </c>
      <c r="B2791" s="35" t="inlineStr">
        <is>
          <t>SinjohRuins_hns</t>
        </is>
      </c>
      <c r="C2791" s="62" t="inlineStr">
        <is>
          <t>Nuit</t>
        </is>
      </c>
      <c r="D2791" s="36" t="inlineStr">
        <is>
          <t>Éclate-Roc</t>
        </is>
      </c>
      <c r="E2791" s="37" t="inlineStr">
        <is>
          <t>TARINOR</t>
        </is>
      </c>
      <c r="F2791" s="38" t="n">
        <v>0.05</v>
      </c>
      <c r="G2791" s="39" t="n">
        <v>45</v>
      </c>
      <c r="H2791" s="39" t="n">
        <v>50</v>
      </c>
      <c r="I2791" s="29">
        <f>IF(OR(COUNTIF('Suivi des rencontres'!$A:$A,$A2791)&gt;0,COUNTIF('Suivi des rencontres'!$C:$C,$J2791)&gt;0),"Non","Oui")</f>
        <v/>
      </c>
      <c r="J2791" s="30" t="inlineStr">
        <is>
          <t>TARINOR</t>
        </is>
      </c>
    </row>
    <row r="2792">
      <c r="A2792" s="40" t="inlineStr">
        <is>
          <t>Ruines d'Alpha</t>
        </is>
      </c>
      <c r="B2792" s="40" t="inlineStr">
        <is>
          <t>RuinsOfAlph_B1F_hns</t>
        </is>
      </c>
      <c r="C2792" s="41" t="inlineStr">
        <is>
          <t>Toute la journée</t>
        </is>
      </c>
      <c r="D2792" s="42" t="inlineStr">
        <is>
          <t>Herbe</t>
        </is>
      </c>
      <c r="E2792" s="43" t="inlineStr">
        <is>
          <t>ZARBI</t>
        </is>
      </c>
      <c r="F2792" s="44" t="n">
        <v>1</v>
      </c>
      <c r="G2792" s="45" t="n">
        <v>5</v>
      </c>
      <c r="H2792" s="45" t="n">
        <v>5</v>
      </c>
      <c r="I2792" s="46">
        <f>IF(OR(COUNTIF('Suivi des rencontres'!$A:$A,$A2792)&gt;0,COUNTIF('Suivi des rencontres'!$C:$C,$J2792)&gt;0),"Non","Oui")</f>
        <v/>
      </c>
      <c r="J2792" s="30" t="inlineStr">
        <is>
          <t>ZARBI</t>
        </is>
      </c>
    </row>
    <row r="2793">
      <c r="A2793" s="47" t="inlineStr">
        <is>
          <t>Ruines d'Alpha</t>
        </is>
      </c>
      <c r="B2793" s="47" t="inlineStr">
        <is>
          <t>RuinsOfAlph_Outside_hns</t>
        </is>
      </c>
      <c r="C2793" s="48" t="inlineStr">
        <is>
          <t>Matin, jour, soir</t>
        </is>
      </c>
      <c r="D2793" s="49" t="inlineStr">
        <is>
          <t>Herbe</t>
        </is>
      </c>
      <c r="E2793" s="50" t="inlineStr">
        <is>
          <t>NATU</t>
        </is>
      </c>
      <c r="F2793" s="51" t="n">
        <v>0.9</v>
      </c>
      <c r="G2793" s="52" t="n">
        <v>4</v>
      </c>
      <c r="H2793" s="52" t="n">
        <v>6</v>
      </c>
      <c r="I2793" s="29">
        <f>IF(OR(COUNTIF('Suivi des rencontres'!$A:$A,$A2793)&gt;0,COUNTIF('Suivi des rencontres'!$C:$C,$J2793)&gt;0),"Non","Oui")</f>
        <v/>
      </c>
      <c r="J2793" s="30" t="inlineStr">
        <is>
          <t>NATU</t>
        </is>
      </c>
    </row>
    <row r="2794">
      <c r="A2794" s="47" t="inlineStr">
        <is>
          <t>Ruines d'Alpha</t>
        </is>
      </c>
      <c r="B2794" s="47" t="inlineStr">
        <is>
          <t>RuinsOfAlph_Outside_hns</t>
        </is>
      </c>
      <c r="C2794" s="48" t="inlineStr">
        <is>
          <t>Matin, jour, soir</t>
        </is>
      </c>
      <c r="D2794" s="49" t="inlineStr">
        <is>
          <t>Herbe</t>
        </is>
      </c>
      <c r="E2794" s="50" t="inlineStr">
        <is>
          <t>ZARBI</t>
        </is>
      </c>
      <c r="F2794" s="51" t="n">
        <v>0.1</v>
      </c>
      <c r="G2794" s="52" t="n">
        <v>4</v>
      </c>
      <c r="H2794" s="52" t="n">
        <v>6</v>
      </c>
      <c r="I2794" s="29">
        <f>IF(OR(COUNTIF('Suivi des rencontres'!$A:$A,$A2794)&gt;0,COUNTIF('Suivi des rencontres'!$C:$C,$J2794)&gt;0),"Non","Oui")</f>
        <v/>
      </c>
      <c r="J2794" s="30" t="inlineStr">
        <is>
          <t>ZARBI</t>
        </is>
      </c>
    </row>
    <row r="2795">
      <c r="A2795" s="47" t="inlineStr">
        <is>
          <t>Ruines d'Alpha</t>
        </is>
      </c>
      <c r="B2795" s="47" t="inlineStr">
        <is>
          <t>RuinsOfAlph_Outside_hns</t>
        </is>
      </c>
      <c r="C2795" s="62" t="inlineStr">
        <is>
          <t>Nuit</t>
        </is>
      </c>
      <c r="D2795" s="49" t="inlineStr">
        <is>
          <t>Herbe</t>
        </is>
      </c>
      <c r="E2795" s="50" t="inlineStr">
        <is>
          <t>NATU</t>
        </is>
      </c>
      <c r="F2795" s="51" t="n">
        <v>0.6</v>
      </c>
      <c r="G2795" s="52" t="n">
        <v>4</v>
      </c>
      <c r="H2795" s="52" t="n">
        <v>6</v>
      </c>
      <c r="I2795" s="29">
        <f>IF(OR(COUNTIF('Suivi des rencontres'!$A:$A,$A2795)&gt;0,COUNTIF('Suivi des rencontres'!$C:$C,$J2795)&gt;0),"Non","Oui")</f>
        <v/>
      </c>
      <c r="J2795" s="30" t="inlineStr">
        <is>
          <t>NATU</t>
        </is>
      </c>
    </row>
    <row r="2796">
      <c r="A2796" s="47" t="inlineStr">
        <is>
          <t>Ruines d'Alpha</t>
        </is>
      </c>
      <c r="B2796" s="47" t="inlineStr">
        <is>
          <t>RuinsOfAlph_Outside_hns</t>
        </is>
      </c>
      <c r="C2796" s="62" t="inlineStr">
        <is>
          <t>Nuit</t>
        </is>
      </c>
      <c r="D2796" s="49" t="inlineStr">
        <is>
          <t>Herbe</t>
        </is>
      </c>
      <c r="E2796" s="50" t="inlineStr">
        <is>
          <t>ZARBI</t>
        </is>
      </c>
      <c r="F2796" s="51" t="n">
        <v>0.3</v>
      </c>
      <c r="G2796" s="52" t="n">
        <v>4</v>
      </c>
      <c r="H2796" s="52" t="n">
        <v>6</v>
      </c>
      <c r="I2796" s="29">
        <f>IF(OR(COUNTIF('Suivi des rencontres'!$A:$A,$A2796)&gt;0,COUNTIF('Suivi des rencontres'!$C:$C,$J2796)&gt;0),"Non","Oui")</f>
        <v/>
      </c>
      <c r="J2796" s="30" t="inlineStr">
        <is>
          <t>ZARBI</t>
        </is>
      </c>
    </row>
    <row r="2797">
      <c r="A2797" s="47" t="inlineStr">
        <is>
          <t>Ruines d'Alpha</t>
        </is>
      </c>
      <c r="B2797" s="47" t="inlineStr">
        <is>
          <t>RuinsOfAlph_Outside_hns</t>
        </is>
      </c>
      <c r="C2797" s="62" t="inlineStr">
        <is>
          <t>Nuit</t>
        </is>
      </c>
      <c r="D2797" s="49" t="inlineStr">
        <is>
          <t>Herbe</t>
        </is>
      </c>
      <c r="E2797" s="50" t="inlineStr">
        <is>
          <t>AXOLOTO</t>
        </is>
      </c>
      <c r="F2797" s="51" t="n">
        <v>0.1</v>
      </c>
      <c r="G2797" s="52" t="n">
        <v>4</v>
      </c>
      <c r="H2797" s="52" t="n">
        <v>6</v>
      </c>
      <c r="I2797" s="29">
        <f>IF(OR(COUNTIF('Suivi des rencontres'!$A:$A,$A2797)&gt;0,COUNTIF('Suivi des rencontres'!$C:$C,$J2797)&gt;0),"Non","Oui")</f>
        <v/>
      </c>
      <c r="J2797" s="30" t="inlineStr">
        <is>
          <t>AXOLOTO</t>
        </is>
      </c>
    </row>
    <row r="2798">
      <c r="A2798" s="47" t="inlineStr">
        <is>
          <t>Ruines d'Alpha</t>
        </is>
      </c>
      <c r="B2798" s="47" t="inlineStr">
        <is>
          <t>RuinsOfAlph_Outside_hns</t>
        </is>
      </c>
      <c r="C2798" s="48" t="inlineStr">
        <is>
          <t>Matin, jour, soir</t>
        </is>
      </c>
      <c r="D2798" s="53" t="inlineStr">
        <is>
          <t>Surf</t>
        </is>
      </c>
      <c r="E2798" s="50" t="inlineStr">
        <is>
          <t>AXOLOTO</t>
        </is>
      </c>
      <c r="F2798" s="51" t="n">
        <v>0.95</v>
      </c>
      <c r="G2798" s="52" t="n">
        <v>15</v>
      </c>
      <c r="H2798" s="52" t="n">
        <v>19</v>
      </c>
      <c r="I2798" s="29">
        <f>IF(OR(COUNTIF('Suivi des rencontres'!$A:$A,$A2798)&gt;0,COUNTIF('Suivi des rencontres'!$C:$C,$J2798)&gt;0),"Non","Oui")</f>
        <v/>
      </c>
      <c r="J2798" s="30" t="inlineStr">
        <is>
          <t>AXOLOTO</t>
        </is>
      </c>
    </row>
    <row r="2799">
      <c r="A2799" s="47" t="inlineStr">
        <is>
          <t>Ruines d'Alpha</t>
        </is>
      </c>
      <c r="B2799" s="47" t="inlineStr">
        <is>
          <t>RuinsOfAlph_Outside_hns</t>
        </is>
      </c>
      <c r="C2799" s="48" t="inlineStr">
        <is>
          <t>Matin, jour, soir</t>
        </is>
      </c>
      <c r="D2799" s="53" t="inlineStr">
        <is>
          <t>Surf</t>
        </is>
      </c>
      <c r="E2799" s="50" t="inlineStr">
        <is>
          <t>MARAISTE</t>
        </is>
      </c>
      <c r="F2799" s="51" t="n">
        <v>0.05</v>
      </c>
      <c r="G2799" s="52" t="n">
        <v>15</v>
      </c>
      <c r="H2799" s="52" t="n">
        <v>24</v>
      </c>
      <c r="I2799" s="29">
        <f>IF(OR(COUNTIF('Suivi des rencontres'!$A:$A,$A2799)&gt;0,COUNTIF('Suivi des rencontres'!$C:$C,$J2799)&gt;0),"Non","Oui")</f>
        <v/>
      </c>
      <c r="J2799" s="30" t="inlineStr">
        <is>
          <t>AXOLOTO</t>
        </is>
      </c>
    </row>
    <row r="2800">
      <c r="A2800" s="47" t="inlineStr">
        <is>
          <t>Ruines d'Alpha</t>
        </is>
      </c>
      <c r="B2800" s="47" t="inlineStr">
        <is>
          <t>RuinsOfAlph_Outside_hns</t>
        </is>
      </c>
      <c r="C2800" s="62" t="inlineStr">
        <is>
          <t>Nuit</t>
        </is>
      </c>
      <c r="D2800" s="53" t="inlineStr">
        <is>
          <t>Surf</t>
        </is>
      </c>
      <c r="E2800" s="50" t="inlineStr">
        <is>
          <t>AXOLOTO</t>
        </is>
      </c>
      <c r="F2800" s="51" t="n">
        <v>0.95</v>
      </c>
      <c r="G2800" s="52" t="n">
        <v>15</v>
      </c>
      <c r="H2800" s="52" t="n">
        <v>19</v>
      </c>
      <c r="I2800" s="29">
        <f>IF(OR(COUNTIF('Suivi des rencontres'!$A:$A,$A2800)&gt;0,COUNTIF('Suivi des rencontres'!$C:$C,$J2800)&gt;0),"Non","Oui")</f>
        <v/>
      </c>
      <c r="J2800" s="30" t="inlineStr">
        <is>
          <t>AXOLOTO</t>
        </is>
      </c>
    </row>
    <row r="2801">
      <c r="A2801" s="47" t="inlineStr">
        <is>
          <t>Ruines d'Alpha</t>
        </is>
      </c>
      <c r="B2801" s="47" t="inlineStr">
        <is>
          <t>RuinsOfAlph_Outside_hns</t>
        </is>
      </c>
      <c r="C2801" s="62" t="inlineStr">
        <is>
          <t>Nuit</t>
        </is>
      </c>
      <c r="D2801" s="53" t="inlineStr">
        <is>
          <t>Surf</t>
        </is>
      </c>
      <c r="E2801" s="50" t="inlineStr">
        <is>
          <t>MARAISTE</t>
        </is>
      </c>
      <c r="F2801" s="51" t="n">
        <v>0.05</v>
      </c>
      <c r="G2801" s="52" t="n">
        <v>15</v>
      </c>
      <c r="H2801" s="52" t="n">
        <v>24</v>
      </c>
      <c r="I2801" s="29">
        <f>IF(OR(COUNTIF('Suivi des rencontres'!$A:$A,$A2801)&gt;0,COUNTIF('Suivi des rencontres'!$C:$C,$J2801)&gt;0),"Non","Oui")</f>
        <v/>
      </c>
      <c r="J2801" s="30" t="inlineStr">
        <is>
          <t>AXOLOTO</t>
        </is>
      </c>
    </row>
    <row r="2802">
      <c r="A2802" s="47" t="inlineStr">
        <is>
          <t>Ruines d'Alpha</t>
        </is>
      </c>
      <c r="B2802" s="47" t="inlineStr">
        <is>
          <t>RuinsOfAlph_Outside_hns</t>
        </is>
      </c>
      <c r="C2802" s="48" t="inlineStr">
        <is>
          <t>Toute la journée</t>
        </is>
      </c>
      <c r="D2802" s="36" t="inlineStr">
        <is>
          <t>Éclate-Roc</t>
        </is>
      </c>
      <c r="E2802" s="50" t="inlineStr">
        <is>
          <t>QUEULORIOR</t>
        </is>
      </c>
      <c r="F2802" s="51" t="n">
        <v>1</v>
      </c>
      <c r="G2802" s="52" t="n">
        <v>30</v>
      </c>
      <c r="H2802" s="52" t="n">
        <v>40</v>
      </c>
      <c r="I2802" s="29">
        <f>IF(OR(COUNTIF('Suivi des rencontres'!$A:$A,$A2802)&gt;0,COUNTIF('Suivi des rencontres'!$C:$C,$J2802)&gt;0),"Non","Oui")</f>
        <v/>
      </c>
      <c r="J2802" s="30" t="inlineStr">
        <is>
          <t>QUEULORIOR</t>
        </is>
      </c>
    </row>
    <row r="2803">
      <c r="A2803" s="47" t="inlineStr">
        <is>
          <t>Ruines d'Alpha</t>
        </is>
      </c>
      <c r="B2803" s="47" t="inlineStr">
        <is>
          <t>RuinsOfAlph_Outside_hns</t>
        </is>
      </c>
      <c r="C2803" s="48" t="inlineStr">
        <is>
          <t>Matin, jour, soir</t>
        </is>
      </c>
      <c r="D2803" s="54" t="inlineStr">
        <is>
          <t>Vieille Canne</t>
        </is>
      </c>
      <c r="E2803" s="50" t="inlineStr">
        <is>
          <t>MAGICARPE</t>
        </is>
      </c>
      <c r="F2803" s="51" t="n">
        <v>0.7</v>
      </c>
      <c r="G2803" s="52" t="n">
        <v>10</v>
      </c>
      <c r="H2803" s="52" t="n">
        <v>10</v>
      </c>
      <c r="I2803" s="29">
        <f>IF(OR(COUNTIF('Suivi des rencontres'!$A:$A,$A2803)&gt;0,COUNTIF('Suivi des rencontres'!$C:$C,$J2803)&gt;0),"Non","Oui")</f>
        <v/>
      </c>
      <c r="J2803" s="30" t="inlineStr">
        <is>
          <t>MAGICARPE</t>
        </is>
      </c>
    </row>
    <row r="2804">
      <c r="A2804" s="47" t="inlineStr">
        <is>
          <t>Ruines d'Alpha</t>
        </is>
      </c>
      <c r="B2804" s="47" t="inlineStr">
        <is>
          <t>RuinsOfAlph_Outside_hns</t>
        </is>
      </c>
      <c r="C2804" s="48" t="inlineStr">
        <is>
          <t>Matin, jour, soir</t>
        </is>
      </c>
      <c r="D2804" s="54" t="inlineStr">
        <is>
          <t>Vieille Canne</t>
        </is>
      </c>
      <c r="E2804" s="50" t="inlineStr">
        <is>
          <t>PTITARD</t>
        </is>
      </c>
      <c r="F2804" s="51" t="n">
        <v>0.3</v>
      </c>
      <c r="G2804" s="52" t="n">
        <v>10</v>
      </c>
      <c r="H2804" s="52" t="n">
        <v>10</v>
      </c>
      <c r="I2804" s="29">
        <f>IF(OR(COUNTIF('Suivi des rencontres'!$A:$A,$A2804)&gt;0,COUNTIF('Suivi des rencontres'!$C:$C,$J2804)&gt;0),"Non","Oui")</f>
        <v/>
      </c>
      <c r="J2804" s="30" t="inlineStr">
        <is>
          <t>PTITARD</t>
        </is>
      </c>
    </row>
    <row r="2805">
      <c r="A2805" s="47" t="inlineStr">
        <is>
          <t>Ruines d'Alpha</t>
        </is>
      </c>
      <c r="B2805" s="47" t="inlineStr">
        <is>
          <t>RuinsOfAlph_Outside_hns</t>
        </is>
      </c>
      <c r="C2805" s="62" t="inlineStr">
        <is>
          <t>Nuit</t>
        </is>
      </c>
      <c r="D2805" s="54" t="inlineStr">
        <is>
          <t>Vieille Canne</t>
        </is>
      </c>
      <c r="E2805" s="50" t="inlineStr">
        <is>
          <t>MAGICARPE</t>
        </is>
      </c>
      <c r="F2805" s="51" t="n">
        <v>0.7</v>
      </c>
      <c r="G2805" s="52" t="n">
        <v>10</v>
      </c>
      <c r="H2805" s="52" t="n">
        <v>10</v>
      </c>
      <c r="I2805" s="29">
        <f>IF(OR(COUNTIF('Suivi des rencontres'!$A:$A,$A2805)&gt;0,COUNTIF('Suivi des rencontres'!$C:$C,$J2805)&gt;0),"Non","Oui")</f>
        <v/>
      </c>
      <c r="J2805" s="30" t="inlineStr">
        <is>
          <t>MAGICARPE</t>
        </is>
      </c>
    </row>
    <row r="2806">
      <c r="A2806" s="47" t="inlineStr">
        <is>
          <t>Ruines d'Alpha</t>
        </is>
      </c>
      <c r="B2806" s="47" t="inlineStr">
        <is>
          <t>RuinsOfAlph_Outside_hns</t>
        </is>
      </c>
      <c r="C2806" s="62" t="inlineStr">
        <is>
          <t>Nuit</t>
        </is>
      </c>
      <c r="D2806" s="54" t="inlineStr">
        <is>
          <t>Vieille Canne</t>
        </is>
      </c>
      <c r="E2806" s="50" t="inlineStr">
        <is>
          <t>PTITARD</t>
        </is>
      </c>
      <c r="F2806" s="51" t="n">
        <v>0.3</v>
      </c>
      <c r="G2806" s="52" t="n">
        <v>10</v>
      </c>
      <c r="H2806" s="52" t="n">
        <v>10</v>
      </c>
      <c r="I2806" s="29">
        <f>IF(OR(COUNTIF('Suivi des rencontres'!$A:$A,$A2806)&gt;0,COUNTIF('Suivi des rencontres'!$C:$C,$J2806)&gt;0),"Non","Oui")</f>
        <v/>
      </c>
      <c r="J2806" s="30" t="inlineStr">
        <is>
          <t>PTITARD</t>
        </is>
      </c>
    </row>
    <row r="2807">
      <c r="A2807" s="47" t="inlineStr">
        <is>
          <t>Ruines d'Alpha</t>
        </is>
      </c>
      <c r="B2807" s="47" t="inlineStr">
        <is>
          <t>RuinsOfAlph_Outside_hns</t>
        </is>
      </c>
      <c r="C2807" s="48" t="inlineStr">
        <is>
          <t>Matin, jour, soir</t>
        </is>
      </c>
      <c r="D2807" s="55" t="inlineStr">
        <is>
          <t>Bonne Canne</t>
        </is>
      </c>
      <c r="E2807" s="50" t="inlineStr">
        <is>
          <t>PTITARD</t>
        </is>
      </c>
      <c r="F2807" s="51" t="n">
        <v>0.8</v>
      </c>
      <c r="G2807" s="52" t="n">
        <v>20</v>
      </c>
      <c r="H2807" s="52" t="n">
        <v>40</v>
      </c>
      <c r="I2807" s="29">
        <f>IF(OR(COUNTIF('Suivi des rencontres'!$A:$A,$A2807)&gt;0,COUNTIF('Suivi des rencontres'!$C:$C,$J2807)&gt;0),"Non","Oui")</f>
        <v/>
      </c>
      <c r="J2807" s="30" t="inlineStr">
        <is>
          <t>PTITARD</t>
        </is>
      </c>
    </row>
    <row r="2808">
      <c r="A2808" s="47" t="inlineStr">
        <is>
          <t>Ruines d'Alpha</t>
        </is>
      </c>
      <c r="B2808" s="47" t="inlineStr">
        <is>
          <t>RuinsOfAlph_Outside_hns</t>
        </is>
      </c>
      <c r="C2808" s="48" t="inlineStr">
        <is>
          <t>Matin, jour, soir</t>
        </is>
      </c>
      <c r="D2808" s="55" t="inlineStr">
        <is>
          <t>Bonne Canne</t>
        </is>
      </c>
      <c r="E2808" s="50" t="inlineStr">
        <is>
          <t>MAGICARPE</t>
        </is>
      </c>
      <c r="F2808" s="51" t="n">
        <v>0.2</v>
      </c>
      <c r="G2808" s="52" t="n">
        <v>20</v>
      </c>
      <c r="H2808" s="52" t="n">
        <v>20</v>
      </c>
      <c r="I2808" s="29">
        <f>IF(OR(COUNTIF('Suivi des rencontres'!$A:$A,$A2808)&gt;0,COUNTIF('Suivi des rencontres'!$C:$C,$J2808)&gt;0),"Non","Oui")</f>
        <v/>
      </c>
      <c r="J2808" s="30" t="inlineStr">
        <is>
          <t>MAGICARPE</t>
        </is>
      </c>
    </row>
    <row r="2809">
      <c r="A2809" s="47" t="inlineStr">
        <is>
          <t>Ruines d'Alpha</t>
        </is>
      </c>
      <c r="B2809" s="47" t="inlineStr">
        <is>
          <t>RuinsOfAlph_Outside_hns</t>
        </is>
      </c>
      <c r="C2809" s="62" t="inlineStr">
        <is>
          <t>Nuit</t>
        </is>
      </c>
      <c r="D2809" s="55" t="inlineStr">
        <is>
          <t>Bonne Canne</t>
        </is>
      </c>
      <c r="E2809" s="50" t="inlineStr">
        <is>
          <t>PTITARD</t>
        </is>
      </c>
      <c r="F2809" s="51" t="n">
        <v>0.8</v>
      </c>
      <c r="G2809" s="52" t="n">
        <v>20</v>
      </c>
      <c r="H2809" s="52" t="n">
        <v>40</v>
      </c>
      <c r="I2809" s="29">
        <f>IF(OR(COUNTIF('Suivi des rencontres'!$A:$A,$A2809)&gt;0,COUNTIF('Suivi des rencontres'!$C:$C,$J2809)&gt;0),"Non","Oui")</f>
        <v/>
      </c>
      <c r="J2809" s="30" t="inlineStr">
        <is>
          <t>PTITARD</t>
        </is>
      </c>
    </row>
    <row r="2810">
      <c r="A2810" s="47" t="inlineStr">
        <is>
          <t>Ruines d'Alpha</t>
        </is>
      </c>
      <c r="B2810" s="47" t="inlineStr">
        <is>
          <t>RuinsOfAlph_Outside_hns</t>
        </is>
      </c>
      <c r="C2810" s="62" t="inlineStr">
        <is>
          <t>Nuit</t>
        </is>
      </c>
      <c r="D2810" s="55" t="inlineStr">
        <is>
          <t>Bonne Canne</t>
        </is>
      </c>
      <c r="E2810" s="50" t="inlineStr">
        <is>
          <t>MAGICARPE</t>
        </is>
      </c>
      <c r="F2810" s="51" t="n">
        <v>0.2</v>
      </c>
      <c r="G2810" s="52" t="n">
        <v>20</v>
      </c>
      <c r="H2810" s="52" t="n">
        <v>20</v>
      </c>
      <c r="I2810" s="29">
        <f>IF(OR(COUNTIF('Suivi des rencontres'!$A:$A,$A2810)&gt;0,COUNTIF('Suivi des rencontres'!$C:$C,$J2810)&gt;0),"Non","Oui")</f>
        <v/>
      </c>
      <c r="J2810" s="30" t="inlineStr">
        <is>
          <t>MAGICARPE</t>
        </is>
      </c>
    </row>
    <row r="2811">
      <c r="A2811" s="47" t="inlineStr">
        <is>
          <t>Ruines d'Alpha</t>
        </is>
      </c>
      <c r="B2811" s="47" t="inlineStr">
        <is>
          <t>RuinsOfAlph_Outside_hns</t>
        </is>
      </c>
      <c r="C2811" s="48" t="inlineStr">
        <is>
          <t>Matin, jour, soir</t>
        </is>
      </c>
      <c r="D2811" s="56" t="inlineStr">
        <is>
          <t>Super Canne</t>
        </is>
      </c>
      <c r="E2811" s="50" t="inlineStr">
        <is>
          <t>MAGICARPE</t>
        </is>
      </c>
      <c r="F2811" s="51" t="n">
        <v>0.44</v>
      </c>
      <c r="G2811" s="52" t="n">
        <v>10</v>
      </c>
      <c r="H2811" s="52" t="n">
        <v>40</v>
      </c>
      <c r="I2811" s="29">
        <f>IF(OR(COUNTIF('Suivi des rencontres'!$A:$A,$A2811)&gt;0,COUNTIF('Suivi des rencontres'!$C:$C,$J2811)&gt;0),"Non","Oui")</f>
        <v/>
      </c>
      <c r="J2811" s="30" t="inlineStr">
        <is>
          <t>MAGICARPE</t>
        </is>
      </c>
    </row>
    <row r="2812">
      <c r="A2812" s="47" t="inlineStr">
        <is>
          <t>Ruines d'Alpha</t>
        </is>
      </c>
      <c r="B2812" s="47" t="inlineStr">
        <is>
          <t>RuinsOfAlph_Outside_hns</t>
        </is>
      </c>
      <c r="C2812" s="48" t="inlineStr">
        <is>
          <t>Matin, jour, soir</t>
        </is>
      </c>
      <c r="D2812" s="56" t="inlineStr">
        <is>
          <t>Super Canne</t>
        </is>
      </c>
      <c r="E2812" s="50" t="inlineStr">
        <is>
          <t>TETARTE</t>
        </is>
      </c>
      <c r="F2812" s="51" t="n">
        <v>0.4</v>
      </c>
      <c r="G2812" s="52" t="n">
        <v>40</v>
      </c>
      <c r="H2812" s="52" t="n">
        <v>40</v>
      </c>
      <c r="I2812" s="29">
        <f>IF(OR(COUNTIF('Suivi des rencontres'!$A:$A,$A2812)&gt;0,COUNTIF('Suivi des rencontres'!$C:$C,$J2812)&gt;0),"Non","Oui")</f>
        <v/>
      </c>
      <c r="J2812" s="30" t="inlineStr">
        <is>
          <t>PTITARD</t>
        </is>
      </c>
    </row>
    <row r="2813">
      <c r="A2813" s="47" t="inlineStr">
        <is>
          <t>Ruines d'Alpha</t>
        </is>
      </c>
      <c r="B2813" s="47" t="inlineStr">
        <is>
          <t>RuinsOfAlph_Outside_hns</t>
        </is>
      </c>
      <c r="C2813" s="48" t="inlineStr">
        <is>
          <t>Matin, jour, soir</t>
        </is>
      </c>
      <c r="D2813" s="56" t="inlineStr">
        <is>
          <t>Super Canne</t>
        </is>
      </c>
      <c r="E2813" s="50" t="inlineStr">
        <is>
          <t>PTITARD</t>
        </is>
      </c>
      <c r="F2813" s="51" t="n">
        <v>0.16</v>
      </c>
      <c r="G2813" s="52" t="n">
        <v>20</v>
      </c>
      <c r="H2813" s="52" t="n">
        <v>40</v>
      </c>
      <c r="I2813" s="29">
        <f>IF(OR(COUNTIF('Suivi des rencontres'!$A:$A,$A2813)&gt;0,COUNTIF('Suivi des rencontres'!$C:$C,$J2813)&gt;0),"Non","Oui")</f>
        <v/>
      </c>
      <c r="J2813" s="30" t="inlineStr">
        <is>
          <t>PTITARD</t>
        </is>
      </c>
    </row>
    <row r="2814">
      <c r="A2814" s="47" t="inlineStr">
        <is>
          <t>Ruines d'Alpha</t>
        </is>
      </c>
      <c r="B2814" s="47" t="inlineStr">
        <is>
          <t>RuinsOfAlph_Outside_hns</t>
        </is>
      </c>
      <c r="C2814" s="62" t="inlineStr">
        <is>
          <t>Nuit</t>
        </is>
      </c>
      <c r="D2814" s="56" t="inlineStr">
        <is>
          <t>Super Canne</t>
        </is>
      </c>
      <c r="E2814" s="50" t="inlineStr">
        <is>
          <t>MAGICARPE</t>
        </is>
      </c>
      <c r="F2814" s="51" t="n">
        <v>0.44</v>
      </c>
      <c r="G2814" s="52" t="n">
        <v>10</v>
      </c>
      <c r="H2814" s="52" t="n">
        <v>40</v>
      </c>
      <c r="I2814" s="29">
        <f>IF(OR(COUNTIF('Suivi des rencontres'!$A:$A,$A2814)&gt;0,COUNTIF('Suivi des rencontres'!$C:$C,$J2814)&gt;0),"Non","Oui")</f>
        <v/>
      </c>
      <c r="J2814" s="30" t="inlineStr">
        <is>
          <t>MAGICARPE</t>
        </is>
      </c>
    </row>
    <row r="2815">
      <c r="A2815" s="47" t="inlineStr">
        <is>
          <t>Ruines d'Alpha</t>
        </is>
      </c>
      <c r="B2815" s="47" t="inlineStr">
        <is>
          <t>RuinsOfAlph_Outside_hns</t>
        </is>
      </c>
      <c r="C2815" s="62" t="inlineStr">
        <is>
          <t>Nuit</t>
        </is>
      </c>
      <c r="D2815" s="56" t="inlineStr">
        <is>
          <t>Super Canne</t>
        </is>
      </c>
      <c r="E2815" s="50" t="inlineStr">
        <is>
          <t>TETARTE</t>
        </is>
      </c>
      <c r="F2815" s="51" t="n">
        <v>0.4</v>
      </c>
      <c r="G2815" s="52" t="n">
        <v>40</v>
      </c>
      <c r="H2815" s="52" t="n">
        <v>40</v>
      </c>
      <c r="I2815" s="29">
        <f>IF(OR(COUNTIF('Suivi des rencontres'!$A:$A,$A2815)&gt;0,COUNTIF('Suivi des rencontres'!$C:$C,$J2815)&gt;0),"Non","Oui")</f>
        <v/>
      </c>
      <c r="J2815" s="30" t="inlineStr">
        <is>
          <t>PTITARD</t>
        </is>
      </c>
    </row>
    <row r="2816">
      <c r="A2816" s="47" t="inlineStr">
        <is>
          <t>Ruines d'Alpha</t>
        </is>
      </c>
      <c r="B2816" s="47" t="inlineStr">
        <is>
          <t>RuinsOfAlph_Outside_hns</t>
        </is>
      </c>
      <c r="C2816" s="62" t="inlineStr">
        <is>
          <t>Nuit</t>
        </is>
      </c>
      <c r="D2816" s="56" t="inlineStr">
        <is>
          <t>Super Canne</t>
        </is>
      </c>
      <c r="E2816" s="50" t="inlineStr">
        <is>
          <t>PTITARD</t>
        </is>
      </c>
      <c r="F2816" s="51" t="n">
        <v>0.16</v>
      </c>
      <c r="G2816" s="52" t="n">
        <v>20</v>
      </c>
      <c r="H2816" s="52" t="n">
        <v>40</v>
      </c>
      <c r="I2816" s="29">
        <f>IF(OR(COUNTIF('Suivi des rencontres'!$A:$A,$A2816)&gt;0,COUNTIF('Suivi des rencontres'!$C:$C,$J2816)&gt;0),"Non","Oui")</f>
        <v/>
      </c>
      <c r="J2816" s="30" t="inlineStr">
        <is>
          <t>PTITARD</t>
        </is>
      </c>
    </row>
    <row r="2817">
      <c r="A2817" s="57" t="inlineStr">
        <is>
          <t>Safrania</t>
        </is>
      </c>
      <c r="B2817" s="57" t="inlineStr">
        <is>
          <t>SaffronCity_hns</t>
        </is>
      </c>
      <c r="C2817" s="58" t="inlineStr">
        <is>
          <t>Toute la journée</t>
        </is>
      </c>
      <c r="D2817" s="64" t="inlineStr">
        <is>
          <t>Éclate-Roc</t>
        </is>
      </c>
      <c r="E2817" s="59" t="inlineStr">
        <is>
          <t>POMDEPIK</t>
        </is>
      </c>
      <c r="F2817" s="60" t="n">
        <v>0.6</v>
      </c>
      <c r="G2817" s="61" t="n">
        <v>41</v>
      </c>
      <c r="H2817" s="61" t="n">
        <v>43</v>
      </c>
      <c r="I2817" s="46">
        <f>IF(OR(COUNTIF('Suivi des rencontres'!$A:$A,$A2817)&gt;0,COUNTIF('Suivi des rencontres'!$C:$C,$J2817)&gt;0),"Non","Oui")</f>
        <v/>
      </c>
      <c r="J2817" s="30" t="inlineStr">
        <is>
          <t>POMDEPIK</t>
        </is>
      </c>
    </row>
    <row r="2818">
      <c r="A2818" s="35" t="inlineStr">
        <is>
          <t>Safrania</t>
        </is>
      </c>
      <c r="B2818" s="35" t="inlineStr">
        <is>
          <t>SaffronCity_hns</t>
        </is>
      </c>
      <c r="C2818" s="33" t="inlineStr">
        <is>
          <t>Toute la journée</t>
        </is>
      </c>
      <c r="D2818" s="36" t="inlineStr">
        <is>
          <t>Éclate-Roc</t>
        </is>
      </c>
      <c r="E2818" s="37" t="inlineStr">
        <is>
          <t>NOEUNOEUF</t>
        </is>
      </c>
      <c r="F2818" s="38" t="n">
        <v>0.3</v>
      </c>
      <c r="G2818" s="39" t="n">
        <v>41</v>
      </c>
      <c r="H2818" s="39" t="n">
        <v>43</v>
      </c>
      <c r="I2818" s="29">
        <f>IF(OR(COUNTIF('Suivi des rencontres'!$A:$A,$A2818)&gt;0,COUNTIF('Suivi des rencontres'!$C:$C,$J2818)&gt;0),"Non","Oui")</f>
        <v/>
      </c>
      <c r="J2818" s="30" t="inlineStr">
        <is>
          <t>NOEUNOEUF</t>
        </is>
      </c>
    </row>
    <row r="2819">
      <c r="A2819" s="35" t="inlineStr">
        <is>
          <t>Safrania</t>
        </is>
      </c>
      <c r="B2819" s="35" t="inlineStr">
        <is>
          <t>SaffronCity_hns</t>
        </is>
      </c>
      <c r="C2819" s="33" t="inlineStr">
        <is>
          <t>Toute la journée</t>
        </is>
      </c>
      <c r="D2819" s="36" t="inlineStr">
        <is>
          <t>Éclate-Roc</t>
        </is>
      </c>
      <c r="E2819" s="37" t="inlineStr">
        <is>
          <t>COXY</t>
        </is>
      </c>
      <c r="F2819" s="38" t="n">
        <v>0.05</v>
      </c>
      <c r="G2819" s="39" t="n">
        <v>41</v>
      </c>
      <c r="H2819" s="39" t="n">
        <v>43</v>
      </c>
      <c r="I2819" s="29">
        <f>IF(OR(COUNTIF('Suivi des rencontres'!$A:$A,$A2819)&gt;0,COUNTIF('Suivi des rencontres'!$C:$C,$J2819)&gt;0),"Non","Oui")</f>
        <v/>
      </c>
      <c r="J2819" s="30" t="inlineStr">
        <is>
          <t>COXY</t>
        </is>
      </c>
    </row>
    <row r="2820">
      <c r="A2820" s="35" t="inlineStr">
        <is>
          <t>Safrania</t>
        </is>
      </c>
      <c r="B2820" s="35" t="inlineStr">
        <is>
          <t>SaffronCity_hns</t>
        </is>
      </c>
      <c r="C2820" s="33" t="inlineStr">
        <is>
          <t>Toute la journée</t>
        </is>
      </c>
      <c r="D2820" s="36" t="inlineStr">
        <is>
          <t>Éclate-Roc</t>
        </is>
      </c>
      <c r="E2820" s="37" t="inlineStr">
        <is>
          <t>MIMIGAL</t>
        </is>
      </c>
      <c r="F2820" s="38" t="n">
        <v>0.05</v>
      </c>
      <c r="G2820" s="39" t="n">
        <v>41</v>
      </c>
      <c r="H2820" s="39" t="n">
        <v>43</v>
      </c>
      <c r="I2820" s="29">
        <f>IF(OR(COUNTIF('Suivi des rencontres'!$A:$A,$A2820)&gt;0,COUNTIF('Suivi des rencontres'!$C:$C,$J2820)&gt;0),"Non","Oui")</f>
        <v/>
      </c>
      <c r="J2820" s="30" t="inlineStr">
        <is>
          <t>MIMIGAL</t>
        </is>
      </c>
    </row>
    <row r="2821">
      <c r="A2821" s="40" t="inlineStr">
        <is>
          <t>Tour CHETIFLOR</t>
        </is>
      </c>
      <c r="B2821" s="40" t="inlineStr">
        <is>
          <t>SproutTower_2F_hns</t>
        </is>
      </c>
      <c r="C2821" s="41" t="inlineStr">
        <is>
          <t>Matin, jour, soir</t>
        </is>
      </c>
      <c r="D2821" s="42" t="inlineStr">
        <is>
          <t>Herbe</t>
        </is>
      </c>
      <c r="E2821" s="43" t="inlineStr">
        <is>
          <t>RATTATA</t>
        </is>
      </c>
      <c r="F2821" s="44" t="n">
        <v>1</v>
      </c>
      <c r="G2821" s="45" t="n">
        <v>3</v>
      </c>
      <c r="H2821" s="45" t="n">
        <v>6</v>
      </c>
      <c r="I2821" s="46">
        <f>IF(OR(COUNTIF('Suivi des rencontres'!$A:$A,$A2821)&gt;0,COUNTIF('Suivi des rencontres'!$C:$C,$J2821)&gt;0),"Non","Oui")</f>
        <v/>
      </c>
      <c r="J2821" s="30" t="inlineStr">
        <is>
          <t>RATTATA</t>
        </is>
      </c>
    </row>
    <row r="2822">
      <c r="A2822" s="47" t="inlineStr">
        <is>
          <t>Tour CHETIFLOR</t>
        </is>
      </c>
      <c r="B2822" s="47" t="inlineStr">
        <is>
          <t>SproutTower_2F_hns</t>
        </is>
      </c>
      <c r="C2822" s="62" t="inlineStr">
        <is>
          <t>Nuit</t>
        </is>
      </c>
      <c r="D2822" s="49" t="inlineStr">
        <is>
          <t>Herbe</t>
        </is>
      </c>
      <c r="E2822" s="50" t="inlineStr">
        <is>
          <t>RATTATA</t>
        </is>
      </c>
      <c r="F2822" s="51" t="n">
        <v>0.65</v>
      </c>
      <c r="G2822" s="52" t="n">
        <v>3</v>
      </c>
      <c r="H2822" s="52" t="n">
        <v>5</v>
      </c>
      <c r="I2822" s="29">
        <f>IF(OR(COUNTIF('Suivi des rencontres'!$A:$A,$A2822)&gt;0,COUNTIF('Suivi des rencontres'!$C:$C,$J2822)&gt;0),"Non","Oui")</f>
        <v/>
      </c>
      <c r="J2822" s="30" t="inlineStr">
        <is>
          <t>RATTATA</t>
        </is>
      </c>
    </row>
    <row r="2823">
      <c r="A2823" s="47" t="inlineStr">
        <is>
          <t>Tour CHETIFLOR</t>
        </is>
      </c>
      <c r="B2823" s="47" t="inlineStr">
        <is>
          <t>SproutTower_2F_hns</t>
        </is>
      </c>
      <c r="C2823" s="62" t="inlineStr">
        <is>
          <t>Nuit</t>
        </is>
      </c>
      <c r="D2823" s="49" t="inlineStr">
        <is>
          <t>Herbe</t>
        </is>
      </c>
      <c r="E2823" s="50" t="inlineStr">
        <is>
          <t>FANTOMINUS</t>
        </is>
      </c>
      <c r="F2823" s="51" t="n">
        <v>0.35</v>
      </c>
      <c r="G2823" s="52" t="n">
        <v>4</v>
      </c>
      <c r="H2823" s="52" t="n">
        <v>6</v>
      </c>
      <c r="I2823" s="29">
        <f>IF(OR(COUNTIF('Suivi des rencontres'!$A:$A,$A2823)&gt;0,COUNTIF('Suivi des rencontres'!$C:$C,$J2823)&gt;0),"Non","Oui")</f>
        <v/>
      </c>
      <c r="J2823" s="30" t="inlineStr">
        <is>
          <t>FANTOMINUS</t>
        </is>
      </c>
    </row>
    <row r="2824">
      <c r="A2824" s="47" t="inlineStr">
        <is>
          <t>Tour CHETIFLOR</t>
        </is>
      </c>
      <c r="B2824" s="47" t="inlineStr">
        <is>
          <t>SproutTower_3F_hns</t>
        </is>
      </c>
      <c r="C2824" s="48" t="inlineStr">
        <is>
          <t>Matin, jour, soir</t>
        </is>
      </c>
      <c r="D2824" s="49" t="inlineStr">
        <is>
          <t>Herbe</t>
        </is>
      </c>
      <c r="E2824" s="50" t="inlineStr">
        <is>
          <t>RATTATA</t>
        </is>
      </c>
      <c r="F2824" s="51" t="n">
        <v>0.9</v>
      </c>
      <c r="G2824" s="52" t="n">
        <v>3</v>
      </c>
      <c r="H2824" s="52" t="n">
        <v>5</v>
      </c>
      <c r="I2824" s="29">
        <f>IF(OR(COUNTIF('Suivi des rencontres'!$A:$A,$A2824)&gt;0,COUNTIF('Suivi des rencontres'!$C:$C,$J2824)&gt;0),"Non","Oui")</f>
        <v/>
      </c>
      <c r="J2824" s="30" t="inlineStr">
        <is>
          <t>RATTATA</t>
        </is>
      </c>
    </row>
    <row r="2825">
      <c r="A2825" s="47" t="inlineStr">
        <is>
          <t>Tour CHETIFLOR</t>
        </is>
      </c>
      <c r="B2825" s="47" t="inlineStr">
        <is>
          <t>SproutTower_3F_hns</t>
        </is>
      </c>
      <c r="C2825" s="48" t="inlineStr">
        <is>
          <t>Matin, jour, soir</t>
        </is>
      </c>
      <c r="D2825" s="49" t="inlineStr">
        <is>
          <t>Herbe</t>
        </is>
      </c>
      <c r="E2825" s="50" t="inlineStr">
        <is>
          <t>FANTOMINUS</t>
        </is>
      </c>
      <c r="F2825" s="51" t="n">
        <v>0.1</v>
      </c>
      <c r="G2825" s="52" t="n">
        <v>5</v>
      </c>
      <c r="H2825" s="52" t="n">
        <v>6</v>
      </c>
      <c r="I2825" s="29">
        <f>IF(OR(COUNTIF('Suivi des rencontres'!$A:$A,$A2825)&gt;0,COUNTIF('Suivi des rencontres'!$C:$C,$J2825)&gt;0),"Non","Oui")</f>
        <v/>
      </c>
      <c r="J2825" s="30" t="inlineStr">
        <is>
          <t>FANTOMINUS</t>
        </is>
      </c>
    </row>
    <row r="2826">
      <c r="A2826" s="47" t="inlineStr">
        <is>
          <t>Tour CHETIFLOR</t>
        </is>
      </c>
      <c r="B2826" s="47" t="inlineStr">
        <is>
          <t>SproutTower_3F_hns</t>
        </is>
      </c>
      <c r="C2826" s="62" t="inlineStr">
        <is>
          <t>Nuit</t>
        </is>
      </c>
      <c r="D2826" s="49" t="inlineStr">
        <is>
          <t>Herbe</t>
        </is>
      </c>
      <c r="E2826" s="50" t="inlineStr">
        <is>
          <t>RATTATA</t>
        </is>
      </c>
      <c r="F2826" s="51" t="n">
        <v>0.65</v>
      </c>
      <c r="G2826" s="52" t="n">
        <v>3</v>
      </c>
      <c r="H2826" s="52" t="n">
        <v>5</v>
      </c>
      <c r="I2826" s="29">
        <f>IF(OR(COUNTIF('Suivi des rencontres'!$A:$A,$A2826)&gt;0,COUNTIF('Suivi des rencontres'!$C:$C,$J2826)&gt;0),"Non","Oui")</f>
        <v/>
      </c>
      <c r="J2826" s="30" t="inlineStr">
        <is>
          <t>RATTATA</t>
        </is>
      </c>
    </row>
    <row r="2827">
      <c r="A2827" s="47" t="inlineStr">
        <is>
          <t>Tour CHETIFLOR</t>
        </is>
      </c>
      <c r="B2827" s="47" t="inlineStr">
        <is>
          <t>SproutTower_3F_hns</t>
        </is>
      </c>
      <c r="C2827" s="62" t="inlineStr">
        <is>
          <t>Nuit</t>
        </is>
      </c>
      <c r="D2827" s="49" t="inlineStr">
        <is>
          <t>Herbe</t>
        </is>
      </c>
      <c r="E2827" s="50" t="inlineStr">
        <is>
          <t>FANTOMINUS</t>
        </is>
      </c>
      <c r="F2827" s="51" t="n">
        <v>0.35</v>
      </c>
      <c r="G2827" s="52" t="n">
        <v>4</v>
      </c>
      <c r="H2827" s="52" t="n">
        <v>6</v>
      </c>
      <c r="I2827" s="29">
        <f>IF(OR(COUNTIF('Suivi des rencontres'!$A:$A,$A2827)&gt;0,COUNTIF('Suivi des rencontres'!$C:$C,$J2827)&gt;0),"Non","Oui")</f>
        <v/>
      </c>
      <c r="J2827" s="30" t="inlineStr">
        <is>
          <t>FANTOMINUS</t>
        </is>
      </c>
    </row>
    <row r="2828">
      <c r="A2828" s="57" t="inlineStr">
        <is>
          <t>Tour Carillon</t>
        </is>
      </c>
      <c r="B2828" s="57" t="inlineStr">
        <is>
          <t>TinTower_3F_hns</t>
        </is>
      </c>
      <c r="C2828" s="58" t="inlineStr">
        <is>
          <t>Toute la journée</t>
        </is>
      </c>
      <c r="D2828" s="42" t="inlineStr">
        <is>
          <t>Herbe</t>
        </is>
      </c>
      <c r="E2828" s="59" t="inlineStr">
        <is>
          <t>CAPUMAIN</t>
        </is>
      </c>
      <c r="F2828" s="60" t="n">
        <v>0.2</v>
      </c>
      <c r="G2828" s="61" t="n">
        <v>35</v>
      </c>
      <c r="H2828" s="61" t="n">
        <v>45</v>
      </c>
      <c r="I2828" s="46">
        <f>IF(OR(COUNTIF('Suivi des rencontres'!$A:$A,$A2828)&gt;0,COUNTIF('Suivi des rencontres'!$C:$C,$J2828)&gt;0),"Non","Oui")</f>
        <v/>
      </c>
      <c r="J2828" s="30" t="inlineStr">
        <is>
          <t>CAPUMAIN</t>
        </is>
      </c>
    </row>
    <row r="2829">
      <c r="A2829" s="35" t="inlineStr">
        <is>
          <t>Tour Carillon</t>
        </is>
      </c>
      <c r="B2829" s="35" t="inlineStr">
        <is>
          <t>TinTower_3F_hns</t>
        </is>
      </c>
      <c r="C2829" s="33" t="inlineStr">
        <is>
          <t>Toute la journée</t>
        </is>
      </c>
      <c r="D2829" s="49" t="inlineStr">
        <is>
          <t>Herbe</t>
        </is>
      </c>
      <c r="E2829" s="37" t="inlineStr">
        <is>
          <t>RATTATA</t>
        </is>
      </c>
      <c r="F2829" s="38" t="n">
        <v>0.2</v>
      </c>
      <c r="G2829" s="39" t="n">
        <v>35</v>
      </c>
      <c r="H2829" s="39" t="n">
        <v>45</v>
      </c>
      <c r="I2829" s="29">
        <f>IF(OR(COUNTIF('Suivi des rencontres'!$A:$A,$A2829)&gt;0,COUNTIF('Suivi des rencontres'!$C:$C,$J2829)&gt;0),"Non","Oui")</f>
        <v/>
      </c>
      <c r="J2829" s="30" t="inlineStr">
        <is>
          <t>RATTATA</t>
        </is>
      </c>
    </row>
    <row r="2830">
      <c r="A2830" s="35" t="inlineStr">
        <is>
          <t>Tour Carillon</t>
        </is>
      </c>
      <c r="B2830" s="35" t="inlineStr">
        <is>
          <t>TinTower_3F_hns</t>
        </is>
      </c>
      <c r="C2830" s="33" t="inlineStr">
        <is>
          <t>Toute la journée</t>
        </is>
      </c>
      <c r="D2830" s="49" t="inlineStr">
        <is>
          <t>Herbe</t>
        </is>
      </c>
      <c r="E2830" s="37" t="inlineStr">
        <is>
          <t>CAPIDEXTRE</t>
        </is>
      </c>
      <c r="F2830" s="38" t="n">
        <v>0.1</v>
      </c>
      <c r="G2830" s="39" t="n">
        <v>35</v>
      </c>
      <c r="H2830" s="39" t="n">
        <v>45</v>
      </c>
      <c r="I2830" s="29">
        <f>IF(OR(COUNTIF('Suivi des rencontres'!$A:$A,$A2830)&gt;0,COUNTIF('Suivi des rencontres'!$C:$C,$J2830)&gt;0),"Non","Oui")</f>
        <v/>
      </c>
      <c r="J2830" s="30" t="inlineStr">
        <is>
          <t>CAPUMAIN</t>
        </is>
      </c>
    </row>
    <row r="2831">
      <c r="A2831" s="35" t="inlineStr">
        <is>
          <t>Tour Carillon</t>
        </is>
      </c>
      <c r="B2831" s="35" t="inlineStr">
        <is>
          <t>TinTower_3F_hns</t>
        </is>
      </c>
      <c r="C2831" s="33" t="inlineStr">
        <is>
          <t>Toute la journée</t>
        </is>
      </c>
      <c r="D2831" s="49" t="inlineStr">
        <is>
          <t>Herbe</t>
        </is>
      </c>
      <c r="E2831" s="37" t="inlineStr">
        <is>
          <t>NOARFANG</t>
        </is>
      </c>
      <c r="F2831" s="38" t="n">
        <v>0.1</v>
      </c>
      <c r="G2831" s="39" t="n">
        <v>35</v>
      </c>
      <c r="H2831" s="39" t="n">
        <v>45</v>
      </c>
      <c r="I2831" s="29">
        <f>IF(OR(COUNTIF('Suivi des rencontres'!$A:$A,$A2831)&gt;0,COUNTIF('Suivi des rencontres'!$C:$C,$J2831)&gt;0),"Non","Oui")</f>
        <v/>
      </c>
      <c r="J2831" s="30" t="inlineStr">
        <is>
          <t>HOOTHOOT</t>
        </is>
      </c>
    </row>
    <row r="2832">
      <c r="A2832" s="35" t="inlineStr">
        <is>
          <t>Tour Carillon</t>
        </is>
      </c>
      <c r="B2832" s="35" t="inlineStr">
        <is>
          <t>TinTower_3F_hns</t>
        </is>
      </c>
      <c r="C2832" s="33" t="inlineStr">
        <is>
          <t>Toute la journée</t>
        </is>
      </c>
      <c r="D2832" s="49" t="inlineStr">
        <is>
          <t>Herbe</t>
        </is>
      </c>
      <c r="E2832" s="37" t="inlineStr">
        <is>
          <t>RAPASDEPIC</t>
        </is>
      </c>
      <c r="F2832" s="38" t="n">
        <v>0.1</v>
      </c>
      <c r="G2832" s="39" t="n">
        <v>35</v>
      </c>
      <c r="H2832" s="39" t="n">
        <v>45</v>
      </c>
      <c r="I2832" s="29">
        <f>IF(OR(COUNTIF('Suivi des rencontres'!$A:$A,$A2832)&gt;0,COUNTIF('Suivi des rencontres'!$C:$C,$J2832)&gt;0),"Non","Oui")</f>
        <v/>
      </c>
      <c r="J2832" s="30" t="inlineStr">
        <is>
          <t>PIAFABEC</t>
        </is>
      </c>
    </row>
    <row r="2833">
      <c r="A2833" s="35" t="inlineStr">
        <is>
          <t>Tour Carillon</t>
        </is>
      </c>
      <c r="B2833" s="35" t="inlineStr">
        <is>
          <t>TinTower_3F_hns</t>
        </is>
      </c>
      <c r="C2833" s="33" t="inlineStr">
        <is>
          <t>Toute la journée</t>
        </is>
      </c>
      <c r="D2833" s="49" t="inlineStr">
        <is>
          <t>Herbe</t>
        </is>
      </c>
      <c r="E2833" s="37" t="inlineStr">
        <is>
          <t>RATTATAC</t>
        </is>
      </c>
      <c r="F2833" s="38" t="n">
        <v>0.1</v>
      </c>
      <c r="G2833" s="39" t="n">
        <v>35</v>
      </c>
      <c r="H2833" s="39" t="n">
        <v>45</v>
      </c>
      <c r="I2833" s="29">
        <f>IF(OR(COUNTIF('Suivi des rencontres'!$A:$A,$A2833)&gt;0,COUNTIF('Suivi des rencontres'!$C:$C,$J2833)&gt;0),"Non","Oui")</f>
        <v/>
      </c>
      <c r="J2833" s="30" t="inlineStr">
        <is>
          <t>RATTATA</t>
        </is>
      </c>
    </row>
    <row r="2834">
      <c r="A2834" s="35" t="inlineStr">
        <is>
          <t>Tour Carillon</t>
        </is>
      </c>
      <c r="B2834" s="35" t="inlineStr">
        <is>
          <t>TinTower_3F_hns</t>
        </is>
      </c>
      <c r="C2834" s="33" t="inlineStr">
        <is>
          <t>Toute la journée</t>
        </is>
      </c>
      <c r="D2834" s="49" t="inlineStr">
        <is>
          <t>Herbe</t>
        </is>
      </c>
      <c r="E2834" s="37" t="inlineStr">
        <is>
          <t>FEUFOREVE</t>
        </is>
      </c>
      <c r="F2834" s="38" t="n">
        <v>0.05</v>
      </c>
      <c r="G2834" s="39" t="n">
        <v>35</v>
      </c>
      <c r="H2834" s="39" t="n">
        <v>45</v>
      </c>
      <c r="I2834" s="29">
        <f>IF(OR(COUNTIF('Suivi des rencontres'!$A:$A,$A2834)&gt;0,COUNTIF('Suivi des rencontres'!$C:$C,$J2834)&gt;0),"Non","Oui")</f>
        <v/>
      </c>
      <c r="J2834" s="30" t="inlineStr">
        <is>
          <t>FEUFOREVE</t>
        </is>
      </c>
    </row>
    <row r="2835">
      <c r="A2835" s="35" t="inlineStr">
        <is>
          <t>Tour Carillon</t>
        </is>
      </c>
      <c r="B2835" s="35" t="inlineStr">
        <is>
          <t>TinTower_3F_hns</t>
        </is>
      </c>
      <c r="C2835" s="33" t="inlineStr">
        <is>
          <t>Toute la journée</t>
        </is>
      </c>
      <c r="D2835" s="49" t="inlineStr">
        <is>
          <t>Herbe</t>
        </is>
      </c>
      <c r="E2835" s="37" t="inlineStr">
        <is>
          <t>FOUINAR</t>
        </is>
      </c>
      <c r="F2835" s="38" t="n">
        <v>0.05</v>
      </c>
      <c r="G2835" s="39" t="n">
        <v>35</v>
      </c>
      <c r="H2835" s="39" t="n">
        <v>45</v>
      </c>
      <c r="I2835" s="29">
        <f>IF(OR(COUNTIF('Suivi des rencontres'!$A:$A,$A2835)&gt;0,COUNTIF('Suivi des rencontres'!$C:$C,$J2835)&gt;0),"Non","Oui")</f>
        <v/>
      </c>
      <c r="J2835" s="30" t="inlineStr">
        <is>
          <t>FOUINETTE</t>
        </is>
      </c>
    </row>
    <row r="2836">
      <c r="A2836" s="35" t="inlineStr">
        <is>
          <t>Tour Carillon</t>
        </is>
      </c>
      <c r="B2836" s="35" t="inlineStr">
        <is>
          <t>TinTower_3F_hns</t>
        </is>
      </c>
      <c r="C2836" s="33" t="inlineStr">
        <is>
          <t>Toute la journée</t>
        </is>
      </c>
      <c r="D2836" s="49" t="inlineStr">
        <is>
          <t>Herbe</t>
        </is>
      </c>
      <c r="E2836" s="37" t="inlineStr">
        <is>
          <t>MAGIREVE</t>
        </is>
      </c>
      <c r="F2836" s="38" t="n">
        <v>0.05</v>
      </c>
      <c r="G2836" s="39" t="n">
        <v>35</v>
      </c>
      <c r="H2836" s="39" t="n">
        <v>45</v>
      </c>
      <c r="I2836" s="29">
        <f>IF(OR(COUNTIF('Suivi des rencontres'!$A:$A,$A2836)&gt;0,COUNTIF('Suivi des rencontres'!$C:$C,$J2836)&gt;0),"Non","Oui")</f>
        <v/>
      </c>
      <c r="J2836" s="30" t="inlineStr">
        <is>
          <t>FEUFOREVE</t>
        </is>
      </c>
    </row>
    <row r="2837">
      <c r="A2837" s="35" t="inlineStr">
        <is>
          <t>Tour Carillon</t>
        </is>
      </c>
      <c r="B2837" s="35" t="inlineStr">
        <is>
          <t>TinTower_3F_hns</t>
        </is>
      </c>
      <c r="C2837" s="33" t="inlineStr">
        <is>
          <t>Toute la journée</t>
        </is>
      </c>
      <c r="D2837" s="49" t="inlineStr">
        <is>
          <t>Herbe</t>
        </is>
      </c>
      <c r="E2837" s="37" t="inlineStr">
        <is>
          <t>SPECTRUM</t>
        </is>
      </c>
      <c r="F2837" s="38" t="n">
        <v>0.05</v>
      </c>
      <c r="G2837" s="39" t="n">
        <v>35</v>
      </c>
      <c r="H2837" s="39" t="n">
        <v>45</v>
      </c>
      <c r="I2837" s="29">
        <f>IF(OR(COUNTIF('Suivi des rencontres'!$A:$A,$A2837)&gt;0,COUNTIF('Suivi des rencontres'!$C:$C,$J2837)&gt;0),"Non","Oui")</f>
        <v/>
      </c>
      <c r="J2837" s="30" t="inlineStr">
        <is>
          <t>FANTOMINUS</t>
        </is>
      </c>
    </row>
    <row r="2838">
      <c r="A2838" s="35" t="inlineStr">
        <is>
          <t>Tour Carillon</t>
        </is>
      </c>
      <c r="B2838" s="35" t="inlineStr">
        <is>
          <t>TinTower_4F_hns</t>
        </is>
      </c>
      <c r="C2838" s="33" t="inlineStr">
        <is>
          <t>Toute la journée</t>
        </is>
      </c>
      <c r="D2838" s="49" t="inlineStr">
        <is>
          <t>Herbe</t>
        </is>
      </c>
      <c r="E2838" s="37" t="inlineStr">
        <is>
          <t>CAPUMAIN</t>
        </is>
      </c>
      <c r="F2838" s="38" t="n">
        <v>0.2</v>
      </c>
      <c r="G2838" s="39" t="n">
        <v>35</v>
      </c>
      <c r="H2838" s="39" t="n">
        <v>45</v>
      </c>
      <c r="I2838" s="29">
        <f>IF(OR(COUNTIF('Suivi des rencontres'!$A:$A,$A2838)&gt;0,COUNTIF('Suivi des rencontres'!$C:$C,$J2838)&gt;0),"Non","Oui")</f>
        <v/>
      </c>
      <c r="J2838" s="30" t="inlineStr">
        <is>
          <t>CAPUMAIN</t>
        </is>
      </c>
    </row>
    <row r="2839">
      <c r="A2839" s="35" t="inlineStr">
        <is>
          <t>Tour Carillon</t>
        </is>
      </c>
      <c r="B2839" s="35" t="inlineStr">
        <is>
          <t>TinTower_4F_hns</t>
        </is>
      </c>
      <c r="C2839" s="33" t="inlineStr">
        <is>
          <t>Toute la journée</t>
        </is>
      </c>
      <c r="D2839" s="49" t="inlineStr">
        <is>
          <t>Herbe</t>
        </is>
      </c>
      <c r="E2839" s="37" t="inlineStr">
        <is>
          <t>RATTATA</t>
        </is>
      </c>
      <c r="F2839" s="38" t="n">
        <v>0.2</v>
      </c>
      <c r="G2839" s="39" t="n">
        <v>35</v>
      </c>
      <c r="H2839" s="39" t="n">
        <v>45</v>
      </c>
      <c r="I2839" s="29">
        <f>IF(OR(COUNTIF('Suivi des rencontres'!$A:$A,$A2839)&gt;0,COUNTIF('Suivi des rencontres'!$C:$C,$J2839)&gt;0),"Non","Oui")</f>
        <v/>
      </c>
      <c r="J2839" s="30" t="inlineStr">
        <is>
          <t>RATTATA</t>
        </is>
      </c>
    </row>
    <row r="2840">
      <c r="A2840" s="35" t="inlineStr">
        <is>
          <t>Tour Carillon</t>
        </is>
      </c>
      <c r="B2840" s="35" t="inlineStr">
        <is>
          <t>TinTower_4F_hns</t>
        </is>
      </c>
      <c r="C2840" s="33" t="inlineStr">
        <is>
          <t>Toute la journée</t>
        </is>
      </c>
      <c r="D2840" s="49" t="inlineStr">
        <is>
          <t>Herbe</t>
        </is>
      </c>
      <c r="E2840" s="37" t="inlineStr">
        <is>
          <t>CAPIDEXTRE</t>
        </is>
      </c>
      <c r="F2840" s="38" t="n">
        <v>0.1</v>
      </c>
      <c r="G2840" s="39" t="n">
        <v>35</v>
      </c>
      <c r="H2840" s="39" t="n">
        <v>45</v>
      </c>
      <c r="I2840" s="29">
        <f>IF(OR(COUNTIF('Suivi des rencontres'!$A:$A,$A2840)&gt;0,COUNTIF('Suivi des rencontres'!$C:$C,$J2840)&gt;0),"Non","Oui")</f>
        <v/>
      </c>
      <c r="J2840" s="30" t="inlineStr">
        <is>
          <t>CAPUMAIN</t>
        </is>
      </c>
    </row>
    <row r="2841">
      <c r="A2841" s="35" t="inlineStr">
        <is>
          <t>Tour Carillon</t>
        </is>
      </c>
      <c r="B2841" s="35" t="inlineStr">
        <is>
          <t>TinTower_4F_hns</t>
        </is>
      </c>
      <c r="C2841" s="33" t="inlineStr">
        <is>
          <t>Toute la journée</t>
        </is>
      </c>
      <c r="D2841" s="49" t="inlineStr">
        <is>
          <t>Herbe</t>
        </is>
      </c>
      <c r="E2841" s="37" t="inlineStr">
        <is>
          <t>NOARFANG</t>
        </is>
      </c>
      <c r="F2841" s="38" t="n">
        <v>0.1</v>
      </c>
      <c r="G2841" s="39" t="n">
        <v>35</v>
      </c>
      <c r="H2841" s="39" t="n">
        <v>45</v>
      </c>
      <c r="I2841" s="29">
        <f>IF(OR(COUNTIF('Suivi des rencontres'!$A:$A,$A2841)&gt;0,COUNTIF('Suivi des rencontres'!$C:$C,$J2841)&gt;0),"Non","Oui")</f>
        <v/>
      </c>
      <c r="J2841" s="30" t="inlineStr">
        <is>
          <t>HOOTHOOT</t>
        </is>
      </c>
    </row>
    <row r="2842">
      <c r="A2842" s="35" t="inlineStr">
        <is>
          <t>Tour Carillon</t>
        </is>
      </c>
      <c r="B2842" s="35" t="inlineStr">
        <is>
          <t>TinTower_4F_hns</t>
        </is>
      </c>
      <c r="C2842" s="33" t="inlineStr">
        <is>
          <t>Toute la journée</t>
        </is>
      </c>
      <c r="D2842" s="49" t="inlineStr">
        <is>
          <t>Herbe</t>
        </is>
      </c>
      <c r="E2842" s="37" t="inlineStr">
        <is>
          <t>RAPASDEPIC</t>
        </is>
      </c>
      <c r="F2842" s="38" t="n">
        <v>0.1</v>
      </c>
      <c r="G2842" s="39" t="n">
        <v>35</v>
      </c>
      <c r="H2842" s="39" t="n">
        <v>45</v>
      </c>
      <c r="I2842" s="29">
        <f>IF(OR(COUNTIF('Suivi des rencontres'!$A:$A,$A2842)&gt;0,COUNTIF('Suivi des rencontres'!$C:$C,$J2842)&gt;0),"Non","Oui")</f>
        <v/>
      </c>
      <c r="J2842" s="30" t="inlineStr">
        <is>
          <t>PIAFABEC</t>
        </is>
      </c>
    </row>
    <row r="2843">
      <c r="A2843" s="35" t="inlineStr">
        <is>
          <t>Tour Carillon</t>
        </is>
      </c>
      <c r="B2843" s="35" t="inlineStr">
        <is>
          <t>TinTower_4F_hns</t>
        </is>
      </c>
      <c r="C2843" s="33" t="inlineStr">
        <is>
          <t>Toute la journée</t>
        </is>
      </c>
      <c r="D2843" s="49" t="inlineStr">
        <is>
          <t>Herbe</t>
        </is>
      </c>
      <c r="E2843" s="37" t="inlineStr">
        <is>
          <t>RATTATAC</t>
        </is>
      </c>
      <c r="F2843" s="38" t="n">
        <v>0.1</v>
      </c>
      <c r="G2843" s="39" t="n">
        <v>35</v>
      </c>
      <c r="H2843" s="39" t="n">
        <v>45</v>
      </c>
      <c r="I2843" s="29">
        <f>IF(OR(COUNTIF('Suivi des rencontres'!$A:$A,$A2843)&gt;0,COUNTIF('Suivi des rencontres'!$C:$C,$J2843)&gt;0),"Non","Oui")</f>
        <v/>
      </c>
      <c r="J2843" s="30" t="inlineStr">
        <is>
          <t>RATTATA</t>
        </is>
      </c>
    </row>
    <row r="2844">
      <c r="A2844" s="35" t="inlineStr">
        <is>
          <t>Tour Carillon</t>
        </is>
      </c>
      <c r="B2844" s="35" t="inlineStr">
        <is>
          <t>TinTower_4F_hns</t>
        </is>
      </c>
      <c r="C2844" s="33" t="inlineStr">
        <is>
          <t>Toute la journée</t>
        </is>
      </c>
      <c r="D2844" s="49" t="inlineStr">
        <is>
          <t>Herbe</t>
        </is>
      </c>
      <c r="E2844" s="37" t="inlineStr">
        <is>
          <t>FEUFOREVE</t>
        </is>
      </c>
      <c r="F2844" s="38" t="n">
        <v>0.05</v>
      </c>
      <c r="G2844" s="39" t="n">
        <v>35</v>
      </c>
      <c r="H2844" s="39" t="n">
        <v>45</v>
      </c>
      <c r="I2844" s="29">
        <f>IF(OR(COUNTIF('Suivi des rencontres'!$A:$A,$A2844)&gt;0,COUNTIF('Suivi des rencontres'!$C:$C,$J2844)&gt;0),"Non","Oui")</f>
        <v/>
      </c>
      <c r="J2844" s="30" t="inlineStr">
        <is>
          <t>FEUFOREVE</t>
        </is>
      </c>
    </row>
    <row r="2845">
      <c r="A2845" s="35" t="inlineStr">
        <is>
          <t>Tour Carillon</t>
        </is>
      </c>
      <c r="B2845" s="35" t="inlineStr">
        <is>
          <t>TinTower_4F_hns</t>
        </is>
      </c>
      <c r="C2845" s="33" t="inlineStr">
        <is>
          <t>Toute la journée</t>
        </is>
      </c>
      <c r="D2845" s="49" t="inlineStr">
        <is>
          <t>Herbe</t>
        </is>
      </c>
      <c r="E2845" s="37" t="inlineStr">
        <is>
          <t>FOUINAR</t>
        </is>
      </c>
      <c r="F2845" s="38" t="n">
        <v>0.05</v>
      </c>
      <c r="G2845" s="39" t="n">
        <v>35</v>
      </c>
      <c r="H2845" s="39" t="n">
        <v>45</v>
      </c>
      <c r="I2845" s="29">
        <f>IF(OR(COUNTIF('Suivi des rencontres'!$A:$A,$A2845)&gt;0,COUNTIF('Suivi des rencontres'!$C:$C,$J2845)&gt;0),"Non","Oui")</f>
        <v/>
      </c>
      <c r="J2845" s="30" t="inlineStr">
        <is>
          <t>FOUINETTE</t>
        </is>
      </c>
    </row>
    <row r="2846">
      <c r="A2846" s="35" t="inlineStr">
        <is>
          <t>Tour Carillon</t>
        </is>
      </c>
      <c r="B2846" s="35" t="inlineStr">
        <is>
          <t>TinTower_4F_hns</t>
        </is>
      </c>
      <c r="C2846" s="33" t="inlineStr">
        <is>
          <t>Toute la journée</t>
        </is>
      </c>
      <c r="D2846" s="49" t="inlineStr">
        <is>
          <t>Herbe</t>
        </is>
      </c>
      <c r="E2846" s="37" t="inlineStr">
        <is>
          <t>MAGIREVE</t>
        </is>
      </c>
      <c r="F2846" s="38" t="n">
        <v>0.05</v>
      </c>
      <c r="G2846" s="39" t="n">
        <v>35</v>
      </c>
      <c r="H2846" s="39" t="n">
        <v>45</v>
      </c>
      <c r="I2846" s="29">
        <f>IF(OR(COUNTIF('Suivi des rencontres'!$A:$A,$A2846)&gt;0,COUNTIF('Suivi des rencontres'!$C:$C,$J2846)&gt;0),"Non","Oui")</f>
        <v/>
      </c>
      <c r="J2846" s="30" t="inlineStr">
        <is>
          <t>FEUFOREVE</t>
        </is>
      </c>
    </row>
    <row r="2847">
      <c r="A2847" s="35" t="inlineStr">
        <is>
          <t>Tour Carillon</t>
        </is>
      </c>
      <c r="B2847" s="35" t="inlineStr">
        <is>
          <t>TinTower_4F_hns</t>
        </is>
      </c>
      <c r="C2847" s="33" t="inlineStr">
        <is>
          <t>Toute la journée</t>
        </is>
      </c>
      <c r="D2847" s="49" t="inlineStr">
        <is>
          <t>Herbe</t>
        </is>
      </c>
      <c r="E2847" s="37" t="inlineStr">
        <is>
          <t>SPECTRUM</t>
        </is>
      </c>
      <c r="F2847" s="38" t="n">
        <v>0.05</v>
      </c>
      <c r="G2847" s="39" t="n">
        <v>35</v>
      </c>
      <c r="H2847" s="39" t="n">
        <v>45</v>
      </c>
      <c r="I2847" s="29">
        <f>IF(OR(COUNTIF('Suivi des rencontres'!$A:$A,$A2847)&gt;0,COUNTIF('Suivi des rencontres'!$C:$C,$J2847)&gt;0),"Non","Oui")</f>
        <v/>
      </c>
      <c r="J2847" s="30" t="inlineStr">
        <is>
          <t>FANTOMINUS</t>
        </is>
      </c>
    </row>
    <row r="2848">
      <c r="A2848" s="35" t="inlineStr">
        <is>
          <t>Tour Carillon</t>
        </is>
      </c>
      <c r="B2848" s="35" t="inlineStr">
        <is>
          <t>TinTower_5F_hns</t>
        </is>
      </c>
      <c r="C2848" s="33" t="inlineStr">
        <is>
          <t>Toute la journée</t>
        </is>
      </c>
      <c r="D2848" s="49" t="inlineStr">
        <is>
          <t>Herbe</t>
        </is>
      </c>
      <c r="E2848" s="37" t="inlineStr">
        <is>
          <t>CAPUMAIN</t>
        </is>
      </c>
      <c r="F2848" s="38" t="n">
        <v>0.2</v>
      </c>
      <c r="G2848" s="39" t="n">
        <v>35</v>
      </c>
      <c r="H2848" s="39" t="n">
        <v>45</v>
      </c>
      <c r="I2848" s="29">
        <f>IF(OR(COUNTIF('Suivi des rencontres'!$A:$A,$A2848)&gt;0,COUNTIF('Suivi des rencontres'!$C:$C,$J2848)&gt;0),"Non","Oui")</f>
        <v/>
      </c>
      <c r="J2848" s="30" t="inlineStr">
        <is>
          <t>CAPUMAIN</t>
        </is>
      </c>
    </row>
    <row r="2849">
      <c r="A2849" s="35" t="inlineStr">
        <is>
          <t>Tour Carillon</t>
        </is>
      </c>
      <c r="B2849" s="35" t="inlineStr">
        <is>
          <t>TinTower_5F_hns</t>
        </is>
      </c>
      <c r="C2849" s="33" t="inlineStr">
        <is>
          <t>Toute la journée</t>
        </is>
      </c>
      <c r="D2849" s="49" t="inlineStr">
        <is>
          <t>Herbe</t>
        </is>
      </c>
      <c r="E2849" s="37" t="inlineStr">
        <is>
          <t>RATTATA</t>
        </is>
      </c>
      <c r="F2849" s="38" t="n">
        <v>0.2</v>
      </c>
      <c r="G2849" s="39" t="n">
        <v>35</v>
      </c>
      <c r="H2849" s="39" t="n">
        <v>45</v>
      </c>
      <c r="I2849" s="29">
        <f>IF(OR(COUNTIF('Suivi des rencontres'!$A:$A,$A2849)&gt;0,COUNTIF('Suivi des rencontres'!$C:$C,$J2849)&gt;0),"Non","Oui")</f>
        <v/>
      </c>
      <c r="J2849" s="30" t="inlineStr">
        <is>
          <t>RATTATA</t>
        </is>
      </c>
    </row>
    <row r="2850">
      <c r="A2850" s="35" t="inlineStr">
        <is>
          <t>Tour Carillon</t>
        </is>
      </c>
      <c r="B2850" s="35" t="inlineStr">
        <is>
          <t>TinTower_5F_hns</t>
        </is>
      </c>
      <c r="C2850" s="33" t="inlineStr">
        <is>
          <t>Toute la journée</t>
        </is>
      </c>
      <c r="D2850" s="49" t="inlineStr">
        <is>
          <t>Herbe</t>
        </is>
      </c>
      <c r="E2850" s="37" t="inlineStr">
        <is>
          <t>CAPIDEXTRE</t>
        </is>
      </c>
      <c r="F2850" s="38" t="n">
        <v>0.1</v>
      </c>
      <c r="G2850" s="39" t="n">
        <v>35</v>
      </c>
      <c r="H2850" s="39" t="n">
        <v>45</v>
      </c>
      <c r="I2850" s="29">
        <f>IF(OR(COUNTIF('Suivi des rencontres'!$A:$A,$A2850)&gt;0,COUNTIF('Suivi des rencontres'!$C:$C,$J2850)&gt;0),"Non","Oui")</f>
        <v/>
      </c>
      <c r="J2850" s="30" t="inlineStr">
        <is>
          <t>CAPUMAIN</t>
        </is>
      </c>
    </row>
    <row r="2851">
      <c r="A2851" s="35" t="inlineStr">
        <is>
          <t>Tour Carillon</t>
        </is>
      </c>
      <c r="B2851" s="35" t="inlineStr">
        <is>
          <t>TinTower_5F_hns</t>
        </is>
      </c>
      <c r="C2851" s="33" t="inlineStr">
        <is>
          <t>Toute la journée</t>
        </is>
      </c>
      <c r="D2851" s="49" t="inlineStr">
        <is>
          <t>Herbe</t>
        </is>
      </c>
      <c r="E2851" s="37" t="inlineStr">
        <is>
          <t>NOARFANG</t>
        </is>
      </c>
      <c r="F2851" s="38" t="n">
        <v>0.1</v>
      </c>
      <c r="G2851" s="39" t="n">
        <v>35</v>
      </c>
      <c r="H2851" s="39" t="n">
        <v>45</v>
      </c>
      <c r="I2851" s="29">
        <f>IF(OR(COUNTIF('Suivi des rencontres'!$A:$A,$A2851)&gt;0,COUNTIF('Suivi des rencontres'!$C:$C,$J2851)&gt;0),"Non","Oui")</f>
        <v/>
      </c>
      <c r="J2851" s="30" t="inlineStr">
        <is>
          <t>HOOTHOOT</t>
        </is>
      </c>
    </row>
    <row r="2852">
      <c r="A2852" s="35" t="inlineStr">
        <is>
          <t>Tour Carillon</t>
        </is>
      </c>
      <c r="B2852" s="35" t="inlineStr">
        <is>
          <t>TinTower_5F_hns</t>
        </is>
      </c>
      <c r="C2852" s="33" t="inlineStr">
        <is>
          <t>Toute la journée</t>
        </is>
      </c>
      <c r="D2852" s="49" t="inlineStr">
        <is>
          <t>Herbe</t>
        </is>
      </c>
      <c r="E2852" s="37" t="inlineStr">
        <is>
          <t>RAPASDEPIC</t>
        </is>
      </c>
      <c r="F2852" s="38" t="n">
        <v>0.1</v>
      </c>
      <c r="G2852" s="39" t="n">
        <v>35</v>
      </c>
      <c r="H2852" s="39" t="n">
        <v>45</v>
      </c>
      <c r="I2852" s="29">
        <f>IF(OR(COUNTIF('Suivi des rencontres'!$A:$A,$A2852)&gt;0,COUNTIF('Suivi des rencontres'!$C:$C,$J2852)&gt;0),"Non","Oui")</f>
        <v/>
      </c>
      <c r="J2852" s="30" t="inlineStr">
        <is>
          <t>PIAFABEC</t>
        </is>
      </c>
    </row>
    <row r="2853">
      <c r="A2853" s="35" t="inlineStr">
        <is>
          <t>Tour Carillon</t>
        </is>
      </c>
      <c r="B2853" s="35" t="inlineStr">
        <is>
          <t>TinTower_5F_hns</t>
        </is>
      </c>
      <c r="C2853" s="33" t="inlineStr">
        <is>
          <t>Toute la journée</t>
        </is>
      </c>
      <c r="D2853" s="49" t="inlineStr">
        <is>
          <t>Herbe</t>
        </is>
      </c>
      <c r="E2853" s="37" t="inlineStr">
        <is>
          <t>RATTATAC</t>
        </is>
      </c>
      <c r="F2853" s="38" t="n">
        <v>0.1</v>
      </c>
      <c r="G2853" s="39" t="n">
        <v>35</v>
      </c>
      <c r="H2853" s="39" t="n">
        <v>45</v>
      </c>
      <c r="I2853" s="29">
        <f>IF(OR(COUNTIF('Suivi des rencontres'!$A:$A,$A2853)&gt;0,COUNTIF('Suivi des rencontres'!$C:$C,$J2853)&gt;0),"Non","Oui")</f>
        <v/>
      </c>
      <c r="J2853" s="30" t="inlineStr">
        <is>
          <t>RATTATA</t>
        </is>
      </c>
    </row>
    <row r="2854">
      <c r="A2854" s="35" t="inlineStr">
        <is>
          <t>Tour Carillon</t>
        </is>
      </c>
      <c r="B2854" s="35" t="inlineStr">
        <is>
          <t>TinTower_5F_hns</t>
        </is>
      </c>
      <c r="C2854" s="33" t="inlineStr">
        <is>
          <t>Toute la journée</t>
        </is>
      </c>
      <c r="D2854" s="49" t="inlineStr">
        <is>
          <t>Herbe</t>
        </is>
      </c>
      <c r="E2854" s="37" t="inlineStr">
        <is>
          <t>FEUFOREVE</t>
        </is>
      </c>
      <c r="F2854" s="38" t="n">
        <v>0.05</v>
      </c>
      <c r="G2854" s="39" t="n">
        <v>35</v>
      </c>
      <c r="H2854" s="39" t="n">
        <v>45</v>
      </c>
      <c r="I2854" s="29">
        <f>IF(OR(COUNTIF('Suivi des rencontres'!$A:$A,$A2854)&gt;0,COUNTIF('Suivi des rencontres'!$C:$C,$J2854)&gt;0),"Non","Oui")</f>
        <v/>
      </c>
      <c r="J2854" s="30" t="inlineStr">
        <is>
          <t>FEUFOREVE</t>
        </is>
      </c>
    </row>
    <row r="2855">
      <c r="A2855" s="35" t="inlineStr">
        <is>
          <t>Tour Carillon</t>
        </is>
      </c>
      <c r="B2855" s="35" t="inlineStr">
        <is>
          <t>TinTower_5F_hns</t>
        </is>
      </c>
      <c r="C2855" s="33" t="inlineStr">
        <is>
          <t>Toute la journée</t>
        </is>
      </c>
      <c r="D2855" s="49" t="inlineStr">
        <is>
          <t>Herbe</t>
        </is>
      </c>
      <c r="E2855" s="37" t="inlineStr">
        <is>
          <t>FOUINAR</t>
        </is>
      </c>
      <c r="F2855" s="38" t="n">
        <v>0.05</v>
      </c>
      <c r="G2855" s="39" t="n">
        <v>35</v>
      </c>
      <c r="H2855" s="39" t="n">
        <v>45</v>
      </c>
      <c r="I2855" s="29">
        <f>IF(OR(COUNTIF('Suivi des rencontres'!$A:$A,$A2855)&gt;0,COUNTIF('Suivi des rencontres'!$C:$C,$J2855)&gt;0),"Non","Oui")</f>
        <v/>
      </c>
      <c r="J2855" s="30" t="inlineStr">
        <is>
          <t>FOUINETTE</t>
        </is>
      </c>
    </row>
    <row r="2856">
      <c r="A2856" s="35" t="inlineStr">
        <is>
          <t>Tour Carillon</t>
        </is>
      </c>
      <c r="B2856" s="35" t="inlineStr">
        <is>
          <t>TinTower_5F_hns</t>
        </is>
      </c>
      <c r="C2856" s="33" t="inlineStr">
        <is>
          <t>Toute la journée</t>
        </is>
      </c>
      <c r="D2856" s="49" t="inlineStr">
        <is>
          <t>Herbe</t>
        </is>
      </c>
      <c r="E2856" s="37" t="inlineStr">
        <is>
          <t>MAGIREVE</t>
        </is>
      </c>
      <c r="F2856" s="38" t="n">
        <v>0.05</v>
      </c>
      <c r="G2856" s="39" t="n">
        <v>35</v>
      </c>
      <c r="H2856" s="39" t="n">
        <v>45</v>
      </c>
      <c r="I2856" s="29">
        <f>IF(OR(COUNTIF('Suivi des rencontres'!$A:$A,$A2856)&gt;0,COUNTIF('Suivi des rencontres'!$C:$C,$J2856)&gt;0),"Non","Oui")</f>
        <v/>
      </c>
      <c r="J2856" s="30" t="inlineStr">
        <is>
          <t>FEUFOREVE</t>
        </is>
      </c>
    </row>
    <row r="2857">
      <c r="A2857" s="35" t="inlineStr">
        <is>
          <t>Tour Carillon</t>
        </is>
      </c>
      <c r="B2857" s="35" t="inlineStr">
        <is>
          <t>TinTower_5F_hns</t>
        </is>
      </c>
      <c r="C2857" s="33" t="inlineStr">
        <is>
          <t>Toute la journée</t>
        </is>
      </c>
      <c r="D2857" s="49" t="inlineStr">
        <is>
          <t>Herbe</t>
        </is>
      </c>
      <c r="E2857" s="37" t="inlineStr">
        <is>
          <t>SPECTRUM</t>
        </is>
      </c>
      <c r="F2857" s="38" t="n">
        <v>0.05</v>
      </c>
      <c r="G2857" s="39" t="n">
        <v>35</v>
      </c>
      <c r="H2857" s="39" t="n">
        <v>45</v>
      </c>
      <c r="I2857" s="29">
        <f>IF(OR(COUNTIF('Suivi des rencontres'!$A:$A,$A2857)&gt;0,COUNTIF('Suivi des rencontres'!$C:$C,$J2857)&gt;0),"Non","Oui")</f>
        <v/>
      </c>
      <c r="J2857" s="30" t="inlineStr">
        <is>
          <t>FANTOMINUS</t>
        </is>
      </c>
    </row>
    <row r="2858">
      <c r="A2858" s="35" t="inlineStr">
        <is>
          <t>Tour Carillon</t>
        </is>
      </c>
      <c r="B2858" s="35" t="inlineStr">
        <is>
          <t>TinTower_6F_hns</t>
        </is>
      </c>
      <c r="C2858" s="33" t="inlineStr">
        <is>
          <t>Toute la journée</t>
        </is>
      </c>
      <c r="D2858" s="49" t="inlineStr">
        <is>
          <t>Herbe</t>
        </is>
      </c>
      <c r="E2858" s="37" t="inlineStr">
        <is>
          <t>CAPUMAIN</t>
        </is>
      </c>
      <c r="F2858" s="38" t="n">
        <v>0.2</v>
      </c>
      <c r="G2858" s="39" t="n">
        <v>35</v>
      </c>
      <c r="H2858" s="39" t="n">
        <v>45</v>
      </c>
      <c r="I2858" s="29">
        <f>IF(OR(COUNTIF('Suivi des rencontres'!$A:$A,$A2858)&gt;0,COUNTIF('Suivi des rencontres'!$C:$C,$J2858)&gt;0),"Non","Oui")</f>
        <v/>
      </c>
      <c r="J2858" s="30" t="inlineStr">
        <is>
          <t>CAPUMAIN</t>
        </is>
      </c>
    </row>
    <row r="2859">
      <c r="A2859" s="35" t="inlineStr">
        <is>
          <t>Tour Carillon</t>
        </is>
      </c>
      <c r="B2859" s="35" t="inlineStr">
        <is>
          <t>TinTower_6F_hns</t>
        </is>
      </c>
      <c r="C2859" s="33" t="inlineStr">
        <is>
          <t>Toute la journée</t>
        </is>
      </c>
      <c r="D2859" s="49" t="inlineStr">
        <is>
          <t>Herbe</t>
        </is>
      </c>
      <c r="E2859" s="37" t="inlineStr">
        <is>
          <t>RATTATA</t>
        </is>
      </c>
      <c r="F2859" s="38" t="n">
        <v>0.2</v>
      </c>
      <c r="G2859" s="39" t="n">
        <v>35</v>
      </c>
      <c r="H2859" s="39" t="n">
        <v>45</v>
      </c>
      <c r="I2859" s="29">
        <f>IF(OR(COUNTIF('Suivi des rencontres'!$A:$A,$A2859)&gt;0,COUNTIF('Suivi des rencontres'!$C:$C,$J2859)&gt;0),"Non","Oui")</f>
        <v/>
      </c>
      <c r="J2859" s="30" t="inlineStr">
        <is>
          <t>RATTATA</t>
        </is>
      </c>
    </row>
    <row r="2860">
      <c r="A2860" s="35" t="inlineStr">
        <is>
          <t>Tour Carillon</t>
        </is>
      </c>
      <c r="B2860" s="35" t="inlineStr">
        <is>
          <t>TinTower_6F_hns</t>
        </is>
      </c>
      <c r="C2860" s="33" t="inlineStr">
        <is>
          <t>Toute la journée</t>
        </is>
      </c>
      <c r="D2860" s="49" t="inlineStr">
        <is>
          <t>Herbe</t>
        </is>
      </c>
      <c r="E2860" s="37" t="inlineStr">
        <is>
          <t>CAPIDEXTRE</t>
        </is>
      </c>
      <c r="F2860" s="38" t="n">
        <v>0.1</v>
      </c>
      <c r="G2860" s="39" t="n">
        <v>35</v>
      </c>
      <c r="H2860" s="39" t="n">
        <v>45</v>
      </c>
      <c r="I2860" s="29">
        <f>IF(OR(COUNTIF('Suivi des rencontres'!$A:$A,$A2860)&gt;0,COUNTIF('Suivi des rencontres'!$C:$C,$J2860)&gt;0),"Non","Oui")</f>
        <v/>
      </c>
      <c r="J2860" s="30" t="inlineStr">
        <is>
          <t>CAPUMAIN</t>
        </is>
      </c>
    </row>
    <row r="2861">
      <c r="A2861" s="35" t="inlineStr">
        <is>
          <t>Tour Carillon</t>
        </is>
      </c>
      <c r="B2861" s="35" t="inlineStr">
        <is>
          <t>TinTower_6F_hns</t>
        </is>
      </c>
      <c r="C2861" s="33" t="inlineStr">
        <is>
          <t>Toute la journée</t>
        </is>
      </c>
      <c r="D2861" s="49" t="inlineStr">
        <is>
          <t>Herbe</t>
        </is>
      </c>
      <c r="E2861" s="37" t="inlineStr">
        <is>
          <t>NOARFANG</t>
        </is>
      </c>
      <c r="F2861" s="38" t="n">
        <v>0.1</v>
      </c>
      <c r="G2861" s="39" t="n">
        <v>35</v>
      </c>
      <c r="H2861" s="39" t="n">
        <v>45</v>
      </c>
      <c r="I2861" s="29">
        <f>IF(OR(COUNTIF('Suivi des rencontres'!$A:$A,$A2861)&gt;0,COUNTIF('Suivi des rencontres'!$C:$C,$J2861)&gt;0),"Non","Oui")</f>
        <v/>
      </c>
      <c r="J2861" s="30" t="inlineStr">
        <is>
          <t>HOOTHOOT</t>
        </is>
      </c>
    </row>
    <row r="2862">
      <c r="A2862" s="35" t="inlineStr">
        <is>
          <t>Tour Carillon</t>
        </is>
      </c>
      <c r="B2862" s="35" t="inlineStr">
        <is>
          <t>TinTower_6F_hns</t>
        </is>
      </c>
      <c r="C2862" s="33" t="inlineStr">
        <is>
          <t>Toute la journée</t>
        </is>
      </c>
      <c r="D2862" s="49" t="inlineStr">
        <is>
          <t>Herbe</t>
        </is>
      </c>
      <c r="E2862" s="37" t="inlineStr">
        <is>
          <t>RAPASDEPIC</t>
        </is>
      </c>
      <c r="F2862" s="38" t="n">
        <v>0.1</v>
      </c>
      <c r="G2862" s="39" t="n">
        <v>35</v>
      </c>
      <c r="H2862" s="39" t="n">
        <v>45</v>
      </c>
      <c r="I2862" s="29">
        <f>IF(OR(COUNTIF('Suivi des rencontres'!$A:$A,$A2862)&gt;0,COUNTIF('Suivi des rencontres'!$C:$C,$J2862)&gt;0),"Non","Oui")</f>
        <v/>
      </c>
      <c r="J2862" s="30" t="inlineStr">
        <is>
          <t>PIAFABEC</t>
        </is>
      </c>
    </row>
    <row r="2863">
      <c r="A2863" s="35" t="inlineStr">
        <is>
          <t>Tour Carillon</t>
        </is>
      </c>
      <c r="B2863" s="35" t="inlineStr">
        <is>
          <t>TinTower_6F_hns</t>
        </is>
      </c>
      <c r="C2863" s="33" t="inlineStr">
        <is>
          <t>Toute la journée</t>
        </is>
      </c>
      <c r="D2863" s="49" t="inlineStr">
        <is>
          <t>Herbe</t>
        </is>
      </c>
      <c r="E2863" s="37" t="inlineStr">
        <is>
          <t>RATTATAC</t>
        </is>
      </c>
      <c r="F2863" s="38" t="n">
        <v>0.1</v>
      </c>
      <c r="G2863" s="39" t="n">
        <v>35</v>
      </c>
      <c r="H2863" s="39" t="n">
        <v>45</v>
      </c>
      <c r="I2863" s="29">
        <f>IF(OR(COUNTIF('Suivi des rencontres'!$A:$A,$A2863)&gt;0,COUNTIF('Suivi des rencontres'!$C:$C,$J2863)&gt;0),"Non","Oui")</f>
        <v/>
      </c>
      <c r="J2863" s="30" t="inlineStr">
        <is>
          <t>RATTATA</t>
        </is>
      </c>
    </row>
    <row r="2864">
      <c r="A2864" s="35" t="inlineStr">
        <is>
          <t>Tour Carillon</t>
        </is>
      </c>
      <c r="B2864" s="35" t="inlineStr">
        <is>
          <t>TinTower_6F_hns</t>
        </is>
      </c>
      <c r="C2864" s="33" t="inlineStr">
        <is>
          <t>Toute la journée</t>
        </is>
      </c>
      <c r="D2864" s="49" t="inlineStr">
        <is>
          <t>Herbe</t>
        </is>
      </c>
      <c r="E2864" s="37" t="inlineStr">
        <is>
          <t>FEUFOREVE</t>
        </is>
      </c>
      <c r="F2864" s="38" t="n">
        <v>0.05</v>
      </c>
      <c r="G2864" s="39" t="n">
        <v>35</v>
      </c>
      <c r="H2864" s="39" t="n">
        <v>45</v>
      </c>
      <c r="I2864" s="29">
        <f>IF(OR(COUNTIF('Suivi des rencontres'!$A:$A,$A2864)&gt;0,COUNTIF('Suivi des rencontres'!$C:$C,$J2864)&gt;0),"Non","Oui")</f>
        <v/>
      </c>
      <c r="J2864" s="30" t="inlineStr">
        <is>
          <t>FEUFOREVE</t>
        </is>
      </c>
    </row>
    <row r="2865">
      <c r="A2865" s="35" t="inlineStr">
        <is>
          <t>Tour Carillon</t>
        </is>
      </c>
      <c r="B2865" s="35" t="inlineStr">
        <is>
          <t>TinTower_6F_hns</t>
        </is>
      </c>
      <c r="C2865" s="33" t="inlineStr">
        <is>
          <t>Toute la journée</t>
        </is>
      </c>
      <c r="D2865" s="49" t="inlineStr">
        <is>
          <t>Herbe</t>
        </is>
      </c>
      <c r="E2865" s="37" t="inlineStr">
        <is>
          <t>FOUINAR</t>
        </is>
      </c>
      <c r="F2865" s="38" t="n">
        <v>0.05</v>
      </c>
      <c r="G2865" s="39" t="n">
        <v>35</v>
      </c>
      <c r="H2865" s="39" t="n">
        <v>45</v>
      </c>
      <c r="I2865" s="29">
        <f>IF(OR(COUNTIF('Suivi des rencontres'!$A:$A,$A2865)&gt;0,COUNTIF('Suivi des rencontres'!$C:$C,$J2865)&gt;0),"Non","Oui")</f>
        <v/>
      </c>
      <c r="J2865" s="30" t="inlineStr">
        <is>
          <t>FOUINETTE</t>
        </is>
      </c>
    </row>
    <row r="2866">
      <c r="A2866" s="35" t="inlineStr">
        <is>
          <t>Tour Carillon</t>
        </is>
      </c>
      <c r="B2866" s="35" t="inlineStr">
        <is>
          <t>TinTower_6F_hns</t>
        </is>
      </c>
      <c r="C2866" s="33" t="inlineStr">
        <is>
          <t>Toute la journée</t>
        </is>
      </c>
      <c r="D2866" s="49" t="inlineStr">
        <is>
          <t>Herbe</t>
        </is>
      </c>
      <c r="E2866" s="37" t="inlineStr">
        <is>
          <t>MAGIREVE</t>
        </is>
      </c>
      <c r="F2866" s="38" t="n">
        <v>0.05</v>
      </c>
      <c r="G2866" s="39" t="n">
        <v>35</v>
      </c>
      <c r="H2866" s="39" t="n">
        <v>45</v>
      </c>
      <c r="I2866" s="29">
        <f>IF(OR(COUNTIF('Suivi des rencontres'!$A:$A,$A2866)&gt;0,COUNTIF('Suivi des rencontres'!$C:$C,$J2866)&gt;0),"Non","Oui")</f>
        <v/>
      </c>
      <c r="J2866" s="30" t="inlineStr">
        <is>
          <t>FEUFOREVE</t>
        </is>
      </c>
    </row>
    <row r="2867">
      <c r="A2867" s="35" t="inlineStr">
        <is>
          <t>Tour Carillon</t>
        </is>
      </c>
      <c r="B2867" s="35" t="inlineStr">
        <is>
          <t>TinTower_6F_hns</t>
        </is>
      </c>
      <c r="C2867" s="33" t="inlineStr">
        <is>
          <t>Toute la journée</t>
        </is>
      </c>
      <c r="D2867" s="49" t="inlineStr">
        <is>
          <t>Herbe</t>
        </is>
      </c>
      <c r="E2867" s="37" t="inlineStr">
        <is>
          <t>SPECTRUM</t>
        </is>
      </c>
      <c r="F2867" s="38" t="n">
        <v>0.05</v>
      </c>
      <c r="G2867" s="39" t="n">
        <v>35</v>
      </c>
      <c r="H2867" s="39" t="n">
        <v>45</v>
      </c>
      <c r="I2867" s="29">
        <f>IF(OR(COUNTIF('Suivi des rencontres'!$A:$A,$A2867)&gt;0,COUNTIF('Suivi des rencontres'!$C:$C,$J2867)&gt;0),"Non","Oui")</f>
        <v/>
      </c>
      <c r="J2867" s="30" t="inlineStr">
        <is>
          <t>FANTOMINUS</t>
        </is>
      </c>
    </row>
    <row r="2868">
      <c r="A2868" s="35" t="inlineStr">
        <is>
          <t>Tour Carillon</t>
        </is>
      </c>
      <c r="B2868" s="35" t="inlineStr">
        <is>
          <t>TinTower_7F_hns</t>
        </is>
      </c>
      <c r="C2868" s="33" t="inlineStr">
        <is>
          <t>Toute la journée</t>
        </is>
      </c>
      <c r="D2868" s="49" t="inlineStr">
        <is>
          <t>Herbe</t>
        </is>
      </c>
      <c r="E2868" s="37" t="inlineStr">
        <is>
          <t>CAPUMAIN</t>
        </is>
      </c>
      <c r="F2868" s="38" t="n">
        <v>0.2</v>
      </c>
      <c r="G2868" s="39" t="n">
        <v>35</v>
      </c>
      <c r="H2868" s="39" t="n">
        <v>45</v>
      </c>
      <c r="I2868" s="29">
        <f>IF(OR(COUNTIF('Suivi des rencontres'!$A:$A,$A2868)&gt;0,COUNTIF('Suivi des rencontres'!$C:$C,$J2868)&gt;0),"Non","Oui")</f>
        <v/>
      </c>
      <c r="J2868" s="30" t="inlineStr">
        <is>
          <t>CAPUMAIN</t>
        </is>
      </c>
    </row>
    <row r="2869">
      <c r="A2869" s="35" t="inlineStr">
        <is>
          <t>Tour Carillon</t>
        </is>
      </c>
      <c r="B2869" s="35" t="inlineStr">
        <is>
          <t>TinTower_7F_hns</t>
        </is>
      </c>
      <c r="C2869" s="33" t="inlineStr">
        <is>
          <t>Toute la journée</t>
        </is>
      </c>
      <c r="D2869" s="49" t="inlineStr">
        <is>
          <t>Herbe</t>
        </is>
      </c>
      <c r="E2869" s="37" t="inlineStr">
        <is>
          <t>RATTATA</t>
        </is>
      </c>
      <c r="F2869" s="38" t="n">
        <v>0.2</v>
      </c>
      <c r="G2869" s="39" t="n">
        <v>35</v>
      </c>
      <c r="H2869" s="39" t="n">
        <v>45</v>
      </c>
      <c r="I2869" s="29">
        <f>IF(OR(COUNTIF('Suivi des rencontres'!$A:$A,$A2869)&gt;0,COUNTIF('Suivi des rencontres'!$C:$C,$J2869)&gt;0),"Non","Oui")</f>
        <v/>
      </c>
      <c r="J2869" s="30" t="inlineStr">
        <is>
          <t>RATTATA</t>
        </is>
      </c>
    </row>
    <row r="2870">
      <c r="A2870" s="35" t="inlineStr">
        <is>
          <t>Tour Carillon</t>
        </is>
      </c>
      <c r="B2870" s="35" t="inlineStr">
        <is>
          <t>TinTower_7F_hns</t>
        </is>
      </c>
      <c r="C2870" s="33" t="inlineStr">
        <is>
          <t>Toute la journée</t>
        </is>
      </c>
      <c r="D2870" s="49" t="inlineStr">
        <is>
          <t>Herbe</t>
        </is>
      </c>
      <c r="E2870" s="37" t="inlineStr">
        <is>
          <t>CAPIDEXTRE</t>
        </is>
      </c>
      <c r="F2870" s="38" t="n">
        <v>0.1</v>
      </c>
      <c r="G2870" s="39" t="n">
        <v>35</v>
      </c>
      <c r="H2870" s="39" t="n">
        <v>45</v>
      </c>
      <c r="I2870" s="29">
        <f>IF(OR(COUNTIF('Suivi des rencontres'!$A:$A,$A2870)&gt;0,COUNTIF('Suivi des rencontres'!$C:$C,$J2870)&gt;0),"Non","Oui")</f>
        <v/>
      </c>
      <c r="J2870" s="30" t="inlineStr">
        <is>
          <t>CAPUMAIN</t>
        </is>
      </c>
    </row>
    <row r="2871">
      <c r="A2871" s="35" t="inlineStr">
        <is>
          <t>Tour Carillon</t>
        </is>
      </c>
      <c r="B2871" s="35" t="inlineStr">
        <is>
          <t>TinTower_7F_hns</t>
        </is>
      </c>
      <c r="C2871" s="33" t="inlineStr">
        <is>
          <t>Toute la journée</t>
        </is>
      </c>
      <c r="D2871" s="49" t="inlineStr">
        <is>
          <t>Herbe</t>
        </is>
      </c>
      <c r="E2871" s="37" t="inlineStr">
        <is>
          <t>NOARFANG</t>
        </is>
      </c>
      <c r="F2871" s="38" t="n">
        <v>0.1</v>
      </c>
      <c r="G2871" s="39" t="n">
        <v>35</v>
      </c>
      <c r="H2871" s="39" t="n">
        <v>45</v>
      </c>
      <c r="I2871" s="29">
        <f>IF(OR(COUNTIF('Suivi des rencontres'!$A:$A,$A2871)&gt;0,COUNTIF('Suivi des rencontres'!$C:$C,$J2871)&gt;0),"Non","Oui")</f>
        <v/>
      </c>
      <c r="J2871" s="30" t="inlineStr">
        <is>
          <t>HOOTHOOT</t>
        </is>
      </c>
    </row>
    <row r="2872">
      <c r="A2872" s="35" t="inlineStr">
        <is>
          <t>Tour Carillon</t>
        </is>
      </c>
      <c r="B2872" s="35" t="inlineStr">
        <is>
          <t>TinTower_7F_hns</t>
        </is>
      </c>
      <c r="C2872" s="33" t="inlineStr">
        <is>
          <t>Toute la journée</t>
        </is>
      </c>
      <c r="D2872" s="49" t="inlineStr">
        <is>
          <t>Herbe</t>
        </is>
      </c>
      <c r="E2872" s="37" t="inlineStr">
        <is>
          <t>RAPASDEPIC</t>
        </is>
      </c>
      <c r="F2872" s="38" t="n">
        <v>0.1</v>
      </c>
      <c r="G2872" s="39" t="n">
        <v>35</v>
      </c>
      <c r="H2872" s="39" t="n">
        <v>45</v>
      </c>
      <c r="I2872" s="29">
        <f>IF(OR(COUNTIF('Suivi des rencontres'!$A:$A,$A2872)&gt;0,COUNTIF('Suivi des rencontres'!$C:$C,$J2872)&gt;0),"Non","Oui")</f>
        <v/>
      </c>
      <c r="J2872" s="30" t="inlineStr">
        <is>
          <t>PIAFABEC</t>
        </is>
      </c>
    </row>
    <row r="2873">
      <c r="A2873" s="35" t="inlineStr">
        <is>
          <t>Tour Carillon</t>
        </is>
      </c>
      <c r="B2873" s="35" t="inlineStr">
        <is>
          <t>TinTower_7F_hns</t>
        </is>
      </c>
      <c r="C2873" s="33" t="inlineStr">
        <is>
          <t>Toute la journée</t>
        </is>
      </c>
      <c r="D2873" s="49" t="inlineStr">
        <is>
          <t>Herbe</t>
        </is>
      </c>
      <c r="E2873" s="37" t="inlineStr">
        <is>
          <t>RATTATAC</t>
        </is>
      </c>
      <c r="F2873" s="38" t="n">
        <v>0.1</v>
      </c>
      <c r="G2873" s="39" t="n">
        <v>35</v>
      </c>
      <c r="H2873" s="39" t="n">
        <v>45</v>
      </c>
      <c r="I2873" s="29">
        <f>IF(OR(COUNTIF('Suivi des rencontres'!$A:$A,$A2873)&gt;0,COUNTIF('Suivi des rencontres'!$C:$C,$J2873)&gt;0),"Non","Oui")</f>
        <v/>
      </c>
      <c r="J2873" s="30" t="inlineStr">
        <is>
          <t>RATTATA</t>
        </is>
      </c>
    </row>
    <row r="2874">
      <c r="A2874" s="35" t="inlineStr">
        <is>
          <t>Tour Carillon</t>
        </is>
      </c>
      <c r="B2874" s="35" t="inlineStr">
        <is>
          <t>TinTower_7F_hns</t>
        </is>
      </c>
      <c r="C2874" s="33" t="inlineStr">
        <is>
          <t>Toute la journée</t>
        </is>
      </c>
      <c r="D2874" s="49" t="inlineStr">
        <is>
          <t>Herbe</t>
        </is>
      </c>
      <c r="E2874" s="37" t="inlineStr">
        <is>
          <t>FEUFOREVE</t>
        </is>
      </c>
      <c r="F2874" s="38" t="n">
        <v>0.05</v>
      </c>
      <c r="G2874" s="39" t="n">
        <v>35</v>
      </c>
      <c r="H2874" s="39" t="n">
        <v>45</v>
      </c>
      <c r="I2874" s="29">
        <f>IF(OR(COUNTIF('Suivi des rencontres'!$A:$A,$A2874)&gt;0,COUNTIF('Suivi des rencontres'!$C:$C,$J2874)&gt;0),"Non","Oui")</f>
        <v/>
      </c>
      <c r="J2874" s="30" t="inlineStr">
        <is>
          <t>FEUFOREVE</t>
        </is>
      </c>
    </row>
    <row r="2875">
      <c r="A2875" s="35" t="inlineStr">
        <is>
          <t>Tour Carillon</t>
        </is>
      </c>
      <c r="B2875" s="35" t="inlineStr">
        <is>
          <t>TinTower_7F_hns</t>
        </is>
      </c>
      <c r="C2875" s="33" t="inlineStr">
        <is>
          <t>Toute la journée</t>
        </is>
      </c>
      <c r="D2875" s="49" t="inlineStr">
        <is>
          <t>Herbe</t>
        </is>
      </c>
      <c r="E2875" s="37" t="inlineStr">
        <is>
          <t>FOUINAR</t>
        </is>
      </c>
      <c r="F2875" s="38" t="n">
        <v>0.05</v>
      </c>
      <c r="G2875" s="39" t="n">
        <v>35</v>
      </c>
      <c r="H2875" s="39" t="n">
        <v>45</v>
      </c>
      <c r="I2875" s="29">
        <f>IF(OR(COUNTIF('Suivi des rencontres'!$A:$A,$A2875)&gt;0,COUNTIF('Suivi des rencontres'!$C:$C,$J2875)&gt;0),"Non","Oui")</f>
        <v/>
      </c>
      <c r="J2875" s="30" t="inlineStr">
        <is>
          <t>FOUINETTE</t>
        </is>
      </c>
    </row>
    <row r="2876">
      <c r="A2876" s="35" t="inlineStr">
        <is>
          <t>Tour Carillon</t>
        </is>
      </c>
      <c r="B2876" s="35" t="inlineStr">
        <is>
          <t>TinTower_7F_hns</t>
        </is>
      </c>
      <c r="C2876" s="33" t="inlineStr">
        <is>
          <t>Toute la journée</t>
        </is>
      </c>
      <c r="D2876" s="49" t="inlineStr">
        <is>
          <t>Herbe</t>
        </is>
      </c>
      <c r="E2876" s="37" t="inlineStr">
        <is>
          <t>MAGIREVE</t>
        </is>
      </c>
      <c r="F2876" s="38" t="n">
        <v>0.05</v>
      </c>
      <c r="G2876" s="39" t="n">
        <v>35</v>
      </c>
      <c r="H2876" s="39" t="n">
        <v>45</v>
      </c>
      <c r="I2876" s="29">
        <f>IF(OR(COUNTIF('Suivi des rencontres'!$A:$A,$A2876)&gt;0,COUNTIF('Suivi des rencontres'!$C:$C,$J2876)&gt;0),"Non","Oui")</f>
        <v/>
      </c>
      <c r="J2876" s="30" t="inlineStr">
        <is>
          <t>FEUFOREVE</t>
        </is>
      </c>
    </row>
    <row r="2877">
      <c r="A2877" s="35" t="inlineStr">
        <is>
          <t>Tour Carillon</t>
        </is>
      </c>
      <c r="B2877" s="35" t="inlineStr">
        <is>
          <t>TinTower_7F_hns</t>
        </is>
      </c>
      <c r="C2877" s="33" t="inlineStr">
        <is>
          <t>Toute la journée</t>
        </is>
      </c>
      <c r="D2877" s="49" t="inlineStr">
        <is>
          <t>Herbe</t>
        </is>
      </c>
      <c r="E2877" s="37" t="inlineStr">
        <is>
          <t>SPECTRUM</t>
        </is>
      </c>
      <c r="F2877" s="38" t="n">
        <v>0.05</v>
      </c>
      <c r="G2877" s="39" t="n">
        <v>35</v>
      </c>
      <c r="H2877" s="39" t="n">
        <v>45</v>
      </c>
      <c r="I2877" s="29">
        <f>IF(OR(COUNTIF('Suivi des rencontres'!$A:$A,$A2877)&gt;0,COUNTIF('Suivi des rencontres'!$C:$C,$J2877)&gt;0),"Non","Oui")</f>
        <v/>
      </c>
      <c r="J2877" s="30" t="inlineStr">
        <is>
          <t>FANTOMINUS</t>
        </is>
      </c>
    </row>
    <row r="2878">
      <c r="A2878" s="35" t="inlineStr">
        <is>
          <t>Tour Carillon</t>
        </is>
      </c>
      <c r="B2878" s="35" t="inlineStr">
        <is>
          <t>TinTower_8F_hns</t>
        </is>
      </c>
      <c r="C2878" s="33" t="inlineStr">
        <is>
          <t>Toute la journée</t>
        </is>
      </c>
      <c r="D2878" s="49" t="inlineStr">
        <is>
          <t>Herbe</t>
        </is>
      </c>
      <c r="E2878" s="37" t="inlineStr">
        <is>
          <t>FANTOMINUS</t>
        </is>
      </c>
      <c r="F2878" s="38" t="n">
        <v>0.4</v>
      </c>
      <c r="G2878" s="39" t="n">
        <v>35</v>
      </c>
      <c r="H2878" s="39" t="n">
        <v>45</v>
      </c>
      <c r="I2878" s="29">
        <f>IF(OR(COUNTIF('Suivi des rencontres'!$A:$A,$A2878)&gt;0,COUNTIF('Suivi des rencontres'!$C:$C,$J2878)&gt;0),"Non","Oui")</f>
        <v/>
      </c>
      <c r="J2878" s="30" t="inlineStr">
        <is>
          <t>FANTOMINUS</t>
        </is>
      </c>
    </row>
    <row r="2879">
      <c r="A2879" s="35" t="inlineStr">
        <is>
          <t>Tour Carillon</t>
        </is>
      </c>
      <c r="B2879" s="35" t="inlineStr">
        <is>
          <t>TinTower_8F_hns</t>
        </is>
      </c>
      <c r="C2879" s="33" t="inlineStr">
        <is>
          <t>Toute la journée</t>
        </is>
      </c>
      <c r="D2879" s="49" t="inlineStr">
        <is>
          <t>Herbe</t>
        </is>
      </c>
      <c r="E2879" s="37" t="inlineStr">
        <is>
          <t>NOARFANG</t>
        </is>
      </c>
      <c r="F2879" s="38" t="n">
        <v>0.2</v>
      </c>
      <c r="G2879" s="39" t="n">
        <v>35</v>
      </c>
      <c r="H2879" s="39" t="n">
        <v>45</v>
      </c>
      <c r="I2879" s="29">
        <f>IF(OR(COUNTIF('Suivi des rencontres'!$A:$A,$A2879)&gt;0,COUNTIF('Suivi des rencontres'!$C:$C,$J2879)&gt;0),"Non","Oui")</f>
        <v/>
      </c>
      <c r="J2879" s="30" t="inlineStr">
        <is>
          <t>HOOTHOOT</t>
        </is>
      </c>
    </row>
    <row r="2880">
      <c r="A2880" s="35" t="inlineStr">
        <is>
          <t>Tour Carillon</t>
        </is>
      </c>
      <c r="B2880" s="35" t="inlineStr">
        <is>
          <t>TinTower_8F_hns</t>
        </is>
      </c>
      <c r="C2880" s="33" t="inlineStr">
        <is>
          <t>Toute la journée</t>
        </is>
      </c>
      <c r="D2880" s="49" t="inlineStr">
        <is>
          <t>Herbe</t>
        </is>
      </c>
      <c r="E2880" s="37" t="inlineStr">
        <is>
          <t>RAPASDEPIC</t>
        </is>
      </c>
      <c r="F2880" s="38" t="n">
        <v>0.15</v>
      </c>
      <c r="G2880" s="39" t="n">
        <v>35</v>
      </c>
      <c r="H2880" s="39" t="n">
        <v>45</v>
      </c>
      <c r="I2880" s="29">
        <f>IF(OR(COUNTIF('Suivi des rencontres'!$A:$A,$A2880)&gt;0,COUNTIF('Suivi des rencontres'!$C:$C,$J2880)&gt;0),"Non","Oui")</f>
        <v/>
      </c>
      <c r="J2880" s="30" t="inlineStr">
        <is>
          <t>PIAFABEC</t>
        </is>
      </c>
    </row>
    <row r="2881">
      <c r="A2881" s="35" t="inlineStr">
        <is>
          <t>Tour Carillon</t>
        </is>
      </c>
      <c r="B2881" s="35" t="inlineStr">
        <is>
          <t>TinTower_8F_hns</t>
        </is>
      </c>
      <c r="C2881" s="33" t="inlineStr">
        <is>
          <t>Toute la journée</t>
        </is>
      </c>
      <c r="D2881" s="49" t="inlineStr">
        <is>
          <t>Herbe</t>
        </is>
      </c>
      <c r="E2881" s="37" t="inlineStr">
        <is>
          <t>CAPIDEXTRE</t>
        </is>
      </c>
      <c r="F2881" s="38" t="n">
        <v>0.1</v>
      </c>
      <c r="G2881" s="39" t="n">
        <v>35</v>
      </c>
      <c r="H2881" s="39" t="n">
        <v>45</v>
      </c>
      <c r="I2881" s="29">
        <f>IF(OR(COUNTIF('Suivi des rencontres'!$A:$A,$A2881)&gt;0,COUNTIF('Suivi des rencontres'!$C:$C,$J2881)&gt;0),"Non","Oui")</f>
        <v/>
      </c>
      <c r="J2881" s="30" t="inlineStr">
        <is>
          <t>CAPUMAIN</t>
        </is>
      </c>
    </row>
    <row r="2882">
      <c r="A2882" s="35" t="inlineStr">
        <is>
          <t>Tour Carillon</t>
        </is>
      </c>
      <c r="B2882" s="35" t="inlineStr">
        <is>
          <t>TinTower_8F_hns</t>
        </is>
      </c>
      <c r="C2882" s="33" t="inlineStr">
        <is>
          <t>Toute la journée</t>
        </is>
      </c>
      <c r="D2882" s="49" t="inlineStr">
        <is>
          <t>Herbe</t>
        </is>
      </c>
      <c r="E2882" s="37" t="inlineStr">
        <is>
          <t>FEUFOREVE</t>
        </is>
      </c>
      <c r="F2882" s="38" t="n">
        <v>0.05</v>
      </c>
      <c r="G2882" s="39" t="n">
        <v>35</v>
      </c>
      <c r="H2882" s="39" t="n">
        <v>45</v>
      </c>
      <c r="I2882" s="29">
        <f>IF(OR(COUNTIF('Suivi des rencontres'!$A:$A,$A2882)&gt;0,COUNTIF('Suivi des rencontres'!$C:$C,$J2882)&gt;0),"Non","Oui")</f>
        <v/>
      </c>
      <c r="J2882" s="30" t="inlineStr">
        <is>
          <t>FEUFOREVE</t>
        </is>
      </c>
    </row>
    <row r="2883">
      <c r="A2883" s="35" t="inlineStr">
        <is>
          <t>Tour Carillon</t>
        </is>
      </c>
      <c r="B2883" s="35" t="inlineStr">
        <is>
          <t>TinTower_8F_hns</t>
        </is>
      </c>
      <c r="C2883" s="33" t="inlineStr">
        <is>
          <t>Toute la journée</t>
        </is>
      </c>
      <c r="D2883" s="49" t="inlineStr">
        <is>
          <t>Herbe</t>
        </is>
      </c>
      <c r="E2883" s="37" t="inlineStr">
        <is>
          <t>MAGIREVE</t>
        </is>
      </c>
      <c r="F2883" s="38" t="n">
        <v>0.05</v>
      </c>
      <c r="G2883" s="39" t="n">
        <v>35</v>
      </c>
      <c r="H2883" s="39" t="n">
        <v>45</v>
      </c>
      <c r="I2883" s="29">
        <f>IF(OR(COUNTIF('Suivi des rencontres'!$A:$A,$A2883)&gt;0,COUNTIF('Suivi des rencontres'!$C:$C,$J2883)&gt;0),"Non","Oui")</f>
        <v/>
      </c>
      <c r="J2883" s="30" t="inlineStr">
        <is>
          <t>FEUFOREVE</t>
        </is>
      </c>
    </row>
    <row r="2884">
      <c r="A2884" s="35" t="inlineStr">
        <is>
          <t>Tour Carillon</t>
        </is>
      </c>
      <c r="B2884" s="35" t="inlineStr">
        <is>
          <t>TinTower_8F_hns</t>
        </is>
      </c>
      <c r="C2884" s="33" t="inlineStr">
        <is>
          <t>Toute la journée</t>
        </is>
      </c>
      <c r="D2884" s="49" t="inlineStr">
        <is>
          <t>Herbe</t>
        </is>
      </c>
      <c r="E2884" s="37" t="inlineStr">
        <is>
          <t>SPECTRUM</t>
        </is>
      </c>
      <c r="F2884" s="38" t="n">
        <v>0.05</v>
      </c>
      <c r="G2884" s="39" t="n">
        <v>35</v>
      </c>
      <c r="H2884" s="39" t="n">
        <v>45</v>
      </c>
      <c r="I2884" s="29">
        <f>IF(OR(COUNTIF('Suivi des rencontres'!$A:$A,$A2884)&gt;0,COUNTIF('Suivi des rencontres'!$C:$C,$J2884)&gt;0),"Non","Oui")</f>
        <v/>
      </c>
      <c r="J2884" s="30" t="inlineStr">
        <is>
          <t>FANTOMINUS</t>
        </is>
      </c>
    </row>
    <row r="2885">
      <c r="A2885" s="35" t="inlineStr">
        <is>
          <t>Tour Carillon</t>
        </is>
      </c>
      <c r="B2885" s="35" t="inlineStr">
        <is>
          <t>TinTower_9F_hns</t>
        </is>
      </c>
      <c r="C2885" s="33" t="inlineStr">
        <is>
          <t>Toute la journée</t>
        </is>
      </c>
      <c r="D2885" s="49" t="inlineStr">
        <is>
          <t>Herbe</t>
        </is>
      </c>
      <c r="E2885" s="37" t="inlineStr">
        <is>
          <t>FANTOMINUS</t>
        </is>
      </c>
      <c r="F2885" s="38" t="n">
        <v>0.4</v>
      </c>
      <c r="G2885" s="39" t="n">
        <v>35</v>
      </c>
      <c r="H2885" s="39" t="n">
        <v>45</v>
      </c>
      <c r="I2885" s="29">
        <f>IF(OR(COUNTIF('Suivi des rencontres'!$A:$A,$A2885)&gt;0,COUNTIF('Suivi des rencontres'!$C:$C,$J2885)&gt;0),"Non","Oui")</f>
        <v/>
      </c>
      <c r="J2885" s="30" t="inlineStr">
        <is>
          <t>FANTOMINUS</t>
        </is>
      </c>
    </row>
    <row r="2886">
      <c r="A2886" s="35" t="inlineStr">
        <is>
          <t>Tour Carillon</t>
        </is>
      </c>
      <c r="B2886" s="35" t="inlineStr">
        <is>
          <t>TinTower_9F_hns</t>
        </is>
      </c>
      <c r="C2886" s="33" t="inlineStr">
        <is>
          <t>Toute la journée</t>
        </is>
      </c>
      <c r="D2886" s="49" t="inlineStr">
        <is>
          <t>Herbe</t>
        </is>
      </c>
      <c r="E2886" s="37" t="inlineStr">
        <is>
          <t>NOARFANG</t>
        </is>
      </c>
      <c r="F2886" s="38" t="n">
        <v>0.2</v>
      </c>
      <c r="G2886" s="39" t="n">
        <v>35</v>
      </c>
      <c r="H2886" s="39" t="n">
        <v>45</v>
      </c>
      <c r="I2886" s="29">
        <f>IF(OR(COUNTIF('Suivi des rencontres'!$A:$A,$A2886)&gt;0,COUNTIF('Suivi des rencontres'!$C:$C,$J2886)&gt;0),"Non","Oui")</f>
        <v/>
      </c>
      <c r="J2886" s="30" t="inlineStr">
        <is>
          <t>HOOTHOOT</t>
        </is>
      </c>
    </row>
    <row r="2887">
      <c r="A2887" s="35" t="inlineStr">
        <is>
          <t>Tour Carillon</t>
        </is>
      </c>
      <c r="B2887" s="35" t="inlineStr">
        <is>
          <t>TinTower_9F_hns</t>
        </is>
      </c>
      <c r="C2887" s="33" t="inlineStr">
        <is>
          <t>Toute la journée</t>
        </is>
      </c>
      <c r="D2887" s="49" t="inlineStr">
        <is>
          <t>Herbe</t>
        </is>
      </c>
      <c r="E2887" s="37" t="inlineStr">
        <is>
          <t>RAPASDEPIC</t>
        </is>
      </c>
      <c r="F2887" s="38" t="n">
        <v>0.15</v>
      </c>
      <c r="G2887" s="39" t="n">
        <v>35</v>
      </c>
      <c r="H2887" s="39" t="n">
        <v>45</v>
      </c>
      <c r="I2887" s="29">
        <f>IF(OR(COUNTIF('Suivi des rencontres'!$A:$A,$A2887)&gt;0,COUNTIF('Suivi des rencontres'!$C:$C,$J2887)&gt;0),"Non","Oui")</f>
        <v/>
      </c>
      <c r="J2887" s="30" t="inlineStr">
        <is>
          <t>PIAFABEC</t>
        </is>
      </c>
    </row>
    <row r="2888">
      <c r="A2888" s="35" t="inlineStr">
        <is>
          <t>Tour Carillon</t>
        </is>
      </c>
      <c r="B2888" s="35" t="inlineStr">
        <is>
          <t>TinTower_9F_hns</t>
        </is>
      </c>
      <c r="C2888" s="33" t="inlineStr">
        <is>
          <t>Toute la journée</t>
        </is>
      </c>
      <c r="D2888" s="49" t="inlineStr">
        <is>
          <t>Herbe</t>
        </is>
      </c>
      <c r="E2888" s="37" t="inlineStr">
        <is>
          <t>CAPIDEXTRE</t>
        </is>
      </c>
      <c r="F2888" s="38" t="n">
        <v>0.1</v>
      </c>
      <c r="G2888" s="39" t="n">
        <v>35</v>
      </c>
      <c r="H2888" s="39" t="n">
        <v>45</v>
      </c>
      <c r="I2888" s="29">
        <f>IF(OR(COUNTIF('Suivi des rencontres'!$A:$A,$A2888)&gt;0,COUNTIF('Suivi des rencontres'!$C:$C,$J2888)&gt;0),"Non","Oui")</f>
        <v/>
      </c>
      <c r="J2888" s="30" t="inlineStr">
        <is>
          <t>CAPUMAIN</t>
        </is>
      </c>
    </row>
    <row r="2889">
      <c r="A2889" s="35" t="inlineStr">
        <is>
          <t>Tour Carillon</t>
        </is>
      </c>
      <c r="B2889" s="35" t="inlineStr">
        <is>
          <t>TinTower_9F_hns</t>
        </is>
      </c>
      <c r="C2889" s="33" t="inlineStr">
        <is>
          <t>Toute la journée</t>
        </is>
      </c>
      <c r="D2889" s="49" t="inlineStr">
        <is>
          <t>Herbe</t>
        </is>
      </c>
      <c r="E2889" s="37" t="inlineStr">
        <is>
          <t>FEUFOREVE</t>
        </is>
      </c>
      <c r="F2889" s="38" t="n">
        <v>0.05</v>
      </c>
      <c r="G2889" s="39" t="n">
        <v>35</v>
      </c>
      <c r="H2889" s="39" t="n">
        <v>45</v>
      </c>
      <c r="I2889" s="29">
        <f>IF(OR(COUNTIF('Suivi des rencontres'!$A:$A,$A2889)&gt;0,COUNTIF('Suivi des rencontres'!$C:$C,$J2889)&gt;0),"Non","Oui")</f>
        <v/>
      </c>
      <c r="J2889" s="30" t="inlineStr">
        <is>
          <t>FEUFOREVE</t>
        </is>
      </c>
    </row>
    <row r="2890">
      <c r="A2890" s="35" t="inlineStr">
        <is>
          <t>Tour Carillon</t>
        </is>
      </c>
      <c r="B2890" s="35" t="inlineStr">
        <is>
          <t>TinTower_9F_hns</t>
        </is>
      </c>
      <c r="C2890" s="33" t="inlineStr">
        <is>
          <t>Toute la journée</t>
        </is>
      </c>
      <c r="D2890" s="49" t="inlineStr">
        <is>
          <t>Herbe</t>
        </is>
      </c>
      <c r="E2890" s="37" t="inlineStr">
        <is>
          <t>MAGIREVE</t>
        </is>
      </c>
      <c r="F2890" s="38" t="n">
        <v>0.05</v>
      </c>
      <c r="G2890" s="39" t="n">
        <v>35</v>
      </c>
      <c r="H2890" s="39" t="n">
        <v>45</v>
      </c>
      <c r="I2890" s="29">
        <f>IF(OR(COUNTIF('Suivi des rencontres'!$A:$A,$A2890)&gt;0,COUNTIF('Suivi des rencontres'!$C:$C,$J2890)&gt;0),"Non","Oui")</f>
        <v/>
      </c>
      <c r="J2890" s="30" t="inlineStr">
        <is>
          <t>FEUFOREVE</t>
        </is>
      </c>
    </row>
    <row r="2891">
      <c r="A2891" s="35" t="inlineStr">
        <is>
          <t>Tour Carillon</t>
        </is>
      </c>
      <c r="B2891" s="35" t="inlineStr">
        <is>
          <t>TinTower_9F_hns</t>
        </is>
      </c>
      <c r="C2891" s="33" t="inlineStr">
        <is>
          <t>Toute la journée</t>
        </is>
      </c>
      <c r="D2891" s="49" t="inlineStr">
        <is>
          <t>Herbe</t>
        </is>
      </c>
      <c r="E2891" s="37" t="inlineStr">
        <is>
          <t>SPECTRUM</t>
        </is>
      </c>
      <c r="F2891" s="38" t="n">
        <v>0.05</v>
      </c>
      <c r="G2891" s="39" t="n">
        <v>35</v>
      </c>
      <c r="H2891" s="39" t="n">
        <v>45</v>
      </c>
      <c r="I2891" s="29">
        <f>IF(OR(COUNTIF('Suivi des rencontres'!$A:$A,$A2891)&gt;0,COUNTIF('Suivi des rencontres'!$C:$C,$J2891)&gt;0),"Non","Oui")</f>
        <v/>
      </c>
      <c r="J2891" s="30" t="inlineStr">
        <is>
          <t>FANTOMINUS</t>
        </is>
      </c>
    </row>
    <row r="2892">
      <c r="A2892" s="40" t="inlineStr">
        <is>
          <t>Tour Cendrée</t>
        </is>
      </c>
      <c r="B2892" s="40" t="inlineStr">
        <is>
          <t>BurnedTower_1F_hns</t>
        </is>
      </c>
      <c r="C2892" s="41" t="inlineStr">
        <is>
          <t>Matin, jour, soir</t>
        </is>
      </c>
      <c r="D2892" s="42" t="inlineStr">
        <is>
          <t>Herbe</t>
        </is>
      </c>
      <c r="E2892" s="43" t="inlineStr">
        <is>
          <t>RATTATA</t>
        </is>
      </c>
      <c r="F2892" s="44" t="n">
        <v>0.3</v>
      </c>
      <c r="G2892" s="45" t="n">
        <v>13</v>
      </c>
      <c r="H2892" s="45" t="n">
        <v>13</v>
      </c>
      <c r="I2892" s="46">
        <f>IF(OR(COUNTIF('Suivi des rencontres'!$A:$A,$A2892)&gt;0,COUNTIF('Suivi des rencontres'!$C:$C,$J2892)&gt;0),"Non","Oui")</f>
        <v/>
      </c>
      <c r="J2892" s="30" t="inlineStr">
        <is>
          <t>RATTATA</t>
        </is>
      </c>
    </row>
    <row r="2893">
      <c r="A2893" s="47" t="inlineStr">
        <is>
          <t>Tour Cendrée</t>
        </is>
      </c>
      <c r="B2893" s="47" t="inlineStr">
        <is>
          <t>BurnedTower_1F_hns</t>
        </is>
      </c>
      <c r="C2893" s="48" t="inlineStr">
        <is>
          <t>Matin, jour, soir</t>
        </is>
      </c>
      <c r="D2893" s="49" t="inlineStr">
        <is>
          <t>Herbe</t>
        </is>
      </c>
      <c r="E2893" s="50" t="inlineStr">
        <is>
          <t>SMOGO</t>
        </is>
      </c>
      <c r="F2893" s="51" t="n">
        <v>0.3</v>
      </c>
      <c r="G2893" s="52" t="n">
        <v>14</v>
      </c>
      <c r="H2893" s="52" t="n">
        <v>14</v>
      </c>
      <c r="I2893" s="29">
        <f>IF(OR(COUNTIF('Suivi des rencontres'!$A:$A,$A2893)&gt;0,COUNTIF('Suivi des rencontres'!$C:$C,$J2893)&gt;0),"Non","Oui")</f>
        <v/>
      </c>
      <c r="J2893" s="30" t="inlineStr">
        <is>
          <t>SMOGO</t>
        </is>
      </c>
    </row>
    <row r="2894">
      <c r="A2894" s="47" t="inlineStr">
        <is>
          <t>Tour Cendrée</t>
        </is>
      </c>
      <c r="B2894" s="47" t="inlineStr">
        <is>
          <t>BurnedTower_1F_hns</t>
        </is>
      </c>
      <c r="C2894" s="48" t="inlineStr">
        <is>
          <t>Matin, jour, soir</t>
        </is>
      </c>
      <c r="D2894" s="49" t="inlineStr">
        <is>
          <t>Herbe</t>
        </is>
      </c>
      <c r="E2894" s="50" t="inlineStr">
        <is>
          <t>LIMAGMA</t>
        </is>
      </c>
      <c r="F2894" s="51" t="n">
        <v>0.2</v>
      </c>
      <c r="G2894" s="52" t="n">
        <v>14</v>
      </c>
      <c r="H2894" s="52" t="n">
        <v>15</v>
      </c>
      <c r="I2894" s="29">
        <f>IF(OR(COUNTIF('Suivi des rencontres'!$A:$A,$A2894)&gt;0,COUNTIF('Suivi des rencontres'!$C:$C,$J2894)&gt;0),"Non","Oui")</f>
        <v/>
      </c>
      <c r="J2894" s="30" t="inlineStr">
        <is>
          <t>LIMAGMA</t>
        </is>
      </c>
    </row>
    <row r="2895">
      <c r="A2895" s="47" t="inlineStr">
        <is>
          <t>Tour Cendrée</t>
        </is>
      </c>
      <c r="B2895" s="47" t="inlineStr">
        <is>
          <t>BurnedTower_1F_hns</t>
        </is>
      </c>
      <c r="C2895" s="48" t="inlineStr">
        <is>
          <t>Matin, jour, soir</t>
        </is>
      </c>
      <c r="D2895" s="49" t="inlineStr">
        <is>
          <t>Herbe</t>
        </is>
      </c>
      <c r="E2895" s="50" t="inlineStr">
        <is>
          <t>MALOSSE</t>
        </is>
      </c>
      <c r="F2895" s="51" t="n">
        <v>0.15</v>
      </c>
      <c r="G2895" s="52" t="n">
        <v>15</v>
      </c>
      <c r="H2895" s="52" t="n">
        <v>15</v>
      </c>
      <c r="I2895" s="29">
        <f>IF(OR(COUNTIF('Suivi des rencontres'!$A:$A,$A2895)&gt;0,COUNTIF('Suivi des rencontres'!$C:$C,$J2895)&gt;0),"Non","Oui")</f>
        <v/>
      </c>
      <c r="J2895" s="30" t="inlineStr">
        <is>
          <t>MALOSSE</t>
        </is>
      </c>
    </row>
    <row r="2896">
      <c r="A2896" s="47" t="inlineStr">
        <is>
          <t>Tour Cendrée</t>
        </is>
      </c>
      <c r="B2896" s="47" t="inlineStr">
        <is>
          <t>BurnedTower_1F_hns</t>
        </is>
      </c>
      <c r="C2896" s="48" t="inlineStr">
        <is>
          <t>Matin, jour, soir</t>
        </is>
      </c>
      <c r="D2896" s="49" t="inlineStr">
        <is>
          <t>Herbe</t>
        </is>
      </c>
      <c r="E2896" s="50" t="inlineStr">
        <is>
          <t>RATTATAC</t>
        </is>
      </c>
      <c r="F2896" s="51" t="n">
        <v>0.05</v>
      </c>
      <c r="G2896" s="52" t="n">
        <v>15</v>
      </c>
      <c r="H2896" s="52" t="n">
        <v>15</v>
      </c>
      <c r="I2896" s="29">
        <f>IF(OR(COUNTIF('Suivi des rencontres'!$A:$A,$A2896)&gt;0,COUNTIF('Suivi des rencontres'!$C:$C,$J2896)&gt;0),"Non","Oui")</f>
        <v/>
      </c>
      <c r="J2896" s="30" t="inlineStr">
        <is>
          <t>RATTATA</t>
        </is>
      </c>
    </row>
    <row r="2897">
      <c r="A2897" s="47" t="inlineStr">
        <is>
          <t>Tour Cendrée</t>
        </is>
      </c>
      <c r="B2897" s="47" t="inlineStr">
        <is>
          <t>BurnedTower_1F_hns</t>
        </is>
      </c>
      <c r="C2897" s="62" t="inlineStr">
        <is>
          <t>Nuit</t>
        </is>
      </c>
      <c r="D2897" s="49" t="inlineStr">
        <is>
          <t>Herbe</t>
        </is>
      </c>
      <c r="E2897" s="50" t="inlineStr">
        <is>
          <t>LIMAGMA</t>
        </is>
      </c>
      <c r="F2897" s="51" t="n">
        <v>0.49</v>
      </c>
      <c r="G2897" s="52" t="n">
        <v>13</v>
      </c>
      <c r="H2897" s="52" t="n">
        <v>15</v>
      </c>
      <c r="I2897" s="29">
        <f>IF(OR(COUNTIF('Suivi des rencontres'!$A:$A,$A2897)&gt;0,COUNTIF('Suivi des rencontres'!$C:$C,$J2897)&gt;0),"Non","Oui")</f>
        <v/>
      </c>
      <c r="J2897" s="30" t="inlineStr">
        <is>
          <t>LIMAGMA</t>
        </is>
      </c>
    </row>
    <row r="2898">
      <c r="A2898" s="47" t="inlineStr">
        <is>
          <t>Tour Cendrée</t>
        </is>
      </c>
      <c r="B2898" s="47" t="inlineStr">
        <is>
          <t>BurnedTower_1F_hns</t>
        </is>
      </c>
      <c r="C2898" s="62" t="inlineStr">
        <is>
          <t>Nuit</t>
        </is>
      </c>
      <c r="D2898" s="49" t="inlineStr">
        <is>
          <t>Herbe</t>
        </is>
      </c>
      <c r="E2898" s="50" t="inlineStr">
        <is>
          <t>SMOGO</t>
        </is>
      </c>
      <c r="F2898" s="51" t="n">
        <v>0.3</v>
      </c>
      <c r="G2898" s="52" t="n">
        <v>14</v>
      </c>
      <c r="H2898" s="52" t="n">
        <v>14</v>
      </c>
      <c r="I2898" s="29">
        <f>IF(OR(COUNTIF('Suivi des rencontres'!$A:$A,$A2898)&gt;0,COUNTIF('Suivi des rencontres'!$C:$C,$J2898)&gt;0),"Non","Oui")</f>
        <v/>
      </c>
      <c r="J2898" s="30" t="inlineStr">
        <is>
          <t>SMOGO</t>
        </is>
      </c>
    </row>
    <row r="2899">
      <c r="A2899" s="47" t="inlineStr">
        <is>
          <t>Tour Cendrée</t>
        </is>
      </c>
      <c r="B2899" s="47" t="inlineStr">
        <is>
          <t>BurnedTower_1F_hns</t>
        </is>
      </c>
      <c r="C2899" s="62" t="inlineStr">
        <is>
          <t>Nuit</t>
        </is>
      </c>
      <c r="D2899" s="49" t="inlineStr">
        <is>
          <t>Herbe</t>
        </is>
      </c>
      <c r="E2899" s="50" t="inlineStr">
        <is>
          <t>NOSFERAPTI</t>
        </is>
      </c>
      <c r="F2899" s="51" t="n">
        <v>0.15</v>
      </c>
      <c r="G2899" s="52" t="n">
        <v>14</v>
      </c>
      <c r="H2899" s="52" t="n">
        <v>14</v>
      </c>
      <c r="I2899" s="29">
        <f>IF(OR(COUNTIF('Suivi des rencontres'!$A:$A,$A2899)&gt;0,COUNTIF('Suivi des rencontres'!$C:$C,$J2899)&gt;0),"Non","Oui")</f>
        <v/>
      </c>
      <c r="J2899" s="30" t="inlineStr">
        <is>
          <t>NOSFERAPTI</t>
        </is>
      </c>
    </row>
    <row r="2900">
      <c r="A2900" s="47" t="inlineStr">
        <is>
          <t>Tour Cendrée</t>
        </is>
      </c>
      <c r="B2900" s="47" t="inlineStr">
        <is>
          <t>BurnedTower_1F_hns</t>
        </is>
      </c>
      <c r="C2900" s="62" t="inlineStr">
        <is>
          <t>Nuit</t>
        </is>
      </c>
      <c r="D2900" s="49" t="inlineStr">
        <is>
          <t>Herbe</t>
        </is>
      </c>
      <c r="E2900" s="50" t="inlineStr">
        <is>
          <t>MALOSSE</t>
        </is>
      </c>
      <c r="F2900" s="51" t="n">
        <v>0.04</v>
      </c>
      <c r="G2900" s="52" t="n">
        <v>15</v>
      </c>
      <c r="H2900" s="52" t="n">
        <v>15</v>
      </c>
      <c r="I2900" s="29">
        <f>IF(OR(COUNTIF('Suivi des rencontres'!$A:$A,$A2900)&gt;0,COUNTIF('Suivi des rencontres'!$C:$C,$J2900)&gt;0),"Non","Oui")</f>
        <v/>
      </c>
      <c r="J2900" s="30" t="inlineStr">
        <is>
          <t>MALOSSE</t>
        </is>
      </c>
    </row>
    <row r="2901">
      <c r="A2901" s="47" t="inlineStr">
        <is>
          <t>Tour Cendrée</t>
        </is>
      </c>
      <c r="B2901" s="47" t="inlineStr">
        <is>
          <t>BurnedTower_1F_hns</t>
        </is>
      </c>
      <c r="C2901" s="62" t="inlineStr">
        <is>
          <t>Nuit</t>
        </is>
      </c>
      <c r="D2901" s="49" t="inlineStr">
        <is>
          <t>Herbe</t>
        </is>
      </c>
      <c r="E2901" s="50" t="inlineStr">
        <is>
          <t>RATTATAC</t>
        </is>
      </c>
      <c r="F2901" s="51" t="n">
        <v>0.02</v>
      </c>
      <c r="G2901" s="52" t="n">
        <v>15</v>
      </c>
      <c r="H2901" s="52" t="n">
        <v>15</v>
      </c>
      <c r="I2901" s="29">
        <f>IF(OR(COUNTIF('Suivi des rencontres'!$A:$A,$A2901)&gt;0,COUNTIF('Suivi des rencontres'!$C:$C,$J2901)&gt;0),"Non","Oui")</f>
        <v/>
      </c>
      <c r="J2901" s="30" t="inlineStr">
        <is>
          <t>RATTATA</t>
        </is>
      </c>
    </row>
    <row r="2902">
      <c r="A2902" s="47" t="inlineStr">
        <is>
          <t>Tour Cendrée</t>
        </is>
      </c>
      <c r="B2902" s="47" t="inlineStr">
        <is>
          <t>BurnedTower_B1F_hns</t>
        </is>
      </c>
      <c r="C2902" s="48" t="inlineStr">
        <is>
          <t>Matin, jour, soir</t>
        </is>
      </c>
      <c r="D2902" s="49" t="inlineStr">
        <is>
          <t>Herbe</t>
        </is>
      </c>
      <c r="E2902" s="50" t="inlineStr">
        <is>
          <t>SMOGO</t>
        </is>
      </c>
      <c r="F2902" s="51" t="n">
        <v>0.39</v>
      </c>
      <c r="G2902" s="52" t="n">
        <v>16</v>
      </c>
      <c r="H2902" s="52" t="n">
        <v>17</v>
      </c>
      <c r="I2902" s="29">
        <f>IF(OR(COUNTIF('Suivi des rencontres'!$A:$A,$A2902)&gt;0,COUNTIF('Suivi des rencontres'!$C:$C,$J2902)&gt;0),"Non","Oui")</f>
        <v/>
      </c>
      <c r="J2902" s="30" t="inlineStr">
        <is>
          <t>SMOGO</t>
        </is>
      </c>
    </row>
    <row r="2903">
      <c r="A2903" s="47" t="inlineStr">
        <is>
          <t>Tour Cendrée</t>
        </is>
      </c>
      <c r="B2903" s="47" t="inlineStr">
        <is>
          <t>BurnedTower_B1F_hns</t>
        </is>
      </c>
      <c r="C2903" s="48" t="inlineStr">
        <is>
          <t>Matin, jour, soir</t>
        </is>
      </c>
      <c r="D2903" s="49" t="inlineStr">
        <is>
          <t>Herbe</t>
        </is>
      </c>
      <c r="E2903" s="50" t="inlineStr">
        <is>
          <t>NOSFERAPTI</t>
        </is>
      </c>
      <c r="F2903" s="51" t="n">
        <v>0.35</v>
      </c>
      <c r="G2903" s="52" t="n">
        <v>16</v>
      </c>
      <c r="H2903" s="52" t="n">
        <v>18</v>
      </c>
      <c r="I2903" s="29">
        <f>IF(OR(COUNTIF('Suivi des rencontres'!$A:$A,$A2903)&gt;0,COUNTIF('Suivi des rencontres'!$C:$C,$J2903)&gt;0),"Non","Oui")</f>
        <v/>
      </c>
      <c r="J2903" s="30" t="inlineStr">
        <is>
          <t>NOSFERAPTI</t>
        </is>
      </c>
    </row>
    <row r="2904">
      <c r="A2904" s="47" t="inlineStr">
        <is>
          <t>Tour Cendrée</t>
        </is>
      </c>
      <c r="B2904" s="47" t="inlineStr">
        <is>
          <t>BurnedTower_B1F_hns</t>
        </is>
      </c>
      <c r="C2904" s="48" t="inlineStr">
        <is>
          <t>Matin, jour, soir</t>
        </is>
      </c>
      <c r="D2904" s="49" t="inlineStr">
        <is>
          <t>Herbe</t>
        </is>
      </c>
      <c r="E2904" s="50" t="inlineStr">
        <is>
          <t>MAGMAR</t>
        </is>
      </c>
      <c r="F2904" s="51" t="n">
        <v>0.24</v>
      </c>
      <c r="G2904" s="52" t="n">
        <v>16</v>
      </c>
      <c r="H2904" s="52" t="n">
        <v>18</v>
      </c>
      <c r="I2904" s="29">
        <f>IF(OR(COUNTIF('Suivi des rencontres'!$A:$A,$A2904)&gt;0,COUNTIF('Suivi des rencontres'!$C:$C,$J2904)&gt;0),"Non","Oui")</f>
        <v/>
      </c>
      <c r="J2904" s="30" t="inlineStr">
        <is>
          <t>MAGBY</t>
        </is>
      </c>
    </row>
    <row r="2905">
      <c r="A2905" s="47" t="inlineStr">
        <is>
          <t>Tour Cendrée</t>
        </is>
      </c>
      <c r="B2905" s="47" t="inlineStr">
        <is>
          <t>BurnedTower_B1F_hns</t>
        </is>
      </c>
      <c r="C2905" s="48" t="inlineStr">
        <is>
          <t>Matin, jour, soir</t>
        </is>
      </c>
      <c r="D2905" s="49" t="inlineStr">
        <is>
          <t>Herbe</t>
        </is>
      </c>
      <c r="E2905" s="50" t="inlineStr">
        <is>
          <t>FEUFOREVE</t>
        </is>
      </c>
      <c r="F2905" s="51" t="n">
        <v>0.02</v>
      </c>
      <c r="G2905" s="52" t="n">
        <v>16</v>
      </c>
      <c r="H2905" s="52" t="n">
        <v>16</v>
      </c>
      <c r="I2905" s="29">
        <f>IF(OR(COUNTIF('Suivi des rencontres'!$A:$A,$A2905)&gt;0,COUNTIF('Suivi des rencontres'!$C:$C,$J2905)&gt;0),"Non","Oui")</f>
        <v/>
      </c>
      <c r="J2905" s="30" t="inlineStr">
        <is>
          <t>FEUFOREVE</t>
        </is>
      </c>
    </row>
    <row r="2906">
      <c r="A2906" s="47" t="inlineStr">
        <is>
          <t>Tour Cendrée</t>
        </is>
      </c>
      <c r="B2906" s="47" t="inlineStr">
        <is>
          <t>BurnedTower_B1F_hns</t>
        </is>
      </c>
      <c r="C2906" s="62" t="inlineStr">
        <is>
          <t>Nuit</t>
        </is>
      </c>
      <c r="D2906" s="49" t="inlineStr">
        <is>
          <t>Herbe</t>
        </is>
      </c>
      <c r="E2906" s="50" t="inlineStr">
        <is>
          <t>FEUFOREVE</t>
        </is>
      </c>
      <c r="F2906" s="51" t="n">
        <v>0.35</v>
      </c>
      <c r="G2906" s="52" t="n">
        <v>16</v>
      </c>
      <c r="H2906" s="52" t="n">
        <v>18</v>
      </c>
      <c r="I2906" s="29">
        <f>IF(OR(COUNTIF('Suivi des rencontres'!$A:$A,$A2906)&gt;0,COUNTIF('Suivi des rencontres'!$C:$C,$J2906)&gt;0),"Non","Oui")</f>
        <v/>
      </c>
      <c r="J2906" s="30" t="inlineStr">
        <is>
          <t>FEUFOREVE</t>
        </is>
      </c>
    </row>
    <row r="2907">
      <c r="A2907" s="47" t="inlineStr">
        <is>
          <t>Tour Cendrée</t>
        </is>
      </c>
      <c r="B2907" s="47" t="inlineStr">
        <is>
          <t>BurnedTower_B1F_hns</t>
        </is>
      </c>
      <c r="C2907" s="62" t="inlineStr">
        <is>
          <t>Nuit</t>
        </is>
      </c>
      <c r="D2907" s="49" t="inlineStr">
        <is>
          <t>Herbe</t>
        </is>
      </c>
      <c r="E2907" s="50" t="inlineStr">
        <is>
          <t>SMOGO</t>
        </is>
      </c>
      <c r="F2907" s="51" t="n">
        <v>0.34</v>
      </c>
      <c r="G2907" s="52" t="n">
        <v>16</v>
      </c>
      <c r="H2907" s="52" t="n">
        <v>17</v>
      </c>
      <c r="I2907" s="29">
        <f>IF(OR(COUNTIF('Suivi des rencontres'!$A:$A,$A2907)&gt;0,COUNTIF('Suivi des rencontres'!$C:$C,$J2907)&gt;0),"Non","Oui")</f>
        <v/>
      </c>
      <c r="J2907" s="30" t="inlineStr">
        <is>
          <t>SMOGO</t>
        </is>
      </c>
    </row>
    <row r="2908">
      <c r="A2908" s="47" t="inlineStr">
        <is>
          <t>Tour Cendrée</t>
        </is>
      </c>
      <c r="B2908" s="47" t="inlineStr">
        <is>
          <t>BurnedTower_B1F_hns</t>
        </is>
      </c>
      <c r="C2908" s="62" t="inlineStr">
        <is>
          <t>Nuit</t>
        </is>
      </c>
      <c r="D2908" s="49" t="inlineStr">
        <is>
          <t>Herbe</t>
        </is>
      </c>
      <c r="E2908" s="50" t="inlineStr">
        <is>
          <t>NOSFERAPTI</t>
        </is>
      </c>
      <c r="F2908" s="51" t="n">
        <v>0.25</v>
      </c>
      <c r="G2908" s="52" t="n">
        <v>17</v>
      </c>
      <c r="H2908" s="52" t="n">
        <v>18</v>
      </c>
      <c r="I2908" s="29">
        <f>IF(OR(COUNTIF('Suivi des rencontres'!$A:$A,$A2908)&gt;0,COUNTIF('Suivi des rencontres'!$C:$C,$J2908)&gt;0),"Non","Oui")</f>
        <v/>
      </c>
      <c r="J2908" s="30" t="inlineStr">
        <is>
          <t>NOSFERAPTI</t>
        </is>
      </c>
    </row>
    <row r="2909">
      <c r="A2909" s="47" t="inlineStr">
        <is>
          <t>Tour Cendrée</t>
        </is>
      </c>
      <c r="B2909" s="47" t="inlineStr">
        <is>
          <t>BurnedTower_B1F_hns</t>
        </is>
      </c>
      <c r="C2909" s="62" t="inlineStr">
        <is>
          <t>Nuit</t>
        </is>
      </c>
      <c r="D2909" s="49" t="inlineStr">
        <is>
          <t>Herbe</t>
        </is>
      </c>
      <c r="E2909" s="50" t="inlineStr">
        <is>
          <t>MAGMAR</t>
        </is>
      </c>
      <c r="F2909" s="51" t="n">
        <v>0.06</v>
      </c>
      <c r="G2909" s="52" t="n">
        <v>18</v>
      </c>
      <c r="H2909" s="52" t="n">
        <v>18</v>
      </c>
      <c r="I2909" s="29">
        <f>IF(OR(COUNTIF('Suivi des rencontres'!$A:$A,$A2909)&gt;0,COUNTIF('Suivi des rencontres'!$C:$C,$J2909)&gt;0),"Non","Oui")</f>
        <v/>
      </c>
      <c r="J2909" s="30" t="inlineStr">
        <is>
          <t>MAGBY</t>
        </is>
      </c>
    </row>
    <row r="2910">
      <c r="A2910" s="57" t="inlineStr">
        <is>
          <t>Tourb'Iles</t>
        </is>
      </c>
      <c r="B2910" s="57" t="inlineStr">
        <is>
          <t>WhirlIslands_1F_hns</t>
        </is>
      </c>
      <c r="C2910" s="58" t="inlineStr">
        <is>
          <t>Matin, jour, soir</t>
        </is>
      </c>
      <c r="D2910" s="42" t="inlineStr">
        <is>
          <t>Herbe</t>
        </is>
      </c>
      <c r="E2910" s="59" t="inlineStr">
        <is>
          <t>KRABBY</t>
        </is>
      </c>
      <c r="F2910" s="60" t="n">
        <v>0.3</v>
      </c>
      <c r="G2910" s="61" t="n">
        <v>26</v>
      </c>
      <c r="H2910" s="61" t="n">
        <v>27</v>
      </c>
      <c r="I2910" s="46">
        <f>IF(OR(COUNTIF('Suivi des rencontres'!$A:$A,$A2910)&gt;0,COUNTIF('Suivi des rencontres'!$C:$C,$J2910)&gt;0),"Non","Oui")</f>
        <v/>
      </c>
      <c r="J2910" s="30" t="inlineStr">
        <is>
          <t>KRABBY</t>
        </is>
      </c>
    </row>
    <row r="2911">
      <c r="A2911" s="35" t="inlineStr">
        <is>
          <t>Tourb'Iles</t>
        </is>
      </c>
      <c r="B2911" s="35" t="inlineStr">
        <is>
          <t>WhirlIslands_1F_hns</t>
        </is>
      </c>
      <c r="C2911" s="33" t="inlineStr">
        <is>
          <t>Matin, jour, soir</t>
        </is>
      </c>
      <c r="D2911" s="49" t="inlineStr">
        <is>
          <t>Herbe</t>
        </is>
      </c>
      <c r="E2911" s="37" t="inlineStr">
        <is>
          <t>ROUCOUPS</t>
        </is>
      </c>
      <c r="F2911" s="38" t="n">
        <v>0.21</v>
      </c>
      <c r="G2911" s="39" t="n">
        <v>25</v>
      </c>
      <c r="H2911" s="39" t="n">
        <v>25</v>
      </c>
      <c r="I2911" s="29">
        <f>IF(OR(COUNTIF('Suivi des rencontres'!$A:$A,$A2911)&gt;0,COUNTIF('Suivi des rencontres'!$C:$C,$J2911)&gt;0),"Non","Oui")</f>
        <v/>
      </c>
      <c r="J2911" s="30" t="inlineStr">
        <is>
          <t>ROUCOOL</t>
        </is>
      </c>
    </row>
    <row r="2912">
      <c r="A2912" s="35" t="inlineStr">
        <is>
          <t>Tourb'Iles</t>
        </is>
      </c>
      <c r="B2912" s="35" t="inlineStr">
        <is>
          <t>WhirlIslands_1F_hns</t>
        </is>
      </c>
      <c r="C2912" s="33" t="inlineStr">
        <is>
          <t>Matin, jour, soir</t>
        </is>
      </c>
      <c r="D2912" s="49" t="inlineStr">
        <is>
          <t>Herbe</t>
        </is>
      </c>
      <c r="E2912" s="37" t="inlineStr">
        <is>
          <t>CORAYON</t>
        </is>
      </c>
      <c r="F2912" s="38" t="n">
        <v>0.2</v>
      </c>
      <c r="G2912" s="39" t="n">
        <v>25</v>
      </c>
      <c r="H2912" s="39" t="n">
        <v>25</v>
      </c>
      <c r="I2912" s="29">
        <f>IF(OR(COUNTIF('Suivi des rencontres'!$A:$A,$A2912)&gt;0,COUNTIF('Suivi des rencontres'!$C:$C,$J2912)&gt;0),"Non","Oui")</f>
        <v/>
      </c>
      <c r="J2912" s="30" t="inlineStr">
        <is>
          <t>CORAYON</t>
        </is>
      </c>
    </row>
    <row r="2913">
      <c r="A2913" s="35" t="inlineStr">
        <is>
          <t>Tourb'Iles</t>
        </is>
      </c>
      <c r="B2913" s="35" t="inlineStr">
        <is>
          <t>WhirlIslands_1F_hns</t>
        </is>
      </c>
      <c r="C2913" s="33" t="inlineStr">
        <is>
          <t>Matin, jour, soir</t>
        </is>
      </c>
      <c r="D2913" s="49" t="inlineStr">
        <is>
          <t>Herbe</t>
        </is>
      </c>
      <c r="E2913" s="37" t="inlineStr">
        <is>
          <t>OTARIA</t>
        </is>
      </c>
      <c r="F2913" s="38" t="n">
        <v>0.19</v>
      </c>
      <c r="G2913" s="39" t="n">
        <v>24</v>
      </c>
      <c r="H2913" s="39" t="n">
        <v>26</v>
      </c>
      <c r="I2913" s="29">
        <f>IF(OR(COUNTIF('Suivi des rencontres'!$A:$A,$A2913)&gt;0,COUNTIF('Suivi des rencontres'!$C:$C,$J2913)&gt;0),"Non","Oui")</f>
        <v/>
      </c>
      <c r="J2913" s="30" t="inlineStr">
        <is>
          <t>OTARIA</t>
        </is>
      </c>
    </row>
    <row r="2914">
      <c r="A2914" s="35" t="inlineStr">
        <is>
          <t>Tourb'Iles</t>
        </is>
      </c>
      <c r="B2914" s="35" t="inlineStr">
        <is>
          <t>WhirlIslands_1F_hns</t>
        </is>
      </c>
      <c r="C2914" s="33" t="inlineStr">
        <is>
          <t>Matin, jour, soir</t>
        </is>
      </c>
      <c r="D2914" s="49" t="inlineStr">
        <is>
          <t>Herbe</t>
        </is>
      </c>
      <c r="E2914" s="37" t="inlineStr">
        <is>
          <t>NATU</t>
        </is>
      </c>
      <c r="F2914" s="38" t="n">
        <v>0.1</v>
      </c>
      <c r="G2914" s="39" t="n">
        <v>24</v>
      </c>
      <c r="H2914" s="39" t="n">
        <v>26</v>
      </c>
      <c r="I2914" s="29">
        <f>IF(OR(COUNTIF('Suivi des rencontres'!$A:$A,$A2914)&gt;0,COUNTIF('Suivi des rencontres'!$C:$C,$J2914)&gt;0),"Non","Oui")</f>
        <v/>
      </c>
      <c r="J2914" s="30" t="inlineStr">
        <is>
          <t>NATU</t>
        </is>
      </c>
    </row>
    <row r="2915">
      <c r="A2915" s="35" t="inlineStr">
        <is>
          <t>Tourb'Iles</t>
        </is>
      </c>
      <c r="B2915" s="35" t="inlineStr">
        <is>
          <t>WhirlIslands_1F_hns</t>
        </is>
      </c>
      <c r="C2915" s="62" t="inlineStr">
        <is>
          <t>Nuit</t>
        </is>
      </c>
      <c r="D2915" s="49" t="inlineStr">
        <is>
          <t>Herbe</t>
        </is>
      </c>
      <c r="E2915" s="37" t="inlineStr">
        <is>
          <t>KRABBY</t>
        </is>
      </c>
      <c r="F2915" s="38" t="n">
        <v>0.3</v>
      </c>
      <c r="G2915" s="39" t="n">
        <v>26</v>
      </c>
      <c r="H2915" s="39" t="n">
        <v>27</v>
      </c>
      <c r="I2915" s="29">
        <f>IF(OR(COUNTIF('Suivi des rencontres'!$A:$A,$A2915)&gt;0,COUNTIF('Suivi des rencontres'!$C:$C,$J2915)&gt;0),"Non","Oui")</f>
        <v/>
      </c>
      <c r="J2915" s="30" t="inlineStr">
        <is>
          <t>KRABBY</t>
        </is>
      </c>
    </row>
    <row r="2916">
      <c r="A2916" s="35" t="inlineStr">
        <is>
          <t>Tourb'Iles</t>
        </is>
      </c>
      <c r="B2916" s="35" t="inlineStr">
        <is>
          <t>WhirlIslands_1F_hns</t>
        </is>
      </c>
      <c r="C2916" s="62" t="inlineStr">
        <is>
          <t>Nuit</t>
        </is>
      </c>
      <c r="D2916" s="49" t="inlineStr">
        <is>
          <t>Herbe</t>
        </is>
      </c>
      <c r="E2916" s="37" t="inlineStr">
        <is>
          <t>NOSFERALTO</t>
        </is>
      </c>
      <c r="F2916" s="38" t="n">
        <v>0.21</v>
      </c>
      <c r="G2916" s="39" t="n">
        <v>25</v>
      </c>
      <c r="H2916" s="39" t="n">
        <v>25</v>
      </c>
      <c r="I2916" s="29">
        <f>IF(OR(COUNTIF('Suivi des rencontres'!$A:$A,$A2916)&gt;0,COUNTIF('Suivi des rencontres'!$C:$C,$J2916)&gt;0),"Non","Oui")</f>
        <v/>
      </c>
      <c r="J2916" s="30" t="inlineStr">
        <is>
          <t>NOSFERAPTI</t>
        </is>
      </c>
    </row>
    <row r="2917">
      <c r="A2917" s="35" t="inlineStr">
        <is>
          <t>Tourb'Iles</t>
        </is>
      </c>
      <c r="B2917" s="35" t="inlineStr">
        <is>
          <t>WhirlIslands_1F_hns</t>
        </is>
      </c>
      <c r="C2917" s="62" t="inlineStr">
        <is>
          <t>Nuit</t>
        </is>
      </c>
      <c r="D2917" s="49" t="inlineStr">
        <is>
          <t>Herbe</t>
        </is>
      </c>
      <c r="E2917" s="37" t="inlineStr">
        <is>
          <t>CORAYON</t>
        </is>
      </c>
      <c r="F2917" s="38" t="n">
        <v>0.2</v>
      </c>
      <c r="G2917" s="39" t="n">
        <v>25</v>
      </c>
      <c r="H2917" s="39" t="n">
        <v>25</v>
      </c>
      <c r="I2917" s="29">
        <f>IF(OR(COUNTIF('Suivi des rencontres'!$A:$A,$A2917)&gt;0,COUNTIF('Suivi des rencontres'!$C:$C,$J2917)&gt;0),"Non","Oui")</f>
        <v/>
      </c>
      <c r="J2917" s="30" t="inlineStr">
        <is>
          <t>CORAYON</t>
        </is>
      </c>
    </row>
    <row r="2918">
      <c r="A2918" s="35" t="inlineStr">
        <is>
          <t>Tourb'Iles</t>
        </is>
      </c>
      <c r="B2918" s="35" t="inlineStr">
        <is>
          <t>WhirlIslands_1F_hns</t>
        </is>
      </c>
      <c r="C2918" s="62" t="inlineStr">
        <is>
          <t>Nuit</t>
        </is>
      </c>
      <c r="D2918" s="49" t="inlineStr">
        <is>
          <t>Herbe</t>
        </is>
      </c>
      <c r="E2918" s="37" t="inlineStr">
        <is>
          <t>OTARIA</t>
        </is>
      </c>
      <c r="F2918" s="38" t="n">
        <v>0.19</v>
      </c>
      <c r="G2918" s="39" t="n">
        <v>24</v>
      </c>
      <c r="H2918" s="39" t="n">
        <v>26</v>
      </c>
      <c r="I2918" s="29">
        <f>IF(OR(COUNTIF('Suivi des rencontres'!$A:$A,$A2918)&gt;0,COUNTIF('Suivi des rencontres'!$C:$C,$J2918)&gt;0),"Non","Oui")</f>
        <v/>
      </c>
      <c r="J2918" s="30" t="inlineStr">
        <is>
          <t>OTARIA</t>
        </is>
      </c>
    </row>
    <row r="2919">
      <c r="A2919" s="35" t="inlineStr">
        <is>
          <t>Tourb'Iles</t>
        </is>
      </c>
      <c r="B2919" s="35" t="inlineStr">
        <is>
          <t>WhirlIslands_1F_hns</t>
        </is>
      </c>
      <c r="C2919" s="62" t="inlineStr">
        <is>
          <t>Nuit</t>
        </is>
      </c>
      <c r="D2919" s="49" t="inlineStr">
        <is>
          <t>Herbe</t>
        </is>
      </c>
      <c r="E2919" s="37" t="inlineStr">
        <is>
          <t>NATU</t>
        </is>
      </c>
      <c r="F2919" s="38" t="n">
        <v>0.1</v>
      </c>
      <c r="G2919" s="39" t="n">
        <v>24</v>
      </c>
      <c r="H2919" s="39" t="n">
        <v>26</v>
      </c>
      <c r="I2919" s="29">
        <f>IF(OR(COUNTIF('Suivi des rencontres'!$A:$A,$A2919)&gt;0,COUNTIF('Suivi des rencontres'!$C:$C,$J2919)&gt;0),"Non","Oui")</f>
        <v/>
      </c>
      <c r="J2919" s="30" t="inlineStr">
        <is>
          <t>NATU</t>
        </is>
      </c>
    </row>
    <row r="2920">
      <c r="A2920" s="35" t="inlineStr">
        <is>
          <t>Tourb'Iles</t>
        </is>
      </c>
      <c r="B2920" s="35" t="inlineStr">
        <is>
          <t>WhirlIslands_1F_hns</t>
        </is>
      </c>
      <c r="C2920" s="33" t="inlineStr">
        <is>
          <t>Matin, jour, soir</t>
        </is>
      </c>
      <c r="D2920" s="53" t="inlineStr">
        <is>
          <t>Surf</t>
        </is>
      </c>
      <c r="E2920" s="37" t="inlineStr">
        <is>
          <t>TENTACOOL</t>
        </is>
      </c>
      <c r="F2920" s="38" t="n">
        <v>0.6</v>
      </c>
      <c r="G2920" s="39" t="n">
        <v>20</v>
      </c>
      <c r="H2920" s="39" t="n">
        <v>24</v>
      </c>
      <c r="I2920" s="29">
        <f>IF(OR(COUNTIF('Suivi des rencontres'!$A:$A,$A2920)&gt;0,COUNTIF('Suivi des rencontres'!$C:$C,$J2920)&gt;0),"Non","Oui")</f>
        <v/>
      </c>
      <c r="J2920" s="30" t="inlineStr">
        <is>
          <t>TENTACOOL</t>
        </is>
      </c>
    </row>
    <row r="2921">
      <c r="A2921" s="35" t="inlineStr">
        <is>
          <t>Tourb'Iles</t>
        </is>
      </c>
      <c r="B2921" s="35" t="inlineStr">
        <is>
          <t>WhirlIslands_1F_hns</t>
        </is>
      </c>
      <c r="C2921" s="33" t="inlineStr">
        <is>
          <t>Matin, jour, soir</t>
        </is>
      </c>
      <c r="D2921" s="53" t="inlineStr">
        <is>
          <t>Surf</t>
        </is>
      </c>
      <c r="E2921" s="37" t="inlineStr">
        <is>
          <t>HYPOTREMPE</t>
        </is>
      </c>
      <c r="F2921" s="38" t="n">
        <v>0.3</v>
      </c>
      <c r="G2921" s="39" t="n">
        <v>15</v>
      </c>
      <c r="H2921" s="39" t="n">
        <v>19</v>
      </c>
      <c r="I2921" s="29">
        <f>IF(OR(COUNTIF('Suivi des rencontres'!$A:$A,$A2921)&gt;0,COUNTIF('Suivi des rencontres'!$C:$C,$J2921)&gt;0),"Non","Oui")</f>
        <v/>
      </c>
      <c r="J2921" s="30" t="inlineStr">
        <is>
          <t>HYPOTREMPE</t>
        </is>
      </c>
    </row>
    <row r="2922">
      <c r="A2922" s="35" t="inlineStr">
        <is>
          <t>Tourb'Iles</t>
        </is>
      </c>
      <c r="B2922" s="35" t="inlineStr">
        <is>
          <t>WhirlIslands_1F_hns</t>
        </is>
      </c>
      <c r="C2922" s="33" t="inlineStr">
        <is>
          <t>Matin, jour, soir</t>
        </is>
      </c>
      <c r="D2922" s="53" t="inlineStr">
        <is>
          <t>Surf</t>
        </is>
      </c>
      <c r="E2922" s="37" t="inlineStr">
        <is>
          <t>BABIMANTA</t>
        </is>
      </c>
      <c r="F2922" s="38" t="n">
        <v>0.05</v>
      </c>
      <c r="G2922" s="39" t="n">
        <v>20</v>
      </c>
      <c r="H2922" s="39" t="n">
        <v>24</v>
      </c>
      <c r="I2922" s="29">
        <f>IF(OR(COUNTIF('Suivi des rencontres'!$A:$A,$A2922)&gt;0,COUNTIF('Suivi des rencontres'!$C:$C,$J2922)&gt;0),"Non","Oui")</f>
        <v/>
      </c>
      <c r="J2922" s="30" t="inlineStr">
        <is>
          <t>BABIMANTA</t>
        </is>
      </c>
    </row>
    <row r="2923">
      <c r="A2923" s="35" t="inlineStr">
        <is>
          <t>Tourb'Iles</t>
        </is>
      </c>
      <c r="B2923" s="35" t="inlineStr">
        <is>
          <t>WhirlIslands_1F_hns</t>
        </is>
      </c>
      <c r="C2923" s="33" t="inlineStr">
        <is>
          <t>Matin, jour, soir</t>
        </is>
      </c>
      <c r="D2923" s="53" t="inlineStr">
        <is>
          <t>Surf</t>
        </is>
      </c>
      <c r="E2923" s="37" t="inlineStr">
        <is>
          <t>DEMANTA</t>
        </is>
      </c>
      <c r="F2923" s="38" t="n">
        <v>0.05</v>
      </c>
      <c r="G2923" s="39" t="n">
        <v>15</v>
      </c>
      <c r="H2923" s="39" t="n">
        <v>24</v>
      </c>
      <c r="I2923" s="29">
        <f>IF(OR(COUNTIF('Suivi des rencontres'!$A:$A,$A2923)&gt;0,COUNTIF('Suivi des rencontres'!$C:$C,$J2923)&gt;0),"Non","Oui")</f>
        <v/>
      </c>
      <c r="J2923" s="30" t="inlineStr">
        <is>
          <t>BABIMANTA</t>
        </is>
      </c>
    </row>
    <row r="2924">
      <c r="A2924" s="35" t="inlineStr">
        <is>
          <t>Tourb'Iles</t>
        </is>
      </c>
      <c r="B2924" s="35" t="inlineStr">
        <is>
          <t>WhirlIslands_1F_hns</t>
        </is>
      </c>
      <c r="C2924" s="62" t="inlineStr">
        <is>
          <t>Nuit</t>
        </is>
      </c>
      <c r="D2924" s="53" t="inlineStr">
        <is>
          <t>Surf</t>
        </is>
      </c>
      <c r="E2924" s="37" t="inlineStr">
        <is>
          <t>TENTACOOL</t>
        </is>
      </c>
      <c r="F2924" s="38" t="n">
        <v>0.6</v>
      </c>
      <c r="G2924" s="39" t="n">
        <v>20</v>
      </c>
      <c r="H2924" s="39" t="n">
        <v>24</v>
      </c>
      <c r="I2924" s="29">
        <f>IF(OR(COUNTIF('Suivi des rencontres'!$A:$A,$A2924)&gt;0,COUNTIF('Suivi des rencontres'!$C:$C,$J2924)&gt;0),"Non","Oui")</f>
        <v/>
      </c>
      <c r="J2924" s="30" t="inlineStr">
        <is>
          <t>TENTACOOL</t>
        </is>
      </c>
    </row>
    <row r="2925">
      <c r="A2925" s="35" t="inlineStr">
        <is>
          <t>Tourb'Iles</t>
        </is>
      </c>
      <c r="B2925" s="35" t="inlineStr">
        <is>
          <t>WhirlIslands_1F_hns</t>
        </is>
      </c>
      <c r="C2925" s="62" t="inlineStr">
        <is>
          <t>Nuit</t>
        </is>
      </c>
      <c r="D2925" s="53" t="inlineStr">
        <is>
          <t>Surf</t>
        </is>
      </c>
      <c r="E2925" s="37" t="inlineStr">
        <is>
          <t>HYPOTREMPE</t>
        </is>
      </c>
      <c r="F2925" s="38" t="n">
        <v>0.3</v>
      </c>
      <c r="G2925" s="39" t="n">
        <v>15</v>
      </c>
      <c r="H2925" s="39" t="n">
        <v>19</v>
      </c>
      <c r="I2925" s="29">
        <f>IF(OR(COUNTIF('Suivi des rencontres'!$A:$A,$A2925)&gt;0,COUNTIF('Suivi des rencontres'!$C:$C,$J2925)&gt;0),"Non","Oui")</f>
        <v/>
      </c>
      <c r="J2925" s="30" t="inlineStr">
        <is>
          <t>HYPOTREMPE</t>
        </is>
      </c>
    </row>
    <row r="2926">
      <c r="A2926" s="35" t="inlineStr">
        <is>
          <t>Tourb'Iles</t>
        </is>
      </c>
      <c r="B2926" s="35" t="inlineStr">
        <is>
          <t>WhirlIslands_1F_hns</t>
        </is>
      </c>
      <c r="C2926" s="62" t="inlineStr">
        <is>
          <t>Nuit</t>
        </is>
      </c>
      <c r="D2926" s="53" t="inlineStr">
        <is>
          <t>Surf</t>
        </is>
      </c>
      <c r="E2926" s="37" t="inlineStr">
        <is>
          <t>BABIMANTA</t>
        </is>
      </c>
      <c r="F2926" s="38" t="n">
        <v>0.05</v>
      </c>
      <c r="G2926" s="39" t="n">
        <v>20</v>
      </c>
      <c r="H2926" s="39" t="n">
        <v>24</v>
      </c>
      <c r="I2926" s="29">
        <f>IF(OR(COUNTIF('Suivi des rencontres'!$A:$A,$A2926)&gt;0,COUNTIF('Suivi des rencontres'!$C:$C,$J2926)&gt;0),"Non","Oui")</f>
        <v/>
      </c>
      <c r="J2926" s="30" t="inlineStr">
        <is>
          <t>BABIMANTA</t>
        </is>
      </c>
    </row>
    <row r="2927">
      <c r="A2927" s="35" t="inlineStr">
        <is>
          <t>Tourb'Iles</t>
        </is>
      </c>
      <c r="B2927" s="35" t="inlineStr">
        <is>
          <t>WhirlIslands_1F_hns</t>
        </is>
      </c>
      <c r="C2927" s="62" t="inlineStr">
        <is>
          <t>Nuit</t>
        </is>
      </c>
      <c r="D2927" s="53" t="inlineStr">
        <is>
          <t>Surf</t>
        </is>
      </c>
      <c r="E2927" s="37" t="inlineStr">
        <is>
          <t>DEMANTA</t>
        </is>
      </c>
      <c r="F2927" s="38" t="n">
        <v>0.05</v>
      </c>
      <c r="G2927" s="39" t="n">
        <v>15</v>
      </c>
      <c r="H2927" s="39" t="n">
        <v>24</v>
      </c>
      <c r="I2927" s="29">
        <f>IF(OR(COUNTIF('Suivi des rencontres'!$A:$A,$A2927)&gt;0,COUNTIF('Suivi des rencontres'!$C:$C,$J2927)&gt;0),"Non","Oui")</f>
        <v/>
      </c>
      <c r="J2927" s="30" t="inlineStr">
        <is>
          <t>BABIMANTA</t>
        </is>
      </c>
    </row>
    <row r="2928">
      <c r="A2928" s="35" t="inlineStr">
        <is>
          <t>Tourb'Iles</t>
        </is>
      </c>
      <c r="B2928" s="35" t="inlineStr">
        <is>
          <t>WhirlIslands_1F_hns</t>
        </is>
      </c>
      <c r="C2928" s="33" t="inlineStr">
        <is>
          <t>Matin, jour, soir</t>
        </is>
      </c>
      <c r="D2928" s="54" t="inlineStr">
        <is>
          <t>Vieille Canne</t>
        </is>
      </c>
      <c r="E2928" s="37" t="inlineStr">
        <is>
          <t>MAGICARPE</t>
        </is>
      </c>
      <c r="F2928" s="38" t="n">
        <v>0.7</v>
      </c>
      <c r="G2928" s="39" t="n">
        <v>10</v>
      </c>
      <c r="H2928" s="39" t="n">
        <v>10</v>
      </c>
      <c r="I2928" s="29">
        <f>IF(OR(COUNTIF('Suivi des rencontres'!$A:$A,$A2928)&gt;0,COUNTIF('Suivi des rencontres'!$C:$C,$J2928)&gt;0),"Non","Oui")</f>
        <v/>
      </c>
      <c r="J2928" s="30" t="inlineStr">
        <is>
          <t>MAGICARPE</t>
        </is>
      </c>
    </row>
    <row r="2929">
      <c r="A2929" s="35" t="inlineStr">
        <is>
          <t>Tourb'Iles</t>
        </is>
      </c>
      <c r="B2929" s="35" t="inlineStr">
        <is>
          <t>WhirlIslands_1F_hns</t>
        </is>
      </c>
      <c r="C2929" s="33" t="inlineStr">
        <is>
          <t>Matin, jour, soir</t>
        </is>
      </c>
      <c r="D2929" s="54" t="inlineStr">
        <is>
          <t>Vieille Canne</t>
        </is>
      </c>
      <c r="E2929" s="37" t="inlineStr">
        <is>
          <t>KRABBY</t>
        </is>
      </c>
      <c r="F2929" s="38" t="n">
        <v>0.3</v>
      </c>
      <c r="G2929" s="39" t="n">
        <v>10</v>
      </c>
      <c r="H2929" s="39" t="n">
        <v>10</v>
      </c>
      <c r="I2929" s="29">
        <f>IF(OR(COUNTIF('Suivi des rencontres'!$A:$A,$A2929)&gt;0,COUNTIF('Suivi des rencontres'!$C:$C,$J2929)&gt;0),"Non","Oui")</f>
        <v/>
      </c>
      <c r="J2929" s="30" t="inlineStr">
        <is>
          <t>KRABBY</t>
        </is>
      </c>
    </row>
    <row r="2930">
      <c r="A2930" s="35" t="inlineStr">
        <is>
          <t>Tourb'Iles</t>
        </is>
      </c>
      <c r="B2930" s="35" t="inlineStr">
        <is>
          <t>WhirlIslands_1F_hns</t>
        </is>
      </c>
      <c r="C2930" s="62" t="inlineStr">
        <is>
          <t>Nuit</t>
        </is>
      </c>
      <c r="D2930" s="54" t="inlineStr">
        <is>
          <t>Vieille Canne</t>
        </is>
      </c>
      <c r="E2930" s="37" t="inlineStr">
        <is>
          <t>MAGICARPE</t>
        </is>
      </c>
      <c r="F2930" s="38" t="n">
        <v>0.7</v>
      </c>
      <c r="G2930" s="39" t="n">
        <v>10</v>
      </c>
      <c r="H2930" s="39" t="n">
        <v>10</v>
      </c>
      <c r="I2930" s="29">
        <f>IF(OR(COUNTIF('Suivi des rencontres'!$A:$A,$A2930)&gt;0,COUNTIF('Suivi des rencontres'!$C:$C,$J2930)&gt;0),"Non","Oui")</f>
        <v/>
      </c>
      <c r="J2930" s="30" t="inlineStr">
        <is>
          <t>MAGICARPE</t>
        </is>
      </c>
    </row>
    <row r="2931">
      <c r="A2931" s="35" t="inlineStr">
        <is>
          <t>Tourb'Iles</t>
        </is>
      </c>
      <c r="B2931" s="35" t="inlineStr">
        <is>
          <t>WhirlIslands_1F_hns</t>
        </is>
      </c>
      <c r="C2931" s="62" t="inlineStr">
        <is>
          <t>Nuit</t>
        </is>
      </c>
      <c r="D2931" s="54" t="inlineStr">
        <is>
          <t>Vieille Canne</t>
        </is>
      </c>
      <c r="E2931" s="37" t="inlineStr">
        <is>
          <t>KRABBY</t>
        </is>
      </c>
      <c r="F2931" s="38" t="n">
        <v>0.3</v>
      </c>
      <c r="G2931" s="39" t="n">
        <v>10</v>
      </c>
      <c r="H2931" s="39" t="n">
        <v>10</v>
      </c>
      <c r="I2931" s="29">
        <f>IF(OR(COUNTIF('Suivi des rencontres'!$A:$A,$A2931)&gt;0,COUNTIF('Suivi des rencontres'!$C:$C,$J2931)&gt;0),"Non","Oui")</f>
        <v/>
      </c>
      <c r="J2931" s="30" t="inlineStr">
        <is>
          <t>KRABBY</t>
        </is>
      </c>
    </row>
    <row r="2932">
      <c r="A2932" s="35" t="inlineStr">
        <is>
          <t>Tourb'Iles</t>
        </is>
      </c>
      <c r="B2932" s="35" t="inlineStr">
        <is>
          <t>WhirlIslands_1F_hns</t>
        </is>
      </c>
      <c r="C2932" s="33" t="inlineStr">
        <is>
          <t>Matin, jour, soir</t>
        </is>
      </c>
      <c r="D2932" s="55" t="inlineStr">
        <is>
          <t>Bonne Canne</t>
        </is>
      </c>
      <c r="E2932" s="37" t="inlineStr">
        <is>
          <t>KRABBY</t>
        </is>
      </c>
      <c r="F2932" s="38" t="n">
        <v>0.6</v>
      </c>
      <c r="G2932" s="39" t="n">
        <v>20</v>
      </c>
      <c r="H2932" s="39" t="n">
        <v>20</v>
      </c>
      <c r="I2932" s="29">
        <f>IF(OR(COUNTIF('Suivi des rencontres'!$A:$A,$A2932)&gt;0,COUNTIF('Suivi des rencontres'!$C:$C,$J2932)&gt;0),"Non","Oui")</f>
        <v/>
      </c>
      <c r="J2932" s="30" t="inlineStr">
        <is>
          <t>KRABBY</t>
        </is>
      </c>
    </row>
    <row r="2933">
      <c r="A2933" s="35" t="inlineStr">
        <is>
          <t>Tourb'Iles</t>
        </is>
      </c>
      <c r="B2933" s="35" t="inlineStr">
        <is>
          <t>WhirlIslands_1F_hns</t>
        </is>
      </c>
      <c r="C2933" s="33" t="inlineStr">
        <is>
          <t>Matin, jour, soir</t>
        </is>
      </c>
      <c r="D2933" s="55" t="inlineStr">
        <is>
          <t>Bonne Canne</t>
        </is>
      </c>
      <c r="E2933" s="37" t="inlineStr">
        <is>
          <t>HYPOTREMPE</t>
        </is>
      </c>
      <c r="F2933" s="38" t="n">
        <v>0.2</v>
      </c>
      <c r="G2933" s="39" t="n">
        <v>20</v>
      </c>
      <c r="H2933" s="39" t="n">
        <v>20</v>
      </c>
      <c r="I2933" s="29">
        <f>IF(OR(COUNTIF('Suivi des rencontres'!$A:$A,$A2933)&gt;0,COUNTIF('Suivi des rencontres'!$C:$C,$J2933)&gt;0),"Non","Oui")</f>
        <v/>
      </c>
      <c r="J2933" s="30" t="inlineStr">
        <is>
          <t>HYPOTREMPE</t>
        </is>
      </c>
    </row>
    <row r="2934">
      <c r="A2934" s="35" t="inlineStr">
        <is>
          <t>Tourb'Iles</t>
        </is>
      </c>
      <c r="B2934" s="35" t="inlineStr">
        <is>
          <t>WhirlIslands_1F_hns</t>
        </is>
      </c>
      <c r="C2934" s="33" t="inlineStr">
        <is>
          <t>Matin, jour, soir</t>
        </is>
      </c>
      <c r="D2934" s="55" t="inlineStr">
        <is>
          <t>Bonne Canne</t>
        </is>
      </c>
      <c r="E2934" s="37" t="inlineStr">
        <is>
          <t>STARI</t>
        </is>
      </c>
      <c r="F2934" s="38" t="n">
        <v>0.2</v>
      </c>
      <c r="G2934" s="39" t="n">
        <v>20</v>
      </c>
      <c r="H2934" s="39" t="n">
        <v>20</v>
      </c>
      <c r="I2934" s="29">
        <f>IF(OR(COUNTIF('Suivi des rencontres'!$A:$A,$A2934)&gt;0,COUNTIF('Suivi des rencontres'!$C:$C,$J2934)&gt;0),"Non","Oui")</f>
        <v/>
      </c>
      <c r="J2934" s="30" t="inlineStr">
        <is>
          <t>STARI</t>
        </is>
      </c>
    </row>
    <row r="2935">
      <c r="A2935" s="35" t="inlineStr">
        <is>
          <t>Tourb'Iles</t>
        </is>
      </c>
      <c r="B2935" s="35" t="inlineStr">
        <is>
          <t>WhirlIslands_1F_hns</t>
        </is>
      </c>
      <c r="C2935" s="62" t="inlineStr">
        <is>
          <t>Nuit</t>
        </is>
      </c>
      <c r="D2935" s="55" t="inlineStr">
        <is>
          <t>Bonne Canne</t>
        </is>
      </c>
      <c r="E2935" s="37" t="inlineStr">
        <is>
          <t>KRABBY</t>
        </is>
      </c>
      <c r="F2935" s="38" t="n">
        <v>0.6</v>
      </c>
      <c r="G2935" s="39" t="n">
        <v>20</v>
      </c>
      <c r="H2935" s="39" t="n">
        <v>20</v>
      </c>
      <c r="I2935" s="29">
        <f>IF(OR(COUNTIF('Suivi des rencontres'!$A:$A,$A2935)&gt;0,COUNTIF('Suivi des rencontres'!$C:$C,$J2935)&gt;0),"Non","Oui")</f>
        <v/>
      </c>
      <c r="J2935" s="30" t="inlineStr">
        <is>
          <t>KRABBY</t>
        </is>
      </c>
    </row>
    <row r="2936">
      <c r="A2936" s="35" t="inlineStr">
        <is>
          <t>Tourb'Iles</t>
        </is>
      </c>
      <c r="B2936" s="35" t="inlineStr">
        <is>
          <t>WhirlIslands_1F_hns</t>
        </is>
      </c>
      <c r="C2936" s="62" t="inlineStr">
        <is>
          <t>Nuit</t>
        </is>
      </c>
      <c r="D2936" s="55" t="inlineStr">
        <is>
          <t>Bonne Canne</t>
        </is>
      </c>
      <c r="E2936" s="37" t="inlineStr">
        <is>
          <t>HYPOTREMPE</t>
        </is>
      </c>
      <c r="F2936" s="38" t="n">
        <v>0.2</v>
      </c>
      <c r="G2936" s="39" t="n">
        <v>20</v>
      </c>
      <c r="H2936" s="39" t="n">
        <v>20</v>
      </c>
      <c r="I2936" s="29">
        <f>IF(OR(COUNTIF('Suivi des rencontres'!$A:$A,$A2936)&gt;0,COUNTIF('Suivi des rencontres'!$C:$C,$J2936)&gt;0),"Non","Oui")</f>
        <v/>
      </c>
      <c r="J2936" s="30" t="inlineStr">
        <is>
          <t>HYPOTREMPE</t>
        </is>
      </c>
    </row>
    <row r="2937">
      <c r="A2937" s="35" t="inlineStr">
        <is>
          <t>Tourb'Iles</t>
        </is>
      </c>
      <c r="B2937" s="35" t="inlineStr">
        <is>
          <t>WhirlIslands_1F_hns</t>
        </is>
      </c>
      <c r="C2937" s="62" t="inlineStr">
        <is>
          <t>Nuit</t>
        </is>
      </c>
      <c r="D2937" s="55" t="inlineStr">
        <is>
          <t>Bonne Canne</t>
        </is>
      </c>
      <c r="E2937" s="37" t="inlineStr">
        <is>
          <t>MAGICARPE</t>
        </is>
      </c>
      <c r="F2937" s="38" t="n">
        <v>0.2</v>
      </c>
      <c r="G2937" s="39" t="n">
        <v>20</v>
      </c>
      <c r="H2937" s="39" t="n">
        <v>20</v>
      </c>
      <c r="I2937" s="29">
        <f>IF(OR(COUNTIF('Suivi des rencontres'!$A:$A,$A2937)&gt;0,COUNTIF('Suivi des rencontres'!$C:$C,$J2937)&gt;0),"Non","Oui")</f>
        <v/>
      </c>
      <c r="J2937" s="30" t="inlineStr">
        <is>
          <t>MAGICARPE</t>
        </is>
      </c>
    </row>
    <row r="2938">
      <c r="A2938" s="35" t="inlineStr">
        <is>
          <t>Tourb'Iles</t>
        </is>
      </c>
      <c r="B2938" s="35" t="inlineStr">
        <is>
          <t>WhirlIslands_1F_hns</t>
        </is>
      </c>
      <c r="C2938" s="33" t="inlineStr">
        <is>
          <t>Matin, jour, soir</t>
        </is>
      </c>
      <c r="D2938" s="56" t="inlineStr">
        <is>
          <t>Super Canne</t>
        </is>
      </c>
      <c r="E2938" s="37" t="inlineStr">
        <is>
          <t>HYPOTREMPE</t>
        </is>
      </c>
      <c r="F2938" s="38" t="n">
        <v>0.4</v>
      </c>
      <c r="G2938" s="39" t="n">
        <v>40</v>
      </c>
      <c r="H2938" s="39" t="n">
        <v>40</v>
      </c>
      <c r="I2938" s="29">
        <f>IF(OR(COUNTIF('Suivi des rencontres'!$A:$A,$A2938)&gt;0,COUNTIF('Suivi des rencontres'!$C:$C,$J2938)&gt;0),"Non","Oui")</f>
        <v/>
      </c>
      <c r="J2938" s="30" t="inlineStr">
        <is>
          <t>HYPOTREMPE</t>
        </is>
      </c>
    </row>
    <row r="2939">
      <c r="A2939" s="35" t="inlineStr">
        <is>
          <t>Tourb'Iles</t>
        </is>
      </c>
      <c r="B2939" s="35" t="inlineStr">
        <is>
          <t>WhirlIslands_1F_hns</t>
        </is>
      </c>
      <c r="C2939" s="33" t="inlineStr">
        <is>
          <t>Matin, jour, soir</t>
        </is>
      </c>
      <c r="D2939" s="56" t="inlineStr">
        <is>
          <t>Super Canne</t>
        </is>
      </c>
      <c r="E2939" s="37" t="inlineStr">
        <is>
          <t>KRABBY</t>
        </is>
      </c>
      <c r="F2939" s="38" t="n">
        <v>0.4</v>
      </c>
      <c r="G2939" s="39" t="n">
        <v>40</v>
      </c>
      <c r="H2939" s="39" t="n">
        <v>40</v>
      </c>
      <c r="I2939" s="29">
        <f>IF(OR(COUNTIF('Suivi des rencontres'!$A:$A,$A2939)&gt;0,COUNTIF('Suivi des rencontres'!$C:$C,$J2939)&gt;0),"Non","Oui")</f>
        <v/>
      </c>
      <c r="J2939" s="30" t="inlineStr">
        <is>
          <t>KRABBY</t>
        </is>
      </c>
    </row>
    <row r="2940">
      <c r="A2940" s="35" t="inlineStr">
        <is>
          <t>Tourb'Iles</t>
        </is>
      </c>
      <c r="B2940" s="35" t="inlineStr">
        <is>
          <t>WhirlIslands_1F_hns</t>
        </is>
      </c>
      <c r="C2940" s="33" t="inlineStr">
        <is>
          <t>Matin, jour, soir</t>
        </is>
      </c>
      <c r="D2940" s="56" t="inlineStr">
        <is>
          <t>Super Canne</t>
        </is>
      </c>
      <c r="E2940" s="37" t="inlineStr">
        <is>
          <t>KRABBOSS</t>
        </is>
      </c>
      <c r="F2940" s="38" t="n">
        <v>0.15</v>
      </c>
      <c r="G2940" s="39" t="n">
        <v>40</v>
      </c>
      <c r="H2940" s="39" t="n">
        <v>40</v>
      </c>
      <c r="I2940" s="29">
        <f>IF(OR(COUNTIF('Suivi des rencontres'!$A:$A,$A2940)&gt;0,COUNTIF('Suivi des rencontres'!$C:$C,$J2940)&gt;0),"Non","Oui")</f>
        <v/>
      </c>
      <c r="J2940" s="30" t="inlineStr">
        <is>
          <t>KRABBY</t>
        </is>
      </c>
    </row>
    <row r="2941">
      <c r="A2941" s="35" t="inlineStr">
        <is>
          <t>Tourb'Iles</t>
        </is>
      </c>
      <c r="B2941" s="35" t="inlineStr">
        <is>
          <t>WhirlIslands_1F_hns</t>
        </is>
      </c>
      <c r="C2941" s="33" t="inlineStr">
        <is>
          <t>Matin, jour, soir</t>
        </is>
      </c>
      <c r="D2941" s="56" t="inlineStr">
        <is>
          <t>Super Canne</t>
        </is>
      </c>
      <c r="E2941" s="37" t="inlineStr">
        <is>
          <t>HYPOCEAN</t>
        </is>
      </c>
      <c r="F2941" s="38" t="n">
        <v>0.05</v>
      </c>
      <c r="G2941" s="39" t="n">
        <v>40</v>
      </c>
      <c r="H2941" s="39" t="n">
        <v>40</v>
      </c>
      <c r="I2941" s="29">
        <f>IF(OR(COUNTIF('Suivi des rencontres'!$A:$A,$A2941)&gt;0,COUNTIF('Suivi des rencontres'!$C:$C,$J2941)&gt;0),"Non","Oui")</f>
        <v/>
      </c>
      <c r="J2941" s="30" t="inlineStr">
        <is>
          <t>HYPOTREMPE</t>
        </is>
      </c>
    </row>
    <row r="2942">
      <c r="A2942" s="35" t="inlineStr">
        <is>
          <t>Tourb'Iles</t>
        </is>
      </c>
      <c r="B2942" s="35" t="inlineStr">
        <is>
          <t>WhirlIslands_1F_hns</t>
        </is>
      </c>
      <c r="C2942" s="62" t="inlineStr">
        <is>
          <t>Nuit</t>
        </is>
      </c>
      <c r="D2942" s="56" t="inlineStr">
        <is>
          <t>Super Canne</t>
        </is>
      </c>
      <c r="E2942" s="37" t="inlineStr">
        <is>
          <t>HYPOTREMPE</t>
        </is>
      </c>
      <c r="F2942" s="38" t="n">
        <v>0.4</v>
      </c>
      <c r="G2942" s="39" t="n">
        <v>40</v>
      </c>
      <c r="H2942" s="39" t="n">
        <v>40</v>
      </c>
      <c r="I2942" s="29">
        <f>IF(OR(COUNTIF('Suivi des rencontres'!$A:$A,$A2942)&gt;0,COUNTIF('Suivi des rencontres'!$C:$C,$J2942)&gt;0),"Non","Oui")</f>
        <v/>
      </c>
      <c r="J2942" s="30" t="inlineStr">
        <is>
          <t>HYPOTREMPE</t>
        </is>
      </c>
    </row>
    <row r="2943">
      <c r="A2943" s="35" t="inlineStr">
        <is>
          <t>Tourb'Iles</t>
        </is>
      </c>
      <c r="B2943" s="35" t="inlineStr">
        <is>
          <t>WhirlIslands_1F_hns</t>
        </is>
      </c>
      <c r="C2943" s="62" t="inlineStr">
        <is>
          <t>Nuit</t>
        </is>
      </c>
      <c r="D2943" s="56" t="inlineStr">
        <is>
          <t>Super Canne</t>
        </is>
      </c>
      <c r="E2943" s="37" t="inlineStr">
        <is>
          <t>KRABBY</t>
        </is>
      </c>
      <c r="F2943" s="38" t="n">
        <v>0.4</v>
      </c>
      <c r="G2943" s="39" t="n">
        <v>40</v>
      </c>
      <c r="H2943" s="39" t="n">
        <v>40</v>
      </c>
      <c r="I2943" s="29">
        <f>IF(OR(COUNTIF('Suivi des rencontres'!$A:$A,$A2943)&gt;0,COUNTIF('Suivi des rencontres'!$C:$C,$J2943)&gt;0),"Non","Oui")</f>
        <v/>
      </c>
      <c r="J2943" s="30" t="inlineStr">
        <is>
          <t>KRABBY</t>
        </is>
      </c>
    </row>
    <row r="2944">
      <c r="A2944" s="35" t="inlineStr">
        <is>
          <t>Tourb'Iles</t>
        </is>
      </c>
      <c r="B2944" s="35" t="inlineStr">
        <is>
          <t>WhirlIslands_1F_hns</t>
        </is>
      </c>
      <c r="C2944" s="62" t="inlineStr">
        <is>
          <t>Nuit</t>
        </is>
      </c>
      <c r="D2944" s="56" t="inlineStr">
        <is>
          <t>Super Canne</t>
        </is>
      </c>
      <c r="E2944" s="37" t="inlineStr">
        <is>
          <t>KRABBOSS</t>
        </is>
      </c>
      <c r="F2944" s="38" t="n">
        <v>0.15</v>
      </c>
      <c r="G2944" s="39" t="n">
        <v>40</v>
      </c>
      <c r="H2944" s="39" t="n">
        <v>40</v>
      </c>
      <c r="I2944" s="29">
        <f>IF(OR(COUNTIF('Suivi des rencontres'!$A:$A,$A2944)&gt;0,COUNTIF('Suivi des rencontres'!$C:$C,$J2944)&gt;0),"Non","Oui")</f>
        <v/>
      </c>
      <c r="J2944" s="30" t="inlineStr">
        <is>
          <t>KRABBY</t>
        </is>
      </c>
    </row>
    <row r="2945">
      <c r="A2945" s="35" t="inlineStr">
        <is>
          <t>Tourb'Iles</t>
        </is>
      </c>
      <c r="B2945" s="35" t="inlineStr">
        <is>
          <t>WhirlIslands_1F_hns</t>
        </is>
      </c>
      <c r="C2945" s="62" t="inlineStr">
        <is>
          <t>Nuit</t>
        </is>
      </c>
      <c r="D2945" s="56" t="inlineStr">
        <is>
          <t>Super Canne</t>
        </is>
      </c>
      <c r="E2945" s="37" t="inlineStr">
        <is>
          <t>HYPOCEAN</t>
        </is>
      </c>
      <c r="F2945" s="38" t="n">
        <v>0.05</v>
      </c>
      <c r="G2945" s="39" t="n">
        <v>40</v>
      </c>
      <c r="H2945" s="39" t="n">
        <v>40</v>
      </c>
      <c r="I2945" s="29">
        <f>IF(OR(COUNTIF('Suivi des rencontres'!$A:$A,$A2945)&gt;0,COUNTIF('Suivi des rencontres'!$C:$C,$J2945)&gt;0),"Non","Oui")</f>
        <v/>
      </c>
      <c r="J2945" s="30" t="inlineStr">
        <is>
          <t>HYPOTREMPE</t>
        </is>
      </c>
    </row>
    <row r="2946">
      <c r="A2946" s="35" t="inlineStr">
        <is>
          <t>Tourb'Iles</t>
        </is>
      </c>
      <c r="B2946" s="35" t="inlineStr">
        <is>
          <t>WhirlIslands_B1F_Inner_hns</t>
        </is>
      </c>
      <c r="C2946" s="33" t="inlineStr">
        <is>
          <t>Toute la journée</t>
        </is>
      </c>
      <c r="D2946" s="49" t="inlineStr">
        <is>
          <t>Herbe</t>
        </is>
      </c>
      <c r="E2946" s="37" t="inlineStr">
        <is>
          <t>KRABBY</t>
        </is>
      </c>
      <c r="F2946" s="38" t="n">
        <v>0.3</v>
      </c>
      <c r="G2946" s="39" t="n">
        <v>26</v>
      </c>
      <c r="H2946" s="39" t="n">
        <v>27</v>
      </c>
      <c r="I2946" s="29">
        <f>IF(OR(COUNTIF('Suivi des rencontres'!$A:$A,$A2946)&gt;0,COUNTIF('Suivi des rencontres'!$C:$C,$J2946)&gt;0),"Non","Oui")</f>
        <v/>
      </c>
      <c r="J2946" s="30" t="inlineStr">
        <is>
          <t>KRABBY</t>
        </is>
      </c>
    </row>
    <row r="2947">
      <c r="A2947" s="35" t="inlineStr">
        <is>
          <t>Tourb'Iles</t>
        </is>
      </c>
      <c r="B2947" s="35" t="inlineStr">
        <is>
          <t>WhirlIslands_B1F_Inner_hns</t>
        </is>
      </c>
      <c r="C2947" s="33" t="inlineStr">
        <is>
          <t>Toute la journée</t>
        </is>
      </c>
      <c r="D2947" s="49" t="inlineStr">
        <is>
          <t>Herbe</t>
        </is>
      </c>
      <c r="E2947" s="37" t="inlineStr">
        <is>
          <t>NOSFERALTO</t>
        </is>
      </c>
      <c r="F2947" s="38" t="n">
        <v>0.21</v>
      </c>
      <c r="G2947" s="39" t="n">
        <v>25</v>
      </c>
      <c r="H2947" s="39" t="n">
        <v>25</v>
      </c>
      <c r="I2947" s="29">
        <f>IF(OR(COUNTIF('Suivi des rencontres'!$A:$A,$A2947)&gt;0,COUNTIF('Suivi des rencontres'!$C:$C,$J2947)&gt;0),"Non","Oui")</f>
        <v/>
      </c>
      <c r="J2947" s="30" t="inlineStr">
        <is>
          <t>NOSFERAPTI</t>
        </is>
      </c>
    </row>
    <row r="2948">
      <c r="A2948" s="35" t="inlineStr">
        <is>
          <t>Tourb'Iles</t>
        </is>
      </c>
      <c r="B2948" s="35" t="inlineStr">
        <is>
          <t>WhirlIslands_B1F_Inner_hns</t>
        </is>
      </c>
      <c r="C2948" s="33" t="inlineStr">
        <is>
          <t>Toute la journée</t>
        </is>
      </c>
      <c r="D2948" s="49" t="inlineStr">
        <is>
          <t>Herbe</t>
        </is>
      </c>
      <c r="E2948" s="37" t="inlineStr">
        <is>
          <t>CORAYON</t>
        </is>
      </c>
      <c r="F2948" s="38" t="n">
        <v>0.2</v>
      </c>
      <c r="G2948" s="39" t="n">
        <v>25</v>
      </c>
      <c r="H2948" s="39" t="n">
        <v>25</v>
      </c>
      <c r="I2948" s="29">
        <f>IF(OR(COUNTIF('Suivi des rencontres'!$A:$A,$A2948)&gt;0,COUNTIF('Suivi des rencontres'!$C:$C,$J2948)&gt;0),"Non","Oui")</f>
        <v/>
      </c>
      <c r="J2948" s="30" t="inlineStr">
        <is>
          <t>CORAYON</t>
        </is>
      </c>
    </row>
    <row r="2949">
      <c r="A2949" s="35" t="inlineStr">
        <is>
          <t>Tourb'Iles</t>
        </is>
      </c>
      <c r="B2949" s="35" t="inlineStr">
        <is>
          <t>WhirlIslands_B1F_Inner_hns</t>
        </is>
      </c>
      <c r="C2949" s="33" t="inlineStr">
        <is>
          <t>Toute la journée</t>
        </is>
      </c>
      <c r="D2949" s="49" t="inlineStr">
        <is>
          <t>Herbe</t>
        </is>
      </c>
      <c r="E2949" s="37" t="inlineStr">
        <is>
          <t>OTARIA</t>
        </is>
      </c>
      <c r="F2949" s="38" t="n">
        <v>0.19</v>
      </c>
      <c r="G2949" s="39" t="n">
        <v>24</v>
      </c>
      <c r="H2949" s="39" t="n">
        <v>26</v>
      </c>
      <c r="I2949" s="29">
        <f>IF(OR(COUNTIF('Suivi des rencontres'!$A:$A,$A2949)&gt;0,COUNTIF('Suivi des rencontres'!$C:$C,$J2949)&gt;0),"Non","Oui")</f>
        <v/>
      </c>
      <c r="J2949" s="30" t="inlineStr">
        <is>
          <t>OTARIA</t>
        </is>
      </c>
    </row>
    <row r="2950">
      <c r="A2950" s="35" t="inlineStr">
        <is>
          <t>Tourb'Iles</t>
        </is>
      </c>
      <c r="B2950" s="35" t="inlineStr">
        <is>
          <t>WhirlIslands_B1F_Inner_hns</t>
        </is>
      </c>
      <c r="C2950" s="33" t="inlineStr">
        <is>
          <t>Toute la journée</t>
        </is>
      </c>
      <c r="D2950" s="49" t="inlineStr">
        <is>
          <t>Herbe</t>
        </is>
      </c>
      <c r="E2950" s="37" t="inlineStr">
        <is>
          <t>NATU</t>
        </is>
      </c>
      <c r="F2950" s="38" t="n">
        <v>0.1</v>
      </c>
      <c r="G2950" s="39" t="n">
        <v>24</v>
      </c>
      <c r="H2950" s="39" t="n">
        <v>26</v>
      </c>
      <c r="I2950" s="29">
        <f>IF(OR(COUNTIF('Suivi des rencontres'!$A:$A,$A2950)&gt;0,COUNTIF('Suivi des rencontres'!$C:$C,$J2950)&gt;0),"Non","Oui")</f>
        <v/>
      </c>
      <c r="J2950" s="30" t="inlineStr">
        <is>
          <t>NATU</t>
        </is>
      </c>
    </row>
    <row r="2951">
      <c r="A2951" s="35" t="inlineStr">
        <is>
          <t>Tourb'Iles</t>
        </is>
      </c>
      <c r="B2951" s="35" t="inlineStr">
        <is>
          <t>WhirlIslands_B1F_hns</t>
        </is>
      </c>
      <c r="C2951" s="33" t="inlineStr">
        <is>
          <t>Matin, jour, soir</t>
        </is>
      </c>
      <c r="D2951" s="49" t="inlineStr">
        <is>
          <t>Herbe</t>
        </is>
      </c>
      <c r="E2951" s="37" t="inlineStr">
        <is>
          <t>KRABBY</t>
        </is>
      </c>
      <c r="F2951" s="38" t="n">
        <v>0.3</v>
      </c>
      <c r="G2951" s="39" t="n">
        <v>26</v>
      </c>
      <c r="H2951" s="39" t="n">
        <v>27</v>
      </c>
      <c r="I2951" s="29">
        <f>IF(OR(COUNTIF('Suivi des rencontres'!$A:$A,$A2951)&gt;0,COUNTIF('Suivi des rencontres'!$C:$C,$J2951)&gt;0),"Non","Oui")</f>
        <v/>
      </c>
      <c r="J2951" s="30" t="inlineStr">
        <is>
          <t>KRABBY</t>
        </is>
      </c>
    </row>
    <row r="2952">
      <c r="A2952" s="35" t="inlineStr">
        <is>
          <t>Tourb'Iles</t>
        </is>
      </c>
      <c r="B2952" s="35" t="inlineStr">
        <is>
          <t>WhirlIslands_B1F_hns</t>
        </is>
      </c>
      <c r="C2952" s="33" t="inlineStr">
        <is>
          <t>Matin, jour, soir</t>
        </is>
      </c>
      <c r="D2952" s="49" t="inlineStr">
        <is>
          <t>Herbe</t>
        </is>
      </c>
      <c r="E2952" s="37" t="inlineStr">
        <is>
          <t>ROUCOUPS</t>
        </is>
      </c>
      <c r="F2952" s="38" t="n">
        <v>0.21</v>
      </c>
      <c r="G2952" s="39" t="n">
        <v>25</v>
      </c>
      <c r="H2952" s="39" t="n">
        <v>25</v>
      </c>
      <c r="I2952" s="29">
        <f>IF(OR(COUNTIF('Suivi des rencontres'!$A:$A,$A2952)&gt;0,COUNTIF('Suivi des rencontres'!$C:$C,$J2952)&gt;0),"Non","Oui")</f>
        <v/>
      </c>
      <c r="J2952" s="30" t="inlineStr">
        <is>
          <t>ROUCOOL</t>
        </is>
      </c>
    </row>
    <row r="2953">
      <c r="A2953" s="35" t="inlineStr">
        <is>
          <t>Tourb'Iles</t>
        </is>
      </c>
      <c r="B2953" s="35" t="inlineStr">
        <is>
          <t>WhirlIslands_B1F_hns</t>
        </is>
      </c>
      <c r="C2953" s="33" t="inlineStr">
        <is>
          <t>Matin, jour, soir</t>
        </is>
      </c>
      <c r="D2953" s="49" t="inlineStr">
        <is>
          <t>Herbe</t>
        </is>
      </c>
      <c r="E2953" s="37" t="inlineStr">
        <is>
          <t>CORAYON</t>
        </is>
      </c>
      <c r="F2953" s="38" t="n">
        <v>0.2</v>
      </c>
      <c r="G2953" s="39" t="n">
        <v>25</v>
      </c>
      <c r="H2953" s="39" t="n">
        <v>25</v>
      </c>
      <c r="I2953" s="29">
        <f>IF(OR(COUNTIF('Suivi des rencontres'!$A:$A,$A2953)&gt;0,COUNTIF('Suivi des rencontres'!$C:$C,$J2953)&gt;0),"Non","Oui")</f>
        <v/>
      </c>
      <c r="J2953" s="30" t="inlineStr">
        <is>
          <t>CORAYON</t>
        </is>
      </c>
    </row>
    <row r="2954">
      <c r="A2954" s="35" t="inlineStr">
        <is>
          <t>Tourb'Iles</t>
        </is>
      </c>
      <c r="B2954" s="35" t="inlineStr">
        <is>
          <t>WhirlIslands_B1F_hns</t>
        </is>
      </c>
      <c r="C2954" s="33" t="inlineStr">
        <is>
          <t>Matin, jour, soir</t>
        </is>
      </c>
      <c r="D2954" s="49" t="inlineStr">
        <is>
          <t>Herbe</t>
        </is>
      </c>
      <c r="E2954" s="37" t="inlineStr">
        <is>
          <t>OTARIA</t>
        </is>
      </c>
      <c r="F2954" s="38" t="n">
        <v>0.19</v>
      </c>
      <c r="G2954" s="39" t="n">
        <v>24</v>
      </c>
      <c r="H2954" s="39" t="n">
        <v>26</v>
      </c>
      <c r="I2954" s="29">
        <f>IF(OR(COUNTIF('Suivi des rencontres'!$A:$A,$A2954)&gt;0,COUNTIF('Suivi des rencontres'!$C:$C,$J2954)&gt;0),"Non","Oui")</f>
        <v/>
      </c>
      <c r="J2954" s="30" t="inlineStr">
        <is>
          <t>OTARIA</t>
        </is>
      </c>
    </row>
    <row r="2955">
      <c r="A2955" s="35" t="inlineStr">
        <is>
          <t>Tourb'Iles</t>
        </is>
      </c>
      <c r="B2955" s="35" t="inlineStr">
        <is>
          <t>WhirlIslands_B1F_hns</t>
        </is>
      </c>
      <c r="C2955" s="33" t="inlineStr">
        <is>
          <t>Matin, jour, soir</t>
        </is>
      </c>
      <c r="D2955" s="49" t="inlineStr">
        <is>
          <t>Herbe</t>
        </is>
      </c>
      <c r="E2955" s="37" t="inlineStr">
        <is>
          <t>NATU</t>
        </is>
      </c>
      <c r="F2955" s="38" t="n">
        <v>0.1</v>
      </c>
      <c r="G2955" s="39" t="n">
        <v>24</v>
      </c>
      <c r="H2955" s="39" t="n">
        <v>26</v>
      </c>
      <c r="I2955" s="29">
        <f>IF(OR(COUNTIF('Suivi des rencontres'!$A:$A,$A2955)&gt;0,COUNTIF('Suivi des rencontres'!$C:$C,$J2955)&gt;0),"Non","Oui")</f>
        <v/>
      </c>
      <c r="J2955" s="30" t="inlineStr">
        <is>
          <t>NATU</t>
        </is>
      </c>
    </row>
    <row r="2956">
      <c r="A2956" s="35" t="inlineStr">
        <is>
          <t>Tourb'Iles</t>
        </is>
      </c>
      <c r="B2956" s="35" t="inlineStr">
        <is>
          <t>WhirlIslands_B1F_hns</t>
        </is>
      </c>
      <c r="C2956" s="62" t="inlineStr">
        <is>
          <t>Nuit</t>
        </is>
      </c>
      <c r="D2956" s="49" t="inlineStr">
        <is>
          <t>Herbe</t>
        </is>
      </c>
      <c r="E2956" s="37" t="inlineStr">
        <is>
          <t>KRABBY</t>
        </is>
      </c>
      <c r="F2956" s="38" t="n">
        <v>0.3</v>
      </c>
      <c r="G2956" s="39" t="n">
        <v>26</v>
      </c>
      <c r="H2956" s="39" t="n">
        <v>27</v>
      </c>
      <c r="I2956" s="29">
        <f>IF(OR(COUNTIF('Suivi des rencontres'!$A:$A,$A2956)&gt;0,COUNTIF('Suivi des rencontres'!$C:$C,$J2956)&gt;0),"Non","Oui")</f>
        <v/>
      </c>
      <c r="J2956" s="30" t="inlineStr">
        <is>
          <t>KRABBY</t>
        </is>
      </c>
    </row>
    <row r="2957">
      <c r="A2957" s="35" t="inlineStr">
        <is>
          <t>Tourb'Iles</t>
        </is>
      </c>
      <c r="B2957" s="35" t="inlineStr">
        <is>
          <t>WhirlIslands_B1F_hns</t>
        </is>
      </c>
      <c r="C2957" s="62" t="inlineStr">
        <is>
          <t>Nuit</t>
        </is>
      </c>
      <c r="D2957" s="49" t="inlineStr">
        <is>
          <t>Herbe</t>
        </is>
      </c>
      <c r="E2957" s="37" t="inlineStr">
        <is>
          <t>NOSFERALTO</t>
        </is>
      </c>
      <c r="F2957" s="38" t="n">
        <v>0.21</v>
      </c>
      <c r="G2957" s="39" t="n">
        <v>25</v>
      </c>
      <c r="H2957" s="39" t="n">
        <v>25</v>
      </c>
      <c r="I2957" s="29">
        <f>IF(OR(COUNTIF('Suivi des rencontres'!$A:$A,$A2957)&gt;0,COUNTIF('Suivi des rencontres'!$C:$C,$J2957)&gt;0),"Non","Oui")</f>
        <v/>
      </c>
      <c r="J2957" s="30" t="inlineStr">
        <is>
          <t>NOSFERAPTI</t>
        </is>
      </c>
    </row>
    <row r="2958">
      <c r="A2958" s="35" t="inlineStr">
        <is>
          <t>Tourb'Iles</t>
        </is>
      </c>
      <c r="B2958" s="35" t="inlineStr">
        <is>
          <t>WhirlIslands_B1F_hns</t>
        </is>
      </c>
      <c r="C2958" s="62" t="inlineStr">
        <is>
          <t>Nuit</t>
        </is>
      </c>
      <c r="D2958" s="49" t="inlineStr">
        <is>
          <t>Herbe</t>
        </is>
      </c>
      <c r="E2958" s="37" t="inlineStr">
        <is>
          <t>CORAYON</t>
        </is>
      </c>
      <c r="F2958" s="38" t="n">
        <v>0.2</v>
      </c>
      <c r="G2958" s="39" t="n">
        <v>25</v>
      </c>
      <c r="H2958" s="39" t="n">
        <v>25</v>
      </c>
      <c r="I2958" s="29">
        <f>IF(OR(COUNTIF('Suivi des rencontres'!$A:$A,$A2958)&gt;0,COUNTIF('Suivi des rencontres'!$C:$C,$J2958)&gt;0),"Non","Oui")</f>
        <v/>
      </c>
      <c r="J2958" s="30" t="inlineStr">
        <is>
          <t>CORAYON</t>
        </is>
      </c>
    </row>
    <row r="2959">
      <c r="A2959" s="35" t="inlineStr">
        <is>
          <t>Tourb'Iles</t>
        </is>
      </c>
      <c r="B2959" s="35" t="inlineStr">
        <is>
          <t>WhirlIslands_B1F_hns</t>
        </is>
      </c>
      <c r="C2959" s="62" t="inlineStr">
        <is>
          <t>Nuit</t>
        </is>
      </c>
      <c r="D2959" s="49" t="inlineStr">
        <is>
          <t>Herbe</t>
        </is>
      </c>
      <c r="E2959" s="37" t="inlineStr">
        <is>
          <t>OTARIA</t>
        </is>
      </c>
      <c r="F2959" s="38" t="n">
        <v>0.19</v>
      </c>
      <c r="G2959" s="39" t="n">
        <v>24</v>
      </c>
      <c r="H2959" s="39" t="n">
        <v>26</v>
      </c>
      <c r="I2959" s="29">
        <f>IF(OR(COUNTIF('Suivi des rencontres'!$A:$A,$A2959)&gt;0,COUNTIF('Suivi des rencontres'!$C:$C,$J2959)&gt;0),"Non","Oui")</f>
        <v/>
      </c>
      <c r="J2959" s="30" t="inlineStr">
        <is>
          <t>OTARIA</t>
        </is>
      </c>
    </row>
    <row r="2960">
      <c r="A2960" s="35" t="inlineStr">
        <is>
          <t>Tourb'Iles</t>
        </is>
      </c>
      <c r="B2960" s="35" t="inlineStr">
        <is>
          <t>WhirlIslands_B1F_hns</t>
        </is>
      </c>
      <c r="C2960" s="62" t="inlineStr">
        <is>
          <t>Nuit</t>
        </is>
      </c>
      <c r="D2960" s="49" t="inlineStr">
        <is>
          <t>Herbe</t>
        </is>
      </c>
      <c r="E2960" s="37" t="inlineStr">
        <is>
          <t>NATU</t>
        </is>
      </c>
      <c r="F2960" s="38" t="n">
        <v>0.1</v>
      </c>
      <c r="G2960" s="39" t="n">
        <v>24</v>
      </c>
      <c r="H2960" s="39" t="n">
        <v>26</v>
      </c>
      <c r="I2960" s="29">
        <f>IF(OR(COUNTIF('Suivi des rencontres'!$A:$A,$A2960)&gt;0,COUNTIF('Suivi des rencontres'!$C:$C,$J2960)&gt;0),"Non","Oui")</f>
        <v/>
      </c>
      <c r="J2960" s="30" t="inlineStr">
        <is>
          <t>NATU</t>
        </is>
      </c>
    </row>
    <row r="2961">
      <c r="A2961" s="35" t="inlineStr">
        <is>
          <t>Tourb'Iles</t>
        </is>
      </c>
      <c r="B2961" s="35" t="inlineStr">
        <is>
          <t>WhirlIslands_B1F_hns</t>
        </is>
      </c>
      <c r="C2961" s="33" t="inlineStr">
        <is>
          <t>Matin, jour, soir</t>
        </is>
      </c>
      <c r="D2961" s="53" t="inlineStr">
        <is>
          <t>Surf</t>
        </is>
      </c>
      <c r="E2961" s="37" t="inlineStr">
        <is>
          <t>TENTACOOL</t>
        </is>
      </c>
      <c r="F2961" s="38" t="n">
        <v>0.6</v>
      </c>
      <c r="G2961" s="39" t="n">
        <v>20</v>
      </c>
      <c r="H2961" s="39" t="n">
        <v>24</v>
      </c>
      <c r="I2961" s="29">
        <f>IF(OR(COUNTIF('Suivi des rencontres'!$A:$A,$A2961)&gt;0,COUNTIF('Suivi des rencontres'!$C:$C,$J2961)&gt;0),"Non","Oui")</f>
        <v/>
      </c>
      <c r="J2961" s="30" t="inlineStr">
        <is>
          <t>TENTACOOL</t>
        </is>
      </c>
    </row>
    <row r="2962">
      <c r="A2962" s="35" t="inlineStr">
        <is>
          <t>Tourb'Iles</t>
        </is>
      </c>
      <c r="B2962" s="35" t="inlineStr">
        <is>
          <t>WhirlIslands_B1F_hns</t>
        </is>
      </c>
      <c r="C2962" s="33" t="inlineStr">
        <is>
          <t>Matin, jour, soir</t>
        </is>
      </c>
      <c r="D2962" s="53" t="inlineStr">
        <is>
          <t>Surf</t>
        </is>
      </c>
      <c r="E2962" s="37" t="inlineStr">
        <is>
          <t>HYPOTREMPE</t>
        </is>
      </c>
      <c r="F2962" s="38" t="n">
        <v>0.3</v>
      </c>
      <c r="G2962" s="39" t="n">
        <v>15</v>
      </c>
      <c r="H2962" s="39" t="n">
        <v>19</v>
      </c>
      <c r="I2962" s="29">
        <f>IF(OR(COUNTIF('Suivi des rencontres'!$A:$A,$A2962)&gt;0,COUNTIF('Suivi des rencontres'!$C:$C,$J2962)&gt;0),"Non","Oui")</f>
        <v/>
      </c>
      <c r="J2962" s="30" t="inlineStr">
        <is>
          <t>HYPOTREMPE</t>
        </is>
      </c>
    </row>
    <row r="2963">
      <c r="A2963" s="35" t="inlineStr">
        <is>
          <t>Tourb'Iles</t>
        </is>
      </c>
      <c r="B2963" s="35" t="inlineStr">
        <is>
          <t>WhirlIslands_B1F_hns</t>
        </is>
      </c>
      <c r="C2963" s="33" t="inlineStr">
        <is>
          <t>Matin, jour, soir</t>
        </is>
      </c>
      <c r="D2963" s="53" t="inlineStr">
        <is>
          <t>Surf</t>
        </is>
      </c>
      <c r="E2963" s="37" t="inlineStr">
        <is>
          <t>BABIMANTA</t>
        </is>
      </c>
      <c r="F2963" s="38" t="n">
        <v>0.05</v>
      </c>
      <c r="G2963" s="39" t="n">
        <v>20</v>
      </c>
      <c r="H2963" s="39" t="n">
        <v>24</v>
      </c>
      <c r="I2963" s="29">
        <f>IF(OR(COUNTIF('Suivi des rencontres'!$A:$A,$A2963)&gt;0,COUNTIF('Suivi des rencontres'!$C:$C,$J2963)&gt;0),"Non","Oui")</f>
        <v/>
      </c>
      <c r="J2963" s="30" t="inlineStr">
        <is>
          <t>BABIMANTA</t>
        </is>
      </c>
    </row>
    <row r="2964">
      <c r="A2964" s="35" t="inlineStr">
        <is>
          <t>Tourb'Iles</t>
        </is>
      </c>
      <c r="B2964" s="35" t="inlineStr">
        <is>
          <t>WhirlIslands_B1F_hns</t>
        </is>
      </c>
      <c r="C2964" s="33" t="inlineStr">
        <is>
          <t>Matin, jour, soir</t>
        </is>
      </c>
      <c r="D2964" s="53" t="inlineStr">
        <is>
          <t>Surf</t>
        </is>
      </c>
      <c r="E2964" s="37" t="inlineStr">
        <is>
          <t>DEMANTA</t>
        </is>
      </c>
      <c r="F2964" s="38" t="n">
        <v>0.05</v>
      </c>
      <c r="G2964" s="39" t="n">
        <v>15</v>
      </c>
      <c r="H2964" s="39" t="n">
        <v>24</v>
      </c>
      <c r="I2964" s="29">
        <f>IF(OR(COUNTIF('Suivi des rencontres'!$A:$A,$A2964)&gt;0,COUNTIF('Suivi des rencontres'!$C:$C,$J2964)&gt;0),"Non","Oui")</f>
        <v/>
      </c>
      <c r="J2964" s="30" t="inlineStr">
        <is>
          <t>BABIMANTA</t>
        </is>
      </c>
    </row>
    <row r="2965">
      <c r="A2965" s="35" t="inlineStr">
        <is>
          <t>Tourb'Iles</t>
        </is>
      </c>
      <c r="B2965" s="35" t="inlineStr">
        <is>
          <t>WhirlIslands_B1F_hns</t>
        </is>
      </c>
      <c r="C2965" s="62" t="inlineStr">
        <is>
          <t>Nuit</t>
        </is>
      </c>
      <c r="D2965" s="53" t="inlineStr">
        <is>
          <t>Surf</t>
        </is>
      </c>
      <c r="E2965" s="37" t="inlineStr">
        <is>
          <t>TENTACOOL</t>
        </is>
      </c>
      <c r="F2965" s="38" t="n">
        <v>0.6</v>
      </c>
      <c r="G2965" s="39" t="n">
        <v>20</v>
      </c>
      <c r="H2965" s="39" t="n">
        <v>24</v>
      </c>
      <c r="I2965" s="29">
        <f>IF(OR(COUNTIF('Suivi des rencontres'!$A:$A,$A2965)&gt;0,COUNTIF('Suivi des rencontres'!$C:$C,$J2965)&gt;0),"Non","Oui")</f>
        <v/>
      </c>
      <c r="J2965" s="30" t="inlineStr">
        <is>
          <t>TENTACOOL</t>
        </is>
      </c>
    </row>
    <row r="2966">
      <c r="A2966" s="35" t="inlineStr">
        <is>
          <t>Tourb'Iles</t>
        </is>
      </c>
      <c r="B2966" s="35" t="inlineStr">
        <is>
          <t>WhirlIslands_B1F_hns</t>
        </is>
      </c>
      <c r="C2966" s="62" t="inlineStr">
        <is>
          <t>Nuit</t>
        </is>
      </c>
      <c r="D2966" s="53" t="inlineStr">
        <is>
          <t>Surf</t>
        </is>
      </c>
      <c r="E2966" s="37" t="inlineStr">
        <is>
          <t>HYPOTREMPE</t>
        </is>
      </c>
      <c r="F2966" s="38" t="n">
        <v>0.3</v>
      </c>
      <c r="G2966" s="39" t="n">
        <v>15</v>
      </c>
      <c r="H2966" s="39" t="n">
        <v>19</v>
      </c>
      <c r="I2966" s="29">
        <f>IF(OR(COUNTIF('Suivi des rencontres'!$A:$A,$A2966)&gt;0,COUNTIF('Suivi des rencontres'!$C:$C,$J2966)&gt;0),"Non","Oui")</f>
        <v/>
      </c>
      <c r="J2966" s="30" t="inlineStr">
        <is>
          <t>HYPOTREMPE</t>
        </is>
      </c>
    </row>
    <row r="2967">
      <c r="A2967" s="35" t="inlineStr">
        <is>
          <t>Tourb'Iles</t>
        </is>
      </c>
      <c r="B2967" s="35" t="inlineStr">
        <is>
          <t>WhirlIslands_B1F_hns</t>
        </is>
      </c>
      <c r="C2967" s="62" t="inlineStr">
        <is>
          <t>Nuit</t>
        </is>
      </c>
      <c r="D2967" s="53" t="inlineStr">
        <is>
          <t>Surf</t>
        </is>
      </c>
      <c r="E2967" s="37" t="inlineStr">
        <is>
          <t>BABIMANTA</t>
        </is>
      </c>
      <c r="F2967" s="38" t="n">
        <v>0.05</v>
      </c>
      <c r="G2967" s="39" t="n">
        <v>20</v>
      </c>
      <c r="H2967" s="39" t="n">
        <v>24</v>
      </c>
      <c r="I2967" s="29">
        <f>IF(OR(COUNTIF('Suivi des rencontres'!$A:$A,$A2967)&gt;0,COUNTIF('Suivi des rencontres'!$C:$C,$J2967)&gt;0),"Non","Oui")</f>
        <v/>
      </c>
      <c r="J2967" s="30" t="inlineStr">
        <is>
          <t>BABIMANTA</t>
        </is>
      </c>
    </row>
    <row r="2968">
      <c r="A2968" s="35" t="inlineStr">
        <is>
          <t>Tourb'Iles</t>
        </is>
      </c>
      <c r="B2968" s="35" t="inlineStr">
        <is>
          <t>WhirlIslands_B1F_hns</t>
        </is>
      </c>
      <c r="C2968" s="62" t="inlineStr">
        <is>
          <t>Nuit</t>
        </is>
      </c>
      <c r="D2968" s="53" t="inlineStr">
        <is>
          <t>Surf</t>
        </is>
      </c>
      <c r="E2968" s="37" t="inlineStr">
        <is>
          <t>DEMANTA</t>
        </is>
      </c>
      <c r="F2968" s="38" t="n">
        <v>0.05</v>
      </c>
      <c r="G2968" s="39" t="n">
        <v>15</v>
      </c>
      <c r="H2968" s="39" t="n">
        <v>24</v>
      </c>
      <c r="I2968" s="29">
        <f>IF(OR(COUNTIF('Suivi des rencontres'!$A:$A,$A2968)&gt;0,COUNTIF('Suivi des rencontres'!$C:$C,$J2968)&gt;0),"Non","Oui")</f>
        <v/>
      </c>
      <c r="J2968" s="30" t="inlineStr">
        <is>
          <t>BABIMANTA</t>
        </is>
      </c>
    </row>
    <row r="2969">
      <c r="A2969" s="35" t="inlineStr">
        <is>
          <t>Tourb'Iles</t>
        </is>
      </c>
      <c r="B2969" s="35" t="inlineStr">
        <is>
          <t>WhirlIslands_B1F_hns</t>
        </is>
      </c>
      <c r="C2969" s="33" t="inlineStr">
        <is>
          <t>Matin, jour, soir</t>
        </is>
      </c>
      <c r="D2969" s="54" t="inlineStr">
        <is>
          <t>Vieille Canne</t>
        </is>
      </c>
      <c r="E2969" s="37" t="inlineStr">
        <is>
          <t>MAGICARPE</t>
        </is>
      </c>
      <c r="F2969" s="38" t="n">
        <v>0.7</v>
      </c>
      <c r="G2969" s="39" t="n">
        <v>10</v>
      </c>
      <c r="H2969" s="39" t="n">
        <v>10</v>
      </c>
      <c r="I2969" s="29">
        <f>IF(OR(COUNTIF('Suivi des rencontres'!$A:$A,$A2969)&gt;0,COUNTIF('Suivi des rencontres'!$C:$C,$J2969)&gt;0),"Non","Oui")</f>
        <v/>
      </c>
      <c r="J2969" s="30" t="inlineStr">
        <is>
          <t>MAGICARPE</t>
        </is>
      </c>
    </row>
    <row r="2970">
      <c r="A2970" s="35" t="inlineStr">
        <is>
          <t>Tourb'Iles</t>
        </is>
      </c>
      <c r="B2970" s="35" t="inlineStr">
        <is>
          <t>WhirlIslands_B1F_hns</t>
        </is>
      </c>
      <c r="C2970" s="33" t="inlineStr">
        <is>
          <t>Matin, jour, soir</t>
        </is>
      </c>
      <c r="D2970" s="54" t="inlineStr">
        <is>
          <t>Vieille Canne</t>
        </is>
      </c>
      <c r="E2970" s="37" t="inlineStr">
        <is>
          <t>KRABBY</t>
        </is>
      </c>
      <c r="F2970" s="38" t="n">
        <v>0.3</v>
      </c>
      <c r="G2970" s="39" t="n">
        <v>10</v>
      </c>
      <c r="H2970" s="39" t="n">
        <v>10</v>
      </c>
      <c r="I2970" s="29">
        <f>IF(OR(COUNTIF('Suivi des rencontres'!$A:$A,$A2970)&gt;0,COUNTIF('Suivi des rencontres'!$C:$C,$J2970)&gt;0),"Non","Oui")</f>
        <v/>
      </c>
      <c r="J2970" s="30" t="inlineStr">
        <is>
          <t>KRABBY</t>
        </is>
      </c>
    </row>
    <row r="2971">
      <c r="A2971" s="35" t="inlineStr">
        <is>
          <t>Tourb'Iles</t>
        </is>
      </c>
      <c r="B2971" s="35" t="inlineStr">
        <is>
          <t>WhirlIslands_B1F_hns</t>
        </is>
      </c>
      <c r="C2971" s="62" t="inlineStr">
        <is>
          <t>Nuit</t>
        </is>
      </c>
      <c r="D2971" s="54" t="inlineStr">
        <is>
          <t>Vieille Canne</t>
        </is>
      </c>
      <c r="E2971" s="37" t="inlineStr">
        <is>
          <t>MAGICARPE</t>
        </is>
      </c>
      <c r="F2971" s="38" t="n">
        <v>0.7</v>
      </c>
      <c r="G2971" s="39" t="n">
        <v>10</v>
      </c>
      <c r="H2971" s="39" t="n">
        <v>10</v>
      </c>
      <c r="I2971" s="29">
        <f>IF(OR(COUNTIF('Suivi des rencontres'!$A:$A,$A2971)&gt;0,COUNTIF('Suivi des rencontres'!$C:$C,$J2971)&gt;0),"Non","Oui")</f>
        <v/>
      </c>
      <c r="J2971" s="30" t="inlineStr">
        <is>
          <t>MAGICARPE</t>
        </is>
      </c>
    </row>
    <row r="2972">
      <c r="A2972" s="35" t="inlineStr">
        <is>
          <t>Tourb'Iles</t>
        </is>
      </c>
      <c r="B2972" s="35" t="inlineStr">
        <is>
          <t>WhirlIslands_B1F_hns</t>
        </is>
      </c>
      <c r="C2972" s="62" t="inlineStr">
        <is>
          <t>Nuit</t>
        </is>
      </c>
      <c r="D2972" s="54" t="inlineStr">
        <is>
          <t>Vieille Canne</t>
        </is>
      </c>
      <c r="E2972" s="37" t="inlineStr">
        <is>
          <t>KRABBY</t>
        </is>
      </c>
      <c r="F2972" s="38" t="n">
        <v>0.3</v>
      </c>
      <c r="G2972" s="39" t="n">
        <v>10</v>
      </c>
      <c r="H2972" s="39" t="n">
        <v>10</v>
      </c>
      <c r="I2972" s="29">
        <f>IF(OR(COUNTIF('Suivi des rencontres'!$A:$A,$A2972)&gt;0,COUNTIF('Suivi des rencontres'!$C:$C,$J2972)&gt;0),"Non","Oui")</f>
        <v/>
      </c>
      <c r="J2972" s="30" t="inlineStr">
        <is>
          <t>KRABBY</t>
        </is>
      </c>
    </row>
    <row r="2973">
      <c r="A2973" s="35" t="inlineStr">
        <is>
          <t>Tourb'Iles</t>
        </is>
      </c>
      <c r="B2973" s="35" t="inlineStr">
        <is>
          <t>WhirlIslands_B1F_hns</t>
        </is>
      </c>
      <c r="C2973" s="33" t="inlineStr">
        <is>
          <t>Matin, jour, soir</t>
        </is>
      </c>
      <c r="D2973" s="55" t="inlineStr">
        <is>
          <t>Bonne Canne</t>
        </is>
      </c>
      <c r="E2973" s="37" t="inlineStr">
        <is>
          <t>KRABBY</t>
        </is>
      </c>
      <c r="F2973" s="38" t="n">
        <v>0.6</v>
      </c>
      <c r="G2973" s="39" t="n">
        <v>20</v>
      </c>
      <c r="H2973" s="39" t="n">
        <v>20</v>
      </c>
      <c r="I2973" s="29">
        <f>IF(OR(COUNTIF('Suivi des rencontres'!$A:$A,$A2973)&gt;0,COUNTIF('Suivi des rencontres'!$C:$C,$J2973)&gt;0),"Non","Oui")</f>
        <v/>
      </c>
      <c r="J2973" s="30" t="inlineStr">
        <is>
          <t>KRABBY</t>
        </is>
      </c>
    </row>
    <row r="2974">
      <c r="A2974" s="35" t="inlineStr">
        <is>
          <t>Tourb'Iles</t>
        </is>
      </c>
      <c r="B2974" s="35" t="inlineStr">
        <is>
          <t>WhirlIslands_B1F_hns</t>
        </is>
      </c>
      <c r="C2974" s="33" t="inlineStr">
        <is>
          <t>Matin, jour, soir</t>
        </is>
      </c>
      <c r="D2974" s="55" t="inlineStr">
        <is>
          <t>Bonne Canne</t>
        </is>
      </c>
      <c r="E2974" s="37" t="inlineStr">
        <is>
          <t>HYPOTREMPE</t>
        </is>
      </c>
      <c r="F2974" s="38" t="n">
        <v>0.2</v>
      </c>
      <c r="G2974" s="39" t="n">
        <v>20</v>
      </c>
      <c r="H2974" s="39" t="n">
        <v>20</v>
      </c>
      <c r="I2974" s="29">
        <f>IF(OR(COUNTIF('Suivi des rencontres'!$A:$A,$A2974)&gt;0,COUNTIF('Suivi des rencontres'!$C:$C,$J2974)&gt;0),"Non","Oui")</f>
        <v/>
      </c>
      <c r="J2974" s="30" t="inlineStr">
        <is>
          <t>HYPOTREMPE</t>
        </is>
      </c>
    </row>
    <row r="2975">
      <c r="A2975" s="35" t="inlineStr">
        <is>
          <t>Tourb'Iles</t>
        </is>
      </c>
      <c r="B2975" s="35" t="inlineStr">
        <is>
          <t>WhirlIslands_B1F_hns</t>
        </is>
      </c>
      <c r="C2975" s="33" t="inlineStr">
        <is>
          <t>Matin, jour, soir</t>
        </is>
      </c>
      <c r="D2975" s="55" t="inlineStr">
        <is>
          <t>Bonne Canne</t>
        </is>
      </c>
      <c r="E2975" s="37" t="inlineStr">
        <is>
          <t>STARI</t>
        </is>
      </c>
      <c r="F2975" s="38" t="n">
        <v>0.2</v>
      </c>
      <c r="G2975" s="39" t="n">
        <v>20</v>
      </c>
      <c r="H2975" s="39" t="n">
        <v>20</v>
      </c>
      <c r="I2975" s="29">
        <f>IF(OR(COUNTIF('Suivi des rencontres'!$A:$A,$A2975)&gt;0,COUNTIF('Suivi des rencontres'!$C:$C,$J2975)&gt;0),"Non","Oui")</f>
        <v/>
      </c>
      <c r="J2975" s="30" t="inlineStr">
        <is>
          <t>STARI</t>
        </is>
      </c>
    </row>
    <row r="2976">
      <c r="A2976" s="35" t="inlineStr">
        <is>
          <t>Tourb'Iles</t>
        </is>
      </c>
      <c r="B2976" s="35" t="inlineStr">
        <is>
          <t>WhirlIslands_B1F_hns</t>
        </is>
      </c>
      <c r="C2976" s="62" t="inlineStr">
        <is>
          <t>Nuit</t>
        </is>
      </c>
      <c r="D2976" s="55" t="inlineStr">
        <is>
          <t>Bonne Canne</t>
        </is>
      </c>
      <c r="E2976" s="37" t="inlineStr">
        <is>
          <t>KRABBY</t>
        </is>
      </c>
      <c r="F2976" s="38" t="n">
        <v>0.6</v>
      </c>
      <c r="G2976" s="39" t="n">
        <v>20</v>
      </c>
      <c r="H2976" s="39" t="n">
        <v>20</v>
      </c>
      <c r="I2976" s="29">
        <f>IF(OR(COUNTIF('Suivi des rencontres'!$A:$A,$A2976)&gt;0,COUNTIF('Suivi des rencontres'!$C:$C,$J2976)&gt;0),"Non","Oui")</f>
        <v/>
      </c>
      <c r="J2976" s="30" t="inlineStr">
        <is>
          <t>KRABBY</t>
        </is>
      </c>
    </row>
    <row r="2977">
      <c r="A2977" s="35" t="inlineStr">
        <is>
          <t>Tourb'Iles</t>
        </is>
      </c>
      <c r="B2977" s="35" t="inlineStr">
        <is>
          <t>WhirlIslands_B1F_hns</t>
        </is>
      </c>
      <c r="C2977" s="62" t="inlineStr">
        <is>
          <t>Nuit</t>
        </is>
      </c>
      <c r="D2977" s="55" t="inlineStr">
        <is>
          <t>Bonne Canne</t>
        </is>
      </c>
      <c r="E2977" s="37" t="inlineStr">
        <is>
          <t>HYPOTREMPE</t>
        </is>
      </c>
      <c r="F2977" s="38" t="n">
        <v>0.2</v>
      </c>
      <c r="G2977" s="39" t="n">
        <v>20</v>
      </c>
      <c r="H2977" s="39" t="n">
        <v>20</v>
      </c>
      <c r="I2977" s="29">
        <f>IF(OR(COUNTIF('Suivi des rencontres'!$A:$A,$A2977)&gt;0,COUNTIF('Suivi des rencontres'!$C:$C,$J2977)&gt;0),"Non","Oui")</f>
        <v/>
      </c>
      <c r="J2977" s="30" t="inlineStr">
        <is>
          <t>HYPOTREMPE</t>
        </is>
      </c>
    </row>
    <row r="2978">
      <c r="A2978" s="35" t="inlineStr">
        <is>
          <t>Tourb'Iles</t>
        </is>
      </c>
      <c r="B2978" s="35" t="inlineStr">
        <is>
          <t>WhirlIslands_B1F_hns</t>
        </is>
      </c>
      <c r="C2978" s="62" t="inlineStr">
        <is>
          <t>Nuit</t>
        </is>
      </c>
      <c r="D2978" s="55" t="inlineStr">
        <is>
          <t>Bonne Canne</t>
        </is>
      </c>
      <c r="E2978" s="37" t="inlineStr">
        <is>
          <t>STARI</t>
        </is>
      </c>
      <c r="F2978" s="38" t="n">
        <v>0.2</v>
      </c>
      <c r="G2978" s="39" t="n">
        <v>20</v>
      </c>
      <c r="H2978" s="39" t="n">
        <v>20</v>
      </c>
      <c r="I2978" s="29">
        <f>IF(OR(COUNTIF('Suivi des rencontres'!$A:$A,$A2978)&gt;0,COUNTIF('Suivi des rencontres'!$C:$C,$J2978)&gt;0),"Non","Oui")</f>
        <v/>
      </c>
      <c r="J2978" s="30" t="inlineStr">
        <is>
          <t>STARI</t>
        </is>
      </c>
    </row>
    <row r="2979">
      <c r="A2979" s="35" t="inlineStr">
        <is>
          <t>Tourb'Iles</t>
        </is>
      </c>
      <c r="B2979" s="35" t="inlineStr">
        <is>
          <t>WhirlIslands_B1F_hns</t>
        </is>
      </c>
      <c r="C2979" s="33" t="inlineStr">
        <is>
          <t>Matin, jour, soir</t>
        </is>
      </c>
      <c r="D2979" s="56" t="inlineStr">
        <is>
          <t>Super Canne</t>
        </is>
      </c>
      <c r="E2979" s="37" t="inlineStr">
        <is>
          <t>HYPOTREMPE</t>
        </is>
      </c>
      <c r="F2979" s="38" t="n">
        <v>0.4</v>
      </c>
      <c r="G2979" s="39" t="n">
        <v>40</v>
      </c>
      <c r="H2979" s="39" t="n">
        <v>40</v>
      </c>
      <c r="I2979" s="29">
        <f>IF(OR(COUNTIF('Suivi des rencontres'!$A:$A,$A2979)&gt;0,COUNTIF('Suivi des rencontres'!$C:$C,$J2979)&gt;0),"Non","Oui")</f>
        <v/>
      </c>
      <c r="J2979" s="30" t="inlineStr">
        <is>
          <t>HYPOTREMPE</t>
        </is>
      </c>
    </row>
    <row r="2980">
      <c r="A2980" s="35" t="inlineStr">
        <is>
          <t>Tourb'Iles</t>
        </is>
      </c>
      <c r="B2980" s="35" t="inlineStr">
        <is>
          <t>WhirlIslands_B1F_hns</t>
        </is>
      </c>
      <c r="C2980" s="33" t="inlineStr">
        <is>
          <t>Matin, jour, soir</t>
        </is>
      </c>
      <c r="D2980" s="56" t="inlineStr">
        <is>
          <t>Super Canne</t>
        </is>
      </c>
      <c r="E2980" s="37" t="inlineStr">
        <is>
          <t>KRABBY</t>
        </is>
      </c>
      <c r="F2980" s="38" t="n">
        <v>0.4</v>
      </c>
      <c r="G2980" s="39" t="n">
        <v>40</v>
      </c>
      <c r="H2980" s="39" t="n">
        <v>40</v>
      </c>
      <c r="I2980" s="29">
        <f>IF(OR(COUNTIF('Suivi des rencontres'!$A:$A,$A2980)&gt;0,COUNTIF('Suivi des rencontres'!$C:$C,$J2980)&gt;0),"Non","Oui")</f>
        <v/>
      </c>
      <c r="J2980" s="30" t="inlineStr">
        <is>
          <t>KRABBY</t>
        </is>
      </c>
    </row>
    <row r="2981">
      <c r="A2981" s="35" t="inlineStr">
        <is>
          <t>Tourb'Iles</t>
        </is>
      </c>
      <c r="B2981" s="35" t="inlineStr">
        <is>
          <t>WhirlIslands_B1F_hns</t>
        </is>
      </c>
      <c r="C2981" s="33" t="inlineStr">
        <is>
          <t>Matin, jour, soir</t>
        </is>
      </c>
      <c r="D2981" s="56" t="inlineStr">
        <is>
          <t>Super Canne</t>
        </is>
      </c>
      <c r="E2981" s="37" t="inlineStr">
        <is>
          <t>KRABBOSS</t>
        </is>
      </c>
      <c r="F2981" s="38" t="n">
        <v>0.15</v>
      </c>
      <c r="G2981" s="39" t="n">
        <v>40</v>
      </c>
      <c r="H2981" s="39" t="n">
        <v>40</v>
      </c>
      <c r="I2981" s="29">
        <f>IF(OR(COUNTIF('Suivi des rencontres'!$A:$A,$A2981)&gt;0,COUNTIF('Suivi des rencontres'!$C:$C,$J2981)&gt;0),"Non","Oui")</f>
        <v/>
      </c>
      <c r="J2981" s="30" t="inlineStr">
        <is>
          <t>KRABBY</t>
        </is>
      </c>
    </row>
    <row r="2982">
      <c r="A2982" s="35" t="inlineStr">
        <is>
          <t>Tourb'Iles</t>
        </is>
      </c>
      <c r="B2982" s="35" t="inlineStr">
        <is>
          <t>WhirlIslands_B1F_hns</t>
        </is>
      </c>
      <c r="C2982" s="33" t="inlineStr">
        <is>
          <t>Matin, jour, soir</t>
        </is>
      </c>
      <c r="D2982" s="56" t="inlineStr">
        <is>
          <t>Super Canne</t>
        </is>
      </c>
      <c r="E2982" s="37" t="inlineStr">
        <is>
          <t>HYPOCEAN</t>
        </is>
      </c>
      <c r="F2982" s="38" t="n">
        <v>0.05</v>
      </c>
      <c r="G2982" s="39" t="n">
        <v>40</v>
      </c>
      <c r="H2982" s="39" t="n">
        <v>40</v>
      </c>
      <c r="I2982" s="29">
        <f>IF(OR(COUNTIF('Suivi des rencontres'!$A:$A,$A2982)&gt;0,COUNTIF('Suivi des rencontres'!$C:$C,$J2982)&gt;0),"Non","Oui")</f>
        <v/>
      </c>
      <c r="J2982" s="30" t="inlineStr">
        <is>
          <t>HYPOTREMPE</t>
        </is>
      </c>
    </row>
    <row r="2983">
      <c r="A2983" s="35" t="inlineStr">
        <is>
          <t>Tourb'Iles</t>
        </is>
      </c>
      <c r="B2983" s="35" t="inlineStr">
        <is>
          <t>WhirlIslands_B1F_hns</t>
        </is>
      </c>
      <c r="C2983" s="62" t="inlineStr">
        <is>
          <t>Nuit</t>
        </is>
      </c>
      <c r="D2983" s="56" t="inlineStr">
        <is>
          <t>Super Canne</t>
        </is>
      </c>
      <c r="E2983" s="37" t="inlineStr">
        <is>
          <t>HYPOTREMPE</t>
        </is>
      </c>
      <c r="F2983" s="38" t="n">
        <v>0.4</v>
      </c>
      <c r="G2983" s="39" t="n">
        <v>40</v>
      </c>
      <c r="H2983" s="39" t="n">
        <v>40</v>
      </c>
      <c r="I2983" s="29">
        <f>IF(OR(COUNTIF('Suivi des rencontres'!$A:$A,$A2983)&gt;0,COUNTIF('Suivi des rencontres'!$C:$C,$J2983)&gt;0),"Non","Oui")</f>
        <v/>
      </c>
      <c r="J2983" s="30" t="inlineStr">
        <is>
          <t>HYPOTREMPE</t>
        </is>
      </c>
    </row>
    <row r="2984">
      <c r="A2984" s="35" t="inlineStr">
        <is>
          <t>Tourb'Iles</t>
        </is>
      </c>
      <c r="B2984" s="35" t="inlineStr">
        <is>
          <t>WhirlIslands_B1F_hns</t>
        </is>
      </c>
      <c r="C2984" s="62" t="inlineStr">
        <is>
          <t>Nuit</t>
        </is>
      </c>
      <c r="D2984" s="56" t="inlineStr">
        <is>
          <t>Super Canne</t>
        </is>
      </c>
      <c r="E2984" s="37" t="inlineStr">
        <is>
          <t>KRABBY</t>
        </is>
      </c>
      <c r="F2984" s="38" t="n">
        <v>0.4</v>
      </c>
      <c r="G2984" s="39" t="n">
        <v>40</v>
      </c>
      <c r="H2984" s="39" t="n">
        <v>40</v>
      </c>
      <c r="I2984" s="29">
        <f>IF(OR(COUNTIF('Suivi des rencontres'!$A:$A,$A2984)&gt;0,COUNTIF('Suivi des rencontres'!$C:$C,$J2984)&gt;0),"Non","Oui")</f>
        <v/>
      </c>
      <c r="J2984" s="30" t="inlineStr">
        <is>
          <t>KRABBY</t>
        </is>
      </c>
    </row>
    <row r="2985">
      <c r="A2985" s="35" t="inlineStr">
        <is>
          <t>Tourb'Iles</t>
        </is>
      </c>
      <c r="B2985" s="35" t="inlineStr">
        <is>
          <t>WhirlIslands_B1F_hns</t>
        </is>
      </c>
      <c r="C2985" s="62" t="inlineStr">
        <is>
          <t>Nuit</t>
        </is>
      </c>
      <c r="D2985" s="56" t="inlineStr">
        <is>
          <t>Super Canne</t>
        </is>
      </c>
      <c r="E2985" s="37" t="inlineStr">
        <is>
          <t>KRABBOSS</t>
        </is>
      </c>
      <c r="F2985" s="38" t="n">
        <v>0.15</v>
      </c>
      <c r="G2985" s="39" t="n">
        <v>40</v>
      </c>
      <c r="H2985" s="39" t="n">
        <v>40</v>
      </c>
      <c r="I2985" s="29">
        <f>IF(OR(COUNTIF('Suivi des rencontres'!$A:$A,$A2985)&gt;0,COUNTIF('Suivi des rencontres'!$C:$C,$J2985)&gt;0),"Non","Oui")</f>
        <v/>
      </c>
      <c r="J2985" s="30" t="inlineStr">
        <is>
          <t>KRABBY</t>
        </is>
      </c>
    </row>
    <row r="2986">
      <c r="A2986" s="35" t="inlineStr">
        <is>
          <t>Tourb'Iles</t>
        </is>
      </c>
      <c r="B2986" s="35" t="inlineStr">
        <is>
          <t>WhirlIslands_B1F_hns</t>
        </is>
      </c>
      <c r="C2986" s="62" t="inlineStr">
        <is>
          <t>Nuit</t>
        </is>
      </c>
      <c r="D2986" s="56" t="inlineStr">
        <is>
          <t>Super Canne</t>
        </is>
      </c>
      <c r="E2986" s="37" t="inlineStr">
        <is>
          <t>HYPOCEAN</t>
        </is>
      </c>
      <c r="F2986" s="38" t="n">
        <v>0.05</v>
      </c>
      <c r="G2986" s="39" t="n">
        <v>40</v>
      </c>
      <c r="H2986" s="39" t="n">
        <v>40</v>
      </c>
      <c r="I2986" s="29">
        <f>IF(OR(COUNTIF('Suivi des rencontres'!$A:$A,$A2986)&gt;0,COUNTIF('Suivi des rencontres'!$C:$C,$J2986)&gt;0),"Non","Oui")</f>
        <v/>
      </c>
      <c r="J2986" s="30" t="inlineStr">
        <is>
          <t>HYPOTREMPE</t>
        </is>
      </c>
    </row>
    <row r="2987">
      <c r="A2987" s="35" t="inlineStr">
        <is>
          <t>Tourb'Iles</t>
        </is>
      </c>
      <c r="B2987" s="35" t="inlineStr">
        <is>
          <t>WhirlIslands_B2F_hns</t>
        </is>
      </c>
      <c r="C2987" s="33" t="inlineStr">
        <is>
          <t>Matin, jour, soir</t>
        </is>
      </c>
      <c r="D2987" s="49" t="inlineStr">
        <is>
          <t>Herbe</t>
        </is>
      </c>
      <c r="E2987" s="37" t="inlineStr">
        <is>
          <t>AKWAKWAK</t>
        </is>
      </c>
      <c r="F2987" s="38" t="n">
        <v>0.2</v>
      </c>
      <c r="G2987" s="39" t="n">
        <v>28</v>
      </c>
      <c r="H2987" s="39" t="n">
        <v>29</v>
      </c>
      <c r="I2987" s="29">
        <f>IF(OR(COUNTIF('Suivi des rencontres'!$A:$A,$A2987)&gt;0,COUNTIF('Suivi des rencontres'!$C:$C,$J2987)&gt;0),"Non","Oui")</f>
        <v/>
      </c>
      <c r="J2987" s="30" t="inlineStr">
        <is>
          <t>PSYKOKWAK</t>
        </is>
      </c>
    </row>
    <row r="2988">
      <c r="A2988" s="35" t="inlineStr">
        <is>
          <t>Tourb'Iles</t>
        </is>
      </c>
      <c r="B2988" s="35" t="inlineStr">
        <is>
          <t>WhirlIslands_B2F_hns</t>
        </is>
      </c>
      <c r="C2988" s="33" t="inlineStr">
        <is>
          <t>Matin, jour, soir</t>
        </is>
      </c>
      <c r="D2988" s="49" t="inlineStr">
        <is>
          <t>Herbe</t>
        </is>
      </c>
      <c r="E2988" s="37" t="inlineStr">
        <is>
          <t>FLAGADOSS</t>
        </is>
      </c>
      <c r="F2988" s="38" t="n">
        <v>0.2</v>
      </c>
      <c r="G2988" s="39" t="n">
        <v>26</v>
      </c>
      <c r="H2988" s="39" t="n">
        <v>28</v>
      </c>
      <c r="I2988" s="29">
        <f>IF(OR(COUNTIF('Suivi des rencontres'!$A:$A,$A2988)&gt;0,COUNTIF('Suivi des rencontres'!$C:$C,$J2988)&gt;0),"Non","Oui")</f>
        <v/>
      </c>
      <c r="J2988" s="30" t="inlineStr">
        <is>
          <t>RAMOLOSS</t>
        </is>
      </c>
    </row>
    <row r="2989">
      <c r="A2989" s="35" t="inlineStr">
        <is>
          <t>Tourb'Iles</t>
        </is>
      </c>
      <c r="B2989" s="35" t="inlineStr">
        <is>
          <t>WhirlIslands_B2F_hns</t>
        </is>
      </c>
      <c r="C2989" s="33" t="inlineStr">
        <is>
          <t>Matin, jour, soir</t>
        </is>
      </c>
      <c r="D2989" s="49" t="inlineStr">
        <is>
          <t>Herbe</t>
        </is>
      </c>
      <c r="E2989" s="37" t="inlineStr">
        <is>
          <t>SOPORIFIK</t>
        </is>
      </c>
      <c r="F2989" s="38" t="n">
        <v>0.2</v>
      </c>
      <c r="G2989" s="39" t="n">
        <v>27</v>
      </c>
      <c r="H2989" s="39" t="n">
        <v>28</v>
      </c>
      <c r="I2989" s="29">
        <f>IF(OR(COUNTIF('Suivi des rencontres'!$A:$A,$A2989)&gt;0,COUNTIF('Suivi des rencontres'!$C:$C,$J2989)&gt;0),"Non","Oui")</f>
        <v/>
      </c>
      <c r="J2989" s="30" t="inlineStr">
        <is>
          <t>SOPORIFIK</t>
        </is>
      </c>
    </row>
    <row r="2990">
      <c r="A2990" s="35" t="inlineStr">
        <is>
          <t>Tourb'Iles</t>
        </is>
      </c>
      <c r="B2990" s="35" t="inlineStr">
        <is>
          <t>WhirlIslands_B2F_hns</t>
        </is>
      </c>
      <c r="C2990" s="33" t="inlineStr">
        <is>
          <t>Matin, jour, soir</t>
        </is>
      </c>
      <c r="D2990" s="49" t="inlineStr">
        <is>
          <t>Herbe</t>
        </is>
      </c>
      <c r="E2990" s="37" t="inlineStr">
        <is>
          <t>OTARIA</t>
        </is>
      </c>
      <c r="F2990" s="38" t="n">
        <v>0.19</v>
      </c>
      <c r="G2990" s="39" t="n">
        <v>26</v>
      </c>
      <c r="H2990" s="39" t="n">
        <v>28</v>
      </c>
      <c r="I2990" s="29">
        <f>IF(OR(COUNTIF('Suivi des rencontres'!$A:$A,$A2990)&gt;0,COUNTIF('Suivi des rencontres'!$C:$C,$J2990)&gt;0),"Non","Oui")</f>
        <v/>
      </c>
      <c r="J2990" s="30" t="inlineStr">
        <is>
          <t>OTARIA</t>
        </is>
      </c>
    </row>
    <row r="2991">
      <c r="A2991" s="35" t="inlineStr">
        <is>
          <t>Tourb'Iles</t>
        </is>
      </c>
      <c r="B2991" s="35" t="inlineStr">
        <is>
          <t>WhirlIslands_B2F_hns</t>
        </is>
      </c>
      <c r="C2991" s="33" t="inlineStr">
        <is>
          <t>Matin, jour, soir</t>
        </is>
      </c>
      <c r="D2991" s="49" t="inlineStr">
        <is>
          <t>Herbe</t>
        </is>
      </c>
      <c r="E2991" s="37" t="inlineStr">
        <is>
          <t>AIRMURE</t>
        </is>
      </c>
      <c r="F2991" s="38" t="n">
        <v>0.1</v>
      </c>
      <c r="G2991" s="39" t="n">
        <v>28</v>
      </c>
      <c r="H2991" s="39" t="n">
        <v>29</v>
      </c>
      <c r="I2991" s="29">
        <f>IF(OR(COUNTIF('Suivi des rencontres'!$A:$A,$A2991)&gt;0,COUNTIF('Suivi des rencontres'!$C:$C,$J2991)&gt;0),"Non","Oui")</f>
        <v/>
      </c>
      <c r="J2991" s="30" t="inlineStr">
        <is>
          <t>AIRMURE</t>
        </is>
      </c>
    </row>
    <row r="2992">
      <c r="A2992" s="35" t="inlineStr">
        <is>
          <t>Tourb'Iles</t>
        </is>
      </c>
      <c r="B2992" s="35" t="inlineStr">
        <is>
          <t>WhirlIslands_B2F_hns</t>
        </is>
      </c>
      <c r="C2992" s="33" t="inlineStr">
        <is>
          <t>Matin, jour, soir</t>
        </is>
      </c>
      <c r="D2992" s="49" t="inlineStr">
        <is>
          <t>Herbe</t>
        </is>
      </c>
      <c r="E2992" s="37" t="inlineStr">
        <is>
          <t>NOSFERALTO</t>
        </is>
      </c>
      <c r="F2992" s="38" t="n">
        <v>0.06</v>
      </c>
      <c r="G2992" s="39" t="n">
        <v>27</v>
      </c>
      <c r="H2992" s="39" t="n">
        <v>28</v>
      </c>
      <c r="I2992" s="29">
        <f>IF(OR(COUNTIF('Suivi des rencontres'!$A:$A,$A2992)&gt;0,COUNTIF('Suivi des rencontres'!$C:$C,$J2992)&gt;0),"Non","Oui")</f>
        <v/>
      </c>
      <c r="J2992" s="30" t="inlineStr">
        <is>
          <t>NOSFERAPTI</t>
        </is>
      </c>
    </row>
    <row r="2993">
      <c r="A2993" s="35" t="inlineStr">
        <is>
          <t>Tourb'Iles</t>
        </is>
      </c>
      <c r="B2993" s="35" t="inlineStr">
        <is>
          <t>WhirlIslands_B2F_hns</t>
        </is>
      </c>
      <c r="C2993" s="33" t="inlineStr">
        <is>
          <t>Matin, jour, soir</t>
        </is>
      </c>
      <c r="D2993" s="49" t="inlineStr">
        <is>
          <t>Herbe</t>
        </is>
      </c>
      <c r="E2993" s="37" t="inlineStr">
        <is>
          <t>LAMANTINE</t>
        </is>
      </c>
      <c r="F2993" s="38" t="n">
        <v>0.05</v>
      </c>
      <c r="G2993" s="39" t="n">
        <v>27</v>
      </c>
      <c r="H2993" s="39" t="n">
        <v>28</v>
      </c>
      <c r="I2993" s="29">
        <f>IF(OR(COUNTIF('Suivi des rencontres'!$A:$A,$A2993)&gt;0,COUNTIF('Suivi des rencontres'!$C:$C,$J2993)&gt;0),"Non","Oui")</f>
        <v/>
      </c>
      <c r="J2993" s="30" t="inlineStr">
        <is>
          <t>OTARIA</t>
        </is>
      </c>
    </row>
    <row r="2994">
      <c r="A2994" s="35" t="inlineStr">
        <is>
          <t>Tourb'Iles</t>
        </is>
      </c>
      <c r="B2994" s="35" t="inlineStr">
        <is>
          <t>WhirlIslands_B2F_hns</t>
        </is>
      </c>
      <c r="C2994" s="62" t="inlineStr">
        <is>
          <t>Nuit</t>
        </is>
      </c>
      <c r="D2994" s="49" t="inlineStr">
        <is>
          <t>Herbe</t>
        </is>
      </c>
      <c r="E2994" s="37" t="inlineStr">
        <is>
          <t>AKWAKWAK</t>
        </is>
      </c>
      <c r="F2994" s="38" t="n">
        <v>0.2</v>
      </c>
      <c r="G2994" s="39" t="n">
        <v>28</v>
      </c>
      <c r="H2994" s="39" t="n">
        <v>29</v>
      </c>
      <c r="I2994" s="29">
        <f>IF(OR(COUNTIF('Suivi des rencontres'!$A:$A,$A2994)&gt;0,COUNTIF('Suivi des rencontres'!$C:$C,$J2994)&gt;0),"Non","Oui")</f>
        <v/>
      </c>
      <c r="J2994" s="30" t="inlineStr">
        <is>
          <t>PSYKOKWAK</t>
        </is>
      </c>
    </row>
    <row r="2995">
      <c r="A2995" s="35" t="inlineStr">
        <is>
          <t>Tourb'Iles</t>
        </is>
      </c>
      <c r="B2995" s="35" t="inlineStr">
        <is>
          <t>WhirlIslands_B2F_hns</t>
        </is>
      </c>
      <c r="C2995" s="62" t="inlineStr">
        <is>
          <t>Nuit</t>
        </is>
      </c>
      <c r="D2995" s="49" t="inlineStr">
        <is>
          <t>Herbe</t>
        </is>
      </c>
      <c r="E2995" s="37" t="inlineStr">
        <is>
          <t>FLAGADOSS</t>
        </is>
      </c>
      <c r="F2995" s="38" t="n">
        <v>0.2</v>
      </c>
      <c r="G2995" s="39" t="n">
        <v>26</v>
      </c>
      <c r="H2995" s="39" t="n">
        <v>28</v>
      </c>
      <c r="I2995" s="29">
        <f>IF(OR(COUNTIF('Suivi des rencontres'!$A:$A,$A2995)&gt;0,COUNTIF('Suivi des rencontres'!$C:$C,$J2995)&gt;0),"Non","Oui")</f>
        <v/>
      </c>
      <c r="J2995" s="30" t="inlineStr">
        <is>
          <t>RAMOLOSS</t>
        </is>
      </c>
    </row>
    <row r="2996">
      <c r="A2996" s="35" t="inlineStr">
        <is>
          <t>Tourb'Iles</t>
        </is>
      </c>
      <c r="B2996" s="35" t="inlineStr">
        <is>
          <t>WhirlIslands_B2F_hns</t>
        </is>
      </c>
      <c r="C2996" s="62" t="inlineStr">
        <is>
          <t>Nuit</t>
        </is>
      </c>
      <c r="D2996" s="49" t="inlineStr">
        <is>
          <t>Herbe</t>
        </is>
      </c>
      <c r="E2996" s="37" t="inlineStr">
        <is>
          <t>SOPORIFIK</t>
        </is>
      </c>
      <c r="F2996" s="38" t="n">
        <v>0.2</v>
      </c>
      <c r="G2996" s="39" t="n">
        <v>27</v>
      </c>
      <c r="H2996" s="39" t="n">
        <v>28</v>
      </c>
      <c r="I2996" s="29">
        <f>IF(OR(COUNTIF('Suivi des rencontres'!$A:$A,$A2996)&gt;0,COUNTIF('Suivi des rencontres'!$C:$C,$J2996)&gt;0),"Non","Oui")</f>
        <v/>
      </c>
      <c r="J2996" s="30" t="inlineStr">
        <is>
          <t>SOPORIFIK</t>
        </is>
      </c>
    </row>
    <row r="2997">
      <c r="A2997" s="35" t="inlineStr">
        <is>
          <t>Tourb'Iles</t>
        </is>
      </c>
      <c r="B2997" s="35" t="inlineStr">
        <is>
          <t>WhirlIslands_B2F_hns</t>
        </is>
      </c>
      <c r="C2997" s="62" t="inlineStr">
        <is>
          <t>Nuit</t>
        </is>
      </c>
      <c r="D2997" s="49" t="inlineStr">
        <is>
          <t>Herbe</t>
        </is>
      </c>
      <c r="E2997" s="37" t="inlineStr">
        <is>
          <t>OTARIA</t>
        </is>
      </c>
      <c r="F2997" s="38" t="n">
        <v>0.19</v>
      </c>
      <c r="G2997" s="39" t="n">
        <v>26</v>
      </c>
      <c r="H2997" s="39" t="n">
        <v>28</v>
      </c>
      <c r="I2997" s="29">
        <f>IF(OR(COUNTIF('Suivi des rencontres'!$A:$A,$A2997)&gt;0,COUNTIF('Suivi des rencontres'!$C:$C,$J2997)&gt;0),"Non","Oui")</f>
        <v/>
      </c>
      <c r="J2997" s="30" t="inlineStr">
        <is>
          <t>OTARIA</t>
        </is>
      </c>
    </row>
    <row r="2998">
      <c r="A2998" s="35" t="inlineStr">
        <is>
          <t>Tourb'Iles</t>
        </is>
      </c>
      <c r="B2998" s="35" t="inlineStr">
        <is>
          <t>WhirlIslands_B2F_hns</t>
        </is>
      </c>
      <c r="C2998" s="62" t="inlineStr">
        <is>
          <t>Nuit</t>
        </is>
      </c>
      <c r="D2998" s="49" t="inlineStr">
        <is>
          <t>Herbe</t>
        </is>
      </c>
      <c r="E2998" s="37" t="inlineStr">
        <is>
          <t>AIRMURE</t>
        </is>
      </c>
      <c r="F2998" s="38" t="n">
        <v>0.1</v>
      </c>
      <c r="G2998" s="39" t="n">
        <v>28</v>
      </c>
      <c r="H2998" s="39" t="n">
        <v>29</v>
      </c>
      <c r="I2998" s="29">
        <f>IF(OR(COUNTIF('Suivi des rencontres'!$A:$A,$A2998)&gt;0,COUNTIF('Suivi des rencontres'!$C:$C,$J2998)&gt;0),"Non","Oui")</f>
        <v/>
      </c>
      <c r="J2998" s="30" t="inlineStr">
        <is>
          <t>AIRMURE</t>
        </is>
      </c>
    </row>
    <row r="2999">
      <c r="A2999" s="35" t="inlineStr">
        <is>
          <t>Tourb'Iles</t>
        </is>
      </c>
      <c r="B2999" s="35" t="inlineStr">
        <is>
          <t>WhirlIslands_B2F_hns</t>
        </is>
      </c>
      <c r="C2999" s="62" t="inlineStr">
        <is>
          <t>Nuit</t>
        </is>
      </c>
      <c r="D2999" s="49" t="inlineStr">
        <is>
          <t>Herbe</t>
        </is>
      </c>
      <c r="E2999" s="37" t="inlineStr">
        <is>
          <t>NOSFERALTO</t>
        </is>
      </c>
      <c r="F2999" s="38" t="n">
        <v>0.06</v>
      </c>
      <c r="G2999" s="39" t="n">
        <v>27</v>
      </c>
      <c r="H2999" s="39" t="n">
        <v>28</v>
      </c>
      <c r="I2999" s="29">
        <f>IF(OR(COUNTIF('Suivi des rencontres'!$A:$A,$A2999)&gt;0,COUNTIF('Suivi des rencontres'!$C:$C,$J2999)&gt;0),"Non","Oui")</f>
        <v/>
      </c>
      <c r="J2999" s="30" t="inlineStr">
        <is>
          <t>NOSFERAPTI</t>
        </is>
      </c>
    </row>
    <row r="3000">
      <c r="A3000" s="35" t="inlineStr">
        <is>
          <t>Tourb'Iles</t>
        </is>
      </c>
      <c r="B3000" s="35" t="inlineStr">
        <is>
          <t>WhirlIslands_B2F_hns</t>
        </is>
      </c>
      <c r="C3000" s="62" t="inlineStr">
        <is>
          <t>Nuit</t>
        </is>
      </c>
      <c r="D3000" s="49" t="inlineStr">
        <is>
          <t>Herbe</t>
        </is>
      </c>
      <c r="E3000" s="37" t="inlineStr">
        <is>
          <t>LAMANTINE</t>
        </is>
      </c>
      <c r="F3000" s="38" t="n">
        <v>0.05</v>
      </c>
      <c r="G3000" s="39" t="n">
        <v>27</v>
      </c>
      <c r="H3000" s="39" t="n">
        <v>28</v>
      </c>
      <c r="I3000" s="29">
        <f>IF(OR(COUNTIF('Suivi des rencontres'!$A:$A,$A3000)&gt;0,COUNTIF('Suivi des rencontres'!$C:$C,$J3000)&gt;0),"Non","Oui")</f>
        <v/>
      </c>
      <c r="J3000" s="30" t="inlineStr">
        <is>
          <t>OTARIA</t>
        </is>
      </c>
    </row>
    <row r="3001">
      <c r="A3001" s="35" t="inlineStr">
        <is>
          <t>Tourb'Iles</t>
        </is>
      </c>
      <c r="B3001" s="35" t="inlineStr">
        <is>
          <t>WhirlIslands_B2F_hns</t>
        </is>
      </c>
      <c r="C3001" s="33" t="inlineStr">
        <is>
          <t>Matin, jour, soir</t>
        </is>
      </c>
      <c r="D3001" s="53" t="inlineStr">
        <is>
          <t>Surf</t>
        </is>
      </c>
      <c r="E3001" s="37" t="inlineStr">
        <is>
          <t>HYPOTREMPE</t>
        </is>
      </c>
      <c r="F3001" s="38" t="n">
        <v>0.6899999999999999</v>
      </c>
      <c r="G3001" s="39" t="n">
        <v>15</v>
      </c>
      <c r="H3001" s="39" t="n">
        <v>24</v>
      </c>
      <c r="I3001" s="29">
        <f>IF(OR(COUNTIF('Suivi des rencontres'!$A:$A,$A3001)&gt;0,COUNTIF('Suivi des rencontres'!$C:$C,$J3001)&gt;0),"Non","Oui")</f>
        <v/>
      </c>
      <c r="J3001" s="30" t="inlineStr">
        <is>
          <t>HYPOTREMPE</t>
        </is>
      </c>
    </row>
    <row r="3002">
      <c r="A3002" s="35" t="inlineStr">
        <is>
          <t>Tourb'Iles</t>
        </is>
      </c>
      <c r="B3002" s="35" t="inlineStr">
        <is>
          <t>WhirlIslands_B2F_hns</t>
        </is>
      </c>
      <c r="C3002" s="33" t="inlineStr">
        <is>
          <t>Matin, jour, soir</t>
        </is>
      </c>
      <c r="D3002" s="53" t="inlineStr">
        <is>
          <t>Surf</t>
        </is>
      </c>
      <c r="E3002" s="37" t="inlineStr">
        <is>
          <t>TENTACRUEL</t>
        </is>
      </c>
      <c r="F3002" s="38" t="n">
        <v>0.31</v>
      </c>
      <c r="G3002" s="39" t="n">
        <v>20</v>
      </c>
      <c r="H3002" s="39" t="n">
        <v>24</v>
      </c>
      <c r="I3002" s="29">
        <f>IF(OR(COUNTIF('Suivi des rencontres'!$A:$A,$A3002)&gt;0,COUNTIF('Suivi des rencontres'!$C:$C,$J3002)&gt;0),"Non","Oui")</f>
        <v/>
      </c>
      <c r="J3002" s="30" t="inlineStr">
        <is>
          <t>TENTACOOL</t>
        </is>
      </c>
    </row>
    <row r="3003">
      <c r="A3003" s="35" t="inlineStr">
        <is>
          <t>Tourb'Iles</t>
        </is>
      </c>
      <c r="B3003" s="35" t="inlineStr">
        <is>
          <t>WhirlIslands_B2F_hns</t>
        </is>
      </c>
      <c r="C3003" s="62" t="inlineStr">
        <is>
          <t>Nuit</t>
        </is>
      </c>
      <c r="D3003" s="53" t="inlineStr">
        <is>
          <t>Surf</t>
        </is>
      </c>
      <c r="E3003" s="37" t="inlineStr">
        <is>
          <t>HYPOTREMPE</t>
        </is>
      </c>
      <c r="F3003" s="38" t="n">
        <v>0.6899999999999999</v>
      </c>
      <c r="G3003" s="39" t="n">
        <v>15</v>
      </c>
      <c r="H3003" s="39" t="n">
        <v>24</v>
      </c>
      <c r="I3003" s="29">
        <f>IF(OR(COUNTIF('Suivi des rencontres'!$A:$A,$A3003)&gt;0,COUNTIF('Suivi des rencontres'!$C:$C,$J3003)&gt;0),"Non","Oui")</f>
        <v/>
      </c>
      <c r="J3003" s="30" t="inlineStr">
        <is>
          <t>HYPOTREMPE</t>
        </is>
      </c>
    </row>
    <row r="3004">
      <c r="A3004" s="35" t="inlineStr">
        <is>
          <t>Tourb'Iles</t>
        </is>
      </c>
      <c r="B3004" s="35" t="inlineStr">
        <is>
          <t>WhirlIslands_B2F_hns</t>
        </is>
      </c>
      <c r="C3004" s="62" t="inlineStr">
        <is>
          <t>Nuit</t>
        </is>
      </c>
      <c r="D3004" s="53" t="inlineStr">
        <is>
          <t>Surf</t>
        </is>
      </c>
      <c r="E3004" s="37" t="inlineStr">
        <is>
          <t>TENTACRUEL</t>
        </is>
      </c>
      <c r="F3004" s="38" t="n">
        <v>0.31</v>
      </c>
      <c r="G3004" s="39" t="n">
        <v>20</v>
      </c>
      <c r="H3004" s="39" t="n">
        <v>24</v>
      </c>
      <c r="I3004" s="29">
        <f>IF(OR(COUNTIF('Suivi des rencontres'!$A:$A,$A3004)&gt;0,COUNTIF('Suivi des rencontres'!$C:$C,$J3004)&gt;0),"Non","Oui")</f>
        <v/>
      </c>
      <c r="J3004" s="30" t="inlineStr">
        <is>
          <t>TENTACOOL</t>
        </is>
      </c>
    </row>
    <row r="3005">
      <c r="A3005" s="35" t="inlineStr">
        <is>
          <t>Tourb'Iles</t>
        </is>
      </c>
      <c r="B3005" s="35" t="inlineStr">
        <is>
          <t>WhirlIslands_B2F_hns</t>
        </is>
      </c>
      <c r="C3005" s="33" t="inlineStr">
        <is>
          <t>Matin, jour, soir</t>
        </is>
      </c>
      <c r="D3005" s="54" t="inlineStr">
        <is>
          <t>Vieille Canne</t>
        </is>
      </c>
      <c r="E3005" s="37" t="inlineStr">
        <is>
          <t>MAGICARPE</t>
        </is>
      </c>
      <c r="F3005" s="38" t="n">
        <v>0.7</v>
      </c>
      <c r="G3005" s="39" t="n">
        <v>10</v>
      </c>
      <c r="H3005" s="39" t="n">
        <v>10</v>
      </c>
      <c r="I3005" s="29">
        <f>IF(OR(COUNTIF('Suivi des rencontres'!$A:$A,$A3005)&gt;0,COUNTIF('Suivi des rencontres'!$C:$C,$J3005)&gt;0),"Non","Oui")</f>
        <v/>
      </c>
      <c r="J3005" s="30" t="inlineStr">
        <is>
          <t>MAGICARPE</t>
        </is>
      </c>
    </row>
    <row r="3006">
      <c r="A3006" s="35" t="inlineStr">
        <is>
          <t>Tourb'Iles</t>
        </is>
      </c>
      <c r="B3006" s="35" t="inlineStr">
        <is>
          <t>WhirlIslands_B2F_hns</t>
        </is>
      </c>
      <c r="C3006" s="33" t="inlineStr">
        <is>
          <t>Matin, jour, soir</t>
        </is>
      </c>
      <c r="D3006" s="54" t="inlineStr">
        <is>
          <t>Vieille Canne</t>
        </is>
      </c>
      <c r="E3006" s="37" t="inlineStr">
        <is>
          <t>KRABBY</t>
        </is>
      </c>
      <c r="F3006" s="38" t="n">
        <v>0.3</v>
      </c>
      <c r="G3006" s="39" t="n">
        <v>10</v>
      </c>
      <c r="H3006" s="39" t="n">
        <v>10</v>
      </c>
      <c r="I3006" s="29">
        <f>IF(OR(COUNTIF('Suivi des rencontres'!$A:$A,$A3006)&gt;0,COUNTIF('Suivi des rencontres'!$C:$C,$J3006)&gt;0),"Non","Oui")</f>
        <v/>
      </c>
      <c r="J3006" s="30" t="inlineStr">
        <is>
          <t>KRABBY</t>
        </is>
      </c>
    </row>
    <row r="3007">
      <c r="A3007" s="35" t="inlineStr">
        <is>
          <t>Tourb'Iles</t>
        </is>
      </c>
      <c r="B3007" s="35" t="inlineStr">
        <is>
          <t>WhirlIslands_B2F_hns</t>
        </is>
      </c>
      <c r="C3007" s="62" t="inlineStr">
        <is>
          <t>Nuit</t>
        </is>
      </c>
      <c r="D3007" s="54" t="inlineStr">
        <is>
          <t>Vieille Canne</t>
        </is>
      </c>
      <c r="E3007" s="37" t="inlineStr">
        <is>
          <t>MAGICARPE</t>
        </is>
      </c>
      <c r="F3007" s="38" t="n">
        <v>0.7</v>
      </c>
      <c r="G3007" s="39" t="n">
        <v>10</v>
      </c>
      <c r="H3007" s="39" t="n">
        <v>10</v>
      </c>
      <c r="I3007" s="29">
        <f>IF(OR(COUNTIF('Suivi des rencontres'!$A:$A,$A3007)&gt;0,COUNTIF('Suivi des rencontres'!$C:$C,$J3007)&gt;0),"Non","Oui")</f>
        <v/>
      </c>
      <c r="J3007" s="30" t="inlineStr">
        <is>
          <t>MAGICARPE</t>
        </is>
      </c>
    </row>
    <row r="3008">
      <c r="A3008" s="35" t="inlineStr">
        <is>
          <t>Tourb'Iles</t>
        </is>
      </c>
      <c r="B3008" s="35" t="inlineStr">
        <is>
          <t>WhirlIslands_B2F_hns</t>
        </is>
      </c>
      <c r="C3008" s="62" t="inlineStr">
        <is>
          <t>Nuit</t>
        </is>
      </c>
      <c r="D3008" s="54" t="inlineStr">
        <is>
          <t>Vieille Canne</t>
        </is>
      </c>
      <c r="E3008" s="37" t="inlineStr">
        <is>
          <t>KRABBY</t>
        </is>
      </c>
      <c r="F3008" s="38" t="n">
        <v>0.3</v>
      </c>
      <c r="G3008" s="39" t="n">
        <v>10</v>
      </c>
      <c r="H3008" s="39" t="n">
        <v>10</v>
      </c>
      <c r="I3008" s="29">
        <f>IF(OR(COUNTIF('Suivi des rencontres'!$A:$A,$A3008)&gt;0,COUNTIF('Suivi des rencontres'!$C:$C,$J3008)&gt;0),"Non","Oui")</f>
        <v/>
      </c>
      <c r="J3008" s="30" t="inlineStr">
        <is>
          <t>KRABBY</t>
        </is>
      </c>
    </row>
    <row r="3009">
      <c r="A3009" s="35" t="inlineStr">
        <is>
          <t>Tourb'Iles</t>
        </is>
      </c>
      <c r="B3009" s="35" t="inlineStr">
        <is>
          <t>WhirlIslands_B2F_hns</t>
        </is>
      </c>
      <c r="C3009" s="33" t="inlineStr">
        <is>
          <t>Matin, jour, soir</t>
        </is>
      </c>
      <c r="D3009" s="55" t="inlineStr">
        <is>
          <t>Bonne Canne</t>
        </is>
      </c>
      <c r="E3009" s="37" t="inlineStr">
        <is>
          <t>KRABBY</t>
        </is>
      </c>
      <c r="F3009" s="38" t="n">
        <v>0.6</v>
      </c>
      <c r="G3009" s="39" t="n">
        <v>20</v>
      </c>
      <c r="H3009" s="39" t="n">
        <v>20</v>
      </c>
      <c r="I3009" s="29">
        <f>IF(OR(COUNTIF('Suivi des rencontres'!$A:$A,$A3009)&gt;0,COUNTIF('Suivi des rencontres'!$C:$C,$J3009)&gt;0),"Non","Oui")</f>
        <v/>
      </c>
      <c r="J3009" s="30" t="inlineStr">
        <is>
          <t>KRABBY</t>
        </is>
      </c>
    </row>
    <row r="3010">
      <c r="A3010" s="35" t="inlineStr">
        <is>
          <t>Tourb'Iles</t>
        </is>
      </c>
      <c r="B3010" s="35" t="inlineStr">
        <is>
          <t>WhirlIslands_B2F_hns</t>
        </is>
      </c>
      <c r="C3010" s="33" t="inlineStr">
        <is>
          <t>Matin, jour, soir</t>
        </is>
      </c>
      <c r="D3010" s="55" t="inlineStr">
        <is>
          <t>Bonne Canne</t>
        </is>
      </c>
      <c r="E3010" s="37" t="inlineStr">
        <is>
          <t>HYPOTREMPE</t>
        </is>
      </c>
      <c r="F3010" s="38" t="n">
        <v>0.2</v>
      </c>
      <c r="G3010" s="39" t="n">
        <v>20</v>
      </c>
      <c r="H3010" s="39" t="n">
        <v>20</v>
      </c>
      <c r="I3010" s="29">
        <f>IF(OR(COUNTIF('Suivi des rencontres'!$A:$A,$A3010)&gt;0,COUNTIF('Suivi des rencontres'!$C:$C,$J3010)&gt;0),"Non","Oui")</f>
        <v/>
      </c>
      <c r="J3010" s="30" t="inlineStr">
        <is>
          <t>HYPOTREMPE</t>
        </is>
      </c>
    </row>
    <row r="3011">
      <c r="A3011" s="35" t="inlineStr">
        <is>
          <t>Tourb'Iles</t>
        </is>
      </c>
      <c r="B3011" s="35" t="inlineStr">
        <is>
          <t>WhirlIslands_B2F_hns</t>
        </is>
      </c>
      <c r="C3011" s="33" t="inlineStr">
        <is>
          <t>Matin, jour, soir</t>
        </is>
      </c>
      <c r="D3011" s="55" t="inlineStr">
        <is>
          <t>Bonne Canne</t>
        </is>
      </c>
      <c r="E3011" s="37" t="inlineStr">
        <is>
          <t>MAGICARPE</t>
        </is>
      </c>
      <c r="F3011" s="38" t="n">
        <v>0.2</v>
      </c>
      <c r="G3011" s="39" t="n">
        <v>20</v>
      </c>
      <c r="H3011" s="39" t="n">
        <v>20</v>
      </c>
      <c r="I3011" s="29">
        <f>IF(OR(COUNTIF('Suivi des rencontres'!$A:$A,$A3011)&gt;0,COUNTIF('Suivi des rencontres'!$C:$C,$J3011)&gt;0),"Non","Oui")</f>
        <v/>
      </c>
      <c r="J3011" s="30" t="inlineStr">
        <is>
          <t>MAGICARPE</t>
        </is>
      </c>
    </row>
    <row r="3012">
      <c r="A3012" s="35" t="inlineStr">
        <is>
          <t>Tourb'Iles</t>
        </is>
      </c>
      <c r="B3012" s="35" t="inlineStr">
        <is>
          <t>WhirlIslands_B2F_hns</t>
        </is>
      </c>
      <c r="C3012" s="62" t="inlineStr">
        <is>
          <t>Nuit</t>
        </is>
      </c>
      <c r="D3012" s="55" t="inlineStr">
        <is>
          <t>Bonne Canne</t>
        </is>
      </c>
      <c r="E3012" s="37" t="inlineStr">
        <is>
          <t>KRABBY</t>
        </is>
      </c>
      <c r="F3012" s="38" t="n">
        <v>0.6</v>
      </c>
      <c r="G3012" s="39" t="n">
        <v>20</v>
      </c>
      <c r="H3012" s="39" t="n">
        <v>20</v>
      </c>
      <c r="I3012" s="29">
        <f>IF(OR(COUNTIF('Suivi des rencontres'!$A:$A,$A3012)&gt;0,COUNTIF('Suivi des rencontres'!$C:$C,$J3012)&gt;0),"Non","Oui")</f>
        <v/>
      </c>
      <c r="J3012" s="30" t="inlineStr">
        <is>
          <t>KRABBY</t>
        </is>
      </c>
    </row>
    <row r="3013">
      <c r="A3013" s="35" t="inlineStr">
        <is>
          <t>Tourb'Iles</t>
        </is>
      </c>
      <c r="B3013" s="35" t="inlineStr">
        <is>
          <t>WhirlIslands_B2F_hns</t>
        </is>
      </c>
      <c r="C3013" s="62" t="inlineStr">
        <is>
          <t>Nuit</t>
        </is>
      </c>
      <c r="D3013" s="55" t="inlineStr">
        <is>
          <t>Bonne Canne</t>
        </is>
      </c>
      <c r="E3013" s="37" t="inlineStr">
        <is>
          <t>HYPOTREMPE</t>
        </is>
      </c>
      <c r="F3013" s="38" t="n">
        <v>0.2</v>
      </c>
      <c r="G3013" s="39" t="n">
        <v>20</v>
      </c>
      <c r="H3013" s="39" t="n">
        <v>20</v>
      </c>
      <c r="I3013" s="29">
        <f>IF(OR(COUNTIF('Suivi des rencontres'!$A:$A,$A3013)&gt;0,COUNTIF('Suivi des rencontres'!$C:$C,$J3013)&gt;0),"Non","Oui")</f>
        <v/>
      </c>
      <c r="J3013" s="30" t="inlineStr">
        <is>
          <t>HYPOTREMPE</t>
        </is>
      </c>
    </row>
    <row r="3014">
      <c r="A3014" s="35" t="inlineStr">
        <is>
          <t>Tourb'Iles</t>
        </is>
      </c>
      <c r="B3014" s="35" t="inlineStr">
        <is>
          <t>WhirlIslands_B2F_hns</t>
        </is>
      </c>
      <c r="C3014" s="62" t="inlineStr">
        <is>
          <t>Nuit</t>
        </is>
      </c>
      <c r="D3014" s="55" t="inlineStr">
        <is>
          <t>Bonne Canne</t>
        </is>
      </c>
      <c r="E3014" s="37" t="inlineStr">
        <is>
          <t>MAGICARPE</t>
        </is>
      </c>
      <c r="F3014" s="38" t="n">
        <v>0.2</v>
      </c>
      <c r="G3014" s="39" t="n">
        <v>20</v>
      </c>
      <c r="H3014" s="39" t="n">
        <v>20</v>
      </c>
      <c r="I3014" s="29">
        <f>IF(OR(COUNTIF('Suivi des rencontres'!$A:$A,$A3014)&gt;0,COUNTIF('Suivi des rencontres'!$C:$C,$J3014)&gt;0),"Non","Oui")</f>
        <v/>
      </c>
      <c r="J3014" s="30" t="inlineStr">
        <is>
          <t>MAGICARPE</t>
        </is>
      </c>
    </row>
    <row r="3015">
      <c r="A3015" s="35" t="inlineStr">
        <is>
          <t>Tourb'Iles</t>
        </is>
      </c>
      <c r="B3015" s="35" t="inlineStr">
        <is>
          <t>WhirlIslands_B2F_hns</t>
        </is>
      </c>
      <c r="C3015" s="33" t="inlineStr">
        <is>
          <t>Matin, jour, soir</t>
        </is>
      </c>
      <c r="D3015" s="56" t="inlineStr">
        <is>
          <t>Super Canne</t>
        </is>
      </c>
      <c r="E3015" s="37" t="inlineStr">
        <is>
          <t>HYPOTREMPE</t>
        </is>
      </c>
      <c r="F3015" s="38" t="n">
        <v>0.4</v>
      </c>
      <c r="G3015" s="39" t="n">
        <v>40</v>
      </c>
      <c r="H3015" s="39" t="n">
        <v>40</v>
      </c>
      <c r="I3015" s="29">
        <f>IF(OR(COUNTIF('Suivi des rencontres'!$A:$A,$A3015)&gt;0,COUNTIF('Suivi des rencontres'!$C:$C,$J3015)&gt;0),"Non","Oui")</f>
        <v/>
      </c>
      <c r="J3015" s="30" t="inlineStr">
        <is>
          <t>HYPOTREMPE</t>
        </is>
      </c>
    </row>
    <row r="3016">
      <c r="A3016" s="35" t="inlineStr">
        <is>
          <t>Tourb'Iles</t>
        </is>
      </c>
      <c r="B3016" s="35" t="inlineStr">
        <is>
          <t>WhirlIslands_B2F_hns</t>
        </is>
      </c>
      <c r="C3016" s="33" t="inlineStr">
        <is>
          <t>Matin, jour, soir</t>
        </is>
      </c>
      <c r="D3016" s="56" t="inlineStr">
        <is>
          <t>Super Canne</t>
        </is>
      </c>
      <c r="E3016" s="37" t="inlineStr">
        <is>
          <t>KRABBY</t>
        </is>
      </c>
      <c r="F3016" s="38" t="n">
        <v>0.4</v>
      </c>
      <c r="G3016" s="39" t="n">
        <v>40</v>
      </c>
      <c r="H3016" s="39" t="n">
        <v>40</v>
      </c>
      <c r="I3016" s="29">
        <f>IF(OR(COUNTIF('Suivi des rencontres'!$A:$A,$A3016)&gt;0,COUNTIF('Suivi des rencontres'!$C:$C,$J3016)&gt;0),"Non","Oui")</f>
        <v/>
      </c>
      <c r="J3016" s="30" t="inlineStr">
        <is>
          <t>KRABBY</t>
        </is>
      </c>
    </row>
    <row r="3017">
      <c r="A3017" s="35" t="inlineStr">
        <is>
          <t>Tourb'Iles</t>
        </is>
      </c>
      <c r="B3017" s="35" t="inlineStr">
        <is>
          <t>WhirlIslands_B2F_hns</t>
        </is>
      </c>
      <c r="C3017" s="33" t="inlineStr">
        <is>
          <t>Matin, jour, soir</t>
        </is>
      </c>
      <c r="D3017" s="56" t="inlineStr">
        <is>
          <t>Super Canne</t>
        </is>
      </c>
      <c r="E3017" s="37" t="inlineStr">
        <is>
          <t>KRABBOSS</t>
        </is>
      </c>
      <c r="F3017" s="38" t="n">
        <v>0.15</v>
      </c>
      <c r="G3017" s="39" t="n">
        <v>40</v>
      </c>
      <c r="H3017" s="39" t="n">
        <v>40</v>
      </c>
      <c r="I3017" s="29">
        <f>IF(OR(COUNTIF('Suivi des rencontres'!$A:$A,$A3017)&gt;0,COUNTIF('Suivi des rencontres'!$C:$C,$J3017)&gt;0),"Non","Oui")</f>
        <v/>
      </c>
      <c r="J3017" s="30" t="inlineStr">
        <is>
          <t>KRABBY</t>
        </is>
      </c>
    </row>
    <row r="3018">
      <c r="A3018" s="35" t="inlineStr">
        <is>
          <t>Tourb'Iles</t>
        </is>
      </c>
      <c r="B3018" s="35" t="inlineStr">
        <is>
          <t>WhirlIslands_B2F_hns</t>
        </is>
      </c>
      <c r="C3018" s="33" t="inlineStr">
        <is>
          <t>Matin, jour, soir</t>
        </is>
      </c>
      <c r="D3018" s="56" t="inlineStr">
        <is>
          <t>Super Canne</t>
        </is>
      </c>
      <c r="E3018" s="37" t="inlineStr">
        <is>
          <t>HYPOCEAN</t>
        </is>
      </c>
      <c r="F3018" s="38" t="n">
        <v>0.05</v>
      </c>
      <c r="G3018" s="39" t="n">
        <v>40</v>
      </c>
      <c r="H3018" s="39" t="n">
        <v>40</v>
      </c>
      <c r="I3018" s="29">
        <f>IF(OR(COUNTIF('Suivi des rencontres'!$A:$A,$A3018)&gt;0,COUNTIF('Suivi des rencontres'!$C:$C,$J3018)&gt;0),"Non","Oui")</f>
        <v/>
      </c>
      <c r="J3018" s="30" t="inlineStr">
        <is>
          <t>HYPOTREMPE</t>
        </is>
      </c>
    </row>
    <row r="3019">
      <c r="A3019" s="35" t="inlineStr">
        <is>
          <t>Tourb'Iles</t>
        </is>
      </c>
      <c r="B3019" s="35" t="inlineStr">
        <is>
          <t>WhirlIslands_B2F_hns</t>
        </is>
      </c>
      <c r="C3019" s="62" t="inlineStr">
        <is>
          <t>Nuit</t>
        </is>
      </c>
      <c r="D3019" s="56" t="inlineStr">
        <is>
          <t>Super Canne</t>
        </is>
      </c>
      <c r="E3019" s="37" t="inlineStr">
        <is>
          <t>HYPOTREMPE</t>
        </is>
      </c>
      <c r="F3019" s="38" t="n">
        <v>0.4</v>
      </c>
      <c r="G3019" s="39" t="n">
        <v>40</v>
      </c>
      <c r="H3019" s="39" t="n">
        <v>40</v>
      </c>
      <c r="I3019" s="29">
        <f>IF(OR(COUNTIF('Suivi des rencontres'!$A:$A,$A3019)&gt;0,COUNTIF('Suivi des rencontres'!$C:$C,$J3019)&gt;0),"Non","Oui")</f>
        <v/>
      </c>
      <c r="J3019" s="30" t="inlineStr">
        <is>
          <t>HYPOTREMPE</t>
        </is>
      </c>
    </row>
    <row r="3020">
      <c r="A3020" s="35" t="inlineStr">
        <is>
          <t>Tourb'Iles</t>
        </is>
      </c>
      <c r="B3020" s="35" t="inlineStr">
        <is>
          <t>WhirlIslands_B2F_hns</t>
        </is>
      </c>
      <c r="C3020" s="62" t="inlineStr">
        <is>
          <t>Nuit</t>
        </is>
      </c>
      <c r="D3020" s="56" t="inlineStr">
        <is>
          <t>Super Canne</t>
        </is>
      </c>
      <c r="E3020" s="37" t="inlineStr">
        <is>
          <t>KRABBY</t>
        </is>
      </c>
      <c r="F3020" s="38" t="n">
        <v>0.4</v>
      </c>
      <c r="G3020" s="39" t="n">
        <v>40</v>
      </c>
      <c r="H3020" s="39" t="n">
        <v>40</v>
      </c>
      <c r="I3020" s="29">
        <f>IF(OR(COUNTIF('Suivi des rencontres'!$A:$A,$A3020)&gt;0,COUNTIF('Suivi des rencontres'!$C:$C,$J3020)&gt;0),"Non","Oui")</f>
        <v/>
      </c>
      <c r="J3020" s="30" t="inlineStr">
        <is>
          <t>KRABBY</t>
        </is>
      </c>
    </row>
    <row r="3021">
      <c r="A3021" s="35" t="inlineStr">
        <is>
          <t>Tourb'Iles</t>
        </is>
      </c>
      <c r="B3021" s="35" t="inlineStr">
        <is>
          <t>WhirlIslands_B2F_hns</t>
        </is>
      </c>
      <c r="C3021" s="62" t="inlineStr">
        <is>
          <t>Nuit</t>
        </is>
      </c>
      <c r="D3021" s="56" t="inlineStr">
        <is>
          <t>Super Canne</t>
        </is>
      </c>
      <c r="E3021" s="37" t="inlineStr">
        <is>
          <t>KRABBOSS</t>
        </is>
      </c>
      <c r="F3021" s="38" t="n">
        <v>0.15</v>
      </c>
      <c r="G3021" s="39" t="n">
        <v>40</v>
      </c>
      <c r="H3021" s="39" t="n">
        <v>40</v>
      </c>
      <c r="I3021" s="29">
        <f>IF(OR(COUNTIF('Suivi des rencontres'!$A:$A,$A3021)&gt;0,COUNTIF('Suivi des rencontres'!$C:$C,$J3021)&gt;0),"Non","Oui")</f>
        <v/>
      </c>
      <c r="J3021" s="30" t="inlineStr">
        <is>
          <t>KRABBY</t>
        </is>
      </c>
    </row>
    <row r="3022">
      <c r="A3022" s="35" t="inlineStr">
        <is>
          <t>Tourb'Iles</t>
        </is>
      </c>
      <c r="B3022" s="35" t="inlineStr">
        <is>
          <t>WhirlIslands_B2F_hns</t>
        </is>
      </c>
      <c r="C3022" s="62" t="inlineStr">
        <is>
          <t>Nuit</t>
        </is>
      </c>
      <c r="D3022" s="56" t="inlineStr">
        <is>
          <t>Super Canne</t>
        </is>
      </c>
      <c r="E3022" s="37" t="inlineStr">
        <is>
          <t>HYPOCEAN</t>
        </is>
      </c>
      <c r="F3022" s="38" t="n">
        <v>0.05</v>
      </c>
      <c r="G3022" s="39" t="n">
        <v>40</v>
      </c>
      <c r="H3022" s="39" t="n">
        <v>40</v>
      </c>
      <c r="I3022" s="29">
        <f>IF(OR(COUNTIF('Suivi des rencontres'!$A:$A,$A3022)&gt;0,COUNTIF('Suivi des rencontres'!$C:$C,$J3022)&gt;0),"Non","Oui")</f>
        <v/>
      </c>
      <c r="J3022" s="30" t="inlineStr">
        <is>
          <t>HYPOTREMPE</t>
        </is>
      </c>
    </row>
    <row r="3023">
      <c r="A3023" s="35" t="inlineStr">
        <is>
          <t>Tourb'Iles</t>
        </is>
      </c>
      <c r="B3023" s="35" t="inlineStr">
        <is>
          <t>WhirlIslands_B3F_hns</t>
        </is>
      </c>
      <c r="C3023" s="33" t="inlineStr">
        <is>
          <t>Toute la journée</t>
        </is>
      </c>
      <c r="D3023" s="49" t="inlineStr">
        <is>
          <t>Herbe</t>
        </is>
      </c>
      <c r="E3023" s="37" t="inlineStr">
        <is>
          <t>AKWAKWAK</t>
        </is>
      </c>
      <c r="F3023" s="38" t="n">
        <v>0.2</v>
      </c>
      <c r="G3023" s="39" t="n">
        <v>28</v>
      </c>
      <c r="H3023" s="39" t="n">
        <v>29</v>
      </c>
      <c r="I3023" s="29">
        <f>IF(OR(COUNTIF('Suivi des rencontres'!$A:$A,$A3023)&gt;0,COUNTIF('Suivi des rencontres'!$C:$C,$J3023)&gt;0),"Non","Oui")</f>
        <v/>
      </c>
      <c r="J3023" s="30" t="inlineStr">
        <is>
          <t>PSYKOKWAK</t>
        </is>
      </c>
    </row>
    <row r="3024">
      <c r="A3024" s="35" t="inlineStr">
        <is>
          <t>Tourb'Iles</t>
        </is>
      </c>
      <c r="B3024" s="35" t="inlineStr">
        <is>
          <t>WhirlIslands_B3F_hns</t>
        </is>
      </c>
      <c r="C3024" s="33" t="inlineStr">
        <is>
          <t>Toute la journée</t>
        </is>
      </c>
      <c r="D3024" s="49" t="inlineStr">
        <is>
          <t>Herbe</t>
        </is>
      </c>
      <c r="E3024" s="37" t="inlineStr">
        <is>
          <t>FLAGADOSS</t>
        </is>
      </c>
      <c r="F3024" s="38" t="n">
        <v>0.2</v>
      </c>
      <c r="G3024" s="39" t="n">
        <v>26</v>
      </c>
      <c r="H3024" s="39" t="n">
        <v>28</v>
      </c>
      <c r="I3024" s="29">
        <f>IF(OR(COUNTIF('Suivi des rencontres'!$A:$A,$A3024)&gt;0,COUNTIF('Suivi des rencontres'!$C:$C,$J3024)&gt;0),"Non","Oui")</f>
        <v/>
      </c>
      <c r="J3024" s="30" t="inlineStr">
        <is>
          <t>RAMOLOSS</t>
        </is>
      </c>
    </row>
    <row r="3025">
      <c r="A3025" s="35" t="inlineStr">
        <is>
          <t>Tourb'Iles</t>
        </is>
      </c>
      <c r="B3025" s="35" t="inlineStr">
        <is>
          <t>WhirlIslands_B3F_hns</t>
        </is>
      </c>
      <c r="C3025" s="33" t="inlineStr">
        <is>
          <t>Toute la journée</t>
        </is>
      </c>
      <c r="D3025" s="49" t="inlineStr">
        <is>
          <t>Herbe</t>
        </is>
      </c>
      <c r="E3025" s="37" t="inlineStr">
        <is>
          <t>SOPORIFIK</t>
        </is>
      </c>
      <c r="F3025" s="38" t="n">
        <v>0.2</v>
      </c>
      <c r="G3025" s="39" t="n">
        <v>27</v>
      </c>
      <c r="H3025" s="39" t="n">
        <v>28</v>
      </c>
      <c r="I3025" s="29">
        <f>IF(OR(COUNTIF('Suivi des rencontres'!$A:$A,$A3025)&gt;0,COUNTIF('Suivi des rencontres'!$C:$C,$J3025)&gt;0),"Non","Oui")</f>
        <v/>
      </c>
      <c r="J3025" s="30" t="inlineStr">
        <is>
          <t>SOPORIFIK</t>
        </is>
      </c>
    </row>
    <row r="3026">
      <c r="A3026" s="35" t="inlineStr">
        <is>
          <t>Tourb'Iles</t>
        </is>
      </c>
      <c r="B3026" s="35" t="inlineStr">
        <is>
          <t>WhirlIslands_B3F_hns</t>
        </is>
      </c>
      <c r="C3026" s="33" t="inlineStr">
        <is>
          <t>Toute la journée</t>
        </is>
      </c>
      <c r="D3026" s="49" t="inlineStr">
        <is>
          <t>Herbe</t>
        </is>
      </c>
      <c r="E3026" s="37" t="inlineStr">
        <is>
          <t>OTARIA</t>
        </is>
      </c>
      <c r="F3026" s="38" t="n">
        <v>0.19</v>
      </c>
      <c r="G3026" s="39" t="n">
        <v>26</v>
      </c>
      <c r="H3026" s="39" t="n">
        <v>28</v>
      </c>
      <c r="I3026" s="29">
        <f>IF(OR(COUNTIF('Suivi des rencontres'!$A:$A,$A3026)&gt;0,COUNTIF('Suivi des rencontres'!$C:$C,$J3026)&gt;0),"Non","Oui")</f>
        <v/>
      </c>
      <c r="J3026" s="30" t="inlineStr">
        <is>
          <t>OTARIA</t>
        </is>
      </c>
    </row>
    <row r="3027">
      <c r="A3027" s="35" t="inlineStr">
        <is>
          <t>Tourb'Iles</t>
        </is>
      </c>
      <c r="B3027" s="35" t="inlineStr">
        <is>
          <t>WhirlIslands_B3F_hns</t>
        </is>
      </c>
      <c r="C3027" s="33" t="inlineStr">
        <is>
          <t>Toute la journée</t>
        </is>
      </c>
      <c r="D3027" s="49" t="inlineStr">
        <is>
          <t>Herbe</t>
        </is>
      </c>
      <c r="E3027" s="37" t="inlineStr">
        <is>
          <t>AIRMURE</t>
        </is>
      </c>
      <c r="F3027" s="38" t="n">
        <v>0.1</v>
      </c>
      <c r="G3027" s="39" t="n">
        <v>28</v>
      </c>
      <c r="H3027" s="39" t="n">
        <v>29</v>
      </c>
      <c r="I3027" s="29">
        <f>IF(OR(COUNTIF('Suivi des rencontres'!$A:$A,$A3027)&gt;0,COUNTIF('Suivi des rencontres'!$C:$C,$J3027)&gt;0),"Non","Oui")</f>
        <v/>
      </c>
      <c r="J3027" s="30" t="inlineStr">
        <is>
          <t>AIRMURE</t>
        </is>
      </c>
    </row>
    <row r="3028">
      <c r="A3028" s="35" t="inlineStr">
        <is>
          <t>Tourb'Iles</t>
        </is>
      </c>
      <c r="B3028" s="35" t="inlineStr">
        <is>
          <t>WhirlIslands_B3F_hns</t>
        </is>
      </c>
      <c r="C3028" s="33" t="inlineStr">
        <is>
          <t>Toute la journée</t>
        </is>
      </c>
      <c r="D3028" s="49" t="inlineStr">
        <is>
          <t>Herbe</t>
        </is>
      </c>
      <c r="E3028" s="37" t="inlineStr">
        <is>
          <t>NOSFERALTO</t>
        </is>
      </c>
      <c r="F3028" s="38" t="n">
        <v>0.06</v>
      </c>
      <c r="G3028" s="39" t="n">
        <v>27</v>
      </c>
      <c r="H3028" s="39" t="n">
        <v>28</v>
      </c>
      <c r="I3028" s="29">
        <f>IF(OR(COUNTIF('Suivi des rencontres'!$A:$A,$A3028)&gt;0,COUNTIF('Suivi des rencontres'!$C:$C,$J3028)&gt;0),"Non","Oui")</f>
        <v/>
      </c>
      <c r="J3028" s="30" t="inlineStr">
        <is>
          <t>NOSFERAPTI</t>
        </is>
      </c>
    </row>
    <row r="3029">
      <c r="A3029" s="35" t="inlineStr">
        <is>
          <t>Tourb'Iles</t>
        </is>
      </c>
      <c r="B3029" s="35" t="inlineStr">
        <is>
          <t>WhirlIslands_B3F_hns</t>
        </is>
      </c>
      <c r="C3029" s="33" t="inlineStr">
        <is>
          <t>Toute la journée</t>
        </is>
      </c>
      <c r="D3029" s="49" t="inlineStr">
        <is>
          <t>Herbe</t>
        </is>
      </c>
      <c r="E3029" s="37" t="inlineStr">
        <is>
          <t>LAMANTINE</t>
        </is>
      </c>
      <c r="F3029" s="38" t="n">
        <v>0.05</v>
      </c>
      <c r="G3029" s="39" t="n">
        <v>27</v>
      </c>
      <c r="H3029" s="39" t="n">
        <v>28</v>
      </c>
      <c r="I3029" s="29">
        <f>IF(OR(COUNTIF('Suivi des rencontres'!$A:$A,$A3029)&gt;0,COUNTIF('Suivi des rencontres'!$C:$C,$J3029)&gt;0),"Non","Oui")</f>
        <v/>
      </c>
      <c r="J3029" s="30" t="inlineStr">
        <is>
          <t>OTARIA</t>
        </is>
      </c>
    </row>
    <row r="3030">
      <c r="A3030" s="35" t="inlineStr">
        <is>
          <t>Tourb'Iles</t>
        </is>
      </c>
      <c r="B3030" s="35" t="inlineStr">
        <is>
          <t>WhirlIslands_B3F_hns</t>
        </is>
      </c>
      <c r="C3030" s="33" t="inlineStr">
        <is>
          <t>Toute la journée</t>
        </is>
      </c>
      <c r="D3030" s="53" t="inlineStr">
        <is>
          <t>Surf</t>
        </is>
      </c>
      <c r="E3030" s="37" t="inlineStr">
        <is>
          <t>HYPOTREMPE</t>
        </is>
      </c>
      <c r="F3030" s="38" t="n">
        <v>0.6899999999999999</v>
      </c>
      <c r="G3030" s="39" t="n">
        <v>15</v>
      </c>
      <c r="H3030" s="39" t="n">
        <v>24</v>
      </c>
      <c r="I3030" s="29">
        <f>IF(OR(COUNTIF('Suivi des rencontres'!$A:$A,$A3030)&gt;0,COUNTIF('Suivi des rencontres'!$C:$C,$J3030)&gt;0),"Non","Oui")</f>
        <v/>
      </c>
      <c r="J3030" s="30" t="inlineStr">
        <is>
          <t>HYPOTREMPE</t>
        </is>
      </c>
    </row>
    <row r="3031">
      <c r="A3031" s="35" t="inlineStr">
        <is>
          <t>Tourb'Iles</t>
        </is>
      </c>
      <c r="B3031" s="35" t="inlineStr">
        <is>
          <t>WhirlIslands_B3F_hns</t>
        </is>
      </c>
      <c r="C3031" s="33" t="inlineStr">
        <is>
          <t>Toute la journée</t>
        </is>
      </c>
      <c r="D3031" s="53" t="inlineStr">
        <is>
          <t>Surf</t>
        </is>
      </c>
      <c r="E3031" s="37" t="inlineStr">
        <is>
          <t>TENTACRUEL</t>
        </is>
      </c>
      <c r="F3031" s="38" t="n">
        <v>0.31</v>
      </c>
      <c r="G3031" s="39" t="n">
        <v>20</v>
      </c>
      <c r="H3031" s="39" t="n">
        <v>24</v>
      </c>
      <c r="I3031" s="29">
        <f>IF(OR(COUNTIF('Suivi des rencontres'!$A:$A,$A3031)&gt;0,COUNTIF('Suivi des rencontres'!$C:$C,$J3031)&gt;0),"Non","Oui")</f>
        <v/>
      </c>
      <c r="J3031" s="30" t="inlineStr">
        <is>
          <t>TENTACOOL</t>
        </is>
      </c>
    </row>
    <row r="3032">
      <c r="A3032" s="35" t="inlineStr">
        <is>
          <t>Tourb'Iles</t>
        </is>
      </c>
      <c r="B3032" s="35" t="inlineStr">
        <is>
          <t>WhirlIslands_B3F_hns</t>
        </is>
      </c>
      <c r="C3032" s="33" t="inlineStr">
        <is>
          <t>Toute la journée</t>
        </is>
      </c>
      <c r="D3032" s="54" t="inlineStr">
        <is>
          <t>Vieille Canne</t>
        </is>
      </c>
      <c r="E3032" s="37" t="inlineStr">
        <is>
          <t>MAGICARPE</t>
        </is>
      </c>
      <c r="F3032" s="38" t="n">
        <v>0.7</v>
      </c>
      <c r="G3032" s="39" t="n">
        <v>10</v>
      </c>
      <c r="H3032" s="39" t="n">
        <v>10</v>
      </c>
      <c r="I3032" s="29">
        <f>IF(OR(COUNTIF('Suivi des rencontres'!$A:$A,$A3032)&gt;0,COUNTIF('Suivi des rencontres'!$C:$C,$J3032)&gt;0),"Non","Oui")</f>
        <v/>
      </c>
      <c r="J3032" s="30" t="inlineStr">
        <is>
          <t>MAGICARPE</t>
        </is>
      </c>
    </row>
    <row r="3033">
      <c r="A3033" s="35" t="inlineStr">
        <is>
          <t>Tourb'Iles</t>
        </is>
      </c>
      <c r="B3033" s="35" t="inlineStr">
        <is>
          <t>WhirlIslands_B3F_hns</t>
        </is>
      </c>
      <c r="C3033" s="33" t="inlineStr">
        <is>
          <t>Toute la journée</t>
        </is>
      </c>
      <c r="D3033" s="54" t="inlineStr">
        <is>
          <t>Vieille Canne</t>
        </is>
      </c>
      <c r="E3033" s="37" t="inlineStr">
        <is>
          <t>KRABBY</t>
        </is>
      </c>
      <c r="F3033" s="38" t="n">
        <v>0.3</v>
      </c>
      <c r="G3033" s="39" t="n">
        <v>10</v>
      </c>
      <c r="H3033" s="39" t="n">
        <v>10</v>
      </c>
      <c r="I3033" s="29">
        <f>IF(OR(COUNTIF('Suivi des rencontres'!$A:$A,$A3033)&gt;0,COUNTIF('Suivi des rencontres'!$C:$C,$J3033)&gt;0),"Non","Oui")</f>
        <v/>
      </c>
      <c r="J3033" s="30" t="inlineStr">
        <is>
          <t>KRABBY</t>
        </is>
      </c>
    </row>
    <row r="3034">
      <c r="A3034" s="35" t="inlineStr">
        <is>
          <t>Tourb'Iles</t>
        </is>
      </c>
      <c r="B3034" s="35" t="inlineStr">
        <is>
          <t>WhirlIslands_B3F_hns</t>
        </is>
      </c>
      <c r="C3034" s="33" t="inlineStr">
        <is>
          <t>Toute la journée</t>
        </is>
      </c>
      <c r="D3034" s="55" t="inlineStr">
        <is>
          <t>Bonne Canne</t>
        </is>
      </c>
      <c r="E3034" s="37" t="inlineStr">
        <is>
          <t>KRABBY</t>
        </is>
      </c>
      <c r="F3034" s="38" t="n">
        <v>0.6</v>
      </c>
      <c r="G3034" s="39" t="n">
        <v>20</v>
      </c>
      <c r="H3034" s="39" t="n">
        <v>20</v>
      </c>
      <c r="I3034" s="29">
        <f>IF(OR(COUNTIF('Suivi des rencontres'!$A:$A,$A3034)&gt;0,COUNTIF('Suivi des rencontres'!$C:$C,$J3034)&gt;0),"Non","Oui")</f>
        <v/>
      </c>
      <c r="J3034" s="30" t="inlineStr">
        <is>
          <t>KRABBY</t>
        </is>
      </c>
    </row>
    <row r="3035">
      <c r="A3035" s="35" t="inlineStr">
        <is>
          <t>Tourb'Iles</t>
        </is>
      </c>
      <c r="B3035" s="35" t="inlineStr">
        <is>
          <t>WhirlIslands_B3F_hns</t>
        </is>
      </c>
      <c r="C3035" s="33" t="inlineStr">
        <is>
          <t>Toute la journée</t>
        </is>
      </c>
      <c r="D3035" s="55" t="inlineStr">
        <is>
          <t>Bonne Canne</t>
        </is>
      </c>
      <c r="E3035" s="37" t="inlineStr">
        <is>
          <t>HYPOTREMPE</t>
        </is>
      </c>
      <c r="F3035" s="38" t="n">
        <v>0.2</v>
      </c>
      <c r="G3035" s="39" t="n">
        <v>20</v>
      </c>
      <c r="H3035" s="39" t="n">
        <v>20</v>
      </c>
      <c r="I3035" s="29">
        <f>IF(OR(COUNTIF('Suivi des rencontres'!$A:$A,$A3035)&gt;0,COUNTIF('Suivi des rencontres'!$C:$C,$J3035)&gt;0),"Non","Oui")</f>
        <v/>
      </c>
      <c r="J3035" s="30" t="inlineStr">
        <is>
          <t>HYPOTREMPE</t>
        </is>
      </c>
    </row>
    <row r="3036">
      <c r="A3036" s="35" t="inlineStr">
        <is>
          <t>Tourb'Iles</t>
        </is>
      </c>
      <c r="B3036" s="35" t="inlineStr">
        <is>
          <t>WhirlIslands_B3F_hns</t>
        </is>
      </c>
      <c r="C3036" s="33" t="inlineStr">
        <is>
          <t>Toute la journée</t>
        </is>
      </c>
      <c r="D3036" s="55" t="inlineStr">
        <is>
          <t>Bonne Canne</t>
        </is>
      </c>
      <c r="E3036" s="37" t="inlineStr">
        <is>
          <t>MAGICARPE</t>
        </is>
      </c>
      <c r="F3036" s="38" t="n">
        <v>0.2</v>
      </c>
      <c r="G3036" s="39" t="n">
        <v>20</v>
      </c>
      <c r="H3036" s="39" t="n">
        <v>20</v>
      </c>
      <c r="I3036" s="29">
        <f>IF(OR(COUNTIF('Suivi des rencontres'!$A:$A,$A3036)&gt;0,COUNTIF('Suivi des rencontres'!$C:$C,$J3036)&gt;0),"Non","Oui")</f>
        <v/>
      </c>
      <c r="J3036" s="30" t="inlineStr">
        <is>
          <t>MAGICARPE</t>
        </is>
      </c>
    </row>
    <row r="3037">
      <c r="A3037" s="35" t="inlineStr">
        <is>
          <t>Tourb'Iles</t>
        </is>
      </c>
      <c r="B3037" s="35" t="inlineStr">
        <is>
          <t>WhirlIslands_B3F_hns</t>
        </is>
      </c>
      <c r="C3037" s="33" t="inlineStr">
        <is>
          <t>Toute la journée</t>
        </is>
      </c>
      <c r="D3037" s="56" t="inlineStr">
        <is>
          <t>Super Canne</t>
        </is>
      </c>
      <c r="E3037" s="37" t="inlineStr">
        <is>
          <t>HYPOTREMPE</t>
        </is>
      </c>
      <c r="F3037" s="38" t="n">
        <v>0.4</v>
      </c>
      <c r="G3037" s="39" t="n">
        <v>40</v>
      </c>
      <c r="H3037" s="39" t="n">
        <v>40</v>
      </c>
      <c r="I3037" s="29">
        <f>IF(OR(COUNTIF('Suivi des rencontres'!$A:$A,$A3037)&gt;0,COUNTIF('Suivi des rencontres'!$C:$C,$J3037)&gt;0),"Non","Oui")</f>
        <v/>
      </c>
      <c r="J3037" s="30" t="inlineStr">
        <is>
          <t>HYPOTREMPE</t>
        </is>
      </c>
    </row>
    <row r="3038">
      <c r="A3038" s="35" t="inlineStr">
        <is>
          <t>Tourb'Iles</t>
        </is>
      </c>
      <c r="B3038" s="35" t="inlineStr">
        <is>
          <t>WhirlIslands_B3F_hns</t>
        </is>
      </c>
      <c r="C3038" s="33" t="inlineStr">
        <is>
          <t>Toute la journée</t>
        </is>
      </c>
      <c r="D3038" s="56" t="inlineStr">
        <is>
          <t>Super Canne</t>
        </is>
      </c>
      <c r="E3038" s="37" t="inlineStr">
        <is>
          <t>KRABBY</t>
        </is>
      </c>
      <c r="F3038" s="38" t="n">
        <v>0.4</v>
      </c>
      <c r="G3038" s="39" t="n">
        <v>40</v>
      </c>
      <c r="H3038" s="39" t="n">
        <v>40</v>
      </c>
      <c r="I3038" s="29">
        <f>IF(OR(COUNTIF('Suivi des rencontres'!$A:$A,$A3038)&gt;0,COUNTIF('Suivi des rencontres'!$C:$C,$J3038)&gt;0),"Non","Oui")</f>
        <v/>
      </c>
      <c r="J3038" s="30" t="inlineStr">
        <is>
          <t>KRABBY</t>
        </is>
      </c>
    </row>
    <row r="3039">
      <c r="A3039" s="35" t="inlineStr">
        <is>
          <t>Tourb'Iles</t>
        </is>
      </c>
      <c r="B3039" s="35" t="inlineStr">
        <is>
          <t>WhirlIslands_B3F_hns</t>
        </is>
      </c>
      <c r="C3039" s="33" t="inlineStr">
        <is>
          <t>Toute la journée</t>
        </is>
      </c>
      <c r="D3039" s="56" t="inlineStr">
        <is>
          <t>Super Canne</t>
        </is>
      </c>
      <c r="E3039" s="37" t="inlineStr">
        <is>
          <t>KRABBOSS</t>
        </is>
      </c>
      <c r="F3039" s="38" t="n">
        <v>0.15</v>
      </c>
      <c r="G3039" s="39" t="n">
        <v>40</v>
      </c>
      <c r="H3039" s="39" t="n">
        <v>40</v>
      </c>
      <c r="I3039" s="29">
        <f>IF(OR(COUNTIF('Suivi des rencontres'!$A:$A,$A3039)&gt;0,COUNTIF('Suivi des rencontres'!$C:$C,$J3039)&gt;0),"Non","Oui")</f>
        <v/>
      </c>
      <c r="J3039" s="30" t="inlineStr">
        <is>
          <t>KRABBY</t>
        </is>
      </c>
    </row>
    <row r="3040">
      <c r="A3040" s="35" t="inlineStr">
        <is>
          <t>Tourb'Iles</t>
        </is>
      </c>
      <c r="B3040" s="35" t="inlineStr">
        <is>
          <t>WhirlIslands_B3F_hns</t>
        </is>
      </c>
      <c r="C3040" s="33" t="inlineStr">
        <is>
          <t>Toute la journée</t>
        </is>
      </c>
      <c r="D3040" s="56" t="inlineStr">
        <is>
          <t>Super Canne</t>
        </is>
      </c>
      <c r="E3040" s="37" t="inlineStr">
        <is>
          <t>HYPOCEAN</t>
        </is>
      </c>
      <c r="F3040" s="38" t="n">
        <v>0.05</v>
      </c>
      <c r="G3040" s="39" t="n">
        <v>40</v>
      </c>
      <c r="H3040" s="39" t="n">
        <v>40</v>
      </c>
      <c r="I3040" s="29">
        <f>IF(OR(COUNTIF('Suivi des rencontres'!$A:$A,$A3040)&gt;0,COUNTIF('Suivi des rencontres'!$C:$C,$J3040)&gt;0),"Non","Oui")</f>
        <v/>
      </c>
      <c r="J3040" s="30" t="inlineStr">
        <is>
          <t>HYPOTREMPE</t>
        </is>
      </c>
    </row>
    <row r="3041">
      <c r="A3041" s="35" t="inlineStr">
        <is>
          <t>Tourb'Iles</t>
        </is>
      </c>
      <c r="B3041" s="35" t="inlineStr">
        <is>
          <t>WhirlIslands_Descent_hns</t>
        </is>
      </c>
      <c r="C3041" s="33" t="inlineStr">
        <is>
          <t>Toute la journée</t>
        </is>
      </c>
      <c r="D3041" s="49" t="inlineStr">
        <is>
          <t>Herbe</t>
        </is>
      </c>
      <c r="E3041" s="37" t="inlineStr">
        <is>
          <t>TENTACRUEL</t>
        </is>
      </c>
      <c r="F3041" s="38" t="n">
        <v>0.28</v>
      </c>
      <c r="G3041" s="39" t="n">
        <v>26</v>
      </c>
      <c r="H3041" s="39" t="n">
        <v>28</v>
      </c>
      <c r="I3041" s="29">
        <f>IF(OR(COUNTIF('Suivi des rencontres'!$A:$A,$A3041)&gt;0,COUNTIF('Suivi des rencontres'!$C:$C,$J3041)&gt;0),"Non","Oui")</f>
        <v/>
      </c>
      <c r="J3041" s="30" t="inlineStr">
        <is>
          <t>TENTACOOL</t>
        </is>
      </c>
    </row>
    <row r="3042">
      <c r="A3042" s="35" t="inlineStr">
        <is>
          <t>Tourb'Iles</t>
        </is>
      </c>
      <c r="B3042" s="35" t="inlineStr">
        <is>
          <t>WhirlIslands_Descent_hns</t>
        </is>
      </c>
      <c r="C3042" s="33" t="inlineStr">
        <is>
          <t>Toute la journée</t>
        </is>
      </c>
      <c r="D3042" s="49" t="inlineStr">
        <is>
          <t>Herbe</t>
        </is>
      </c>
      <c r="E3042" s="37" t="inlineStr">
        <is>
          <t>LAMANTINE</t>
        </is>
      </c>
      <c r="F3042" s="38" t="n">
        <v>0.2</v>
      </c>
      <c r="G3042" s="39" t="n">
        <v>28</v>
      </c>
      <c r="H3042" s="39" t="n">
        <v>29</v>
      </c>
      <c r="I3042" s="29">
        <f>IF(OR(COUNTIF('Suivi des rencontres'!$A:$A,$A3042)&gt;0,COUNTIF('Suivi des rencontres'!$C:$C,$J3042)&gt;0),"Non","Oui")</f>
        <v/>
      </c>
      <c r="J3042" s="30" t="inlineStr">
        <is>
          <t>OTARIA</t>
        </is>
      </c>
    </row>
    <row r="3043">
      <c r="A3043" s="35" t="inlineStr">
        <is>
          <t>Tourb'Iles</t>
        </is>
      </c>
      <c r="B3043" s="35" t="inlineStr">
        <is>
          <t>WhirlIslands_Descent_hns</t>
        </is>
      </c>
      <c r="C3043" s="33" t="inlineStr">
        <is>
          <t>Toute la journée</t>
        </is>
      </c>
      <c r="D3043" s="49" t="inlineStr">
        <is>
          <t>Herbe</t>
        </is>
      </c>
      <c r="E3043" s="37" t="inlineStr">
        <is>
          <t>XATU</t>
        </is>
      </c>
      <c r="F3043" s="38" t="n">
        <v>0.2</v>
      </c>
      <c r="G3043" s="39" t="n">
        <v>27</v>
      </c>
      <c r="H3043" s="39" t="n">
        <v>28</v>
      </c>
      <c r="I3043" s="29">
        <f>IF(OR(COUNTIF('Suivi des rencontres'!$A:$A,$A3043)&gt;0,COUNTIF('Suivi des rencontres'!$C:$C,$J3043)&gt;0),"Non","Oui")</f>
        <v/>
      </c>
      <c r="J3043" s="30" t="inlineStr">
        <is>
          <t>NATU</t>
        </is>
      </c>
    </row>
    <row r="3044">
      <c r="A3044" s="35" t="inlineStr">
        <is>
          <t>Tourb'Iles</t>
        </is>
      </c>
      <c r="B3044" s="35" t="inlineStr">
        <is>
          <t>WhirlIslands_Descent_hns</t>
        </is>
      </c>
      <c r="C3044" s="33" t="inlineStr">
        <is>
          <t>Toute la journée</t>
        </is>
      </c>
      <c r="D3044" s="49" t="inlineStr">
        <is>
          <t>Herbe</t>
        </is>
      </c>
      <c r="E3044" s="37" t="inlineStr">
        <is>
          <t>NOSFERALTO</t>
        </is>
      </c>
      <c r="F3044" s="38" t="n">
        <v>0.15</v>
      </c>
      <c r="G3044" s="39" t="n">
        <v>27</v>
      </c>
      <c r="H3044" s="39" t="n">
        <v>29</v>
      </c>
      <c r="I3044" s="29">
        <f>IF(OR(COUNTIF('Suivi des rencontres'!$A:$A,$A3044)&gt;0,COUNTIF('Suivi des rencontres'!$C:$C,$J3044)&gt;0),"Non","Oui")</f>
        <v/>
      </c>
      <c r="J3044" s="30" t="inlineStr">
        <is>
          <t>NOSFERAPTI</t>
        </is>
      </c>
    </row>
    <row r="3045">
      <c r="A3045" s="35" t="inlineStr">
        <is>
          <t>Tourb'Iles</t>
        </is>
      </c>
      <c r="B3045" s="35" t="inlineStr">
        <is>
          <t>WhirlIslands_Descent_hns</t>
        </is>
      </c>
      <c r="C3045" s="33" t="inlineStr">
        <is>
          <t>Toute la journée</t>
        </is>
      </c>
      <c r="D3045" s="49" t="inlineStr">
        <is>
          <t>Herbe</t>
        </is>
      </c>
      <c r="E3045" s="37" t="inlineStr">
        <is>
          <t>OTARIA</t>
        </is>
      </c>
      <c r="F3045" s="38" t="n">
        <v>0.15</v>
      </c>
      <c r="G3045" s="39" t="n">
        <v>26</v>
      </c>
      <c r="H3045" s="39" t="n">
        <v>28</v>
      </c>
      <c r="I3045" s="29">
        <f>IF(OR(COUNTIF('Suivi des rencontres'!$A:$A,$A3045)&gt;0,COUNTIF('Suivi des rencontres'!$C:$C,$J3045)&gt;0),"Non","Oui")</f>
        <v/>
      </c>
      <c r="J3045" s="30" t="inlineStr">
        <is>
          <t>OTARIA</t>
        </is>
      </c>
    </row>
    <row r="3046">
      <c r="A3046" s="35" t="inlineStr">
        <is>
          <t>Tourb'Iles</t>
        </is>
      </c>
      <c r="B3046" s="35" t="inlineStr">
        <is>
          <t>WhirlIslands_Descent_hns</t>
        </is>
      </c>
      <c r="C3046" s="33" t="inlineStr">
        <is>
          <t>Toute la journée</t>
        </is>
      </c>
      <c r="D3046" s="49" t="inlineStr">
        <is>
          <t>Herbe</t>
        </is>
      </c>
      <c r="E3046" s="37" t="inlineStr">
        <is>
          <t>AMONITA</t>
        </is>
      </c>
      <c r="F3046" s="38" t="n">
        <v>0.01</v>
      </c>
      <c r="G3046" s="39" t="n">
        <v>27</v>
      </c>
      <c r="H3046" s="39" t="n">
        <v>28</v>
      </c>
      <c r="I3046" s="29">
        <f>IF(OR(COUNTIF('Suivi des rencontres'!$A:$A,$A3046)&gt;0,COUNTIF('Suivi des rencontres'!$C:$C,$J3046)&gt;0),"Non","Oui")</f>
        <v/>
      </c>
      <c r="J3046" s="30" t="inlineStr">
        <is>
          <t>AMONITA</t>
        </is>
      </c>
    </row>
    <row r="3047">
      <c r="A3047" s="35" t="inlineStr">
        <is>
          <t>Tourb'Iles</t>
        </is>
      </c>
      <c r="B3047" s="35" t="inlineStr">
        <is>
          <t>WhirlIslands_Descent_hns</t>
        </is>
      </c>
      <c r="C3047" s="33" t="inlineStr">
        <is>
          <t>Toute la journée</t>
        </is>
      </c>
      <c r="D3047" s="49" t="inlineStr">
        <is>
          <t>Herbe</t>
        </is>
      </c>
      <c r="E3047" s="37" t="inlineStr">
        <is>
          <t>KABUTO</t>
        </is>
      </c>
      <c r="F3047" s="38" t="n">
        <v>0.01</v>
      </c>
      <c r="G3047" s="39" t="n">
        <v>27</v>
      </c>
      <c r="H3047" s="39" t="n">
        <v>28</v>
      </c>
      <c r="I3047" s="29">
        <f>IF(OR(COUNTIF('Suivi des rencontres'!$A:$A,$A3047)&gt;0,COUNTIF('Suivi des rencontres'!$C:$C,$J3047)&gt;0),"Non","Oui")</f>
        <v/>
      </c>
      <c r="J3047" s="30" t="inlineStr">
        <is>
          <t>KABUTO</t>
        </is>
      </c>
    </row>
    <row r="3048">
      <c r="A3048" s="35" t="inlineStr">
        <is>
          <t>Tourb'Iles</t>
        </is>
      </c>
      <c r="B3048" s="35" t="inlineStr">
        <is>
          <t>WhirlIslands_Descent_hns</t>
        </is>
      </c>
      <c r="C3048" s="33" t="inlineStr">
        <is>
          <t>Toute la journée</t>
        </is>
      </c>
      <c r="D3048" s="53" t="inlineStr">
        <is>
          <t>Surf</t>
        </is>
      </c>
      <c r="E3048" s="37" t="inlineStr">
        <is>
          <t>HYPOTREMPE</t>
        </is>
      </c>
      <c r="F3048" s="38" t="n">
        <v>0.6899999999999999</v>
      </c>
      <c r="G3048" s="39" t="n">
        <v>15</v>
      </c>
      <c r="H3048" s="39" t="n">
        <v>24</v>
      </c>
      <c r="I3048" s="29">
        <f>IF(OR(COUNTIF('Suivi des rencontres'!$A:$A,$A3048)&gt;0,COUNTIF('Suivi des rencontres'!$C:$C,$J3048)&gt;0),"Non","Oui")</f>
        <v/>
      </c>
      <c r="J3048" s="30" t="inlineStr">
        <is>
          <t>HYPOTREMPE</t>
        </is>
      </c>
    </row>
    <row r="3049">
      <c r="A3049" s="35" t="inlineStr">
        <is>
          <t>Tourb'Iles</t>
        </is>
      </c>
      <c r="B3049" s="35" t="inlineStr">
        <is>
          <t>WhirlIslands_Descent_hns</t>
        </is>
      </c>
      <c r="C3049" s="33" t="inlineStr">
        <is>
          <t>Toute la journée</t>
        </is>
      </c>
      <c r="D3049" s="53" t="inlineStr">
        <is>
          <t>Surf</t>
        </is>
      </c>
      <c r="E3049" s="37" t="inlineStr">
        <is>
          <t>TENTACRUEL</t>
        </is>
      </c>
      <c r="F3049" s="38" t="n">
        <v>0.31</v>
      </c>
      <c r="G3049" s="39" t="n">
        <v>20</v>
      </c>
      <c r="H3049" s="39" t="n">
        <v>24</v>
      </c>
      <c r="I3049" s="29">
        <f>IF(OR(COUNTIF('Suivi des rencontres'!$A:$A,$A3049)&gt;0,COUNTIF('Suivi des rencontres'!$C:$C,$J3049)&gt;0),"Non","Oui")</f>
        <v/>
      </c>
      <c r="J3049" s="30" t="inlineStr">
        <is>
          <t>TENTACOOL</t>
        </is>
      </c>
    </row>
    <row r="3050">
      <c r="A3050" s="35" t="inlineStr">
        <is>
          <t>Tourb'Iles</t>
        </is>
      </c>
      <c r="B3050" s="35" t="inlineStr">
        <is>
          <t>WhirlIslands_Descent_hns</t>
        </is>
      </c>
      <c r="C3050" s="33" t="inlineStr">
        <is>
          <t>Toute la journée</t>
        </is>
      </c>
      <c r="D3050" s="54" t="inlineStr">
        <is>
          <t>Vieille Canne</t>
        </is>
      </c>
      <c r="E3050" s="37" t="inlineStr">
        <is>
          <t>MAGICARPE</t>
        </is>
      </c>
      <c r="F3050" s="38" t="n">
        <v>0.7</v>
      </c>
      <c r="G3050" s="39" t="n">
        <v>10</v>
      </c>
      <c r="H3050" s="39" t="n">
        <v>10</v>
      </c>
      <c r="I3050" s="29">
        <f>IF(OR(COUNTIF('Suivi des rencontres'!$A:$A,$A3050)&gt;0,COUNTIF('Suivi des rencontres'!$C:$C,$J3050)&gt;0),"Non","Oui")</f>
        <v/>
      </c>
      <c r="J3050" s="30" t="inlineStr">
        <is>
          <t>MAGICARPE</t>
        </is>
      </c>
    </row>
    <row r="3051">
      <c r="A3051" s="35" t="inlineStr">
        <is>
          <t>Tourb'Iles</t>
        </is>
      </c>
      <c r="B3051" s="35" t="inlineStr">
        <is>
          <t>WhirlIslands_Descent_hns</t>
        </is>
      </c>
      <c r="C3051" s="33" t="inlineStr">
        <is>
          <t>Toute la journée</t>
        </is>
      </c>
      <c r="D3051" s="54" t="inlineStr">
        <is>
          <t>Vieille Canne</t>
        </is>
      </c>
      <c r="E3051" s="37" t="inlineStr">
        <is>
          <t>KRABBY</t>
        </is>
      </c>
      <c r="F3051" s="38" t="n">
        <v>0.3</v>
      </c>
      <c r="G3051" s="39" t="n">
        <v>10</v>
      </c>
      <c r="H3051" s="39" t="n">
        <v>10</v>
      </c>
      <c r="I3051" s="29">
        <f>IF(OR(COUNTIF('Suivi des rencontres'!$A:$A,$A3051)&gt;0,COUNTIF('Suivi des rencontres'!$C:$C,$J3051)&gt;0),"Non","Oui")</f>
        <v/>
      </c>
      <c r="J3051" s="30" t="inlineStr">
        <is>
          <t>KRABBY</t>
        </is>
      </c>
    </row>
    <row r="3052">
      <c r="A3052" s="35" t="inlineStr">
        <is>
          <t>Tourb'Iles</t>
        </is>
      </c>
      <c r="B3052" s="35" t="inlineStr">
        <is>
          <t>WhirlIslands_Descent_hns</t>
        </is>
      </c>
      <c r="C3052" s="33" t="inlineStr">
        <is>
          <t>Toute la journée</t>
        </is>
      </c>
      <c r="D3052" s="55" t="inlineStr">
        <is>
          <t>Bonne Canne</t>
        </is>
      </c>
      <c r="E3052" s="37" t="inlineStr">
        <is>
          <t>KRABBY</t>
        </is>
      </c>
      <c r="F3052" s="38" t="n">
        <v>0.6</v>
      </c>
      <c r="G3052" s="39" t="n">
        <v>20</v>
      </c>
      <c r="H3052" s="39" t="n">
        <v>20</v>
      </c>
      <c r="I3052" s="29">
        <f>IF(OR(COUNTIF('Suivi des rencontres'!$A:$A,$A3052)&gt;0,COUNTIF('Suivi des rencontres'!$C:$C,$J3052)&gt;0),"Non","Oui")</f>
        <v/>
      </c>
      <c r="J3052" s="30" t="inlineStr">
        <is>
          <t>KRABBY</t>
        </is>
      </c>
    </row>
    <row r="3053">
      <c r="A3053" s="35" t="inlineStr">
        <is>
          <t>Tourb'Iles</t>
        </is>
      </c>
      <c r="B3053" s="35" t="inlineStr">
        <is>
          <t>WhirlIslands_Descent_hns</t>
        </is>
      </c>
      <c r="C3053" s="33" t="inlineStr">
        <is>
          <t>Toute la journée</t>
        </is>
      </c>
      <c r="D3053" s="55" t="inlineStr">
        <is>
          <t>Bonne Canne</t>
        </is>
      </c>
      <c r="E3053" s="37" t="inlineStr">
        <is>
          <t>HYPOTREMPE</t>
        </is>
      </c>
      <c r="F3053" s="38" t="n">
        <v>0.2</v>
      </c>
      <c r="G3053" s="39" t="n">
        <v>20</v>
      </c>
      <c r="H3053" s="39" t="n">
        <v>20</v>
      </c>
      <c r="I3053" s="29">
        <f>IF(OR(COUNTIF('Suivi des rencontres'!$A:$A,$A3053)&gt;0,COUNTIF('Suivi des rencontres'!$C:$C,$J3053)&gt;0),"Non","Oui")</f>
        <v/>
      </c>
      <c r="J3053" s="30" t="inlineStr">
        <is>
          <t>HYPOTREMPE</t>
        </is>
      </c>
    </row>
    <row r="3054">
      <c r="A3054" s="35" t="inlineStr">
        <is>
          <t>Tourb'Iles</t>
        </is>
      </c>
      <c r="B3054" s="35" t="inlineStr">
        <is>
          <t>WhirlIslands_Descent_hns</t>
        </is>
      </c>
      <c r="C3054" s="33" t="inlineStr">
        <is>
          <t>Toute la journée</t>
        </is>
      </c>
      <c r="D3054" s="55" t="inlineStr">
        <is>
          <t>Bonne Canne</t>
        </is>
      </c>
      <c r="E3054" s="37" t="inlineStr">
        <is>
          <t>MAGICARPE</t>
        </is>
      </c>
      <c r="F3054" s="38" t="n">
        <v>0.2</v>
      </c>
      <c r="G3054" s="39" t="n">
        <v>20</v>
      </c>
      <c r="H3054" s="39" t="n">
        <v>20</v>
      </c>
      <c r="I3054" s="29">
        <f>IF(OR(COUNTIF('Suivi des rencontres'!$A:$A,$A3054)&gt;0,COUNTIF('Suivi des rencontres'!$C:$C,$J3054)&gt;0),"Non","Oui")</f>
        <v/>
      </c>
      <c r="J3054" s="30" t="inlineStr">
        <is>
          <t>MAGICARPE</t>
        </is>
      </c>
    </row>
    <row r="3055">
      <c r="A3055" s="35" t="inlineStr">
        <is>
          <t>Tourb'Iles</t>
        </is>
      </c>
      <c r="B3055" s="35" t="inlineStr">
        <is>
          <t>WhirlIslands_Descent_hns</t>
        </is>
      </c>
      <c r="C3055" s="33" t="inlineStr">
        <is>
          <t>Toute la journée</t>
        </is>
      </c>
      <c r="D3055" s="56" t="inlineStr">
        <is>
          <t>Super Canne</t>
        </is>
      </c>
      <c r="E3055" s="37" t="inlineStr">
        <is>
          <t>HYPOTREMPE</t>
        </is>
      </c>
      <c r="F3055" s="38" t="n">
        <v>0.4</v>
      </c>
      <c r="G3055" s="39" t="n">
        <v>40</v>
      </c>
      <c r="H3055" s="39" t="n">
        <v>40</v>
      </c>
      <c r="I3055" s="29">
        <f>IF(OR(COUNTIF('Suivi des rencontres'!$A:$A,$A3055)&gt;0,COUNTIF('Suivi des rencontres'!$C:$C,$J3055)&gt;0),"Non","Oui")</f>
        <v/>
      </c>
      <c r="J3055" s="30" t="inlineStr">
        <is>
          <t>HYPOTREMPE</t>
        </is>
      </c>
    </row>
    <row r="3056">
      <c r="A3056" s="35" t="inlineStr">
        <is>
          <t>Tourb'Iles</t>
        </is>
      </c>
      <c r="B3056" s="35" t="inlineStr">
        <is>
          <t>WhirlIslands_Descent_hns</t>
        </is>
      </c>
      <c r="C3056" s="33" t="inlineStr">
        <is>
          <t>Toute la journée</t>
        </is>
      </c>
      <c r="D3056" s="56" t="inlineStr">
        <is>
          <t>Super Canne</t>
        </is>
      </c>
      <c r="E3056" s="37" t="inlineStr">
        <is>
          <t>KRABBY</t>
        </is>
      </c>
      <c r="F3056" s="38" t="n">
        <v>0.4</v>
      </c>
      <c r="G3056" s="39" t="n">
        <v>40</v>
      </c>
      <c r="H3056" s="39" t="n">
        <v>40</v>
      </c>
      <c r="I3056" s="29">
        <f>IF(OR(COUNTIF('Suivi des rencontres'!$A:$A,$A3056)&gt;0,COUNTIF('Suivi des rencontres'!$C:$C,$J3056)&gt;0),"Non","Oui")</f>
        <v/>
      </c>
      <c r="J3056" s="30" t="inlineStr">
        <is>
          <t>KRABBY</t>
        </is>
      </c>
    </row>
    <row r="3057">
      <c r="A3057" s="35" t="inlineStr">
        <is>
          <t>Tourb'Iles</t>
        </is>
      </c>
      <c r="B3057" s="35" t="inlineStr">
        <is>
          <t>WhirlIslands_Descent_hns</t>
        </is>
      </c>
      <c r="C3057" s="33" t="inlineStr">
        <is>
          <t>Toute la journée</t>
        </is>
      </c>
      <c r="D3057" s="56" t="inlineStr">
        <is>
          <t>Super Canne</t>
        </is>
      </c>
      <c r="E3057" s="37" t="inlineStr">
        <is>
          <t>KRABBOSS</t>
        </is>
      </c>
      <c r="F3057" s="38" t="n">
        <v>0.15</v>
      </c>
      <c r="G3057" s="39" t="n">
        <v>40</v>
      </c>
      <c r="H3057" s="39" t="n">
        <v>40</v>
      </c>
      <c r="I3057" s="29">
        <f>IF(OR(COUNTIF('Suivi des rencontres'!$A:$A,$A3057)&gt;0,COUNTIF('Suivi des rencontres'!$C:$C,$J3057)&gt;0),"Non","Oui")</f>
        <v/>
      </c>
      <c r="J3057" s="30" t="inlineStr">
        <is>
          <t>KRABBY</t>
        </is>
      </c>
    </row>
    <row r="3058">
      <c r="A3058" s="35" t="inlineStr">
        <is>
          <t>Tourb'Iles</t>
        </is>
      </c>
      <c r="B3058" s="35" t="inlineStr">
        <is>
          <t>WhirlIslands_Descent_hns</t>
        </is>
      </c>
      <c r="C3058" s="33" t="inlineStr">
        <is>
          <t>Toute la journée</t>
        </is>
      </c>
      <c r="D3058" s="56" t="inlineStr">
        <is>
          <t>Super Canne</t>
        </is>
      </c>
      <c r="E3058" s="37" t="inlineStr">
        <is>
          <t>HYPOCEAN</t>
        </is>
      </c>
      <c r="F3058" s="38" t="n">
        <v>0.05</v>
      </c>
      <c r="G3058" s="39" t="n">
        <v>40</v>
      </c>
      <c r="H3058" s="39" t="n">
        <v>40</v>
      </c>
      <c r="I3058" s="29">
        <f>IF(OR(COUNTIF('Suivi des rencontres'!$A:$A,$A3058)&gt;0,COUNTIF('Suivi des rencontres'!$C:$C,$J3058)&gt;0),"Non","Oui")</f>
        <v/>
      </c>
      <c r="J3058" s="30" t="inlineStr">
        <is>
          <t>HYPOTREMPE</t>
        </is>
      </c>
    </row>
    <row r="3059">
      <c r="A3059" s="40" t="inlineStr">
        <is>
          <t>Ula-Ula</t>
        </is>
      </c>
      <c r="B3059" s="40" t="inlineStr">
        <is>
          <t>UlaulaIsle_hns</t>
        </is>
      </c>
      <c r="C3059" s="41" t="inlineStr">
        <is>
          <t>Toute la journée</t>
        </is>
      </c>
      <c r="D3059" s="42" t="inlineStr">
        <is>
          <t>Herbe</t>
        </is>
      </c>
      <c r="E3059" s="43" t="inlineStr">
        <is>
          <t>FEROSINGE</t>
        </is>
      </c>
      <c r="F3059" s="44" t="n">
        <v>0.34</v>
      </c>
      <c r="G3059" s="45" t="n">
        <v>43</v>
      </c>
      <c r="H3059" s="45" t="n">
        <v>45</v>
      </c>
      <c r="I3059" s="46">
        <f>IF(OR(COUNTIF('Suivi des rencontres'!$A:$A,$A3059)&gt;0,COUNTIF('Suivi des rencontres'!$C:$C,$J3059)&gt;0),"Non","Oui")</f>
        <v/>
      </c>
      <c r="J3059" s="30" t="inlineStr">
        <is>
          <t>FEROSINGE</t>
        </is>
      </c>
    </row>
    <row r="3060">
      <c r="A3060" s="47" t="inlineStr">
        <is>
          <t>Ula-Ula</t>
        </is>
      </c>
      <c r="B3060" s="47" t="inlineStr">
        <is>
          <t>UlaulaIsle_hns</t>
        </is>
      </c>
      <c r="C3060" s="48" t="inlineStr">
        <is>
          <t>Toute la journée</t>
        </is>
      </c>
      <c r="D3060" s="49" t="inlineStr">
        <is>
          <t>Herbe</t>
        </is>
      </c>
      <c r="E3060" s="50" t="inlineStr">
        <is>
          <t>MAKUHITA</t>
        </is>
      </c>
      <c r="F3060" s="51" t="n">
        <v>0.25</v>
      </c>
      <c r="G3060" s="52" t="n">
        <v>43</v>
      </c>
      <c r="H3060" s="52" t="n">
        <v>45</v>
      </c>
      <c r="I3060" s="29">
        <f>IF(OR(COUNTIF('Suivi des rencontres'!$A:$A,$A3060)&gt;0,COUNTIF('Suivi des rencontres'!$C:$C,$J3060)&gt;0),"Non","Oui")</f>
        <v/>
      </c>
      <c r="J3060" s="30" t="inlineStr">
        <is>
          <t>MAKUHITA</t>
        </is>
      </c>
    </row>
    <row r="3061">
      <c r="A3061" s="47" t="inlineStr">
        <is>
          <t>Ula-Ula</t>
        </is>
      </c>
      <c r="B3061" s="47" t="inlineStr">
        <is>
          <t>UlaulaIsle_hns</t>
        </is>
      </c>
      <c r="C3061" s="48" t="inlineStr">
        <is>
          <t>Toute la journée</t>
        </is>
      </c>
      <c r="D3061" s="49" t="inlineStr">
        <is>
          <t>Herbe</t>
        </is>
      </c>
      <c r="E3061" s="50" t="inlineStr">
        <is>
          <t>INSECATEUR</t>
        </is>
      </c>
      <c r="F3061" s="51" t="n">
        <v>0.1</v>
      </c>
      <c r="G3061" s="52" t="n">
        <v>43</v>
      </c>
      <c r="H3061" s="52" t="n">
        <v>45</v>
      </c>
      <c r="I3061" s="29">
        <f>IF(OR(COUNTIF('Suivi des rencontres'!$A:$A,$A3061)&gt;0,COUNTIF('Suivi des rencontres'!$C:$C,$J3061)&gt;0),"Non","Oui")</f>
        <v/>
      </c>
      <c r="J3061" s="30" t="inlineStr">
        <is>
          <t>INSECATEUR</t>
        </is>
      </c>
    </row>
    <row r="3062">
      <c r="A3062" s="47" t="inlineStr">
        <is>
          <t>Ula-Ula</t>
        </is>
      </c>
      <c r="B3062" s="47" t="inlineStr">
        <is>
          <t>UlaulaIsle_hns</t>
        </is>
      </c>
      <c r="C3062" s="48" t="inlineStr">
        <is>
          <t>Toute la journée</t>
        </is>
      </c>
      <c r="D3062" s="49" t="inlineStr">
        <is>
          <t>Herbe</t>
        </is>
      </c>
      <c r="E3062" s="50" t="inlineStr">
        <is>
          <t>SAQUEDENEU</t>
        </is>
      </c>
      <c r="F3062" s="51" t="n">
        <v>0.1</v>
      </c>
      <c r="G3062" s="52" t="n">
        <v>43</v>
      </c>
      <c r="H3062" s="52" t="n">
        <v>45</v>
      </c>
      <c r="I3062" s="29">
        <f>IF(OR(COUNTIF('Suivi des rencontres'!$A:$A,$A3062)&gt;0,COUNTIF('Suivi des rencontres'!$C:$C,$J3062)&gt;0),"Non","Oui")</f>
        <v/>
      </c>
      <c r="J3062" s="30" t="inlineStr">
        <is>
          <t>SAQUEDENEU</t>
        </is>
      </c>
    </row>
    <row r="3063">
      <c r="A3063" s="47" t="inlineStr">
        <is>
          <t>Ula-Ula</t>
        </is>
      </c>
      <c r="B3063" s="47" t="inlineStr">
        <is>
          <t>UlaulaIsle_hns</t>
        </is>
      </c>
      <c r="C3063" s="48" t="inlineStr">
        <is>
          <t>Toute la journée</t>
        </is>
      </c>
      <c r="D3063" s="49" t="inlineStr">
        <is>
          <t>Herbe</t>
        </is>
      </c>
      <c r="E3063" s="50" t="inlineStr">
        <is>
          <t>SCARABRUTE</t>
        </is>
      </c>
      <c r="F3063" s="51" t="n">
        <v>0.1</v>
      </c>
      <c r="G3063" s="52" t="n">
        <v>43</v>
      </c>
      <c r="H3063" s="52" t="n">
        <v>45</v>
      </c>
      <c r="I3063" s="29">
        <f>IF(OR(COUNTIF('Suivi des rencontres'!$A:$A,$A3063)&gt;0,COUNTIF('Suivi des rencontres'!$C:$C,$J3063)&gt;0),"Non","Oui")</f>
        <v/>
      </c>
      <c r="J3063" s="30" t="inlineStr">
        <is>
          <t>SCARABRUTE</t>
        </is>
      </c>
    </row>
    <row r="3064">
      <c r="A3064" s="47" t="inlineStr">
        <is>
          <t>Ula-Ula</t>
        </is>
      </c>
      <c r="B3064" s="47" t="inlineStr">
        <is>
          <t>UlaulaIsle_hns</t>
        </is>
      </c>
      <c r="C3064" s="48" t="inlineStr">
        <is>
          <t>Toute la journée</t>
        </is>
      </c>
      <c r="D3064" s="49" t="inlineStr">
        <is>
          <t>Herbe</t>
        </is>
      </c>
      <c r="E3064" s="50" t="inlineStr">
        <is>
          <t>BOULDENEU</t>
        </is>
      </c>
      <c r="F3064" s="51" t="n">
        <v>0.05</v>
      </c>
      <c r="G3064" s="52" t="n">
        <v>43</v>
      </c>
      <c r="H3064" s="52" t="n">
        <v>45</v>
      </c>
      <c r="I3064" s="29">
        <f>IF(OR(COUNTIF('Suivi des rencontres'!$A:$A,$A3064)&gt;0,COUNTIF('Suivi des rencontres'!$C:$C,$J3064)&gt;0),"Non","Oui")</f>
        <v/>
      </c>
      <c r="J3064" s="30" t="inlineStr">
        <is>
          <t>SAQUEDENEU</t>
        </is>
      </c>
    </row>
    <row r="3065">
      <c r="A3065" s="47" t="inlineStr">
        <is>
          <t>Ula-Ula</t>
        </is>
      </c>
      <c r="B3065" s="47" t="inlineStr">
        <is>
          <t>UlaulaIsle_hns</t>
        </is>
      </c>
      <c r="C3065" s="48" t="inlineStr">
        <is>
          <t>Toute la journée</t>
        </is>
      </c>
      <c r="D3065" s="49" t="inlineStr">
        <is>
          <t>Herbe</t>
        </is>
      </c>
      <c r="E3065" s="50" t="inlineStr">
        <is>
          <t>COLOSSINGE</t>
        </is>
      </c>
      <c r="F3065" s="51" t="n">
        <v>0.05</v>
      </c>
      <c r="G3065" s="52" t="n">
        <v>43</v>
      </c>
      <c r="H3065" s="52" t="n">
        <v>45</v>
      </c>
      <c r="I3065" s="29">
        <f>IF(OR(COUNTIF('Suivi des rencontres'!$A:$A,$A3065)&gt;0,COUNTIF('Suivi des rencontres'!$C:$C,$J3065)&gt;0),"Non","Oui")</f>
        <v/>
      </c>
      <c r="J3065" s="30" t="inlineStr">
        <is>
          <t>FEROSINGE</t>
        </is>
      </c>
    </row>
    <row r="3066">
      <c r="A3066" s="47" t="inlineStr">
        <is>
          <t>Ula-Ula</t>
        </is>
      </c>
      <c r="B3066" s="47" t="inlineStr">
        <is>
          <t>UlaulaIsle_hns</t>
        </is>
      </c>
      <c r="C3066" s="48" t="inlineStr">
        <is>
          <t>Toute la journée</t>
        </is>
      </c>
      <c r="D3066" s="49" t="inlineStr">
        <is>
          <t>Herbe</t>
        </is>
      </c>
      <c r="E3066" s="50" t="inlineStr">
        <is>
          <t>SCARHINO</t>
        </is>
      </c>
      <c r="F3066" s="51" t="n">
        <v>0.01</v>
      </c>
      <c r="G3066" s="52" t="n">
        <v>43</v>
      </c>
      <c r="H3066" s="52" t="n">
        <v>45</v>
      </c>
      <c r="I3066" s="29">
        <f>IF(OR(COUNTIF('Suivi des rencontres'!$A:$A,$A3066)&gt;0,COUNTIF('Suivi des rencontres'!$C:$C,$J3066)&gt;0),"Non","Oui")</f>
        <v/>
      </c>
      <c r="J3066" s="30" t="inlineStr">
        <is>
          <t>SCARHINO</t>
        </is>
      </c>
    </row>
    <row r="3067">
      <c r="A3067" s="47" t="inlineStr">
        <is>
          <t>Ula-Ula</t>
        </is>
      </c>
      <c r="B3067" s="47" t="inlineStr">
        <is>
          <t>UlaulaIsle_hns</t>
        </is>
      </c>
      <c r="C3067" s="48" t="inlineStr">
        <is>
          <t>Toute la journée</t>
        </is>
      </c>
      <c r="D3067" s="53" t="inlineStr">
        <is>
          <t>Surf</t>
        </is>
      </c>
      <c r="E3067" s="50" t="inlineStr">
        <is>
          <t>GOELISE</t>
        </is>
      </c>
      <c r="F3067" s="51" t="n">
        <v>0.6</v>
      </c>
      <c r="G3067" s="52" t="n">
        <v>43</v>
      </c>
      <c r="H3067" s="52" t="n">
        <v>45</v>
      </c>
      <c r="I3067" s="29">
        <f>IF(OR(COUNTIF('Suivi des rencontres'!$A:$A,$A3067)&gt;0,COUNTIF('Suivi des rencontres'!$C:$C,$J3067)&gt;0),"Non","Oui")</f>
        <v/>
      </c>
      <c r="J3067" s="30" t="inlineStr">
        <is>
          <t>GOELISE</t>
        </is>
      </c>
    </row>
    <row r="3068">
      <c r="A3068" s="47" t="inlineStr">
        <is>
          <t>Ula-Ula</t>
        </is>
      </c>
      <c r="B3068" s="47" t="inlineStr">
        <is>
          <t>UlaulaIsle_hns</t>
        </is>
      </c>
      <c r="C3068" s="48" t="inlineStr">
        <is>
          <t>Toute la journée</t>
        </is>
      </c>
      <c r="D3068" s="53" t="inlineStr">
        <is>
          <t>Surf</t>
        </is>
      </c>
      <c r="E3068" s="50" t="inlineStr">
        <is>
          <t>BEKIPAN</t>
        </is>
      </c>
      <c r="F3068" s="51" t="n">
        <v>0.3</v>
      </c>
      <c r="G3068" s="52" t="n">
        <v>43</v>
      </c>
      <c r="H3068" s="52" t="n">
        <v>45</v>
      </c>
      <c r="I3068" s="29">
        <f>IF(OR(COUNTIF('Suivi des rencontres'!$A:$A,$A3068)&gt;0,COUNTIF('Suivi des rencontres'!$C:$C,$J3068)&gt;0),"Non","Oui")</f>
        <v/>
      </c>
      <c r="J3068" s="30" t="inlineStr">
        <is>
          <t>GOELISE</t>
        </is>
      </c>
    </row>
    <row r="3069">
      <c r="A3069" s="47" t="inlineStr">
        <is>
          <t>Ula-Ula</t>
        </is>
      </c>
      <c r="B3069" s="47" t="inlineStr">
        <is>
          <t>UlaulaIsle_hns</t>
        </is>
      </c>
      <c r="C3069" s="48" t="inlineStr">
        <is>
          <t>Toute la journée</t>
        </is>
      </c>
      <c r="D3069" s="53" t="inlineStr">
        <is>
          <t>Surf</t>
        </is>
      </c>
      <c r="E3069" s="50" t="inlineStr">
        <is>
          <t>KRABBOSS</t>
        </is>
      </c>
      <c r="F3069" s="51" t="n">
        <v>0.05</v>
      </c>
      <c r="G3069" s="52" t="n">
        <v>43</v>
      </c>
      <c r="H3069" s="52" t="n">
        <v>45</v>
      </c>
      <c r="I3069" s="29">
        <f>IF(OR(COUNTIF('Suivi des rencontres'!$A:$A,$A3069)&gt;0,COUNTIF('Suivi des rencontres'!$C:$C,$J3069)&gt;0),"Non","Oui")</f>
        <v/>
      </c>
      <c r="J3069" s="30" t="inlineStr">
        <is>
          <t>KRABBY</t>
        </is>
      </c>
    </row>
    <row r="3070">
      <c r="A3070" s="47" t="inlineStr">
        <is>
          <t>Ula-Ula</t>
        </is>
      </c>
      <c r="B3070" s="47" t="inlineStr">
        <is>
          <t>UlaulaIsle_hns</t>
        </is>
      </c>
      <c r="C3070" s="48" t="inlineStr">
        <is>
          <t>Toute la journée</t>
        </is>
      </c>
      <c r="D3070" s="53" t="inlineStr">
        <is>
          <t>Surf</t>
        </is>
      </c>
      <c r="E3070" s="50" t="inlineStr">
        <is>
          <t>KRABBY</t>
        </is>
      </c>
      <c r="F3070" s="51" t="n">
        <v>0.05</v>
      </c>
      <c r="G3070" s="52" t="n">
        <v>43</v>
      </c>
      <c r="H3070" s="52" t="n">
        <v>45</v>
      </c>
      <c r="I3070" s="29">
        <f>IF(OR(COUNTIF('Suivi des rencontres'!$A:$A,$A3070)&gt;0,COUNTIF('Suivi des rencontres'!$C:$C,$J3070)&gt;0),"Non","Oui")</f>
        <v/>
      </c>
      <c r="J3070" s="30" t="inlineStr">
        <is>
          <t>KRABBY</t>
        </is>
      </c>
    </row>
    <row r="3071">
      <c r="A3071" s="47" t="inlineStr">
        <is>
          <t>Ula-Ula</t>
        </is>
      </c>
      <c r="B3071" s="47" t="inlineStr">
        <is>
          <t>UlaulaIsle_hns</t>
        </is>
      </c>
      <c r="C3071" s="48" t="inlineStr">
        <is>
          <t>Toute la journée</t>
        </is>
      </c>
      <c r="D3071" s="54" t="inlineStr">
        <is>
          <t>Vieille Canne</t>
        </is>
      </c>
      <c r="E3071" s="50" t="inlineStr">
        <is>
          <t>KOKIYAS</t>
        </is>
      </c>
      <c r="F3071" s="51" t="n">
        <v>0.7</v>
      </c>
      <c r="G3071" s="52" t="n">
        <v>43</v>
      </c>
      <c r="H3071" s="52" t="n">
        <v>45</v>
      </c>
      <c r="I3071" s="29">
        <f>IF(OR(COUNTIF('Suivi des rencontres'!$A:$A,$A3071)&gt;0,COUNTIF('Suivi des rencontres'!$C:$C,$J3071)&gt;0),"Non","Oui")</f>
        <v/>
      </c>
      <c r="J3071" s="30" t="inlineStr">
        <is>
          <t>KOKIYAS</t>
        </is>
      </c>
    </row>
    <row r="3072">
      <c r="A3072" s="47" t="inlineStr">
        <is>
          <t>Ula-Ula</t>
        </is>
      </c>
      <c r="B3072" s="47" t="inlineStr">
        <is>
          <t>UlaulaIsle_hns</t>
        </is>
      </c>
      <c r="C3072" s="48" t="inlineStr">
        <is>
          <t>Toute la journée</t>
        </is>
      </c>
      <c r="D3072" s="54" t="inlineStr">
        <is>
          <t>Vieille Canne</t>
        </is>
      </c>
      <c r="E3072" s="50" t="inlineStr">
        <is>
          <t>CORAYON</t>
        </is>
      </c>
      <c r="F3072" s="51" t="n">
        <v>0.3</v>
      </c>
      <c r="G3072" s="52" t="n">
        <v>43</v>
      </c>
      <c r="H3072" s="52" t="n">
        <v>45</v>
      </c>
      <c r="I3072" s="29">
        <f>IF(OR(COUNTIF('Suivi des rencontres'!$A:$A,$A3072)&gt;0,COUNTIF('Suivi des rencontres'!$C:$C,$J3072)&gt;0),"Non","Oui")</f>
        <v/>
      </c>
      <c r="J3072" s="30" t="inlineStr">
        <is>
          <t>CORAYON</t>
        </is>
      </c>
    </row>
    <row r="3073">
      <c r="A3073" s="47" t="inlineStr">
        <is>
          <t>Ula-Ula</t>
        </is>
      </c>
      <c r="B3073" s="47" t="inlineStr">
        <is>
          <t>UlaulaIsle_hns</t>
        </is>
      </c>
      <c r="C3073" s="48" t="inlineStr">
        <is>
          <t>Toute la journée</t>
        </is>
      </c>
      <c r="D3073" s="55" t="inlineStr">
        <is>
          <t>Bonne Canne</t>
        </is>
      </c>
      <c r="E3073" s="50" t="inlineStr">
        <is>
          <t>REMORAID</t>
        </is>
      </c>
      <c r="F3073" s="51" t="n">
        <v>0.8</v>
      </c>
      <c r="G3073" s="52" t="n">
        <v>43</v>
      </c>
      <c r="H3073" s="52" t="n">
        <v>45</v>
      </c>
      <c r="I3073" s="29">
        <f>IF(OR(COUNTIF('Suivi des rencontres'!$A:$A,$A3073)&gt;0,COUNTIF('Suivi des rencontres'!$C:$C,$J3073)&gt;0),"Non","Oui")</f>
        <v/>
      </c>
      <c r="J3073" s="30" t="inlineStr">
        <is>
          <t>REMORAID</t>
        </is>
      </c>
    </row>
    <row r="3074">
      <c r="A3074" s="47" t="inlineStr">
        <is>
          <t>Ula-Ula</t>
        </is>
      </c>
      <c r="B3074" s="47" t="inlineStr">
        <is>
          <t>UlaulaIsle_hns</t>
        </is>
      </c>
      <c r="C3074" s="48" t="inlineStr">
        <is>
          <t>Toute la journée</t>
        </is>
      </c>
      <c r="D3074" s="55" t="inlineStr">
        <is>
          <t>Bonne Canne</t>
        </is>
      </c>
      <c r="E3074" s="50" t="inlineStr">
        <is>
          <t>POISSIRENE</t>
        </is>
      </c>
      <c r="F3074" s="51" t="n">
        <v>0.2</v>
      </c>
      <c r="G3074" s="52" t="n">
        <v>43</v>
      </c>
      <c r="H3074" s="52" t="n">
        <v>45</v>
      </c>
      <c r="I3074" s="29">
        <f>IF(OR(COUNTIF('Suivi des rencontres'!$A:$A,$A3074)&gt;0,COUNTIF('Suivi des rencontres'!$C:$C,$J3074)&gt;0),"Non","Oui")</f>
        <v/>
      </c>
      <c r="J3074" s="30" t="inlineStr">
        <is>
          <t>POISSIRENE</t>
        </is>
      </c>
    </row>
    <row r="3075">
      <c r="A3075" s="47" t="inlineStr">
        <is>
          <t>Ula-Ula</t>
        </is>
      </c>
      <c r="B3075" s="47" t="inlineStr">
        <is>
          <t>UlaulaIsle_hns</t>
        </is>
      </c>
      <c r="C3075" s="48" t="inlineStr">
        <is>
          <t>Toute la journée</t>
        </is>
      </c>
      <c r="D3075" s="56" t="inlineStr">
        <is>
          <t>Super Canne</t>
        </is>
      </c>
      <c r="E3075" s="50" t="inlineStr">
        <is>
          <t>CRUSTABRI</t>
        </is>
      </c>
      <c r="F3075" s="51" t="n">
        <v>0.55</v>
      </c>
      <c r="G3075" s="52" t="n">
        <v>43</v>
      </c>
      <c r="H3075" s="52" t="n">
        <v>45</v>
      </c>
      <c r="I3075" s="29">
        <f>IF(OR(COUNTIF('Suivi des rencontres'!$A:$A,$A3075)&gt;0,COUNTIF('Suivi des rencontres'!$C:$C,$J3075)&gt;0),"Non","Oui")</f>
        <v/>
      </c>
      <c r="J3075" s="30" t="inlineStr">
        <is>
          <t>KOKIYAS</t>
        </is>
      </c>
    </row>
    <row r="3076">
      <c r="A3076" s="47" t="inlineStr">
        <is>
          <t>Ula-Ula</t>
        </is>
      </c>
      <c r="B3076" s="47" t="inlineStr">
        <is>
          <t>UlaulaIsle_hns</t>
        </is>
      </c>
      <c r="C3076" s="48" t="inlineStr">
        <is>
          <t>Toute la journée</t>
        </is>
      </c>
      <c r="D3076" s="56" t="inlineStr">
        <is>
          <t>Super Canne</t>
        </is>
      </c>
      <c r="E3076" s="50" t="inlineStr">
        <is>
          <t>OCTILLERY</t>
        </is>
      </c>
      <c r="F3076" s="51" t="n">
        <v>0.4</v>
      </c>
      <c r="G3076" s="52" t="n">
        <v>43</v>
      </c>
      <c r="H3076" s="52" t="n">
        <v>45</v>
      </c>
      <c r="I3076" s="29">
        <f>IF(OR(COUNTIF('Suivi des rencontres'!$A:$A,$A3076)&gt;0,COUNTIF('Suivi des rencontres'!$C:$C,$J3076)&gt;0),"Non","Oui")</f>
        <v/>
      </c>
      <c r="J3076" s="30" t="inlineStr">
        <is>
          <t>REMORAID</t>
        </is>
      </c>
    </row>
    <row r="3077">
      <c r="A3077" s="47" t="inlineStr">
        <is>
          <t>Ula-Ula</t>
        </is>
      </c>
      <c r="B3077" s="47" t="inlineStr">
        <is>
          <t>UlaulaIsle_hns</t>
        </is>
      </c>
      <c r="C3077" s="48" t="inlineStr">
        <is>
          <t>Toute la journée</t>
        </is>
      </c>
      <c r="D3077" s="56" t="inlineStr">
        <is>
          <t>Super Canne</t>
        </is>
      </c>
      <c r="E3077" s="50" t="inlineStr">
        <is>
          <t>COQUIPERL</t>
        </is>
      </c>
      <c r="F3077" s="51" t="n">
        <v>0.05</v>
      </c>
      <c r="G3077" s="52" t="n">
        <v>43</v>
      </c>
      <c r="H3077" s="52" t="n">
        <v>45</v>
      </c>
      <c r="I3077" s="29">
        <f>IF(OR(COUNTIF('Suivi des rencontres'!$A:$A,$A3077)&gt;0,COUNTIF('Suivi des rencontres'!$C:$C,$J3077)&gt;0),"Non","Oui")</f>
        <v/>
      </c>
      <c r="J3077" s="30" t="inlineStr">
        <is>
          <t>COQUIPERL</t>
        </is>
      </c>
    </row>
    <row r="3078">
      <c r="A3078" s="57" t="inlineStr">
        <is>
          <t>Ville Griotte</t>
        </is>
      </c>
      <c r="B3078" s="57" t="inlineStr">
        <is>
          <t>CherrygroveCity_hns</t>
        </is>
      </c>
      <c r="C3078" s="58" t="inlineStr">
        <is>
          <t>Matin, jour, soir</t>
        </is>
      </c>
      <c r="D3078" s="63" t="inlineStr">
        <is>
          <t>Surf</t>
        </is>
      </c>
      <c r="E3078" s="59" t="inlineStr">
        <is>
          <t>TENTACOOL</t>
        </is>
      </c>
      <c r="F3078" s="60" t="n">
        <v>0.96</v>
      </c>
      <c r="G3078" s="61" t="n">
        <v>15</v>
      </c>
      <c r="H3078" s="61" t="n">
        <v>24</v>
      </c>
      <c r="I3078" s="46">
        <f>IF(OR(COUNTIF('Suivi des rencontres'!$A:$A,$A3078)&gt;0,COUNTIF('Suivi des rencontres'!$C:$C,$J3078)&gt;0),"Non","Oui")</f>
        <v/>
      </c>
      <c r="J3078" s="30" t="inlineStr">
        <is>
          <t>TENTACOOL</t>
        </is>
      </c>
    </row>
    <row r="3079">
      <c r="A3079" s="35" t="inlineStr">
        <is>
          <t>Ville Griotte</t>
        </is>
      </c>
      <c r="B3079" s="35" t="inlineStr">
        <is>
          <t>CherrygroveCity_hns</t>
        </is>
      </c>
      <c r="C3079" s="33" t="inlineStr">
        <is>
          <t>Matin, jour, soir</t>
        </is>
      </c>
      <c r="D3079" s="53" t="inlineStr">
        <is>
          <t>Surf</t>
        </is>
      </c>
      <c r="E3079" s="37" t="inlineStr">
        <is>
          <t>TENTACRUEL</t>
        </is>
      </c>
      <c r="F3079" s="38" t="n">
        <v>0.04</v>
      </c>
      <c r="G3079" s="39" t="n">
        <v>20</v>
      </c>
      <c r="H3079" s="39" t="n">
        <v>24</v>
      </c>
      <c r="I3079" s="29">
        <f>IF(OR(COUNTIF('Suivi des rencontres'!$A:$A,$A3079)&gt;0,COUNTIF('Suivi des rencontres'!$C:$C,$J3079)&gt;0),"Non","Oui")</f>
        <v/>
      </c>
      <c r="J3079" s="30" t="inlineStr">
        <is>
          <t>TENTACOOL</t>
        </is>
      </c>
    </row>
    <row r="3080">
      <c r="A3080" s="35" t="inlineStr">
        <is>
          <t>Ville Griotte</t>
        </is>
      </c>
      <c r="B3080" s="35" t="inlineStr">
        <is>
          <t>CherrygroveCity_hns</t>
        </is>
      </c>
      <c r="C3080" s="62" t="inlineStr">
        <is>
          <t>Nuit</t>
        </is>
      </c>
      <c r="D3080" s="53" t="inlineStr">
        <is>
          <t>Surf</t>
        </is>
      </c>
      <c r="E3080" s="37" t="inlineStr">
        <is>
          <t>TENTACOOL</t>
        </is>
      </c>
      <c r="F3080" s="38" t="n">
        <v>0.96</v>
      </c>
      <c r="G3080" s="39" t="n">
        <v>15</v>
      </c>
      <c r="H3080" s="39" t="n">
        <v>24</v>
      </c>
      <c r="I3080" s="29">
        <f>IF(OR(COUNTIF('Suivi des rencontres'!$A:$A,$A3080)&gt;0,COUNTIF('Suivi des rencontres'!$C:$C,$J3080)&gt;0),"Non","Oui")</f>
        <v/>
      </c>
      <c r="J3080" s="30" t="inlineStr">
        <is>
          <t>TENTACOOL</t>
        </is>
      </c>
    </row>
    <row r="3081">
      <c r="A3081" s="35" t="inlineStr">
        <is>
          <t>Ville Griotte</t>
        </is>
      </c>
      <c r="B3081" s="35" t="inlineStr">
        <is>
          <t>CherrygroveCity_hns</t>
        </is>
      </c>
      <c r="C3081" s="62" t="inlineStr">
        <is>
          <t>Nuit</t>
        </is>
      </c>
      <c r="D3081" s="53" t="inlineStr">
        <is>
          <t>Surf</t>
        </is>
      </c>
      <c r="E3081" s="37" t="inlineStr">
        <is>
          <t>TENTACRUEL</t>
        </is>
      </c>
      <c r="F3081" s="38" t="n">
        <v>0.04</v>
      </c>
      <c r="G3081" s="39" t="n">
        <v>20</v>
      </c>
      <c r="H3081" s="39" t="n">
        <v>24</v>
      </c>
      <c r="I3081" s="29">
        <f>IF(OR(COUNTIF('Suivi des rencontres'!$A:$A,$A3081)&gt;0,COUNTIF('Suivi des rencontres'!$C:$C,$J3081)&gt;0),"Non","Oui")</f>
        <v/>
      </c>
      <c r="J3081" s="30" t="inlineStr">
        <is>
          <t>TENTACOOL</t>
        </is>
      </c>
    </row>
    <row r="3082">
      <c r="A3082" s="35" t="inlineStr">
        <is>
          <t>Ville Griotte</t>
        </is>
      </c>
      <c r="B3082" s="35" t="inlineStr">
        <is>
          <t>CherrygroveCity_hns</t>
        </is>
      </c>
      <c r="C3082" s="33" t="inlineStr">
        <is>
          <t>Matin, jour, soir</t>
        </is>
      </c>
      <c r="D3082" s="36" t="inlineStr">
        <is>
          <t>Éclate-Roc</t>
        </is>
      </c>
      <c r="E3082" s="37" t="inlineStr">
        <is>
          <t>POMDEPIK</t>
        </is>
      </c>
      <c r="F3082" s="38" t="n">
        <v>0.6</v>
      </c>
      <c r="G3082" s="39" t="n">
        <v>10</v>
      </c>
      <c r="H3082" s="39" t="n">
        <v>10</v>
      </c>
      <c r="I3082" s="29">
        <f>IF(OR(COUNTIF('Suivi des rencontres'!$A:$A,$A3082)&gt;0,COUNTIF('Suivi des rencontres'!$C:$C,$J3082)&gt;0),"Non","Oui")</f>
        <v/>
      </c>
      <c r="J3082" s="30" t="inlineStr">
        <is>
          <t>POMDEPIK</t>
        </is>
      </c>
    </row>
    <row r="3083">
      <c r="A3083" s="35" t="inlineStr">
        <is>
          <t>Ville Griotte</t>
        </is>
      </c>
      <c r="B3083" s="35" t="inlineStr">
        <is>
          <t>CherrygroveCity_hns</t>
        </is>
      </c>
      <c r="C3083" s="33" t="inlineStr">
        <is>
          <t>Matin, jour, soir</t>
        </is>
      </c>
      <c r="D3083" s="36" t="inlineStr">
        <is>
          <t>Éclate-Roc</t>
        </is>
      </c>
      <c r="E3083" s="37" t="inlineStr">
        <is>
          <t>NOEUNOEUF</t>
        </is>
      </c>
      <c r="F3083" s="38" t="n">
        <v>0.3</v>
      </c>
      <c r="G3083" s="39" t="n">
        <v>10</v>
      </c>
      <c r="H3083" s="39" t="n">
        <v>10</v>
      </c>
      <c r="I3083" s="29">
        <f>IF(OR(COUNTIF('Suivi des rencontres'!$A:$A,$A3083)&gt;0,COUNTIF('Suivi des rencontres'!$C:$C,$J3083)&gt;0),"Non","Oui")</f>
        <v/>
      </c>
      <c r="J3083" s="30" t="inlineStr">
        <is>
          <t>NOEUNOEUF</t>
        </is>
      </c>
    </row>
    <row r="3084">
      <c r="A3084" s="35" t="inlineStr">
        <is>
          <t>Ville Griotte</t>
        </is>
      </c>
      <c r="B3084" s="35" t="inlineStr">
        <is>
          <t>CherrygroveCity_hns</t>
        </is>
      </c>
      <c r="C3084" s="33" t="inlineStr">
        <is>
          <t>Matin, jour, soir</t>
        </is>
      </c>
      <c r="D3084" s="36" t="inlineStr">
        <is>
          <t>Éclate-Roc</t>
        </is>
      </c>
      <c r="E3084" s="37" t="inlineStr">
        <is>
          <t>COXY</t>
        </is>
      </c>
      <c r="F3084" s="38" t="n">
        <v>0.05</v>
      </c>
      <c r="G3084" s="39" t="n">
        <v>10</v>
      </c>
      <c r="H3084" s="39" t="n">
        <v>10</v>
      </c>
      <c r="I3084" s="29">
        <f>IF(OR(COUNTIF('Suivi des rencontres'!$A:$A,$A3084)&gt;0,COUNTIF('Suivi des rencontres'!$C:$C,$J3084)&gt;0),"Non","Oui")</f>
        <v/>
      </c>
      <c r="J3084" s="30" t="inlineStr">
        <is>
          <t>COXY</t>
        </is>
      </c>
    </row>
    <row r="3085">
      <c r="A3085" s="35" t="inlineStr">
        <is>
          <t>Ville Griotte</t>
        </is>
      </c>
      <c r="B3085" s="35" t="inlineStr">
        <is>
          <t>CherrygroveCity_hns</t>
        </is>
      </c>
      <c r="C3085" s="33" t="inlineStr">
        <is>
          <t>Matin, jour, soir</t>
        </is>
      </c>
      <c r="D3085" s="36" t="inlineStr">
        <is>
          <t>Éclate-Roc</t>
        </is>
      </c>
      <c r="E3085" s="37" t="inlineStr">
        <is>
          <t>MIMIGAL</t>
        </is>
      </c>
      <c r="F3085" s="38" t="n">
        <v>0.05</v>
      </c>
      <c r="G3085" s="39" t="n">
        <v>10</v>
      </c>
      <c r="H3085" s="39" t="n">
        <v>10</v>
      </c>
      <c r="I3085" s="29">
        <f>IF(OR(COUNTIF('Suivi des rencontres'!$A:$A,$A3085)&gt;0,COUNTIF('Suivi des rencontres'!$C:$C,$J3085)&gt;0),"Non","Oui")</f>
        <v/>
      </c>
      <c r="J3085" s="30" t="inlineStr">
        <is>
          <t>MIMIGAL</t>
        </is>
      </c>
    </row>
    <row r="3086">
      <c r="A3086" s="35" t="inlineStr">
        <is>
          <t>Ville Griotte</t>
        </is>
      </c>
      <c r="B3086" s="35" t="inlineStr">
        <is>
          <t>CherrygroveCity_hns</t>
        </is>
      </c>
      <c r="C3086" s="62" t="inlineStr">
        <is>
          <t>Nuit</t>
        </is>
      </c>
      <c r="D3086" s="36" t="inlineStr">
        <is>
          <t>Éclate-Roc</t>
        </is>
      </c>
      <c r="E3086" s="37" t="inlineStr">
        <is>
          <t>POMDEPIK</t>
        </is>
      </c>
      <c r="F3086" s="38" t="n">
        <v>0.6</v>
      </c>
      <c r="G3086" s="39" t="n">
        <v>10</v>
      </c>
      <c r="H3086" s="39" t="n">
        <v>10</v>
      </c>
      <c r="I3086" s="29">
        <f>IF(OR(COUNTIF('Suivi des rencontres'!$A:$A,$A3086)&gt;0,COUNTIF('Suivi des rencontres'!$C:$C,$J3086)&gt;0),"Non","Oui")</f>
        <v/>
      </c>
      <c r="J3086" s="30" t="inlineStr">
        <is>
          <t>POMDEPIK</t>
        </is>
      </c>
    </row>
    <row r="3087">
      <c r="A3087" s="35" t="inlineStr">
        <is>
          <t>Ville Griotte</t>
        </is>
      </c>
      <c r="B3087" s="35" t="inlineStr">
        <is>
          <t>CherrygroveCity_hns</t>
        </is>
      </c>
      <c r="C3087" s="62" t="inlineStr">
        <is>
          <t>Nuit</t>
        </is>
      </c>
      <c r="D3087" s="36" t="inlineStr">
        <is>
          <t>Éclate-Roc</t>
        </is>
      </c>
      <c r="E3087" s="37" t="inlineStr">
        <is>
          <t>NOEUNOEUF</t>
        </is>
      </c>
      <c r="F3087" s="38" t="n">
        <v>0.3</v>
      </c>
      <c r="G3087" s="39" t="n">
        <v>10</v>
      </c>
      <c r="H3087" s="39" t="n">
        <v>10</v>
      </c>
      <c r="I3087" s="29">
        <f>IF(OR(COUNTIF('Suivi des rencontres'!$A:$A,$A3087)&gt;0,COUNTIF('Suivi des rencontres'!$C:$C,$J3087)&gt;0),"Non","Oui")</f>
        <v/>
      </c>
      <c r="J3087" s="30" t="inlineStr">
        <is>
          <t>NOEUNOEUF</t>
        </is>
      </c>
    </row>
    <row r="3088">
      <c r="A3088" s="35" t="inlineStr">
        <is>
          <t>Ville Griotte</t>
        </is>
      </c>
      <c r="B3088" s="35" t="inlineStr">
        <is>
          <t>CherrygroveCity_hns</t>
        </is>
      </c>
      <c r="C3088" s="62" t="inlineStr">
        <is>
          <t>Nuit</t>
        </is>
      </c>
      <c r="D3088" s="36" t="inlineStr">
        <is>
          <t>Éclate-Roc</t>
        </is>
      </c>
      <c r="E3088" s="37" t="inlineStr">
        <is>
          <t>COXY</t>
        </is>
      </c>
      <c r="F3088" s="38" t="n">
        <v>0.05</v>
      </c>
      <c r="G3088" s="39" t="n">
        <v>10</v>
      </c>
      <c r="H3088" s="39" t="n">
        <v>10</v>
      </c>
      <c r="I3088" s="29">
        <f>IF(OR(COUNTIF('Suivi des rencontres'!$A:$A,$A3088)&gt;0,COUNTIF('Suivi des rencontres'!$C:$C,$J3088)&gt;0),"Non","Oui")</f>
        <v/>
      </c>
      <c r="J3088" s="30" t="inlineStr">
        <is>
          <t>COXY</t>
        </is>
      </c>
    </row>
    <row r="3089">
      <c r="A3089" s="35" t="inlineStr">
        <is>
          <t>Ville Griotte</t>
        </is>
      </c>
      <c r="B3089" s="35" t="inlineStr">
        <is>
          <t>CherrygroveCity_hns</t>
        </is>
      </c>
      <c r="C3089" s="62" t="inlineStr">
        <is>
          <t>Nuit</t>
        </is>
      </c>
      <c r="D3089" s="36" t="inlineStr">
        <is>
          <t>Éclate-Roc</t>
        </is>
      </c>
      <c r="E3089" s="37" t="inlineStr">
        <is>
          <t>MIMIGAL</t>
        </is>
      </c>
      <c r="F3089" s="38" t="n">
        <v>0.05</v>
      </c>
      <c r="G3089" s="39" t="n">
        <v>10</v>
      </c>
      <c r="H3089" s="39" t="n">
        <v>10</v>
      </c>
      <c r="I3089" s="29">
        <f>IF(OR(COUNTIF('Suivi des rencontres'!$A:$A,$A3089)&gt;0,COUNTIF('Suivi des rencontres'!$C:$C,$J3089)&gt;0),"Non","Oui")</f>
        <v/>
      </c>
      <c r="J3089" s="30" t="inlineStr">
        <is>
          <t>MIMIGAL</t>
        </is>
      </c>
    </row>
    <row r="3090">
      <c r="A3090" s="35" t="inlineStr">
        <is>
          <t>Ville Griotte</t>
        </is>
      </c>
      <c r="B3090" s="35" t="inlineStr">
        <is>
          <t>CherrygroveCity_hns</t>
        </is>
      </c>
      <c r="C3090" s="33" t="inlineStr">
        <is>
          <t>Matin, jour, soir</t>
        </is>
      </c>
      <c r="D3090" s="54" t="inlineStr">
        <is>
          <t>Vieille Canne</t>
        </is>
      </c>
      <c r="E3090" s="37" t="inlineStr">
        <is>
          <t>MAGICARPE</t>
        </is>
      </c>
      <c r="F3090" s="38" t="n">
        <v>0.7</v>
      </c>
      <c r="G3090" s="39" t="n">
        <v>10</v>
      </c>
      <c r="H3090" s="39" t="n">
        <v>10</v>
      </c>
      <c r="I3090" s="29">
        <f>IF(OR(COUNTIF('Suivi des rencontres'!$A:$A,$A3090)&gt;0,COUNTIF('Suivi des rencontres'!$C:$C,$J3090)&gt;0),"Non","Oui")</f>
        <v/>
      </c>
      <c r="J3090" s="30" t="inlineStr">
        <is>
          <t>MAGICARPE</t>
        </is>
      </c>
    </row>
    <row r="3091">
      <c r="A3091" s="35" t="inlineStr">
        <is>
          <t>Ville Griotte</t>
        </is>
      </c>
      <c r="B3091" s="35" t="inlineStr">
        <is>
          <t>CherrygroveCity_hns</t>
        </is>
      </c>
      <c r="C3091" s="33" t="inlineStr">
        <is>
          <t>Matin, jour, soir</t>
        </is>
      </c>
      <c r="D3091" s="54" t="inlineStr">
        <is>
          <t>Vieille Canne</t>
        </is>
      </c>
      <c r="E3091" s="37" t="inlineStr">
        <is>
          <t>KRABBY</t>
        </is>
      </c>
      <c r="F3091" s="38" t="n">
        <v>0.3</v>
      </c>
      <c r="G3091" s="39" t="n">
        <v>10</v>
      </c>
      <c r="H3091" s="39" t="n">
        <v>10</v>
      </c>
      <c r="I3091" s="29">
        <f>IF(OR(COUNTIF('Suivi des rencontres'!$A:$A,$A3091)&gt;0,COUNTIF('Suivi des rencontres'!$C:$C,$J3091)&gt;0),"Non","Oui")</f>
        <v/>
      </c>
      <c r="J3091" s="30" t="inlineStr">
        <is>
          <t>KRABBY</t>
        </is>
      </c>
    </row>
    <row r="3092">
      <c r="A3092" s="35" t="inlineStr">
        <is>
          <t>Ville Griotte</t>
        </is>
      </c>
      <c r="B3092" s="35" t="inlineStr">
        <is>
          <t>CherrygroveCity_hns</t>
        </is>
      </c>
      <c r="C3092" s="62" t="inlineStr">
        <is>
          <t>Nuit</t>
        </is>
      </c>
      <c r="D3092" s="54" t="inlineStr">
        <is>
          <t>Vieille Canne</t>
        </is>
      </c>
      <c r="E3092" s="37" t="inlineStr">
        <is>
          <t>MAGICARPE</t>
        </is>
      </c>
      <c r="F3092" s="38" t="n">
        <v>0.7</v>
      </c>
      <c r="G3092" s="39" t="n">
        <v>10</v>
      </c>
      <c r="H3092" s="39" t="n">
        <v>10</v>
      </c>
      <c r="I3092" s="29">
        <f>IF(OR(COUNTIF('Suivi des rencontres'!$A:$A,$A3092)&gt;0,COUNTIF('Suivi des rencontres'!$C:$C,$J3092)&gt;0),"Non","Oui")</f>
        <v/>
      </c>
      <c r="J3092" s="30" t="inlineStr">
        <is>
          <t>MAGICARPE</t>
        </is>
      </c>
    </row>
    <row r="3093">
      <c r="A3093" s="35" t="inlineStr">
        <is>
          <t>Ville Griotte</t>
        </is>
      </c>
      <c r="B3093" s="35" t="inlineStr">
        <is>
          <t>CherrygroveCity_hns</t>
        </is>
      </c>
      <c r="C3093" s="62" t="inlineStr">
        <is>
          <t>Nuit</t>
        </is>
      </c>
      <c r="D3093" s="54" t="inlineStr">
        <is>
          <t>Vieille Canne</t>
        </is>
      </c>
      <c r="E3093" s="37" t="inlineStr">
        <is>
          <t>KRABBY</t>
        </is>
      </c>
      <c r="F3093" s="38" t="n">
        <v>0.3</v>
      </c>
      <c r="G3093" s="39" t="n">
        <v>10</v>
      </c>
      <c r="H3093" s="39" t="n">
        <v>10</v>
      </c>
      <c r="I3093" s="29">
        <f>IF(OR(COUNTIF('Suivi des rencontres'!$A:$A,$A3093)&gt;0,COUNTIF('Suivi des rencontres'!$C:$C,$J3093)&gt;0),"Non","Oui")</f>
        <v/>
      </c>
      <c r="J3093" s="30" t="inlineStr">
        <is>
          <t>KRABBY</t>
        </is>
      </c>
    </row>
    <row r="3094">
      <c r="A3094" s="35" t="inlineStr">
        <is>
          <t>Ville Griotte</t>
        </is>
      </c>
      <c r="B3094" s="35" t="inlineStr">
        <is>
          <t>CherrygroveCity_hns</t>
        </is>
      </c>
      <c r="C3094" s="33" t="inlineStr">
        <is>
          <t>Matin, jour, soir</t>
        </is>
      </c>
      <c r="D3094" s="55" t="inlineStr">
        <is>
          <t>Bonne Canne</t>
        </is>
      </c>
      <c r="E3094" s="37" t="inlineStr">
        <is>
          <t>KRABBY</t>
        </is>
      </c>
      <c r="F3094" s="38" t="n">
        <v>0.6</v>
      </c>
      <c r="G3094" s="39" t="n">
        <v>20</v>
      </c>
      <c r="H3094" s="39" t="n">
        <v>20</v>
      </c>
      <c r="I3094" s="29">
        <f>IF(OR(COUNTIF('Suivi des rencontres'!$A:$A,$A3094)&gt;0,COUNTIF('Suivi des rencontres'!$C:$C,$J3094)&gt;0),"Non","Oui")</f>
        <v/>
      </c>
      <c r="J3094" s="30" t="inlineStr">
        <is>
          <t>KRABBY</t>
        </is>
      </c>
    </row>
    <row r="3095">
      <c r="A3095" s="35" t="inlineStr">
        <is>
          <t>Ville Griotte</t>
        </is>
      </c>
      <c r="B3095" s="35" t="inlineStr">
        <is>
          <t>CherrygroveCity_hns</t>
        </is>
      </c>
      <c r="C3095" s="33" t="inlineStr">
        <is>
          <t>Matin, jour, soir</t>
        </is>
      </c>
      <c r="D3095" s="55" t="inlineStr">
        <is>
          <t>Bonne Canne</t>
        </is>
      </c>
      <c r="E3095" s="37" t="inlineStr">
        <is>
          <t>CORAYON</t>
        </is>
      </c>
      <c r="F3095" s="38" t="n">
        <v>0.2</v>
      </c>
      <c r="G3095" s="39" t="n">
        <v>20</v>
      </c>
      <c r="H3095" s="39" t="n">
        <v>20</v>
      </c>
      <c r="I3095" s="29">
        <f>IF(OR(COUNTIF('Suivi des rencontres'!$A:$A,$A3095)&gt;0,COUNTIF('Suivi des rencontres'!$C:$C,$J3095)&gt;0),"Non","Oui")</f>
        <v/>
      </c>
      <c r="J3095" s="30" t="inlineStr">
        <is>
          <t>CORAYON</t>
        </is>
      </c>
    </row>
    <row r="3096">
      <c r="A3096" s="35" t="inlineStr">
        <is>
          <t>Ville Griotte</t>
        </is>
      </c>
      <c r="B3096" s="35" t="inlineStr">
        <is>
          <t>CherrygroveCity_hns</t>
        </is>
      </c>
      <c r="C3096" s="33" t="inlineStr">
        <is>
          <t>Matin, jour, soir</t>
        </is>
      </c>
      <c r="D3096" s="55" t="inlineStr">
        <is>
          <t>Bonne Canne</t>
        </is>
      </c>
      <c r="E3096" s="37" t="inlineStr">
        <is>
          <t>MAGICARPE</t>
        </is>
      </c>
      <c r="F3096" s="38" t="n">
        <v>0.2</v>
      </c>
      <c r="G3096" s="39" t="n">
        <v>20</v>
      </c>
      <c r="H3096" s="39" t="n">
        <v>20</v>
      </c>
      <c r="I3096" s="29">
        <f>IF(OR(COUNTIF('Suivi des rencontres'!$A:$A,$A3096)&gt;0,COUNTIF('Suivi des rencontres'!$C:$C,$J3096)&gt;0),"Non","Oui")</f>
        <v/>
      </c>
      <c r="J3096" s="30" t="inlineStr">
        <is>
          <t>MAGICARPE</t>
        </is>
      </c>
    </row>
    <row r="3097">
      <c r="A3097" s="35" t="inlineStr">
        <is>
          <t>Ville Griotte</t>
        </is>
      </c>
      <c r="B3097" s="35" t="inlineStr">
        <is>
          <t>CherrygroveCity_hns</t>
        </is>
      </c>
      <c r="C3097" s="62" t="inlineStr">
        <is>
          <t>Nuit</t>
        </is>
      </c>
      <c r="D3097" s="55" t="inlineStr">
        <is>
          <t>Bonne Canne</t>
        </is>
      </c>
      <c r="E3097" s="37" t="inlineStr">
        <is>
          <t>KRABBY</t>
        </is>
      </c>
      <c r="F3097" s="38" t="n">
        <v>0.6</v>
      </c>
      <c r="G3097" s="39" t="n">
        <v>20</v>
      </c>
      <c r="H3097" s="39" t="n">
        <v>20</v>
      </c>
      <c r="I3097" s="29">
        <f>IF(OR(COUNTIF('Suivi des rencontres'!$A:$A,$A3097)&gt;0,COUNTIF('Suivi des rencontres'!$C:$C,$J3097)&gt;0),"Non","Oui")</f>
        <v/>
      </c>
      <c r="J3097" s="30" t="inlineStr">
        <is>
          <t>KRABBY</t>
        </is>
      </c>
    </row>
    <row r="3098">
      <c r="A3098" s="35" t="inlineStr">
        <is>
          <t>Ville Griotte</t>
        </is>
      </c>
      <c r="B3098" s="35" t="inlineStr">
        <is>
          <t>CherrygroveCity_hns</t>
        </is>
      </c>
      <c r="C3098" s="62" t="inlineStr">
        <is>
          <t>Nuit</t>
        </is>
      </c>
      <c r="D3098" s="55" t="inlineStr">
        <is>
          <t>Bonne Canne</t>
        </is>
      </c>
      <c r="E3098" s="37" t="inlineStr">
        <is>
          <t>MAGICARPE</t>
        </is>
      </c>
      <c r="F3098" s="38" t="n">
        <v>0.2</v>
      </c>
      <c r="G3098" s="39" t="n">
        <v>20</v>
      </c>
      <c r="H3098" s="39" t="n">
        <v>20</v>
      </c>
      <c r="I3098" s="29">
        <f>IF(OR(COUNTIF('Suivi des rencontres'!$A:$A,$A3098)&gt;0,COUNTIF('Suivi des rencontres'!$C:$C,$J3098)&gt;0),"Non","Oui")</f>
        <v/>
      </c>
      <c r="J3098" s="30" t="inlineStr">
        <is>
          <t>MAGICARPE</t>
        </is>
      </c>
    </row>
    <row r="3099">
      <c r="A3099" s="35" t="inlineStr">
        <is>
          <t>Ville Griotte</t>
        </is>
      </c>
      <c r="B3099" s="35" t="inlineStr">
        <is>
          <t>CherrygroveCity_hns</t>
        </is>
      </c>
      <c r="C3099" s="62" t="inlineStr">
        <is>
          <t>Nuit</t>
        </is>
      </c>
      <c r="D3099" s="55" t="inlineStr">
        <is>
          <t>Bonne Canne</t>
        </is>
      </c>
      <c r="E3099" s="37" t="inlineStr">
        <is>
          <t>STARI</t>
        </is>
      </c>
      <c r="F3099" s="38" t="n">
        <v>0.2</v>
      </c>
      <c r="G3099" s="39" t="n">
        <v>20</v>
      </c>
      <c r="H3099" s="39" t="n">
        <v>20</v>
      </c>
      <c r="I3099" s="29">
        <f>IF(OR(COUNTIF('Suivi des rencontres'!$A:$A,$A3099)&gt;0,COUNTIF('Suivi des rencontres'!$C:$C,$J3099)&gt;0),"Non","Oui")</f>
        <v/>
      </c>
      <c r="J3099" s="30" t="inlineStr">
        <is>
          <t>STARI</t>
        </is>
      </c>
    </row>
    <row r="3100">
      <c r="A3100" s="35" t="inlineStr">
        <is>
          <t>Ville Griotte</t>
        </is>
      </c>
      <c r="B3100" s="35" t="inlineStr">
        <is>
          <t>CherrygroveCity_hns</t>
        </is>
      </c>
      <c r="C3100" s="33" t="inlineStr">
        <is>
          <t>Matin, jour, soir</t>
        </is>
      </c>
      <c r="D3100" s="56" t="inlineStr">
        <is>
          <t>Super Canne</t>
        </is>
      </c>
      <c r="E3100" s="37" t="inlineStr">
        <is>
          <t>CORAYON</t>
        </is>
      </c>
      <c r="F3100" s="38" t="n">
        <v>0.44</v>
      </c>
      <c r="G3100" s="39" t="n">
        <v>40</v>
      </c>
      <c r="H3100" s="39" t="n">
        <v>40</v>
      </c>
      <c r="I3100" s="29">
        <f>IF(OR(COUNTIF('Suivi des rencontres'!$A:$A,$A3100)&gt;0,COUNTIF('Suivi des rencontres'!$C:$C,$J3100)&gt;0),"Non","Oui")</f>
        <v/>
      </c>
      <c r="J3100" s="30" t="inlineStr">
        <is>
          <t>CORAYON</t>
        </is>
      </c>
    </row>
    <row r="3101">
      <c r="A3101" s="35" t="inlineStr">
        <is>
          <t>Ville Griotte</t>
        </is>
      </c>
      <c r="B3101" s="35" t="inlineStr">
        <is>
          <t>CherrygroveCity_hns</t>
        </is>
      </c>
      <c r="C3101" s="33" t="inlineStr">
        <is>
          <t>Matin, jour, soir</t>
        </is>
      </c>
      <c r="D3101" s="56" t="inlineStr">
        <is>
          <t>Super Canne</t>
        </is>
      </c>
      <c r="E3101" s="37" t="inlineStr">
        <is>
          <t>KRABBY</t>
        </is>
      </c>
      <c r="F3101" s="38" t="n">
        <v>0.41</v>
      </c>
      <c r="G3101" s="39" t="n">
        <v>40</v>
      </c>
      <c r="H3101" s="39" t="n">
        <v>40</v>
      </c>
      <c r="I3101" s="29">
        <f>IF(OR(COUNTIF('Suivi des rencontres'!$A:$A,$A3101)&gt;0,COUNTIF('Suivi des rencontres'!$C:$C,$J3101)&gt;0),"Non","Oui")</f>
        <v/>
      </c>
      <c r="J3101" s="30" t="inlineStr">
        <is>
          <t>KRABBY</t>
        </is>
      </c>
    </row>
    <row r="3102">
      <c r="A3102" s="35" t="inlineStr">
        <is>
          <t>Ville Griotte</t>
        </is>
      </c>
      <c r="B3102" s="35" t="inlineStr">
        <is>
          <t>CherrygroveCity_hns</t>
        </is>
      </c>
      <c r="C3102" s="33" t="inlineStr">
        <is>
          <t>Matin, jour, soir</t>
        </is>
      </c>
      <c r="D3102" s="56" t="inlineStr">
        <is>
          <t>Super Canne</t>
        </is>
      </c>
      <c r="E3102" s="37" t="inlineStr">
        <is>
          <t>KRABBOSS</t>
        </is>
      </c>
      <c r="F3102" s="38" t="n">
        <v>0.15</v>
      </c>
      <c r="G3102" s="39" t="n">
        <v>40</v>
      </c>
      <c r="H3102" s="39" t="n">
        <v>40</v>
      </c>
      <c r="I3102" s="29">
        <f>IF(OR(COUNTIF('Suivi des rencontres'!$A:$A,$A3102)&gt;0,COUNTIF('Suivi des rencontres'!$C:$C,$J3102)&gt;0),"Non","Oui")</f>
        <v/>
      </c>
      <c r="J3102" s="30" t="inlineStr">
        <is>
          <t>KRABBY</t>
        </is>
      </c>
    </row>
    <row r="3103">
      <c r="A3103" s="35" t="inlineStr">
        <is>
          <t>Ville Griotte</t>
        </is>
      </c>
      <c r="B3103" s="35" t="inlineStr">
        <is>
          <t>CherrygroveCity_hns</t>
        </is>
      </c>
      <c r="C3103" s="62" t="inlineStr">
        <is>
          <t>Nuit</t>
        </is>
      </c>
      <c r="D3103" s="56" t="inlineStr">
        <is>
          <t>Super Canne</t>
        </is>
      </c>
      <c r="E3103" s="37" t="inlineStr">
        <is>
          <t>STARI</t>
        </is>
      </c>
      <c r="F3103" s="38" t="n">
        <v>0.44</v>
      </c>
      <c r="G3103" s="39" t="n">
        <v>40</v>
      </c>
      <c r="H3103" s="39" t="n">
        <v>40</v>
      </c>
      <c r="I3103" s="29">
        <f>IF(OR(COUNTIF('Suivi des rencontres'!$A:$A,$A3103)&gt;0,COUNTIF('Suivi des rencontres'!$C:$C,$J3103)&gt;0),"Non","Oui")</f>
        <v/>
      </c>
      <c r="J3103" s="30" t="inlineStr">
        <is>
          <t>STARI</t>
        </is>
      </c>
    </row>
    <row r="3104">
      <c r="A3104" s="35" t="inlineStr">
        <is>
          <t>Ville Griotte</t>
        </is>
      </c>
      <c r="B3104" s="35" t="inlineStr">
        <is>
          <t>CherrygroveCity_hns</t>
        </is>
      </c>
      <c r="C3104" s="62" t="inlineStr">
        <is>
          <t>Nuit</t>
        </is>
      </c>
      <c r="D3104" s="56" t="inlineStr">
        <is>
          <t>Super Canne</t>
        </is>
      </c>
      <c r="E3104" s="37" t="inlineStr">
        <is>
          <t>KRABBY</t>
        </is>
      </c>
      <c r="F3104" s="38" t="n">
        <v>0.41</v>
      </c>
      <c r="G3104" s="39" t="n">
        <v>40</v>
      </c>
      <c r="H3104" s="39" t="n">
        <v>40</v>
      </c>
      <c r="I3104" s="29">
        <f>IF(OR(COUNTIF('Suivi des rencontres'!$A:$A,$A3104)&gt;0,COUNTIF('Suivi des rencontres'!$C:$C,$J3104)&gt;0),"Non","Oui")</f>
        <v/>
      </c>
      <c r="J3104" s="30" t="inlineStr">
        <is>
          <t>KRABBY</t>
        </is>
      </c>
    </row>
    <row r="3105">
      <c r="A3105" s="35" t="inlineStr">
        <is>
          <t>Ville Griotte</t>
        </is>
      </c>
      <c r="B3105" s="35" t="inlineStr">
        <is>
          <t>CherrygroveCity_hns</t>
        </is>
      </c>
      <c r="C3105" s="62" t="inlineStr">
        <is>
          <t>Nuit</t>
        </is>
      </c>
      <c r="D3105" s="56" t="inlineStr">
        <is>
          <t>Super Canne</t>
        </is>
      </c>
      <c r="E3105" s="37" t="inlineStr">
        <is>
          <t>KRABBOSS</t>
        </is>
      </c>
      <c r="F3105" s="38" t="n">
        <v>0.15</v>
      </c>
      <c r="G3105" s="39" t="n">
        <v>40</v>
      </c>
      <c r="H3105" s="39" t="n">
        <v>40</v>
      </c>
      <c r="I3105" s="29">
        <f>IF(OR(COUNTIF('Suivi des rencontres'!$A:$A,$A3105)&gt;0,COUNTIF('Suivi des rencontres'!$C:$C,$J3105)&gt;0),"Non","Oui")</f>
        <v/>
      </c>
      <c r="J3105" s="30" t="inlineStr">
        <is>
          <t>KRABBY</t>
        </is>
      </c>
    </row>
  </sheetData>
  <autoFilter ref="A1:I3105">
    <filterColumn colId="8" hiddenButton="0" showButton="1">
      <filters blank="0">
        <filter val="Oui"/>
      </filters>
    </filterColumn>
  </autoFilter>
  <conditionalFormatting sqref="A2:H3105">
    <cfRule type="expression" priority="1" dxfId="0">
      <formula>$I2="Non"</formula>
    </cfRule>
  </conditionalFormatting>
  <conditionalFormatting sqref="F2:F3105">
    <cfRule type="dataBar" priority="2">
      <dataBar showValue="1">
        <cfvo type="num" val="0"/>
        <cfvo type="num" val="1"/>
        <color rgb="00FFC000"/>
      </dataBar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6" t="inlineStr">
        <is>
          <t>Zone</t>
        </is>
      </c>
      <c r="B1" s="26" t="inlineStr">
        <is>
          <t>Espèce</t>
        </is>
      </c>
      <c r="C1" s="26" t="inlineStr">
        <is>
          <t>Lignée</t>
        </is>
      </c>
      <c r="E1" s="25" t="inlineStr">
        <is>
          <t>Une ligne par rencontre : choisissez la zone puis l'espèce. Pour ajouter une ligne, tapez sous la dernière, ou Tab dans sa dernière cellule. Dans « Rencontres sauvages », les zones saisies et les lignées des espèces saisies se grisent aussitôt ; Ctrl+Alt+L (Données &gt; Réappliquer) les masque.</t>
        </is>
      </c>
    </row>
    <row r="2">
      <c r="A2" s="35" t="n"/>
      <c r="B2" s="35" t="n"/>
      <c r="C2" s="65">
        <f>IF($B2="","",IFERROR(VLOOKUP($B2,Listes!$A:$B,2,FALSE),"?"))</f>
        <v/>
      </c>
    </row>
    <row r="3"/>
    <row r="4"/>
  </sheetData>
  <mergeCells count="1">
    <mergeCell ref="E1:J4"/>
  </mergeCells>
  <dataValidations count="2">
    <dataValidation sqref="A2:A1000" showDropDown="0" showInputMessage="0" showErrorMessage="1" allowBlank="1" errorTitle="Zone" error="Choisissez une valeur de la liste." type="list">
      <formula1>Listes!$D$2:$D$120</formula1>
    </dataValidation>
    <dataValidation sqref="B2:B1000" showDropDown="0" showInputMessage="0" showErrorMessage="1" allowBlank="1" errorTitle="Espèce" error="Choisissez une valeur de la liste." type="list">
      <formula1>Listes!$A$2:$A$1173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Espèce</t>
        </is>
      </c>
      <c r="B1" t="inlineStr">
        <is>
          <t>Lignée</t>
        </is>
      </c>
      <c r="D1" t="inlineStr">
        <is>
          <t>Zone</t>
        </is>
      </c>
    </row>
    <row r="2">
      <c r="A2" t="inlineStr">
        <is>
          <t>ABO</t>
        </is>
      </c>
      <c r="B2" t="inlineStr">
        <is>
          <t>ABO</t>
        </is>
      </c>
      <c r="D2" t="inlineStr">
        <is>
          <t>Acajou</t>
        </is>
      </c>
    </row>
    <row r="3">
      <c r="A3" t="inlineStr">
        <is>
          <t>ABOMASNOW</t>
        </is>
      </c>
      <c r="B3" t="inlineStr">
        <is>
          <t>ABOMASNOW</t>
        </is>
      </c>
      <c r="D3" t="inlineStr">
        <is>
          <t>Akala</t>
        </is>
      </c>
    </row>
    <row r="4">
      <c r="A4" t="inlineStr">
        <is>
          <t>ABRA</t>
        </is>
      </c>
      <c r="B4" t="inlineStr">
        <is>
          <t>ABRA</t>
        </is>
      </c>
      <c r="D4" t="inlineStr">
        <is>
          <t>Antre du Dragon</t>
        </is>
      </c>
    </row>
    <row r="5">
      <c r="A5" t="inlineStr">
        <is>
          <t>ABSOL</t>
        </is>
      </c>
      <c r="B5" t="inlineStr">
        <is>
          <t>ABSOL</t>
        </is>
      </c>
      <c r="D5" t="inlineStr">
        <is>
          <t>Antre Noir</t>
        </is>
      </c>
    </row>
    <row r="6">
      <c r="A6" t="inlineStr">
        <is>
          <t>AERODACTYL</t>
        </is>
      </c>
      <c r="B6" t="inlineStr">
        <is>
          <t>AERODACTYL</t>
        </is>
      </c>
      <c r="D6" t="inlineStr">
        <is>
          <t>Aquaria</t>
        </is>
      </c>
    </row>
    <row r="7">
      <c r="A7" t="inlineStr">
        <is>
          <t>AEROMITE</t>
        </is>
      </c>
      <c r="B7" t="inlineStr">
        <is>
          <t>MIMITOSS</t>
        </is>
      </c>
      <c r="D7" t="inlineStr">
        <is>
          <t>Argenta</t>
        </is>
      </c>
    </row>
    <row r="8">
      <c r="A8" t="inlineStr">
        <is>
          <t>AEROPTERYX</t>
        </is>
      </c>
      <c r="B8" t="inlineStr">
        <is>
          <t>ARKEAPTI</t>
        </is>
      </c>
      <c r="D8" t="inlineStr">
        <is>
          <t>Azuria</t>
        </is>
      </c>
    </row>
    <row r="9">
      <c r="A9" t="inlineStr">
        <is>
          <t>AFLAMANOIR</t>
        </is>
      </c>
      <c r="B9" t="inlineStr">
        <is>
          <t>AFLAMANOIR</t>
        </is>
      </c>
      <c r="D9" t="inlineStr">
        <is>
          <t>Bois aux Chênes</t>
        </is>
      </c>
    </row>
    <row r="10">
      <c r="A10" t="inlineStr">
        <is>
          <t>AGGRON</t>
        </is>
      </c>
      <c r="B10" t="inlineStr">
        <is>
          <t>AGGRON</t>
        </is>
      </c>
      <c r="D10" t="inlineStr">
        <is>
          <t>Bourg Geon</t>
        </is>
      </c>
    </row>
    <row r="11">
      <c r="A11" t="inlineStr">
        <is>
          <t>AIRMURE</t>
        </is>
      </c>
      <c r="B11" t="inlineStr">
        <is>
          <t>AIRMURE</t>
        </is>
      </c>
      <c r="D11" t="inlineStr">
        <is>
          <t>Bourg Palette</t>
        </is>
      </c>
    </row>
    <row r="12">
      <c r="A12" t="inlineStr">
        <is>
          <t>AKWAKWAK</t>
        </is>
      </c>
      <c r="B12" t="inlineStr">
        <is>
          <t>PSYKOKWAK</t>
        </is>
      </c>
      <c r="D12" t="inlineStr">
        <is>
          <t>Carmin sur Mer</t>
        </is>
      </c>
    </row>
    <row r="13">
      <c r="A13" t="inlineStr">
        <is>
          <t>ALAKAZAM</t>
        </is>
      </c>
      <c r="B13" t="inlineStr">
        <is>
          <t>ABRA</t>
        </is>
      </c>
      <c r="D13" t="inlineStr">
        <is>
          <t>Cave TAUPIQUEUR</t>
        </is>
      </c>
    </row>
    <row r="14">
      <c r="A14" t="inlineStr">
        <is>
          <t>ALCREMIE</t>
        </is>
      </c>
      <c r="B14" t="inlineStr">
        <is>
          <t>ALCREMIE</t>
        </is>
      </c>
      <c r="D14" t="inlineStr">
        <is>
          <t>Caverne Azurée</t>
        </is>
      </c>
    </row>
    <row r="15">
      <c r="A15" t="inlineStr">
        <is>
          <t>ALIGATUEUR</t>
        </is>
      </c>
      <c r="B15" t="inlineStr">
        <is>
          <t>KAIMINUS</t>
        </is>
      </c>
      <c r="D15" t="inlineStr">
        <is>
          <t>Caverne Gelée</t>
        </is>
      </c>
    </row>
    <row r="16">
      <c r="A16" t="inlineStr">
        <is>
          <t>ALTARIA</t>
        </is>
      </c>
      <c r="B16" t="inlineStr">
        <is>
          <t>TYLTON</t>
        </is>
      </c>
      <c r="D16" t="inlineStr">
        <is>
          <t>Caves Jumelles</t>
        </is>
      </c>
    </row>
    <row r="17">
      <c r="A17" t="inlineStr">
        <is>
          <t>AMA-AMA</t>
        </is>
      </c>
      <c r="B17" t="inlineStr">
        <is>
          <t>AMA-AMA</t>
        </is>
      </c>
      <c r="D17" t="inlineStr">
        <is>
          <t>Céladopole</t>
        </is>
      </c>
    </row>
    <row r="18">
      <c r="A18" t="inlineStr">
        <is>
          <t>AMAGARA</t>
        </is>
      </c>
      <c r="B18" t="inlineStr">
        <is>
          <t>AMAGARA</t>
        </is>
      </c>
      <c r="D18" t="inlineStr">
        <is>
          <t>Centrale</t>
        </is>
      </c>
    </row>
    <row r="19">
      <c r="A19" t="inlineStr">
        <is>
          <t>AMASSEL</t>
        </is>
      </c>
      <c r="B19" t="inlineStr">
        <is>
          <t>SELUTIN</t>
        </is>
      </c>
      <c r="D19" t="inlineStr">
        <is>
          <t>Chenal 19</t>
        </is>
      </c>
    </row>
    <row r="20">
      <c r="A20" t="inlineStr">
        <is>
          <t>AMONISTAR</t>
        </is>
      </c>
      <c r="B20" t="inlineStr">
        <is>
          <t>AMONITA</t>
        </is>
      </c>
      <c r="D20" t="inlineStr">
        <is>
          <t>Chenal 20</t>
        </is>
      </c>
    </row>
    <row r="21">
      <c r="A21" t="inlineStr">
        <is>
          <t>AMONITA</t>
        </is>
      </c>
      <c r="B21" t="inlineStr">
        <is>
          <t>AMONITA</t>
        </is>
      </c>
      <c r="D21" t="inlineStr">
        <is>
          <t>Chenal 21</t>
        </is>
      </c>
    </row>
    <row r="22">
      <c r="A22" t="inlineStr">
        <is>
          <t>AMOVENUS</t>
        </is>
      </c>
      <c r="B22" t="inlineStr">
        <is>
          <t>AMOVENUS</t>
        </is>
      </c>
      <c r="D22" t="inlineStr">
        <is>
          <t>Chenal 40</t>
        </is>
      </c>
    </row>
    <row r="23">
      <c r="A23" t="inlineStr">
        <is>
          <t>AMPHAROS</t>
        </is>
      </c>
      <c r="B23" t="inlineStr">
        <is>
          <t>AMPHAROS</t>
        </is>
      </c>
      <c r="D23" t="inlineStr">
        <is>
          <t>Chenal 41</t>
        </is>
      </c>
    </row>
    <row r="24">
      <c r="A24" t="inlineStr">
        <is>
          <t>AMPHINOBI</t>
        </is>
      </c>
      <c r="B24" t="inlineStr">
        <is>
          <t>GRENOUSSE</t>
        </is>
      </c>
      <c r="D24" t="inlineStr">
        <is>
          <t>Chutes Tohjo</t>
        </is>
      </c>
    </row>
    <row r="25">
      <c r="A25" t="inlineStr">
        <is>
          <t>AMPIBIDOU</t>
        </is>
      </c>
      <c r="B25" t="inlineStr">
        <is>
          <t>TETAMPOULE</t>
        </is>
      </c>
      <c r="D25" t="inlineStr">
        <is>
          <t>Cramois'Ile</t>
        </is>
      </c>
    </row>
    <row r="26">
      <c r="A26" t="inlineStr">
        <is>
          <t>ANCHWATT</t>
        </is>
      </c>
      <c r="B26" t="inlineStr">
        <is>
          <t>ANCHWATT</t>
        </is>
      </c>
      <c r="D26" t="inlineStr">
        <is>
          <t>Doublonville</t>
        </is>
      </c>
    </row>
    <row r="27">
      <c r="A27" t="inlineStr">
        <is>
          <t>ANGOLIATH</t>
        </is>
      </c>
      <c r="B27" t="inlineStr">
        <is>
          <t>GRIMALIN</t>
        </is>
      </c>
      <c r="D27" t="inlineStr">
        <is>
          <t>Ebènelle</t>
        </is>
      </c>
    </row>
    <row r="28">
      <c r="A28" t="inlineStr">
        <is>
          <t>ANORITH</t>
        </is>
      </c>
      <c r="B28" t="inlineStr">
        <is>
          <t>ANORITH</t>
        </is>
      </c>
      <c r="D28" t="inlineStr">
        <is>
          <t>Ecorcia</t>
        </is>
      </c>
    </row>
    <row r="29">
      <c r="A29" t="inlineStr">
        <is>
          <t>APIREINE</t>
        </is>
      </c>
      <c r="B29" t="inlineStr">
        <is>
          <t>APITRINI</t>
        </is>
      </c>
      <c r="D29" t="inlineStr">
        <is>
          <t>Epave</t>
        </is>
      </c>
    </row>
    <row r="30">
      <c r="A30" t="inlineStr">
        <is>
          <t>APITRINI</t>
        </is>
      </c>
      <c r="B30" t="inlineStr">
        <is>
          <t>APITRINI</t>
        </is>
      </c>
      <c r="D30" t="inlineStr">
        <is>
          <t>Forêt d'Akala</t>
        </is>
      </c>
    </row>
    <row r="31">
      <c r="A31" t="inlineStr">
        <is>
          <t>APPLETUN</t>
        </is>
      </c>
      <c r="B31" t="inlineStr">
        <is>
          <t>APPLETUN</t>
        </is>
      </c>
      <c r="D31" t="inlineStr">
        <is>
          <t>Forêt de Jade</t>
        </is>
      </c>
    </row>
    <row r="32">
      <c r="A32" t="inlineStr">
        <is>
          <t>AQUALI</t>
        </is>
      </c>
      <c r="B32" t="inlineStr">
        <is>
          <t>EVOLI</t>
        </is>
      </c>
      <c r="D32" t="inlineStr">
        <is>
          <t>Grotte</t>
        </is>
      </c>
    </row>
    <row r="33">
      <c r="A33" t="inlineStr">
        <is>
          <t>ARAKDO</t>
        </is>
      </c>
      <c r="B33" t="inlineStr">
        <is>
          <t>ARAKDO</t>
        </is>
      </c>
      <c r="D33" t="inlineStr">
        <is>
          <t>Grotte d'Akala</t>
        </is>
      </c>
    </row>
    <row r="34">
      <c r="A34" t="inlineStr">
        <is>
          <t>ARAQUA</t>
        </is>
      </c>
      <c r="B34" t="inlineStr">
        <is>
          <t>ARAQUA</t>
        </is>
      </c>
      <c r="D34" t="inlineStr">
        <is>
          <t>Grotte d'Ula-Ula</t>
        </is>
      </c>
    </row>
    <row r="35">
      <c r="A35" t="inlineStr">
        <is>
          <t>ARBOK</t>
        </is>
      </c>
      <c r="B35" t="inlineStr">
        <is>
          <t>ABO</t>
        </is>
      </c>
      <c r="D35" t="inlineStr">
        <is>
          <t>Grotte de Poni</t>
        </is>
      </c>
    </row>
    <row r="36">
      <c r="A36" t="inlineStr">
        <is>
          <t>ARBOLIVA</t>
        </is>
      </c>
      <c r="B36" t="inlineStr">
        <is>
          <t>OLIVINI</t>
        </is>
      </c>
      <c r="D36" t="inlineStr">
        <is>
          <t>Grotte Falaise</t>
        </is>
      </c>
    </row>
    <row r="37">
      <c r="A37" t="inlineStr">
        <is>
          <t>ARCANIN</t>
        </is>
      </c>
      <c r="B37" t="inlineStr">
        <is>
          <t>CANINOS</t>
        </is>
      </c>
      <c r="D37" t="inlineStr">
        <is>
          <t>Ile Aurore</t>
        </is>
      </c>
    </row>
    <row r="38">
      <c r="A38" t="inlineStr">
        <is>
          <t>ARCANIN-H</t>
        </is>
      </c>
      <c r="B38" t="inlineStr">
        <is>
          <t>CANINOS-H</t>
        </is>
      </c>
      <c r="D38" t="inlineStr">
        <is>
          <t>Ile du Sud</t>
        </is>
      </c>
    </row>
    <row r="39">
      <c r="A39" t="inlineStr">
        <is>
          <t>ARCEUS</t>
        </is>
      </c>
      <c r="B39" t="inlineStr">
        <is>
          <t>ARCEUS</t>
        </is>
      </c>
      <c r="D39" t="inlineStr">
        <is>
          <t>Ile Lointaine</t>
        </is>
      </c>
    </row>
    <row r="40">
      <c r="A40" t="inlineStr">
        <is>
          <t>ARCHEDUC</t>
        </is>
      </c>
      <c r="B40" t="inlineStr">
        <is>
          <t>BRINDIBOU</t>
        </is>
      </c>
      <c r="D40" t="inlineStr">
        <is>
          <t>Iles Ecume</t>
        </is>
      </c>
    </row>
    <row r="41">
      <c r="A41" t="inlineStr">
        <is>
          <t>ARCHEDUC-H</t>
        </is>
      </c>
      <c r="B41" t="inlineStr">
        <is>
          <t>BRINDIBOU</t>
        </is>
      </c>
      <c r="D41" t="inlineStr">
        <is>
          <t>Irisia</t>
        </is>
      </c>
    </row>
    <row r="42">
      <c r="A42" t="inlineStr">
        <is>
          <t>ARCHEODONG</t>
        </is>
      </c>
      <c r="B42" t="inlineStr">
        <is>
          <t>ARCHEOMIRE</t>
        </is>
      </c>
      <c r="D42" t="inlineStr">
        <is>
          <t>Jadielle</t>
        </is>
      </c>
    </row>
    <row r="43">
      <c r="A43" t="inlineStr">
        <is>
          <t>ARCHEOMIRE</t>
        </is>
      </c>
      <c r="B43" t="inlineStr">
        <is>
          <t>ARCHEOMIRE</t>
        </is>
      </c>
      <c r="D43" t="inlineStr">
        <is>
          <t>Lac Colère</t>
        </is>
      </c>
    </row>
    <row r="44">
      <c r="A44" t="inlineStr">
        <is>
          <t>ARCKO</t>
        </is>
      </c>
      <c r="B44" t="inlineStr">
        <is>
          <t>ARCKO</t>
        </is>
      </c>
      <c r="D44" t="inlineStr">
        <is>
          <t>Lavanville</t>
        </is>
      </c>
    </row>
    <row r="45">
      <c r="A45" t="inlineStr">
        <is>
          <t>ARGOUSTE</t>
        </is>
      </c>
      <c r="B45" t="inlineStr">
        <is>
          <t>MANGLOUTON</t>
        </is>
      </c>
      <c r="D45" t="inlineStr">
        <is>
          <t>Mauville</t>
        </is>
      </c>
    </row>
    <row r="46">
      <c r="A46" t="inlineStr">
        <is>
          <t>ARKEAPTI</t>
        </is>
      </c>
      <c r="B46" t="inlineStr">
        <is>
          <t>ARKEAPTI</t>
        </is>
      </c>
      <c r="D46" t="inlineStr">
        <is>
          <t>Mele-Mele</t>
        </is>
      </c>
    </row>
    <row r="47">
      <c r="A47" t="inlineStr">
        <is>
          <t>ARMALDO</t>
        </is>
      </c>
      <c r="B47" t="inlineStr">
        <is>
          <t>ANORITH</t>
        </is>
      </c>
      <c r="D47" t="inlineStr">
        <is>
          <t>Mer de Mele-Mele</t>
        </is>
      </c>
    </row>
    <row r="48">
      <c r="A48" t="inlineStr">
        <is>
          <t>ARMULYS</t>
        </is>
      </c>
      <c r="B48" t="inlineStr">
        <is>
          <t>CHENIPOTTE</t>
        </is>
      </c>
      <c r="D48" t="inlineStr">
        <is>
          <t>Mont Argenté</t>
        </is>
      </c>
    </row>
    <row r="49">
      <c r="A49" t="inlineStr">
        <is>
          <t>ARROZARD</t>
        </is>
      </c>
      <c r="B49" t="inlineStr">
        <is>
          <t>LARMELEON</t>
        </is>
      </c>
      <c r="D49" t="inlineStr">
        <is>
          <t>Mont Creuset</t>
        </is>
      </c>
    </row>
    <row r="50">
      <c r="A50" t="inlineStr">
        <is>
          <t>ARTIKODIN</t>
        </is>
      </c>
      <c r="B50" t="inlineStr">
        <is>
          <t>ARTIKODIN</t>
        </is>
      </c>
      <c r="D50" t="inlineStr">
        <is>
          <t>Mont Dresseurs</t>
        </is>
      </c>
    </row>
    <row r="51">
      <c r="A51" t="inlineStr">
        <is>
          <t>ARTIKODIN-G</t>
        </is>
      </c>
      <c r="B51" t="inlineStr">
        <is>
          <t>ARTIKODIN-G</t>
        </is>
      </c>
      <c r="D51" t="inlineStr">
        <is>
          <t>Mont Lanakila</t>
        </is>
      </c>
    </row>
    <row r="52">
      <c r="A52" t="inlineStr">
        <is>
          <t>ASPICOT</t>
        </is>
      </c>
      <c r="B52" t="inlineStr">
        <is>
          <t>ASPICOT</t>
        </is>
      </c>
      <c r="D52" t="inlineStr">
        <is>
          <t>Mont Sélénite</t>
        </is>
      </c>
    </row>
    <row r="53">
      <c r="A53" t="inlineStr">
        <is>
          <t>ASTRONELLE</t>
        </is>
      </c>
      <c r="B53" t="inlineStr">
        <is>
          <t>LARVADAR</t>
        </is>
      </c>
      <c r="D53" t="inlineStr">
        <is>
          <t>New Sinjoh</t>
        </is>
      </c>
    </row>
    <row r="54">
      <c r="A54" t="inlineStr">
        <is>
          <t>AUDINO</t>
        </is>
      </c>
      <c r="B54" t="inlineStr">
        <is>
          <t>AUDINO</t>
        </is>
      </c>
      <c r="D54" t="inlineStr">
        <is>
          <t>Oliville</t>
        </is>
      </c>
    </row>
    <row r="55">
      <c r="A55" t="inlineStr">
        <is>
          <t>AVALTOUT</t>
        </is>
      </c>
      <c r="B55" t="inlineStr">
        <is>
          <t>GLOUPTI</t>
        </is>
      </c>
      <c r="D55" t="inlineStr">
        <is>
          <t>Parc Naturel</t>
        </is>
      </c>
    </row>
    <row r="56">
      <c r="A56" t="inlineStr">
        <is>
          <t>AXOLOTO</t>
        </is>
      </c>
      <c r="B56" t="inlineStr">
        <is>
          <t>AXOLOTO</t>
        </is>
      </c>
      <c r="D56" t="inlineStr">
        <is>
          <t>Parmanie</t>
        </is>
      </c>
    </row>
    <row r="57">
      <c r="A57" t="inlineStr">
        <is>
          <t>AXOLOTO-P</t>
        </is>
      </c>
      <c r="B57" t="inlineStr">
        <is>
          <t>AXOLOTO-P</t>
        </is>
      </c>
      <c r="D57" t="inlineStr">
        <is>
          <t>Phare</t>
        </is>
      </c>
    </row>
    <row r="58">
      <c r="A58" t="inlineStr">
        <is>
          <t>AZUMARILL</t>
        </is>
      </c>
      <c r="B58" t="inlineStr">
        <is>
          <t>AZURILL</t>
        </is>
      </c>
      <c r="D58" t="inlineStr">
        <is>
          <t>Plateau Indigo</t>
        </is>
      </c>
    </row>
    <row r="59">
      <c r="A59" t="inlineStr">
        <is>
          <t>AZURILL</t>
        </is>
      </c>
      <c r="B59" t="inlineStr">
        <is>
          <t>AZURILL</t>
        </is>
      </c>
      <c r="D59" t="inlineStr">
        <is>
          <t>Poni</t>
        </is>
      </c>
    </row>
    <row r="60">
      <c r="A60" t="inlineStr">
        <is>
          <t>BABIMANTA</t>
        </is>
      </c>
      <c r="B60" t="inlineStr">
        <is>
          <t>BABIMANTA</t>
        </is>
      </c>
      <c r="D60" t="inlineStr">
        <is>
          <t>Portail Safari</t>
        </is>
      </c>
    </row>
    <row r="61">
      <c r="A61" t="inlineStr">
        <is>
          <t>BACABOUH</t>
        </is>
      </c>
      <c r="B61" t="inlineStr">
        <is>
          <t>BACABOUH</t>
        </is>
      </c>
      <c r="D61" t="inlineStr">
        <is>
          <t>Puits RAMOLOSS</t>
        </is>
      </c>
    </row>
    <row r="62">
      <c r="A62" t="inlineStr">
        <is>
          <t>BADABOUIN</t>
        </is>
      </c>
      <c r="B62" t="inlineStr">
        <is>
          <t>OUISTEMPO</t>
        </is>
      </c>
      <c r="D62" t="inlineStr">
        <is>
          <t>Repaire Rocket</t>
        </is>
      </c>
    </row>
    <row r="63">
      <c r="A63" t="inlineStr">
        <is>
          <t>BAGGAID</t>
        </is>
      </c>
      <c r="B63" t="inlineStr">
        <is>
          <t>BAGGIGUANE</t>
        </is>
      </c>
      <c r="D63" t="inlineStr">
        <is>
          <t>Rosalia</t>
        </is>
      </c>
    </row>
    <row r="64">
      <c r="A64" t="inlineStr">
        <is>
          <t>BAGGIGUANE</t>
        </is>
      </c>
      <c r="B64" t="inlineStr">
        <is>
          <t>BAGGIGUANE</t>
        </is>
      </c>
      <c r="D64" t="inlineStr">
        <is>
          <t>Route 1</t>
        </is>
      </c>
    </row>
    <row r="65">
      <c r="A65" t="inlineStr">
        <is>
          <t>BALBALEZE</t>
        </is>
      </c>
      <c r="B65" t="inlineStr">
        <is>
          <t>PIETACE</t>
        </is>
      </c>
      <c r="D65" t="inlineStr">
        <is>
          <t>Route 10</t>
        </is>
      </c>
    </row>
    <row r="66">
      <c r="A66" t="inlineStr">
        <is>
          <t>BALBUTO</t>
        </is>
      </c>
      <c r="B66" t="inlineStr">
        <is>
          <t>BALBUTO</t>
        </is>
      </c>
      <c r="D66" t="inlineStr">
        <is>
          <t>Route 11</t>
        </is>
      </c>
    </row>
    <row r="67">
      <c r="A67" t="inlineStr">
        <is>
          <t>BALIGNON</t>
        </is>
      </c>
      <c r="B67" t="inlineStr">
        <is>
          <t>BALIGNON</t>
        </is>
      </c>
      <c r="D67" t="inlineStr">
        <is>
          <t>Route 12</t>
        </is>
      </c>
    </row>
    <row r="68">
      <c r="A68" t="inlineStr">
        <is>
          <t>BAMBOISELLE</t>
        </is>
      </c>
      <c r="B68" t="inlineStr">
        <is>
          <t>BAMBOISELLE</t>
        </is>
      </c>
      <c r="D68" t="inlineStr">
        <is>
          <t>Route 13</t>
        </is>
      </c>
    </row>
    <row r="69">
      <c r="A69" t="inlineStr">
        <is>
          <t>BANETTE</t>
        </is>
      </c>
      <c r="B69" t="inlineStr">
        <is>
          <t>BANETTE</t>
        </is>
      </c>
      <c r="D69" t="inlineStr">
        <is>
          <t>Route 14</t>
        </is>
      </c>
    </row>
    <row r="70">
      <c r="A70" t="inlineStr">
        <is>
          <t>BANSHITROUYE</t>
        </is>
      </c>
      <c r="B70" t="inlineStr">
        <is>
          <t>PITROUILLE</t>
        </is>
      </c>
      <c r="D70" t="inlineStr">
        <is>
          <t>Route 15</t>
        </is>
      </c>
    </row>
    <row r="71">
      <c r="A71" t="inlineStr">
        <is>
          <t>BAOJIAN</t>
        </is>
      </c>
      <c r="B71" t="inlineStr">
        <is>
          <t>BAOJIAN</t>
        </is>
      </c>
      <c r="D71" t="inlineStr">
        <is>
          <t>Route 16</t>
        </is>
      </c>
    </row>
    <row r="72">
      <c r="A72" t="inlineStr">
        <is>
          <t>BARBARACLE</t>
        </is>
      </c>
      <c r="B72" t="inlineStr">
        <is>
          <t>BARBARACLE</t>
        </is>
      </c>
      <c r="D72" t="inlineStr">
        <is>
          <t>Route 17</t>
        </is>
      </c>
    </row>
    <row r="73">
      <c r="A73" t="inlineStr">
        <is>
          <t>BARBICHA</t>
        </is>
      </c>
      <c r="B73" t="inlineStr">
        <is>
          <t>BARLOCHE</t>
        </is>
      </c>
      <c r="D73" t="inlineStr">
        <is>
          <t>Route 18</t>
        </is>
      </c>
    </row>
    <row r="74">
      <c r="A74" t="inlineStr">
        <is>
          <t>BARGANTUA</t>
        </is>
      </c>
      <c r="B74" t="inlineStr">
        <is>
          <t>BARGANTUA</t>
        </is>
      </c>
      <c r="D74" t="inlineStr">
        <is>
          <t>Route 2</t>
        </is>
      </c>
    </row>
    <row r="75">
      <c r="A75" t="inlineStr">
        <is>
          <t>BARLOCHE</t>
        </is>
      </c>
      <c r="B75" t="inlineStr">
        <is>
          <t>BARLOCHE</t>
        </is>
      </c>
      <c r="D75" t="inlineStr">
        <is>
          <t>Route 22</t>
        </is>
      </c>
    </row>
    <row r="76">
      <c r="A76" t="inlineStr">
        <is>
          <t>BARPAU</t>
        </is>
      </c>
      <c r="B76" t="inlineStr">
        <is>
          <t>BARPAU</t>
        </is>
      </c>
      <c r="D76" t="inlineStr">
        <is>
          <t>Route 24</t>
        </is>
      </c>
    </row>
    <row r="77">
      <c r="A77" t="inlineStr">
        <is>
          <t>BASTIODON</t>
        </is>
      </c>
      <c r="B77" t="inlineStr">
        <is>
          <t>DINOCLIER</t>
        </is>
      </c>
      <c r="D77" t="inlineStr">
        <is>
          <t>Route 25</t>
        </is>
      </c>
    </row>
    <row r="78">
      <c r="A78" t="inlineStr">
        <is>
          <t>BATRACNE</t>
        </is>
      </c>
      <c r="B78" t="inlineStr">
        <is>
          <t>TRITONDE</t>
        </is>
      </c>
      <c r="D78" t="inlineStr">
        <is>
          <t>Route 26</t>
        </is>
      </c>
    </row>
    <row r="79">
      <c r="A79" t="inlineStr">
        <is>
          <t>BAUDRIVE</t>
        </is>
      </c>
      <c r="B79" t="inlineStr">
        <is>
          <t>BAUDRIVE</t>
        </is>
      </c>
      <c r="D79" t="inlineStr">
        <is>
          <t>Route 27</t>
        </is>
      </c>
    </row>
    <row r="80">
      <c r="A80" t="inlineStr">
        <is>
          <t>BAXCALIBUR</t>
        </is>
      </c>
      <c r="B80" t="inlineStr">
        <is>
          <t>BAXCALIBUR</t>
        </is>
      </c>
      <c r="D80" t="inlineStr">
        <is>
          <t>Route 28</t>
        </is>
      </c>
    </row>
    <row r="81">
      <c r="A81" t="inlineStr">
        <is>
          <t>BAZOUCAN</t>
        </is>
      </c>
      <c r="B81" t="inlineStr">
        <is>
          <t>PICASSAUT</t>
        </is>
      </c>
      <c r="D81" t="inlineStr">
        <is>
          <t>Route 29</t>
        </is>
      </c>
    </row>
    <row r="82">
      <c r="A82" t="inlineStr">
        <is>
          <t>BEBECAILLE</t>
        </is>
      </c>
      <c r="B82" t="inlineStr">
        <is>
          <t>BEBECAILLE</t>
        </is>
      </c>
      <c r="D82" t="inlineStr">
        <is>
          <t>Route 3</t>
        </is>
      </c>
    </row>
    <row r="83">
      <c r="A83" t="inlineStr">
        <is>
          <t>BEEDRILL</t>
        </is>
      </c>
      <c r="B83" t="inlineStr">
        <is>
          <t>BEEDRILL</t>
        </is>
      </c>
      <c r="D83" t="inlineStr">
        <is>
          <t>Route 30</t>
        </is>
      </c>
    </row>
    <row r="84">
      <c r="A84" t="inlineStr">
        <is>
          <t>BEKAGLACON</t>
        </is>
      </c>
      <c r="B84" t="inlineStr">
        <is>
          <t>BEKAGLACON</t>
        </is>
      </c>
      <c r="D84" t="inlineStr">
        <is>
          <t>Route 31</t>
        </is>
      </c>
    </row>
    <row r="85">
      <c r="A85" t="inlineStr">
        <is>
          <t>BEKIPAN</t>
        </is>
      </c>
      <c r="B85" t="inlineStr">
        <is>
          <t>GOELISE</t>
        </is>
      </c>
      <c r="D85" t="inlineStr">
        <is>
          <t>Route 32</t>
        </is>
      </c>
    </row>
    <row r="86">
      <c r="A86" t="inlineStr">
        <is>
          <t>BELDENEIGE</t>
        </is>
      </c>
      <c r="B86" t="inlineStr">
        <is>
          <t>FRISSONILLE</t>
        </is>
      </c>
      <c r="D86" t="inlineStr">
        <is>
          <t>Route 33</t>
        </is>
      </c>
    </row>
    <row r="87">
      <c r="A87" t="inlineStr">
        <is>
          <t>BERASCA</t>
        </is>
      </c>
      <c r="B87" t="inlineStr">
        <is>
          <t>LEBOULEROU</t>
        </is>
      </c>
      <c r="D87" t="inlineStr">
        <is>
          <t>Route 34</t>
        </is>
      </c>
    </row>
    <row r="88">
      <c r="A88" t="inlineStr">
        <is>
          <t>BERSERKATT</t>
        </is>
      </c>
      <c r="B88" t="inlineStr">
        <is>
          <t>MIAOUSS-G</t>
        </is>
      </c>
      <c r="D88" t="inlineStr">
        <is>
          <t>Route 35</t>
        </is>
      </c>
    </row>
    <row r="89">
      <c r="A89" t="inlineStr">
        <is>
          <t>BETOCHEF</t>
        </is>
      </c>
      <c r="B89" t="inlineStr">
        <is>
          <t>CHARPENTI</t>
        </is>
      </c>
      <c r="D89" t="inlineStr">
        <is>
          <t>Route 36</t>
        </is>
      </c>
    </row>
    <row r="90">
      <c r="A90" t="inlineStr">
        <is>
          <t>BIBICHUT</t>
        </is>
      </c>
      <c r="B90" t="inlineStr">
        <is>
          <t>BIBICHUT</t>
        </is>
      </c>
      <c r="D90" t="inlineStr">
        <is>
          <t>Route 37</t>
        </is>
      </c>
    </row>
    <row r="91">
      <c r="A91" t="inlineStr">
        <is>
          <t>BLANCOTON</t>
        </is>
      </c>
      <c r="B91" t="inlineStr">
        <is>
          <t>TOURNICOTON</t>
        </is>
      </c>
      <c r="D91" t="inlineStr">
        <is>
          <t>Route 38</t>
        </is>
      </c>
    </row>
    <row r="92">
      <c r="A92" t="inlineStr">
        <is>
          <t>BLASTOISE</t>
        </is>
      </c>
      <c r="B92" t="inlineStr">
        <is>
          <t>BLASTOISE</t>
        </is>
      </c>
      <c r="D92" t="inlineStr">
        <is>
          <t>Route 39</t>
        </is>
      </c>
    </row>
    <row r="93">
      <c r="A93" t="inlineStr">
        <is>
          <t>BLAZIKEN</t>
        </is>
      </c>
      <c r="B93" t="inlineStr">
        <is>
          <t>BLAZIKEN</t>
        </is>
      </c>
      <c r="D93" t="inlineStr">
        <is>
          <t>Route 4</t>
        </is>
      </c>
    </row>
    <row r="94">
      <c r="A94" t="inlineStr">
        <is>
          <t>BLEUSEILLE</t>
        </is>
      </c>
      <c r="B94" t="inlineStr">
        <is>
          <t>MINISANGE</t>
        </is>
      </c>
      <c r="D94" t="inlineStr">
        <is>
          <t>Route 42</t>
        </is>
      </c>
    </row>
    <row r="95">
      <c r="A95" t="inlineStr">
        <is>
          <t>BLINDALYS</t>
        </is>
      </c>
      <c r="B95" t="inlineStr">
        <is>
          <t>CHENIPOTTE</t>
        </is>
      </c>
      <c r="D95" t="inlineStr">
        <is>
          <t>Route 43</t>
        </is>
      </c>
    </row>
    <row r="96">
      <c r="A96" t="inlineStr">
        <is>
          <t>BLINDEPIQUE</t>
        </is>
      </c>
      <c r="B96" t="inlineStr">
        <is>
          <t>MARISSON</t>
        </is>
      </c>
      <c r="D96" t="inlineStr">
        <is>
          <t>Route 44</t>
        </is>
      </c>
    </row>
    <row r="97">
      <c r="A97" t="inlineStr">
        <is>
          <t>BLIZZAROI</t>
        </is>
      </c>
      <c r="B97" t="inlineStr">
        <is>
          <t>BLIZZI</t>
        </is>
      </c>
      <c r="D97" t="inlineStr">
        <is>
          <t>Route 45</t>
        </is>
      </c>
    </row>
    <row r="98">
      <c r="A98" t="inlineStr">
        <is>
          <t>BLIZZEVAL</t>
        </is>
      </c>
      <c r="B98" t="inlineStr">
        <is>
          <t>BLIZZEVAL</t>
        </is>
      </c>
      <c r="D98" t="inlineStr">
        <is>
          <t>Route 46</t>
        </is>
      </c>
    </row>
    <row r="99">
      <c r="A99" t="inlineStr">
        <is>
          <t>BLIZZI</t>
        </is>
      </c>
      <c r="B99" t="inlineStr">
        <is>
          <t>BLIZZI</t>
        </is>
      </c>
      <c r="D99" t="inlineStr">
        <is>
          <t>Route 47</t>
        </is>
      </c>
    </row>
    <row r="100">
      <c r="A100" t="inlineStr">
        <is>
          <t>BOGUERISSE</t>
        </is>
      </c>
      <c r="B100" t="inlineStr">
        <is>
          <t>MARISSON</t>
        </is>
      </c>
      <c r="D100" t="inlineStr">
        <is>
          <t>Route 48</t>
        </is>
      </c>
    </row>
    <row r="101">
      <c r="A101" t="inlineStr">
        <is>
          <t>BOMBYDOU</t>
        </is>
      </c>
      <c r="B101" t="inlineStr">
        <is>
          <t>BOMBYDOU</t>
        </is>
      </c>
      <c r="D101" t="inlineStr">
        <is>
          <t>Route 49</t>
        </is>
      </c>
    </row>
    <row r="102">
      <c r="A102" t="inlineStr">
        <is>
          <t>BOREAS</t>
        </is>
      </c>
      <c r="B102" t="inlineStr">
        <is>
          <t>BOREAS</t>
        </is>
      </c>
      <c r="D102" t="inlineStr">
        <is>
          <t>Route 5</t>
        </is>
      </c>
    </row>
    <row r="103">
      <c r="A103" t="inlineStr">
        <is>
          <t>BOSKARA</t>
        </is>
      </c>
      <c r="B103" t="inlineStr">
        <is>
          <t>TORTIPOUSS</t>
        </is>
      </c>
      <c r="D103" t="inlineStr">
        <is>
          <t>Route 50</t>
        </is>
      </c>
    </row>
    <row r="104">
      <c r="A104" t="inlineStr">
        <is>
          <t>BOULDENEU</t>
        </is>
      </c>
      <c r="B104" t="inlineStr">
        <is>
          <t>SAQUEDENEU</t>
        </is>
      </c>
      <c r="D104" t="inlineStr">
        <is>
          <t>Route 6</t>
        </is>
      </c>
    </row>
    <row r="105">
      <c r="A105" t="inlineStr">
        <is>
          <t>BOUMATA</t>
        </is>
      </c>
      <c r="B105" t="inlineStr">
        <is>
          <t>BOUMATA</t>
        </is>
      </c>
      <c r="D105" t="inlineStr">
        <is>
          <t>Route 7</t>
        </is>
      </c>
    </row>
    <row r="106">
      <c r="A106" t="inlineStr">
        <is>
          <t>BOURRINOS</t>
        </is>
      </c>
      <c r="B106" t="inlineStr">
        <is>
          <t>TIBOUDET</t>
        </is>
      </c>
      <c r="D106" t="inlineStr">
        <is>
          <t>Route 8</t>
        </is>
      </c>
    </row>
    <row r="107">
      <c r="A107" t="inlineStr">
        <is>
          <t>BOUSTIFLOR</t>
        </is>
      </c>
      <c r="B107" t="inlineStr">
        <is>
          <t>CHETIFLOR</t>
        </is>
      </c>
      <c r="D107" t="inlineStr">
        <is>
          <t>Route 9</t>
        </is>
      </c>
    </row>
    <row r="108">
      <c r="A108" t="inlineStr">
        <is>
          <t>BRAISILLON</t>
        </is>
      </c>
      <c r="B108" t="inlineStr">
        <is>
          <t>PASSEROUGE</t>
        </is>
      </c>
      <c r="D108" t="inlineStr">
        <is>
          <t>Route de Glace</t>
        </is>
      </c>
    </row>
    <row r="109">
      <c r="A109" t="inlineStr">
        <is>
          <t>BRANETTE</t>
        </is>
      </c>
      <c r="B109" t="inlineStr">
        <is>
          <t>POLICHOMBR</t>
        </is>
      </c>
      <c r="D109" t="inlineStr">
        <is>
          <t>Route Victoire</t>
        </is>
      </c>
    </row>
    <row r="110">
      <c r="A110" t="inlineStr">
        <is>
          <t>BRASEGALI</t>
        </is>
      </c>
      <c r="B110" t="inlineStr">
        <is>
          <t>POUSSIFEU</t>
        </is>
      </c>
      <c r="D110" t="inlineStr">
        <is>
          <t>Ruines d'Alpha</t>
        </is>
      </c>
    </row>
    <row r="111">
      <c r="A111" t="inlineStr">
        <is>
          <t>BRINDIBOU</t>
        </is>
      </c>
      <c r="B111" t="inlineStr">
        <is>
          <t>BRINDIBOU</t>
        </is>
      </c>
      <c r="D111" t="inlineStr">
        <is>
          <t>Ruines Sinjoh</t>
        </is>
      </c>
    </row>
    <row r="112">
      <c r="A112" t="inlineStr">
        <is>
          <t>BRIOCHIEN</t>
        </is>
      </c>
      <c r="B112" t="inlineStr">
        <is>
          <t>PATACHIOT</t>
        </is>
      </c>
      <c r="D112" t="inlineStr">
        <is>
          <t>Safrania</t>
        </is>
      </c>
    </row>
    <row r="113">
      <c r="A113" t="inlineStr">
        <is>
          <t>BROCELOME</t>
        </is>
      </c>
      <c r="B113" t="inlineStr">
        <is>
          <t>BROCELOME</t>
        </is>
      </c>
      <c r="D113" t="inlineStr">
        <is>
          <t>Tour Carillon</t>
        </is>
      </c>
    </row>
    <row r="114">
      <c r="A114" t="inlineStr">
        <is>
          <t>BROUHABAM</t>
        </is>
      </c>
      <c r="B114" t="inlineStr">
        <is>
          <t>CHUCHMUR</t>
        </is>
      </c>
      <c r="D114" t="inlineStr">
        <is>
          <t>Tour Cendrée</t>
        </is>
      </c>
    </row>
    <row r="115">
      <c r="A115" t="inlineStr">
        <is>
          <t>BRUTALIBRE</t>
        </is>
      </c>
      <c r="B115" t="inlineStr">
        <is>
          <t>BRUTALIBRE</t>
        </is>
      </c>
      <c r="D115" t="inlineStr">
        <is>
          <t>Tour CHETIFLOR</t>
        </is>
      </c>
    </row>
    <row r="116">
      <c r="A116" t="inlineStr">
        <is>
          <t>BRUTAPODE</t>
        </is>
      </c>
      <c r="B116" t="inlineStr">
        <is>
          <t>VENIPATTE</t>
        </is>
      </c>
      <c r="D116" t="inlineStr">
        <is>
          <t>Tour Enfouie</t>
        </is>
      </c>
    </row>
    <row r="117">
      <c r="A117" t="inlineStr">
        <is>
          <t>BRUYVERNE</t>
        </is>
      </c>
      <c r="B117" t="inlineStr">
        <is>
          <t>SONISTRELLE</t>
        </is>
      </c>
      <c r="D117" t="inlineStr">
        <is>
          <t>Tourb'Iles</t>
        </is>
      </c>
    </row>
    <row r="118">
      <c r="A118" t="inlineStr">
        <is>
          <t>BULBIZARRE</t>
        </is>
      </c>
      <c r="B118" t="inlineStr">
        <is>
          <t>BULBIZARRE</t>
        </is>
      </c>
      <c r="D118" t="inlineStr">
        <is>
          <t>Ula-Ula</t>
        </is>
      </c>
    </row>
    <row r="119">
      <c r="A119" t="inlineStr">
        <is>
          <t>BUTTERFREE</t>
        </is>
      </c>
      <c r="B119" t="inlineStr">
        <is>
          <t>BUTTERFREE</t>
        </is>
      </c>
      <c r="D119" t="inlineStr">
        <is>
          <t>Ville Griotte</t>
        </is>
      </c>
    </row>
    <row r="120">
      <c r="A120" t="inlineStr">
        <is>
          <t>CABLIFERE</t>
        </is>
      </c>
      <c r="B120" t="inlineStr">
        <is>
          <t>CABLIFERE</t>
        </is>
      </c>
      <c r="D120" t="inlineStr">
        <is>
          <t>Zone de Combat</t>
        </is>
      </c>
    </row>
    <row r="121">
      <c r="A121" t="inlineStr">
        <is>
          <t>CABRIOLAINE</t>
        </is>
      </c>
      <c r="B121" t="inlineStr">
        <is>
          <t>CABRIOLAINE</t>
        </is>
      </c>
    </row>
    <row r="122">
      <c r="A122" t="inlineStr">
        <is>
          <t>CACNEA</t>
        </is>
      </c>
      <c r="B122" t="inlineStr">
        <is>
          <t>CACNEA</t>
        </is>
      </c>
    </row>
    <row r="123">
      <c r="A123" t="inlineStr">
        <is>
          <t>CACTURNE</t>
        </is>
      </c>
      <c r="B123" t="inlineStr">
        <is>
          <t>CACNEA</t>
        </is>
      </c>
    </row>
    <row r="124">
      <c r="A124" t="inlineStr">
        <is>
          <t>CADOIZO</t>
        </is>
      </c>
      <c r="B124" t="inlineStr">
        <is>
          <t>CADOIZO</t>
        </is>
      </c>
    </row>
    <row r="125">
      <c r="A125" t="inlineStr">
        <is>
          <t>CALYREX</t>
        </is>
      </c>
      <c r="B125" t="inlineStr">
        <is>
          <t>CALYREX</t>
        </is>
      </c>
    </row>
    <row r="126">
      <c r="A126" t="inlineStr">
        <is>
          <t>CAMERUPT</t>
        </is>
      </c>
      <c r="B126" t="inlineStr">
        <is>
          <t>CHAMALLOT</t>
        </is>
      </c>
    </row>
    <row r="127">
      <c r="A127" t="inlineStr">
        <is>
          <t>CANARBELLO</t>
        </is>
      </c>
      <c r="B127" t="inlineStr">
        <is>
          <t>COIFFETON</t>
        </is>
      </c>
    </row>
    <row r="128">
      <c r="A128" t="inlineStr">
        <is>
          <t>CANARTICHO</t>
        </is>
      </c>
      <c r="B128" t="inlineStr">
        <is>
          <t>CANARTICHO</t>
        </is>
      </c>
    </row>
    <row r="129">
      <c r="A129" t="inlineStr">
        <is>
          <t>CANARTICHO-G</t>
        </is>
      </c>
      <c r="B129" t="inlineStr">
        <is>
          <t>CANARTICHO-G</t>
        </is>
      </c>
    </row>
    <row r="130">
      <c r="A130" t="inlineStr">
        <is>
          <t>CANCRELOVE</t>
        </is>
      </c>
      <c r="B130" t="inlineStr">
        <is>
          <t>CANCRELOVE</t>
        </is>
      </c>
    </row>
    <row r="131">
      <c r="A131" t="inlineStr">
        <is>
          <t>CANDINE</t>
        </is>
      </c>
      <c r="B131" t="inlineStr">
        <is>
          <t>CROQUINE</t>
        </is>
      </c>
    </row>
    <row r="132">
      <c r="A132" t="inlineStr">
        <is>
          <t>CANINOS</t>
        </is>
      </c>
      <c r="B132" t="inlineStr">
        <is>
          <t>CANINOS</t>
        </is>
      </c>
    </row>
    <row r="133">
      <c r="A133" t="inlineStr">
        <is>
          <t>CANINOS-H</t>
        </is>
      </c>
      <c r="B133" t="inlineStr">
        <is>
          <t>CANINOS-H</t>
        </is>
      </c>
    </row>
    <row r="134">
      <c r="A134" t="inlineStr">
        <is>
          <t>CAPIDEXTRE</t>
        </is>
      </c>
      <c r="B134" t="inlineStr">
        <is>
          <t>CAPUMAIN</t>
        </is>
      </c>
    </row>
    <row r="135">
      <c r="A135" t="inlineStr">
        <is>
          <t>CAPUMAIN</t>
        </is>
      </c>
      <c r="B135" t="inlineStr">
        <is>
          <t>CAPUMAIN</t>
        </is>
      </c>
    </row>
    <row r="136">
      <c r="A136" t="inlineStr">
        <is>
          <t>CARABAFFE</t>
        </is>
      </c>
      <c r="B136" t="inlineStr">
        <is>
          <t>CARAPUCE</t>
        </is>
      </c>
    </row>
    <row r="137">
      <c r="A137" t="inlineStr">
        <is>
          <t>CARABING</t>
        </is>
      </c>
      <c r="B137" t="inlineStr">
        <is>
          <t>CARABING</t>
        </is>
      </c>
    </row>
    <row r="138">
      <c r="A138" t="inlineStr">
        <is>
          <t>CARAPAGOS</t>
        </is>
      </c>
      <c r="B138" t="inlineStr">
        <is>
          <t>CARAPAGOS</t>
        </is>
      </c>
    </row>
    <row r="139">
      <c r="A139" t="inlineStr">
        <is>
          <t>CARAPUCE</t>
        </is>
      </c>
      <c r="B139" t="inlineStr">
        <is>
          <t>CARAPUCE</t>
        </is>
      </c>
    </row>
    <row r="140">
      <c r="A140" t="inlineStr">
        <is>
          <t>CARATROC</t>
        </is>
      </c>
      <c r="B140" t="inlineStr">
        <is>
          <t>CARATROC</t>
        </is>
      </c>
    </row>
    <row r="141">
      <c r="A141" t="inlineStr">
        <is>
          <t>CARCHACROK</t>
        </is>
      </c>
      <c r="B141" t="inlineStr">
        <is>
          <t>GRIKNOT</t>
        </is>
      </c>
    </row>
    <row r="142">
      <c r="A142" t="inlineStr">
        <is>
          <t>CARMACHE</t>
        </is>
      </c>
      <c r="B142" t="inlineStr">
        <is>
          <t>GRIKNOT</t>
        </is>
      </c>
    </row>
    <row r="143">
      <c r="A143" t="inlineStr">
        <is>
          <t>CARMADURA</t>
        </is>
      </c>
      <c r="B143" t="inlineStr">
        <is>
          <t>CHARBAMBIN</t>
        </is>
      </c>
    </row>
    <row r="144">
      <c r="A144" t="inlineStr">
        <is>
          <t>CARVANHA</t>
        </is>
      </c>
      <c r="B144" t="inlineStr">
        <is>
          <t>CARVANHA</t>
        </is>
      </c>
    </row>
    <row r="145">
      <c r="A145" t="inlineStr">
        <is>
          <t>CASTORNO</t>
        </is>
      </c>
      <c r="B145" t="inlineStr">
        <is>
          <t>KEUNOTOR</t>
        </is>
      </c>
    </row>
    <row r="146">
      <c r="A146" t="inlineStr">
        <is>
          <t>CELEBI</t>
        </is>
      </c>
      <c r="B146" t="inlineStr">
        <is>
          <t>CELEBI</t>
        </is>
      </c>
    </row>
    <row r="147">
      <c r="A147" t="inlineStr">
        <is>
          <t>CENTISKORCH</t>
        </is>
      </c>
      <c r="B147" t="inlineStr">
        <is>
          <t>CENTISKORCH</t>
        </is>
      </c>
    </row>
    <row r="148">
      <c r="A148" t="inlineStr">
        <is>
          <t>CERBYLLIN</t>
        </is>
      </c>
      <c r="B148" t="inlineStr">
        <is>
          <t>CERFROUSSE</t>
        </is>
      </c>
    </row>
    <row r="149">
      <c r="A149" t="inlineStr">
        <is>
          <t>CERFROUSSE</t>
        </is>
      </c>
      <c r="B149" t="inlineStr">
        <is>
          <t>CERFROUSSE</t>
        </is>
      </c>
    </row>
    <row r="150">
      <c r="A150" t="inlineStr">
        <is>
          <t>CERIBOU</t>
        </is>
      </c>
      <c r="B150" t="inlineStr">
        <is>
          <t>CERIBOU</t>
        </is>
      </c>
    </row>
    <row r="151">
      <c r="A151" t="inlineStr">
        <is>
          <t>CERIFLOR</t>
        </is>
      </c>
      <c r="B151" t="inlineStr">
        <is>
          <t>CERIBOU</t>
        </is>
      </c>
    </row>
    <row r="152">
      <c r="A152" t="inlineStr">
        <is>
          <t>CHACRIPAN</t>
        </is>
      </c>
      <c r="B152" t="inlineStr">
        <is>
          <t>CHACRIPAN</t>
        </is>
      </c>
    </row>
    <row r="153">
      <c r="A153" t="inlineStr">
        <is>
          <t>CHAFFREUX</t>
        </is>
      </c>
      <c r="B153" t="inlineStr">
        <is>
          <t>CHAGLAM</t>
        </is>
      </c>
    </row>
    <row r="154">
      <c r="A154" t="inlineStr">
        <is>
          <t>CHAGLAM</t>
        </is>
      </c>
      <c r="B154" t="inlineStr">
        <is>
          <t>CHAGLAM</t>
        </is>
      </c>
    </row>
    <row r="155">
      <c r="A155" t="inlineStr">
        <is>
          <t>CHAMALLOT</t>
        </is>
      </c>
      <c r="B155" t="inlineStr">
        <is>
          <t>CHAMALLOT</t>
        </is>
      </c>
    </row>
    <row r="156">
      <c r="A156" t="inlineStr">
        <is>
          <t>CHANDELURE</t>
        </is>
      </c>
      <c r="B156" t="inlineStr">
        <is>
          <t>CHANDELURE</t>
        </is>
      </c>
    </row>
    <row r="157">
      <c r="A157" t="inlineStr">
        <is>
          <t>CHAPIGNON</t>
        </is>
      </c>
      <c r="B157" t="inlineStr">
        <is>
          <t>BALIGNON</t>
        </is>
      </c>
    </row>
    <row r="158">
      <c r="A158" t="inlineStr">
        <is>
          <t>CHAPOTUS</t>
        </is>
      </c>
      <c r="B158" t="inlineStr">
        <is>
          <t>BIBICHUT</t>
        </is>
      </c>
    </row>
    <row r="159">
      <c r="A159" t="inlineStr">
        <is>
          <t>CHARBAMBIN</t>
        </is>
      </c>
      <c r="B159" t="inlineStr">
        <is>
          <t>CHARBAMBIN</t>
        </is>
      </c>
    </row>
    <row r="160">
      <c r="A160" t="inlineStr">
        <is>
          <t>CHARBI</t>
        </is>
      </c>
      <c r="B160" t="inlineStr">
        <is>
          <t>CHARBI</t>
        </is>
      </c>
    </row>
    <row r="161">
      <c r="A161" t="inlineStr">
        <is>
          <t>CHARIBARI</t>
        </is>
      </c>
      <c r="B161" t="inlineStr">
        <is>
          <t>CHARIBARI</t>
        </is>
      </c>
    </row>
    <row r="162">
      <c r="A162" t="inlineStr">
        <is>
          <t>CHARIZARD</t>
        </is>
      </c>
      <c r="B162" t="inlineStr">
        <is>
          <t>CHARIZARD</t>
        </is>
      </c>
    </row>
    <row r="163">
      <c r="A163" t="inlineStr">
        <is>
          <t>CHARKOS</t>
        </is>
      </c>
      <c r="B163" t="inlineStr">
        <is>
          <t>KRANIDOS</t>
        </is>
      </c>
    </row>
    <row r="164">
      <c r="A164" t="inlineStr">
        <is>
          <t>CHARMILLON</t>
        </is>
      </c>
      <c r="B164" t="inlineStr">
        <is>
          <t>CHENIPOTTE</t>
        </is>
      </c>
    </row>
    <row r="165">
      <c r="A165" t="inlineStr">
        <is>
          <t>CHARMILLY</t>
        </is>
      </c>
      <c r="B165" t="inlineStr">
        <is>
          <t>CREMY</t>
        </is>
      </c>
    </row>
    <row r="166">
      <c r="A166" t="inlineStr">
        <is>
          <t>CHARMINA</t>
        </is>
      </c>
      <c r="B166" t="inlineStr">
        <is>
          <t>MEDITIKKA</t>
        </is>
      </c>
    </row>
    <row r="167">
      <c r="A167" t="inlineStr">
        <is>
          <t>CHARPENTI</t>
        </is>
      </c>
      <c r="B167" t="inlineStr">
        <is>
          <t>CHARPENTI</t>
        </is>
      </c>
    </row>
    <row r="168">
      <c r="A168" t="inlineStr">
        <is>
          <t>CHARTOR</t>
        </is>
      </c>
      <c r="B168" t="inlineStr">
        <is>
          <t>CHARTOR</t>
        </is>
      </c>
    </row>
    <row r="169">
      <c r="A169" t="inlineStr">
        <is>
          <t>CHEF-DE-FER</t>
        </is>
      </c>
      <c r="B169" t="inlineStr">
        <is>
          <t>CHEF-DE-FER</t>
        </is>
      </c>
    </row>
    <row r="170">
      <c r="A170" t="inlineStr">
        <is>
          <t>CHELOURS</t>
        </is>
      </c>
      <c r="B170" t="inlineStr">
        <is>
          <t>NOUNOURSON</t>
        </is>
      </c>
    </row>
    <row r="171">
      <c r="A171" t="inlineStr">
        <is>
          <t>CHENIPAN</t>
        </is>
      </c>
      <c r="B171" t="inlineStr">
        <is>
          <t>CHENIPAN</t>
        </is>
      </c>
    </row>
    <row r="172">
      <c r="A172" t="inlineStr">
        <is>
          <t>CHENIPOTTE</t>
        </is>
      </c>
      <c r="B172" t="inlineStr">
        <is>
          <t>CHENIPOTTE</t>
        </is>
      </c>
    </row>
    <row r="173">
      <c r="A173" t="inlineStr">
        <is>
          <t>CHENISELLE</t>
        </is>
      </c>
      <c r="B173" t="inlineStr">
        <is>
          <t>CHENITI</t>
        </is>
      </c>
    </row>
    <row r="174">
      <c r="A174" t="inlineStr">
        <is>
          <t>CHENITI</t>
        </is>
      </c>
      <c r="B174" t="inlineStr">
        <is>
          <t>CHENITI</t>
        </is>
      </c>
    </row>
    <row r="175">
      <c r="A175" t="inlineStr">
        <is>
          <t>CHESNAUGHT</t>
        </is>
      </c>
      <c r="B175" t="inlineStr">
        <is>
          <t>CHESNAUGHT</t>
        </is>
      </c>
    </row>
    <row r="176">
      <c r="A176" t="inlineStr">
        <is>
          <t>CHETIFLOR</t>
        </is>
      </c>
      <c r="B176" t="inlineStr">
        <is>
          <t>CHETIFLOR</t>
        </is>
      </c>
    </row>
    <row r="177">
      <c r="A177" t="inlineStr">
        <is>
          <t>CHEVROUM</t>
        </is>
      </c>
      <c r="B177" t="inlineStr">
        <is>
          <t>CABRIOLAINE</t>
        </is>
      </c>
    </row>
    <row r="178">
      <c r="A178" t="inlineStr">
        <is>
          <t>CHIMECHO</t>
        </is>
      </c>
      <c r="B178" t="inlineStr">
        <is>
          <t>CHIMECHO</t>
        </is>
      </c>
    </row>
    <row r="179">
      <c r="A179" t="inlineStr">
        <is>
          <t>CHIMPENFEU</t>
        </is>
      </c>
      <c r="B179" t="inlineStr">
        <is>
          <t>OUISTICRAM</t>
        </is>
      </c>
    </row>
    <row r="180">
      <c r="A180" t="inlineStr">
        <is>
          <t>CHINCHIDOU</t>
        </is>
      </c>
      <c r="B180" t="inlineStr">
        <is>
          <t>CHINCHIDOU</t>
        </is>
      </c>
    </row>
    <row r="181">
      <c r="A181" t="inlineStr">
        <is>
          <t>CHLOROBULE</t>
        </is>
      </c>
      <c r="B181" t="inlineStr">
        <is>
          <t>CHLOROBULE</t>
        </is>
      </c>
    </row>
    <row r="182">
      <c r="A182" t="inlineStr">
        <is>
          <t>CHOCHODILE</t>
        </is>
      </c>
      <c r="B182" t="inlineStr">
        <is>
          <t>CHOCHODILE</t>
        </is>
      </c>
    </row>
    <row r="183">
      <c r="A183" t="inlineStr">
        <is>
          <t>CHONGJIAN</t>
        </is>
      </c>
      <c r="B183" t="inlineStr">
        <is>
          <t>CHONGJIAN</t>
        </is>
      </c>
    </row>
    <row r="184">
      <c r="A184" t="inlineStr">
        <is>
          <t>CHOVSOURIR</t>
        </is>
      </c>
      <c r="B184" t="inlineStr">
        <is>
          <t>CHOVSOURIR</t>
        </is>
      </c>
    </row>
    <row r="185">
      <c r="A185" t="inlineStr">
        <is>
          <t>CHRYSACIER</t>
        </is>
      </c>
      <c r="B185" t="inlineStr">
        <is>
          <t>CHENIPAN</t>
        </is>
      </c>
    </row>
    <row r="186">
      <c r="A186" t="inlineStr">
        <is>
          <t>CHRYSAPILE</t>
        </is>
      </c>
      <c r="B186" t="inlineStr">
        <is>
          <t>LARVIBULE</t>
        </is>
      </c>
    </row>
    <row r="187">
      <c r="A187" t="inlineStr">
        <is>
          <t>CHUCHMUR</t>
        </is>
      </c>
      <c r="B187" t="inlineStr">
        <is>
          <t>CHUCHMUR</t>
        </is>
      </c>
    </row>
    <row r="188">
      <c r="A188" t="inlineStr">
        <is>
          <t>CINDERACE</t>
        </is>
      </c>
      <c r="B188" t="inlineStr">
        <is>
          <t>CINDERACE</t>
        </is>
      </c>
    </row>
    <row r="189">
      <c r="A189" t="inlineStr">
        <is>
          <t>CIZAYOX</t>
        </is>
      </c>
      <c r="B189" t="inlineStr">
        <is>
          <t>INSECATEUR</t>
        </is>
      </c>
    </row>
    <row r="190">
      <c r="A190" t="inlineStr">
        <is>
          <t>CLAMIRAL</t>
        </is>
      </c>
      <c r="B190" t="inlineStr">
        <is>
          <t>MOUSTILLON</t>
        </is>
      </c>
    </row>
    <row r="191">
      <c r="A191" t="inlineStr">
        <is>
          <t>CLAMIRAL-H</t>
        </is>
      </c>
      <c r="B191" t="inlineStr">
        <is>
          <t>MOUSTILLON</t>
        </is>
      </c>
    </row>
    <row r="192">
      <c r="A192" t="inlineStr">
        <is>
          <t>CLEFABLE</t>
        </is>
      </c>
      <c r="B192" t="inlineStr">
        <is>
          <t>CLEFABLE</t>
        </is>
      </c>
    </row>
    <row r="193">
      <c r="A193" t="inlineStr">
        <is>
          <t>CLEOPSYTRA</t>
        </is>
      </c>
      <c r="B193" t="inlineStr">
        <is>
          <t>FLOTILLON</t>
        </is>
      </c>
    </row>
    <row r="194">
      <c r="A194" t="inlineStr">
        <is>
          <t>CLIC</t>
        </is>
      </c>
      <c r="B194" t="inlineStr">
        <is>
          <t>TIC</t>
        </is>
      </c>
    </row>
    <row r="195">
      <c r="A195" t="inlineStr">
        <is>
          <t>CLITICLIC</t>
        </is>
      </c>
      <c r="B195" t="inlineStr">
        <is>
          <t>TIC</t>
        </is>
      </c>
    </row>
    <row r="196">
      <c r="A196" t="inlineStr">
        <is>
          <t>COALOSSAL</t>
        </is>
      </c>
      <c r="B196" t="inlineStr">
        <is>
          <t>COALOSSAL</t>
        </is>
      </c>
    </row>
    <row r="197">
      <c r="A197" t="inlineStr">
        <is>
          <t>COATOX</t>
        </is>
      </c>
      <c r="B197" t="inlineStr">
        <is>
          <t>CRADOPAUD</t>
        </is>
      </c>
    </row>
    <row r="198">
      <c r="A198" t="inlineStr">
        <is>
          <t>COBALTIUM</t>
        </is>
      </c>
      <c r="B198" t="inlineStr">
        <is>
          <t>COBALTIUM</t>
        </is>
      </c>
    </row>
    <row r="199">
      <c r="A199" t="inlineStr">
        <is>
          <t>COCHIGNON</t>
        </is>
      </c>
      <c r="B199" t="inlineStr">
        <is>
          <t>MARCACRIN</t>
        </is>
      </c>
    </row>
    <row r="200">
      <c r="A200" t="inlineStr">
        <is>
          <t>COCONFORT</t>
        </is>
      </c>
      <c r="B200" t="inlineStr">
        <is>
          <t>ASPICOT</t>
        </is>
      </c>
    </row>
    <row r="201">
      <c r="A201" t="inlineStr">
        <is>
          <t>COCOTINE</t>
        </is>
      </c>
      <c r="B201" t="inlineStr">
        <is>
          <t>FLUVETIN</t>
        </is>
      </c>
    </row>
    <row r="202">
      <c r="A202" t="inlineStr">
        <is>
          <t>COIFFETON</t>
        </is>
      </c>
      <c r="B202" t="inlineStr">
        <is>
          <t>COIFFETON</t>
        </is>
      </c>
    </row>
    <row r="203">
      <c r="A203" t="inlineStr">
        <is>
          <t>COLEODOME</t>
        </is>
      </c>
      <c r="B203" t="inlineStr">
        <is>
          <t>LARVADAR</t>
        </is>
      </c>
    </row>
    <row r="204">
      <c r="A204" t="inlineStr">
        <is>
          <t>COLHOMARD</t>
        </is>
      </c>
      <c r="B204" t="inlineStr">
        <is>
          <t>ECRAPINCE</t>
        </is>
      </c>
    </row>
    <row r="205">
      <c r="A205" t="inlineStr">
        <is>
          <t>COLIMUCUS</t>
        </is>
      </c>
      <c r="B205" t="inlineStr">
        <is>
          <t>MUCUSCULE</t>
        </is>
      </c>
    </row>
    <row r="206">
      <c r="A206" t="inlineStr">
        <is>
          <t>COLIMUCUS-H</t>
        </is>
      </c>
      <c r="B206" t="inlineStr">
        <is>
          <t>MUCUSCULE</t>
        </is>
      </c>
    </row>
    <row r="207">
      <c r="A207" t="inlineStr">
        <is>
          <t>COLOMBEAU</t>
        </is>
      </c>
      <c r="B207" t="inlineStr">
        <is>
          <t>POICHIGEON</t>
        </is>
      </c>
    </row>
    <row r="208">
      <c r="A208" t="inlineStr">
        <is>
          <t>COLOSSINGE</t>
        </is>
      </c>
      <c r="B208" t="inlineStr">
        <is>
          <t>FEROSINGE</t>
        </is>
      </c>
    </row>
    <row r="209">
      <c r="A209" t="inlineStr">
        <is>
          <t>COMPAGNOL</t>
        </is>
      </c>
      <c r="B209" t="inlineStr">
        <is>
          <t>COMPAGNOL</t>
        </is>
      </c>
    </row>
    <row r="210">
      <c r="A210" t="inlineStr">
        <is>
          <t>CONCOMBAFFE</t>
        </is>
      </c>
      <c r="B210" t="inlineStr">
        <is>
          <t>CONCOMBAFFE</t>
        </is>
      </c>
    </row>
    <row r="211">
      <c r="A211" t="inlineStr">
        <is>
          <t>COPPERAJAH</t>
        </is>
      </c>
      <c r="B211" t="inlineStr">
        <is>
          <t>COPPERAJAH</t>
        </is>
      </c>
    </row>
    <row r="212">
      <c r="A212" t="inlineStr">
        <is>
          <t>COQUIPERL</t>
        </is>
      </c>
      <c r="B212" t="inlineStr">
        <is>
          <t>COQUIPERL</t>
        </is>
      </c>
    </row>
    <row r="213">
      <c r="A213" t="inlineStr">
        <is>
          <t>CORAYOME</t>
        </is>
      </c>
      <c r="B213" t="inlineStr">
        <is>
          <t>CORAYON-G</t>
        </is>
      </c>
    </row>
    <row r="214">
      <c r="A214" t="inlineStr">
        <is>
          <t>CORAYON</t>
        </is>
      </c>
      <c r="B214" t="inlineStr">
        <is>
          <t>CORAYON</t>
        </is>
      </c>
    </row>
    <row r="215">
      <c r="A215" t="inlineStr">
        <is>
          <t>CORAYON-G</t>
        </is>
      </c>
      <c r="B215" t="inlineStr">
        <is>
          <t>CORAYON-G</t>
        </is>
      </c>
    </row>
    <row r="216">
      <c r="A216" t="inlineStr">
        <is>
          <t>CORBOSS</t>
        </is>
      </c>
      <c r="B216" t="inlineStr">
        <is>
          <t>CORNEBRE</t>
        </is>
      </c>
    </row>
    <row r="217">
      <c r="A217" t="inlineStr">
        <is>
          <t>CORNEBRE</t>
        </is>
      </c>
      <c r="B217" t="inlineStr">
        <is>
          <t>CORNEBRE</t>
        </is>
      </c>
    </row>
    <row r="218">
      <c r="A218" t="inlineStr">
        <is>
          <t>CORVAILLUS</t>
        </is>
      </c>
      <c r="B218" t="inlineStr">
        <is>
          <t>MINISANGE</t>
        </is>
      </c>
    </row>
    <row r="219">
      <c r="A219" t="inlineStr">
        <is>
          <t>CORVIKNIGHT</t>
        </is>
      </c>
      <c r="B219" t="inlineStr">
        <is>
          <t>CORVIKNIGHT</t>
        </is>
      </c>
    </row>
    <row r="220">
      <c r="A220" t="inlineStr">
        <is>
          <t>COSMOG</t>
        </is>
      </c>
      <c r="B220" t="inlineStr">
        <is>
          <t>COSMOG</t>
        </is>
      </c>
    </row>
    <row r="221">
      <c r="A221" t="inlineStr">
        <is>
          <t>COSMOVUM</t>
        </is>
      </c>
      <c r="B221" t="inlineStr">
        <is>
          <t>COSMOG</t>
        </is>
      </c>
    </row>
    <row r="222">
      <c r="A222" t="inlineStr">
        <is>
          <t>COTOVOL</t>
        </is>
      </c>
      <c r="B222" t="inlineStr">
        <is>
          <t>GRANIVOL</t>
        </is>
      </c>
    </row>
    <row r="223">
      <c r="A223" t="inlineStr">
        <is>
          <t>COUAFAREL</t>
        </is>
      </c>
      <c r="B223" t="inlineStr">
        <is>
          <t>COUAFAREL</t>
        </is>
      </c>
    </row>
    <row r="224">
      <c r="A224" t="inlineStr">
        <is>
          <t>COUANETON</t>
        </is>
      </c>
      <c r="B224" t="inlineStr">
        <is>
          <t>COUANETON</t>
        </is>
      </c>
    </row>
    <row r="225">
      <c r="A225" t="inlineStr">
        <is>
          <t>COUDLANGUE</t>
        </is>
      </c>
      <c r="B225" t="inlineStr">
        <is>
          <t>EXCELANGUE</t>
        </is>
      </c>
    </row>
    <row r="226">
      <c r="A226" t="inlineStr">
        <is>
          <t>COUPENOTTE</t>
        </is>
      </c>
      <c r="B226" t="inlineStr">
        <is>
          <t>COUPENOTTE</t>
        </is>
      </c>
    </row>
    <row r="227">
      <c r="A227" t="inlineStr">
        <is>
          <t>COURROUSINGE</t>
        </is>
      </c>
      <c r="B227" t="inlineStr">
        <is>
          <t>FEROSINGE</t>
        </is>
      </c>
    </row>
    <row r="228">
      <c r="A228" t="inlineStr">
        <is>
          <t>COUVERDURE</t>
        </is>
      </c>
      <c r="B228" t="inlineStr">
        <is>
          <t>LARVEYETTE</t>
        </is>
      </c>
    </row>
    <row r="229">
      <c r="A229" t="inlineStr">
        <is>
          <t>COXY</t>
        </is>
      </c>
      <c r="B229" t="inlineStr">
        <is>
          <t>COXY</t>
        </is>
      </c>
    </row>
    <row r="230">
      <c r="A230" t="inlineStr">
        <is>
          <t>COXYCLAQUE</t>
        </is>
      </c>
      <c r="B230" t="inlineStr">
        <is>
          <t>COXY</t>
        </is>
      </c>
    </row>
    <row r="231">
      <c r="A231" t="inlineStr">
        <is>
          <t>CRABAGARRE</t>
        </is>
      </c>
      <c r="B231" t="inlineStr">
        <is>
          <t>CRABAGARRE</t>
        </is>
      </c>
    </row>
    <row r="232">
      <c r="A232" t="inlineStr">
        <is>
          <t>CRABARAQUE</t>
        </is>
      </c>
      <c r="B232" t="inlineStr">
        <is>
          <t>CRABICOQUE</t>
        </is>
      </c>
    </row>
    <row r="233">
      <c r="A233" t="inlineStr">
        <is>
          <t>CRABICOQUE</t>
        </is>
      </c>
      <c r="B233" t="inlineStr">
        <is>
          <t>CRABICOQUE</t>
        </is>
      </c>
    </row>
    <row r="234">
      <c r="A234" t="inlineStr">
        <is>
          <t>CRABOMINABLE</t>
        </is>
      </c>
      <c r="B234" t="inlineStr">
        <is>
          <t>CRABAGARRE</t>
        </is>
      </c>
    </row>
    <row r="235">
      <c r="A235" t="inlineStr">
        <is>
          <t>CRADOPAUD</t>
        </is>
      </c>
      <c r="B235" t="inlineStr">
        <is>
          <t>CRADOPAUD</t>
        </is>
      </c>
    </row>
    <row r="236">
      <c r="A236" t="inlineStr">
        <is>
          <t>CRAPAROI</t>
        </is>
      </c>
      <c r="B236" t="inlineStr">
        <is>
          <t>CRAPAROI</t>
        </is>
      </c>
    </row>
    <row r="237">
      <c r="A237" t="inlineStr">
        <is>
          <t>CRAPUSTULE</t>
        </is>
      </c>
      <c r="B237" t="inlineStr">
        <is>
          <t>TRITONDE</t>
        </is>
      </c>
    </row>
    <row r="238">
      <c r="A238" t="inlineStr">
        <is>
          <t>CREFADET</t>
        </is>
      </c>
      <c r="B238" t="inlineStr">
        <is>
          <t>CREFADET</t>
        </is>
      </c>
    </row>
    <row r="239">
      <c r="A239" t="inlineStr">
        <is>
          <t>CREFOLLET</t>
        </is>
      </c>
      <c r="B239" t="inlineStr">
        <is>
          <t>CREFOLLET</t>
        </is>
      </c>
    </row>
    <row r="240">
      <c r="A240" t="inlineStr">
        <is>
          <t>CREHELF</t>
        </is>
      </c>
      <c r="B240" t="inlineStr">
        <is>
          <t>CREHELF</t>
        </is>
      </c>
    </row>
    <row r="241">
      <c r="A241" t="inlineStr">
        <is>
          <t>CREMY</t>
        </is>
      </c>
      <c r="B241" t="inlineStr">
        <is>
          <t>CREMY</t>
        </is>
      </c>
    </row>
    <row r="242">
      <c r="A242" t="inlineStr">
        <is>
          <t>CRESSELIA</t>
        </is>
      </c>
      <c r="B242" t="inlineStr">
        <is>
          <t>CRESSELIA</t>
        </is>
      </c>
    </row>
    <row r="243">
      <c r="A243" t="inlineStr">
        <is>
          <t>CRIKZIK</t>
        </is>
      </c>
      <c r="B243" t="inlineStr">
        <is>
          <t>CRIKZIK</t>
        </is>
      </c>
    </row>
    <row r="244">
      <c r="A244" t="inlineStr">
        <is>
          <t>CROAPORAL</t>
        </is>
      </c>
      <c r="B244" t="inlineStr">
        <is>
          <t>GRENOUSSE</t>
        </is>
      </c>
    </row>
    <row r="245">
      <c r="A245" t="inlineStr">
        <is>
          <t>CROCOGRIL</t>
        </is>
      </c>
      <c r="B245" t="inlineStr">
        <is>
          <t>CHOCHODILE</t>
        </is>
      </c>
    </row>
    <row r="246">
      <c r="A246" t="inlineStr">
        <is>
          <t>CROCORIBLE</t>
        </is>
      </c>
      <c r="B246" t="inlineStr">
        <is>
          <t>MASCAIMAN</t>
        </is>
      </c>
    </row>
    <row r="247">
      <c r="A247" t="inlineStr">
        <is>
          <t>CROCRODIL</t>
        </is>
      </c>
      <c r="B247" t="inlineStr">
        <is>
          <t>KAIMINUS</t>
        </is>
      </c>
    </row>
    <row r="248">
      <c r="A248" t="inlineStr">
        <is>
          <t>CROQUINE</t>
        </is>
      </c>
      <c r="B248" t="inlineStr">
        <is>
          <t>CROQUINE</t>
        </is>
      </c>
    </row>
    <row r="249">
      <c r="A249" t="inlineStr">
        <is>
          <t>CRUSTABRI</t>
        </is>
      </c>
      <c r="B249" t="inlineStr">
        <is>
          <t>KOKIYAS</t>
        </is>
      </c>
    </row>
    <row r="250">
      <c r="A250" t="inlineStr">
        <is>
          <t>CRYODO</t>
        </is>
      </c>
      <c r="B250" t="inlineStr">
        <is>
          <t>FRIGODO</t>
        </is>
      </c>
    </row>
    <row r="251">
      <c r="A251" t="inlineStr">
        <is>
          <t>CRYPTERO</t>
        </is>
      </c>
      <c r="B251" t="inlineStr">
        <is>
          <t>CRYPTERO</t>
        </is>
      </c>
    </row>
    <row r="252">
      <c r="A252" t="inlineStr">
        <is>
          <t>CUPCANAILLE</t>
        </is>
      </c>
      <c r="B252" t="inlineStr">
        <is>
          <t>SUCROQUIN</t>
        </is>
      </c>
    </row>
    <row r="253">
      <c r="A253" t="inlineStr">
        <is>
          <t>DARDARGNAN</t>
        </is>
      </c>
      <c r="B253" t="inlineStr">
        <is>
          <t>ASPICOT</t>
        </is>
      </c>
    </row>
    <row r="254">
      <c r="A254" t="inlineStr">
        <is>
          <t>DARKRAI</t>
        </is>
      </c>
      <c r="B254" t="inlineStr">
        <is>
          <t>DARKRAI</t>
        </is>
      </c>
    </row>
    <row r="255">
      <c r="A255" t="inlineStr">
        <is>
          <t>DARUMACHO</t>
        </is>
      </c>
      <c r="B255" t="inlineStr">
        <is>
          <t>DARUMAROND</t>
        </is>
      </c>
    </row>
    <row r="256">
      <c r="A256" t="inlineStr">
        <is>
          <t>DARUMACHO-G</t>
        </is>
      </c>
      <c r="B256" t="inlineStr">
        <is>
          <t>DARUMAROND-G</t>
        </is>
      </c>
    </row>
    <row r="257">
      <c r="A257" t="inlineStr">
        <is>
          <t>DARUMAROND</t>
        </is>
      </c>
      <c r="B257" t="inlineStr">
        <is>
          <t>DARUMAROND</t>
        </is>
      </c>
    </row>
    <row r="258">
      <c r="A258" t="inlineStr">
        <is>
          <t>DARUMAROND-G</t>
        </is>
      </c>
      <c r="B258" t="inlineStr">
        <is>
          <t>DARUMAROND-G</t>
        </is>
      </c>
    </row>
    <row r="259">
      <c r="A259" t="inlineStr">
        <is>
          <t>DEBUGANT</t>
        </is>
      </c>
      <c r="B259" t="inlineStr">
        <is>
          <t>DEBUGANT</t>
        </is>
      </c>
    </row>
    <row r="260">
      <c r="A260" t="inlineStr">
        <is>
          <t>DEDENNE</t>
        </is>
      </c>
      <c r="B260" t="inlineStr">
        <is>
          <t>DEDENNE</t>
        </is>
      </c>
    </row>
    <row r="261">
      <c r="A261" t="inlineStr">
        <is>
          <t>DEFLAISAN</t>
        </is>
      </c>
      <c r="B261" t="inlineStr">
        <is>
          <t>POICHIGEON</t>
        </is>
      </c>
    </row>
    <row r="262">
      <c r="A262" t="inlineStr">
        <is>
          <t>DELCATTY</t>
        </is>
      </c>
      <c r="B262" t="inlineStr">
        <is>
          <t>SKITTY</t>
        </is>
      </c>
    </row>
    <row r="263">
      <c r="A263" t="inlineStr">
        <is>
          <t>DELESTIN</t>
        </is>
      </c>
      <c r="B263" t="inlineStr">
        <is>
          <t>DELESTIN</t>
        </is>
      </c>
    </row>
    <row r="264">
      <c r="A264" t="inlineStr">
        <is>
          <t>DELPHOX</t>
        </is>
      </c>
      <c r="B264" t="inlineStr">
        <is>
          <t>DELPHOX</t>
        </is>
      </c>
    </row>
    <row r="265">
      <c r="A265" t="inlineStr">
        <is>
          <t>DEMANTA</t>
        </is>
      </c>
      <c r="B265" t="inlineStr">
        <is>
          <t>BABIMANTA</t>
        </is>
      </c>
    </row>
    <row r="266">
      <c r="A266" t="inlineStr">
        <is>
          <t>DEMETEROS</t>
        </is>
      </c>
      <c r="B266" t="inlineStr">
        <is>
          <t>DEMETEROS</t>
        </is>
      </c>
    </row>
    <row r="267">
      <c r="A267" t="inlineStr">
        <is>
          <t>DEMOLOSSE</t>
        </is>
      </c>
      <c r="B267" t="inlineStr">
        <is>
          <t>MALOSSE</t>
        </is>
      </c>
    </row>
    <row r="268">
      <c r="A268" t="inlineStr">
        <is>
          <t>DENTICRISSE</t>
        </is>
      </c>
      <c r="B268" t="inlineStr">
        <is>
          <t>DENTICRISSE</t>
        </is>
      </c>
    </row>
    <row r="269">
      <c r="A269" t="inlineStr">
        <is>
          <t>DEOXYS</t>
        </is>
      </c>
      <c r="B269" t="inlineStr">
        <is>
          <t>DEOXYS</t>
        </is>
      </c>
    </row>
    <row r="270">
      <c r="A270" t="inlineStr">
        <is>
          <t>DESSELIANDE</t>
        </is>
      </c>
      <c r="B270" t="inlineStr">
        <is>
          <t>BROCELOME</t>
        </is>
      </c>
    </row>
    <row r="271">
      <c r="A271" t="inlineStr">
        <is>
          <t>DEUSOLOURDO</t>
        </is>
      </c>
      <c r="B271" t="inlineStr">
        <is>
          <t>INSOLOURDO</t>
        </is>
      </c>
    </row>
    <row r="272">
      <c r="A272" t="inlineStr">
        <is>
          <t>DIALGA</t>
        </is>
      </c>
      <c r="B272" t="inlineStr">
        <is>
          <t>DIALGA</t>
        </is>
      </c>
    </row>
    <row r="273">
      <c r="A273" t="inlineStr">
        <is>
          <t>DIAMAT</t>
        </is>
      </c>
      <c r="B273" t="inlineStr">
        <is>
          <t>SOLOCHI</t>
        </is>
      </c>
    </row>
    <row r="274">
      <c r="A274" t="inlineStr">
        <is>
          <t>DIANCIE</t>
        </is>
      </c>
      <c r="B274" t="inlineStr">
        <is>
          <t>DIANCIE</t>
        </is>
      </c>
    </row>
    <row r="275">
      <c r="A275" t="inlineStr">
        <is>
          <t>DIMOCLES</t>
        </is>
      </c>
      <c r="B275" t="inlineStr">
        <is>
          <t>MONORPALE</t>
        </is>
      </c>
    </row>
    <row r="276">
      <c r="A276" t="inlineStr">
        <is>
          <t>DIMORET</t>
        </is>
      </c>
      <c r="B276" t="inlineStr">
        <is>
          <t>FARFURET</t>
        </is>
      </c>
    </row>
    <row r="277">
      <c r="A277" t="inlineStr">
        <is>
          <t>DINGLU</t>
        </is>
      </c>
      <c r="B277" t="inlineStr">
        <is>
          <t>DINGLU</t>
        </is>
      </c>
    </row>
    <row r="278">
      <c r="A278" t="inlineStr">
        <is>
          <t>DINOCLIER</t>
        </is>
      </c>
      <c r="B278" t="inlineStr">
        <is>
          <t>DINOCLIER</t>
        </is>
      </c>
    </row>
    <row r="279">
      <c r="A279" t="inlineStr">
        <is>
          <t>DISPAREPTIL</t>
        </is>
      </c>
      <c r="B279" t="inlineStr">
        <is>
          <t>FANTYRM</t>
        </is>
      </c>
    </row>
    <row r="280">
      <c r="A280" t="inlineStr">
        <is>
          <t>DODOALA</t>
        </is>
      </c>
      <c r="B280" t="inlineStr">
        <is>
          <t>DODOALA</t>
        </is>
      </c>
    </row>
    <row r="281">
      <c r="A281" t="inlineStr">
        <is>
          <t>DODRIO</t>
        </is>
      </c>
      <c r="B281" t="inlineStr">
        <is>
          <t>DODUO</t>
        </is>
      </c>
    </row>
    <row r="282">
      <c r="A282" t="inlineStr">
        <is>
          <t>DODUO</t>
        </is>
      </c>
      <c r="B282" t="inlineStr">
        <is>
          <t>DODUO</t>
        </is>
      </c>
    </row>
    <row r="283">
      <c r="A283" t="inlineStr">
        <is>
          <t>DOFIN</t>
        </is>
      </c>
      <c r="B283" t="inlineStr">
        <is>
          <t>DOFIN</t>
        </is>
      </c>
    </row>
    <row r="284">
      <c r="A284" t="inlineStr">
        <is>
          <t>DOGRINO</t>
        </is>
      </c>
      <c r="B284" t="inlineStr">
        <is>
          <t>GRONDOGUE</t>
        </is>
      </c>
    </row>
    <row r="285">
      <c r="A285" t="inlineStr">
        <is>
          <t>DOLMAN</t>
        </is>
      </c>
      <c r="B285" t="inlineStr">
        <is>
          <t>DOLMAN</t>
        </is>
      </c>
    </row>
    <row r="286">
      <c r="A286" t="inlineStr">
        <is>
          <t>DONPHAN</t>
        </is>
      </c>
      <c r="B286" t="inlineStr">
        <is>
          <t>PHANPY</t>
        </is>
      </c>
    </row>
    <row r="287">
      <c r="A287" t="inlineStr">
        <is>
          <t>DOUDOUVET</t>
        </is>
      </c>
      <c r="B287" t="inlineStr">
        <is>
          <t>DOUDOUVET</t>
        </is>
      </c>
    </row>
    <row r="288">
      <c r="A288" t="inlineStr">
        <is>
          <t>DRABY</t>
        </is>
      </c>
      <c r="B288" t="inlineStr">
        <is>
          <t>DRABY</t>
        </is>
      </c>
    </row>
    <row r="289">
      <c r="A289" t="inlineStr">
        <is>
          <t>DRACAUFEU</t>
        </is>
      </c>
      <c r="B289" t="inlineStr">
        <is>
          <t>SALAMECHE</t>
        </is>
      </c>
    </row>
    <row r="290">
      <c r="A290" t="inlineStr">
        <is>
          <t>DRACKHAUS</t>
        </is>
      </c>
      <c r="B290" t="inlineStr">
        <is>
          <t>DRABY</t>
        </is>
      </c>
    </row>
    <row r="291">
      <c r="A291" t="inlineStr">
        <is>
          <t>DRACO</t>
        </is>
      </c>
      <c r="B291" t="inlineStr">
        <is>
          <t>MINIDRACO</t>
        </is>
      </c>
    </row>
    <row r="292">
      <c r="A292" t="inlineStr">
        <is>
          <t>DRACOLOSSE</t>
        </is>
      </c>
      <c r="B292" t="inlineStr">
        <is>
          <t>MINIDRACO</t>
        </is>
      </c>
    </row>
    <row r="293">
      <c r="A293" t="inlineStr">
        <is>
          <t>DRAGALGE</t>
        </is>
      </c>
      <c r="B293" t="inlineStr">
        <is>
          <t>DRAGALGE</t>
        </is>
      </c>
    </row>
    <row r="294">
      <c r="A294" t="inlineStr">
        <is>
          <t>DRAGMARA</t>
        </is>
      </c>
      <c r="B294" t="inlineStr">
        <is>
          <t>AMAGARA</t>
        </is>
      </c>
    </row>
    <row r="295">
      <c r="A295" t="inlineStr">
        <is>
          <t>DRAGONITE</t>
        </is>
      </c>
      <c r="B295" t="inlineStr">
        <is>
          <t>DRAGONITE</t>
        </is>
      </c>
    </row>
    <row r="296">
      <c r="A296" t="inlineStr">
        <is>
          <t>DRAIEUL</t>
        </is>
      </c>
      <c r="B296" t="inlineStr">
        <is>
          <t>DRAIEUL</t>
        </is>
      </c>
    </row>
    <row r="297">
      <c r="A297" t="inlineStr">
        <is>
          <t>DRAKKARMIN</t>
        </is>
      </c>
      <c r="B297" t="inlineStr">
        <is>
          <t>DRAKKARMIN</t>
        </is>
      </c>
    </row>
    <row r="298">
      <c r="A298" t="inlineStr">
        <is>
          <t>DRAMPA</t>
        </is>
      </c>
      <c r="B298" t="inlineStr">
        <is>
          <t>DRAMPA</t>
        </is>
      </c>
    </row>
    <row r="299">
      <c r="A299" t="inlineStr">
        <is>
          <t>DRASCORE</t>
        </is>
      </c>
      <c r="B299" t="inlineStr">
        <is>
          <t>RAPION</t>
        </is>
      </c>
    </row>
    <row r="300">
      <c r="A300" t="inlineStr">
        <is>
          <t>DRATATIN</t>
        </is>
      </c>
      <c r="B300" t="inlineStr">
        <is>
          <t>VERPOM</t>
        </is>
      </c>
    </row>
    <row r="301">
      <c r="A301" t="inlineStr">
        <is>
          <t>DRATTAK</t>
        </is>
      </c>
      <c r="B301" t="inlineStr">
        <is>
          <t>DRABY</t>
        </is>
      </c>
    </row>
    <row r="302">
      <c r="A302" t="inlineStr">
        <is>
          <t>DREDNAW</t>
        </is>
      </c>
      <c r="B302" t="inlineStr">
        <is>
          <t>DREDNAW</t>
        </is>
      </c>
    </row>
    <row r="303">
      <c r="A303" t="inlineStr">
        <is>
          <t>DUNACONDA</t>
        </is>
      </c>
      <c r="B303" t="inlineStr">
        <is>
          <t>DUNAJA</t>
        </is>
      </c>
    </row>
    <row r="304">
      <c r="A304" t="inlineStr">
        <is>
          <t>DUNAJA</t>
        </is>
      </c>
      <c r="B304" t="inlineStr">
        <is>
          <t>DUNAJA</t>
        </is>
      </c>
    </row>
    <row r="305">
      <c r="A305" t="inlineStr">
        <is>
          <t>DURALUDON</t>
        </is>
      </c>
      <c r="B305" t="inlineStr">
        <is>
          <t>DURALUDON</t>
        </is>
      </c>
    </row>
    <row r="306">
      <c r="A306" t="inlineStr">
        <is>
          <t>DURALUGON</t>
        </is>
      </c>
      <c r="B306" t="inlineStr">
        <is>
          <t>DURALUGON</t>
        </is>
      </c>
    </row>
    <row r="307">
      <c r="A307" t="inlineStr">
        <is>
          <t>DYNAVOLT</t>
        </is>
      </c>
      <c r="B307" t="inlineStr">
        <is>
          <t>DYNAVOLT</t>
        </is>
      </c>
    </row>
    <row r="308">
      <c r="A308" t="inlineStr">
        <is>
          <t>ECAID</t>
        </is>
      </c>
      <c r="B308" t="inlineStr">
        <is>
          <t>BEBECAILLE</t>
        </is>
      </c>
    </row>
    <row r="309">
      <c r="A309" t="inlineStr">
        <is>
          <t>ECAYON</t>
        </is>
      </c>
      <c r="B309" t="inlineStr">
        <is>
          <t>ECAYON</t>
        </is>
      </c>
    </row>
    <row r="310">
      <c r="A310" t="inlineStr">
        <is>
          <t>ECRAPINCE</t>
        </is>
      </c>
      <c r="B310" t="inlineStr">
        <is>
          <t>ECRAPINCE</t>
        </is>
      </c>
    </row>
    <row r="311">
      <c r="A311" t="inlineStr">
        <is>
          <t>ECREMEUH</t>
        </is>
      </c>
      <c r="B311" t="inlineStr">
        <is>
          <t>ECREMEUH</t>
        </is>
      </c>
    </row>
    <row r="312">
      <c r="A312" t="inlineStr">
        <is>
          <t>ECTOPLASMA</t>
        </is>
      </c>
      <c r="B312" t="inlineStr">
        <is>
          <t>FANTOMINUS</t>
        </is>
      </c>
    </row>
    <row r="313">
      <c r="A313" t="inlineStr">
        <is>
          <t>EELEKTROSS</t>
        </is>
      </c>
      <c r="B313" t="inlineStr">
        <is>
          <t>EELEKTROSS</t>
        </is>
      </c>
    </row>
    <row r="314">
      <c r="A314" t="inlineStr">
        <is>
          <t>EEVEE</t>
        </is>
      </c>
      <c r="B314" t="inlineStr">
        <is>
          <t>EEVEE</t>
        </is>
      </c>
    </row>
    <row r="315">
      <c r="A315" t="inlineStr">
        <is>
          <t>EFFLECHE</t>
        </is>
      </c>
      <c r="B315" t="inlineStr">
        <is>
          <t>BRINDIBOU</t>
        </is>
      </c>
    </row>
    <row r="316">
      <c r="A316" t="inlineStr">
        <is>
          <t>EKAISER</t>
        </is>
      </c>
      <c r="B316" t="inlineStr">
        <is>
          <t>BEBECAILLE</t>
        </is>
      </c>
    </row>
    <row r="317">
      <c r="A317" t="inlineStr">
        <is>
          <t>ELECSPRINT</t>
        </is>
      </c>
      <c r="B317" t="inlineStr">
        <is>
          <t>DYNAVOLT</t>
        </is>
      </c>
    </row>
    <row r="318">
      <c r="A318" t="inlineStr">
        <is>
          <t>ELECTHOR</t>
        </is>
      </c>
      <c r="B318" t="inlineStr">
        <is>
          <t>ELECTHOR</t>
        </is>
      </c>
    </row>
    <row r="319">
      <c r="A319" t="inlineStr">
        <is>
          <t>ELECTHOR-G</t>
        </is>
      </c>
      <c r="B319" t="inlineStr">
        <is>
          <t>ELECTHOR-G</t>
        </is>
      </c>
    </row>
    <row r="320">
      <c r="A320" t="inlineStr">
        <is>
          <t>ELECTRODE</t>
        </is>
      </c>
      <c r="B320" t="inlineStr">
        <is>
          <t>VOLTORBE</t>
        </is>
      </c>
    </row>
    <row r="321">
      <c r="A321" t="inlineStr">
        <is>
          <t>ELECTRODE-H</t>
        </is>
      </c>
      <c r="B321" t="inlineStr">
        <is>
          <t>VOLTORBE-H</t>
        </is>
      </c>
    </row>
    <row r="322">
      <c r="A322" t="inlineStr">
        <is>
          <t>ELEKABLE</t>
        </is>
      </c>
      <c r="B322" t="inlineStr">
        <is>
          <t>ELEKID</t>
        </is>
      </c>
    </row>
    <row r="323">
      <c r="A323" t="inlineStr">
        <is>
          <t>ELEKID</t>
        </is>
      </c>
      <c r="B323" t="inlineStr">
        <is>
          <t>ELEKID</t>
        </is>
      </c>
    </row>
    <row r="324">
      <c r="A324" t="inlineStr">
        <is>
          <t>ELEKTEK</t>
        </is>
      </c>
      <c r="B324" t="inlineStr">
        <is>
          <t>ELEKID</t>
        </is>
      </c>
    </row>
    <row r="325">
      <c r="A325" t="inlineStr">
        <is>
          <t>EMBOAR</t>
        </is>
      </c>
      <c r="B325" t="inlineStr">
        <is>
          <t>EMBOAR</t>
        </is>
      </c>
    </row>
    <row r="326">
      <c r="A326" t="inlineStr">
        <is>
          <t>EMBROCHET</t>
        </is>
      </c>
      <c r="B326" t="inlineStr">
        <is>
          <t>EMBROCHET</t>
        </is>
      </c>
    </row>
    <row r="327">
      <c r="A327" t="inlineStr">
        <is>
          <t>EMBRYLEX</t>
        </is>
      </c>
      <c r="B327" t="inlineStr">
        <is>
          <t>EMBRYLEX</t>
        </is>
      </c>
    </row>
    <row r="328">
      <c r="A328" t="inlineStr">
        <is>
          <t>EMOLGA</t>
        </is>
      </c>
      <c r="B328" t="inlineStr">
        <is>
          <t>EMOLGA</t>
        </is>
      </c>
    </row>
    <row r="329">
      <c r="A329" t="inlineStr">
        <is>
          <t>EMPIFLOR</t>
        </is>
      </c>
      <c r="B329" t="inlineStr">
        <is>
          <t>CHETIFLOR</t>
        </is>
      </c>
    </row>
    <row r="330">
      <c r="A330" t="inlineStr">
        <is>
          <t>ENGLOUTYRAN</t>
        </is>
      </c>
      <c r="B330" t="inlineStr">
        <is>
          <t>ENGLOUTYRAN</t>
        </is>
      </c>
    </row>
    <row r="331">
      <c r="A331" t="inlineStr">
        <is>
          <t>ENTEI</t>
        </is>
      </c>
      <c r="B331" t="inlineStr">
        <is>
          <t>ENTEI</t>
        </is>
      </c>
    </row>
    <row r="332">
      <c r="A332" t="inlineStr">
        <is>
          <t>EOKO</t>
        </is>
      </c>
      <c r="B332" t="inlineStr">
        <is>
          <t>KORILLON</t>
        </is>
      </c>
    </row>
    <row r="333">
      <c r="A333" t="inlineStr">
        <is>
          <t>EPINE-DE-FER</t>
        </is>
      </c>
      <c r="B333" t="inlineStr">
        <is>
          <t>EPINE-DE-FER</t>
        </is>
      </c>
    </row>
    <row r="334">
      <c r="A334" t="inlineStr">
        <is>
          <t>ESCARGAUME</t>
        </is>
      </c>
      <c r="B334" t="inlineStr">
        <is>
          <t>ESCARGAUME</t>
        </is>
      </c>
    </row>
    <row r="335">
      <c r="A335" t="inlineStr">
        <is>
          <t>ESCROCO</t>
        </is>
      </c>
      <c r="B335" t="inlineStr">
        <is>
          <t>MASCAIMAN</t>
        </is>
      </c>
    </row>
    <row r="336">
      <c r="A336" t="inlineStr">
        <is>
          <t>ETHERNATOS</t>
        </is>
      </c>
      <c r="B336" t="inlineStr">
        <is>
          <t>ETHERNATOS</t>
        </is>
      </c>
    </row>
    <row r="337">
      <c r="A337" t="inlineStr">
        <is>
          <t>ETOURAPTOR</t>
        </is>
      </c>
      <c r="B337" t="inlineStr">
        <is>
          <t>ETOURMI</t>
        </is>
      </c>
    </row>
    <row r="338">
      <c r="A338" t="inlineStr">
        <is>
          <t>ETOURMI</t>
        </is>
      </c>
      <c r="B338" t="inlineStr">
        <is>
          <t>ETOURMI</t>
        </is>
      </c>
    </row>
    <row r="339">
      <c r="A339" t="inlineStr">
        <is>
          <t>ETOURVOL</t>
        </is>
      </c>
      <c r="B339" t="inlineStr">
        <is>
          <t>ETOURMI</t>
        </is>
      </c>
    </row>
    <row r="340">
      <c r="A340" t="inlineStr">
        <is>
          <t>EVOLI</t>
        </is>
      </c>
      <c r="B340" t="inlineStr">
        <is>
          <t>EVOLI</t>
        </is>
      </c>
    </row>
    <row r="341">
      <c r="A341" t="inlineStr">
        <is>
          <t>EXAGIDE</t>
        </is>
      </c>
      <c r="B341" t="inlineStr">
        <is>
          <t>MONORPALE</t>
        </is>
      </c>
    </row>
    <row r="342">
      <c r="A342" t="inlineStr">
        <is>
          <t>EXCADRILL</t>
        </is>
      </c>
      <c r="B342" t="inlineStr">
        <is>
          <t>EXCADRILL</t>
        </is>
      </c>
    </row>
    <row r="343">
      <c r="A343" t="inlineStr">
        <is>
          <t>EXCAVARENNE</t>
        </is>
      </c>
      <c r="B343" t="inlineStr">
        <is>
          <t>SAPEREAU</t>
        </is>
      </c>
    </row>
    <row r="344">
      <c r="A344" t="inlineStr">
        <is>
          <t>EXCELANGUE</t>
        </is>
      </c>
      <c r="B344" t="inlineStr">
        <is>
          <t>EXCELANGUE</t>
        </is>
      </c>
    </row>
    <row r="345">
      <c r="A345" t="inlineStr">
        <is>
          <t>FALINKS</t>
        </is>
      </c>
      <c r="B345" t="inlineStr">
        <is>
          <t>FALINKS</t>
        </is>
      </c>
    </row>
    <row r="346">
      <c r="A346" t="inlineStr">
        <is>
          <t>FAMIGNOL</t>
        </is>
      </c>
      <c r="B346" t="inlineStr">
        <is>
          <t>COMPAGNOL</t>
        </is>
      </c>
    </row>
    <row r="347">
      <c r="A347" t="inlineStr">
        <is>
          <t>FANTOMINUS</t>
        </is>
      </c>
      <c r="B347" t="inlineStr">
        <is>
          <t>FANTOMINUS</t>
        </is>
      </c>
    </row>
    <row r="348">
      <c r="A348" t="inlineStr">
        <is>
          <t>FANTYRM</t>
        </is>
      </c>
      <c r="B348" t="inlineStr">
        <is>
          <t>FANTYRM</t>
        </is>
      </c>
    </row>
    <row r="349">
      <c r="A349" t="inlineStr">
        <is>
          <t>FARFADUVET</t>
        </is>
      </c>
      <c r="B349" t="inlineStr">
        <is>
          <t>DOUDOUVET</t>
        </is>
      </c>
    </row>
    <row r="350">
      <c r="A350" t="inlineStr">
        <is>
          <t>FARFURET</t>
        </is>
      </c>
      <c r="B350" t="inlineStr">
        <is>
          <t>FARFURET</t>
        </is>
      </c>
    </row>
    <row r="351">
      <c r="A351" t="inlineStr">
        <is>
          <t>FARFURET-H</t>
        </is>
      </c>
      <c r="B351" t="inlineStr">
        <is>
          <t>FARFURET-H</t>
        </is>
      </c>
    </row>
    <row r="352">
      <c r="A352" t="inlineStr">
        <is>
          <t>FARFUREX</t>
        </is>
      </c>
      <c r="B352" t="inlineStr">
        <is>
          <t>FARFURET-H</t>
        </is>
      </c>
    </row>
    <row r="353">
      <c r="A353" t="inlineStr">
        <is>
          <t>FARIGIRAF</t>
        </is>
      </c>
      <c r="B353" t="inlineStr">
        <is>
          <t>GIRAFARIG</t>
        </is>
      </c>
    </row>
    <row r="354">
      <c r="A354" t="inlineStr">
        <is>
          <t>FAVIANOS</t>
        </is>
      </c>
      <c r="B354" t="inlineStr">
        <is>
          <t>FAVIANOS</t>
        </is>
      </c>
    </row>
    <row r="355">
      <c r="A355" t="inlineStr">
        <is>
          <t>FELICANIS</t>
        </is>
      </c>
      <c r="B355" t="inlineStr">
        <is>
          <t>FELICANIS</t>
        </is>
      </c>
    </row>
    <row r="356">
      <c r="A356" t="inlineStr">
        <is>
          <t>FELINFERNO</t>
        </is>
      </c>
      <c r="B356" t="inlineStr">
        <is>
          <t>FLAMIAOU</t>
        </is>
      </c>
    </row>
    <row r="357">
      <c r="A357" t="inlineStr">
        <is>
          <t>FERALIGATR</t>
        </is>
      </c>
      <c r="B357" t="inlineStr">
        <is>
          <t>FERALIGATR</t>
        </is>
      </c>
    </row>
    <row r="358">
      <c r="A358" t="inlineStr">
        <is>
          <t>FERDETER</t>
        </is>
      </c>
      <c r="B358" t="inlineStr">
        <is>
          <t>FERDETER</t>
        </is>
      </c>
    </row>
    <row r="359">
      <c r="A359" t="inlineStr">
        <is>
          <t>FERMITE</t>
        </is>
      </c>
      <c r="B359" t="inlineStr">
        <is>
          <t>FERMITE</t>
        </is>
      </c>
    </row>
    <row r="360">
      <c r="A360" t="inlineStr">
        <is>
          <t>FEROSINGE</t>
        </is>
      </c>
      <c r="B360" t="inlineStr">
        <is>
          <t>FEROSINGE</t>
        </is>
      </c>
    </row>
    <row r="361">
      <c r="A361" t="inlineStr">
        <is>
          <t>FEU-PERCANT</t>
        </is>
      </c>
      <c r="B361" t="inlineStr">
        <is>
          <t>FEU-PERCANT</t>
        </is>
      </c>
    </row>
    <row r="362">
      <c r="A362" t="inlineStr">
        <is>
          <t>FEUFOREVE</t>
        </is>
      </c>
      <c r="B362" t="inlineStr">
        <is>
          <t>FEUFOREVE</t>
        </is>
      </c>
    </row>
    <row r="363">
      <c r="A363" t="inlineStr">
        <is>
          <t>FEUILLAJOU</t>
        </is>
      </c>
      <c r="B363" t="inlineStr">
        <is>
          <t>FEUILLAJOU</t>
        </is>
      </c>
    </row>
    <row r="364">
      <c r="A364" t="inlineStr">
        <is>
          <t>FEUILOUTAN</t>
        </is>
      </c>
      <c r="B364" t="inlineStr">
        <is>
          <t>FEUILLAJOU</t>
        </is>
      </c>
    </row>
    <row r="365">
      <c r="A365" t="inlineStr">
        <is>
          <t>FEUNARD</t>
        </is>
      </c>
      <c r="B365" t="inlineStr">
        <is>
          <t>GOUPIX</t>
        </is>
      </c>
    </row>
    <row r="366">
      <c r="A366" t="inlineStr">
        <is>
          <t>FEUNARD-A</t>
        </is>
      </c>
      <c r="B366" t="inlineStr">
        <is>
          <t>GOUPIX-A</t>
        </is>
      </c>
    </row>
    <row r="367">
      <c r="A367" t="inlineStr">
        <is>
          <t>FEUNNEC</t>
        </is>
      </c>
      <c r="B367" t="inlineStr">
        <is>
          <t>FEUNNEC</t>
        </is>
      </c>
    </row>
    <row r="368">
      <c r="A368" t="inlineStr">
        <is>
          <t>FEURISSON</t>
        </is>
      </c>
      <c r="B368" t="inlineStr">
        <is>
          <t>HERICENDRE</t>
        </is>
      </c>
    </row>
    <row r="369">
      <c r="A369" t="inlineStr">
        <is>
          <t>FILENTRAPPE</t>
        </is>
      </c>
      <c r="B369" t="inlineStr">
        <is>
          <t>TISSENBOULE</t>
        </is>
      </c>
    </row>
    <row r="370">
      <c r="A370" t="inlineStr">
        <is>
          <t>FLABEBE</t>
        </is>
      </c>
      <c r="B370" t="inlineStr">
        <is>
          <t>FLABEBE</t>
        </is>
      </c>
    </row>
    <row r="371">
      <c r="A371" t="inlineStr">
        <is>
          <t>FLAGADOSS</t>
        </is>
      </c>
      <c r="B371" t="inlineStr">
        <is>
          <t>RAMOLOSS</t>
        </is>
      </c>
    </row>
    <row r="372">
      <c r="A372" t="inlineStr">
        <is>
          <t>FLAGADOSS-G</t>
        </is>
      </c>
      <c r="B372" t="inlineStr">
        <is>
          <t>RAMOLOSS-G</t>
        </is>
      </c>
    </row>
    <row r="373">
      <c r="A373" t="inlineStr">
        <is>
          <t>FLAMAJOU</t>
        </is>
      </c>
      <c r="B373" t="inlineStr">
        <is>
          <t>FLAMAJOU</t>
        </is>
      </c>
    </row>
    <row r="374">
      <c r="A374" t="inlineStr">
        <is>
          <t>FLAMBINO</t>
        </is>
      </c>
      <c r="B374" t="inlineStr">
        <is>
          <t>FLAMBINO</t>
        </is>
      </c>
    </row>
    <row r="375">
      <c r="A375" t="inlineStr">
        <is>
          <t>FLAMBUSARD</t>
        </is>
      </c>
      <c r="B375" t="inlineStr">
        <is>
          <t>PASSEROUGE</t>
        </is>
      </c>
    </row>
    <row r="376">
      <c r="A376" t="inlineStr">
        <is>
          <t>FLAMENROULE</t>
        </is>
      </c>
      <c r="B376" t="inlineStr">
        <is>
          <t>FLAMENROULE</t>
        </is>
      </c>
    </row>
    <row r="377">
      <c r="A377" t="inlineStr">
        <is>
          <t>FLAMIAOU</t>
        </is>
      </c>
      <c r="B377" t="inlineStr">
        <is>
          <t>FLAMIAOU</t>
        </is>
      </c>
    </row>
    <row r="378">
      <c r="A378" t="inlineStr">
        <is>
          <t>FLAMIGATOR</t>
        </is>
      </c>
      <c r="B378" t="inlineStr">
        <is>
          <t>CHOCHODILE</t>
        </is>
      </c>
    </row>
    <row r="379">
      <c r="A379" t="inlineStr">
        <is>
          <t>FLAMOUTAN</t>
        </is>
      </c>
      <c r="B379" t="inlineStr">
        <is>
          <t>FLAMAJOU</t>
        </is>
      </c>
    </row>
    <row r="380">
      <c r="A380" t="inlineStr">
        <is>
          <t>FLAPPLE</t>
        </is>
      </c>
      <c r="B380" t="inlineStr">
        <is>
          <t>FLAPPLE</t>
        </is>
      </c>
    </row>
    <row r="381">
      <c r="A381" t="inlineStr">
        <is>
          <t>FLINGOUSTE</t>
        </is>
      </c>
      <c r="B381" t="inlineStr">
        <is>
          <t>FLINGOUSTE</t>
        </is>
      </c>
    </row>
    <row r="382">
      <c r="A382" t="inlineStr">
        <is>
          <t>FLOBIO</t>
        </is>
      </c>
      <c r="B382" t="inlineStr">
        <is>
          <t>GOBOU</t>
        </is>
      </c>
    </row>
    <row r="383">
      <c r="A383" t="inlineStr">
        <is>
          <t>FLOETTE</t>
        </is>
      </c>
      <c r="B383" t="inlineStr">
        <is>
          <t>FLABEBE</t>
        </is>
      </c>
    </row>
    <row r="384">
      <c r="A384" t="inlineStr">
        <is>
          <t>FLORAMANTIS</t>
        </is>
      </c>
      <c r="B384" t="inlineStr">
        <is>
          <t>MIMANTIS</t>
        </is>
      </c>
    </row>
    <row r="385">
      <c r="A385" t="inlineStr">
        <is>
          <t>FLORAVOL</t>
        </is>
      </c>
      <c r="B385" t="inlineStr">
        <is>
          <t>GRANIVOL</t>
        </is>
      </c>
    </row>
    <row r="386">
      <c r="A386" t="inlineStr">
        <is>
          <t>FLORECLAT</t>
        </is>
      </c>
      <c r="B386" t="inlineStr">
        <is>
          <t>GERMECLAT</t>
        </is>
      </c>
    </row>
    <row r="387">
      <c r="A387" t="inlineStr">
        <is>
          <t>FLORGES</t>
        </is>
      </c>
      <c r="B387" t="inlineStr">
        <is>
          <t>FLABEBE</t>
        </is>
      </c>
    </row>
    <row r="388">
      <c r="A388" t="inlineStr">
        <is>
          <t>FLORIZARRE</t>
        </is>
      </c>
      <c r="B388" t="inlineStr">
        <is>
          <t>BULBIZARRE</t>
        </is>
      </c>
    </row>
    <row r="389">
      <c r="A389" t="inlineStr">
        <is>
          <t>FLOTAJOU</t>
        </is>
      </c>
      <c r="B389" t="inlineStr">
        <is>
          <t>FLOTAJOU</t>
        </is>
      </c>
    </row>
    <row r="390">
      <c r="A390" t="inlineStr">
        <is>
          <t>FLOTILLON</t>
        </is>
      </c>
      <c r="B390" t="inlineStr">
        <is>
          <t>FLOTILLON</t>
        </is>
      </c>
    </row>
    <row r="391">
      <c r="A391" t="inlineStr">
        <is>
          <t>FLOTOUTAN</t>
        </is>
      </c>
      <c r="B391" t="inlineStr">
        <is>
          <t>FLOTAJOU</t>
        </is>
      </c>
    </row>
    <row r="392">
      <c r="A392" t="inlineStr">
        <is>
          <t>FLOTTE-MECHE</t>
        </is>
      </c>
      <c r="B392" t="inlineStr">
        <is>
          <t>FLOTTE-MECHE</t>
        </is>
      </c>
    </row>
    <row r="393">
      <c r="A393" t="inlineStr">
        <is>
          <t>FLUVETIN</t>
        </is>
      </c>
      <c r="B393" t="inlineStr">
        <is>
          <t>FLUVETIN</t>
        </is>
      </c>
    </row>
    <row r="394">
      <c r="A394" t="inlineStr">
        <is>
          <t>FONGUS-FURIE</t>
        </is>
      </c>
      <c r="B394" t="inlineStr">
        <is>
          <t>FONGUS-FURIE</t>
        </is>
      </c>
    </row>
    <row r="395">
      <c r="A395" t="inlineStr">
        <is>
          <t>FORETRESS</t>
        </is>
      </c>
      <c r="B395" t="inlineStr">
        <is>
          <t>POMDEPIK</t>
        </is>
      </c>
    </row>
    <row r="396">
      <c r="A396" t="inlineStr">
        <is>
          <t>FORGELINA</t>
        </is>
      </c>
      <c r="B396" t="inlineStr">
        <is>
          <t>FORGERETTE</t>
        </is>
      </c>
    </row>
    <row r="397">
      <c r="A397" t="inlineStr">
        <is>
          <t>FORGELLA</t>
        </is>
      </c>
      <c r="B397" t="inlineStr">
        <is>
          <t>FORGERETTE</t>
        </is>
      </c>
    </row>
    <row r="398">
      <c r="A398" t="inlineStr">
        <is>
          <t>FORGERETTE</t>
        </is>
      </c>
      <c r="B398" t="inlineStr">
        <is>
          <t>FORGERETTE</t>
        </is>
      </c>
    </row>
    <row r="399">
      <c r="A399" t="inlineStr">
        <is>
          <t>FORT-IVOIRE</t>
        </is>
      </c>
      <c r="B399" t="inlineStr">
        <is>
          <t>FORT-IVOIRE</t>
        </is>
      </c>
    </row>
    <row r="400">
      <c r="A400" t="inlineStr">
        <is>
          <t>FORTUSIMIA</t>
        </is>
      </c>
      <c r="B400" t="inlineStr">
        <is>
          <t>FORTUSIMIA</t>
        </is>
      </c>
    </row>
    <row r="401">
      <c r="A401" t="inlineStr">
        <is>
          <t>FOUINAR</t>
        </is>
      </c>
      <c r="B401" t="inlineStr">
        <is>
          <t>FOUINETTE</t>
        </is>
      </c>
    </row>
    <row r="402">
      <c r="A402" t="inlineStr">
        <is>
          <t>FOUINETTE</t>
        </is>
      </c>
      <c r="B402" t="inlineStr">
        <is>
          <t>FOUINETTE</t>
        </is>
      </c>
    </row>
    <row r="403">
      <c r="A403" t="inlineStr">
        <is>
          <t>FOURBELIN</t>
        </is>
      </c>
      <c r="B403" t="inlineStr">
        <is>
          <t>GRIMALIN</t>
        </is>
      </c>
    </row>
    <row r="404">
      <c r="A404" t="inlineStr">
        <is>
          <t>FRAGILADY</t>
        </is>
      </c>
      <c r="B404" t="inlineStr">
        <is>
          <t>CHLOROBULE</t>
        </is>
      </c>
    </row>
    <row r="405">
      <c r="A405" t="inlineStr">
        <is>
          <t>FRAGILADY-H</t>
        </is>
      </c>
      <c r="B405" t="inlineStr">
        <is>
          <t>CHLOROBULE</t>
        </is>
      </c>
    </row>
    <row r="406">
      <c r="A406" t="inlineStr">
        <is>
          <t>FRAGROIN</t>
        </is>
      </c>
      <c r="B406" t="inlineStr">
        <is>
          <t>GOURMELET</t>
        </is>
      </c>
    </row>
    <row r="407">
      <c r="A407" t="inlineStr">
        <is>
          <t>FRIGODO</t>
        </is>
      </c>
      <c r="B407" t="inlineStr">
        <is>
          <t>FRIGODO</t>
        </is>
      </c>
    </row>
    <row r="408">
      <c r="A408" t="inlineStr">
        <is>
          <t>FRISON</t>
        </is>
      </c>
      <c r="B408" t="inlineStr">
        <is>
          <t>FRISON</t>
        </is>
      </c>
    </row>
    <row r="409">
      <c r="A409" t="inlineStr">
        <is>
          <t>FRISSONILLE</t>
        </is>
      </c>
      <c r="B409" t="inlineStr">
        <is>
          <t>FRISSONILLE</t>
        </is>
      </c>
    </row>
    <row r="410">
      <c r="A410" t="inlineStr">
        <is>
          <t>FROSLASS</t>
        </is>
      </c>
      <c r="B410" t="inlineStr">
        <is>
          <t>FROSLASS</t>
        </is>
      </c>
    </row>
    <row r="411">
      <c r="A411" t="inlineStr">
        <is>
          <t>FROUSSARDINE</t>
        </is>
      </c>
      <c r="B411" t="inlineStr">
        <is>
          <t>FROUSSARDINE</t>
        </is>
      </c>
    </row>
    <row r="412">
      <c r="A412" t="inlineStr">
        <is>
          <t>FULGUDOG</t>
        </is>
      </c>
      <c r="B412" t="inlineStr">
        <is>
          <t>VOLTOUTOU</t>
        </is>
      </c>
    </row>
    <row r="413">
      <c r="A413" t="inlineStr">
        <is>
          <t>FULGULAIRO</t>
        </is>
      </c>
      <c r="B413" t="inlineStr">
        <is>
          <t>ZAPETREL</t>
        </is>
      </c>
    </row>
    <row r="414">
      <c r="A414" t="inlineStr">
        <is>
          <t>FULGURIS</t>
        </is>
      </c>
      <c r="B414" t="inlineStr">
        <is>
          <t>FULGURIS</t>
        </is>
      </c>
    </row>
    <row r="415">
      <c r="A415" t="inlineStr">
        <is>
          <t>FUNECIRE</t>
        </is>
      </c>
      <c r="B415" t="inlineStr">
        <is>
          <t>FUNECIRE</t>
        </is>
      </c>
    </row>
    <row r="416">
      <c r="A416" t="inlineStr">
        <is>
          <t>FURAIGLON</t>
        </is>
      </c>
      <c r="B416" t="inlineStr">
        <is>
          <t>FURAIGLON</t>
        </is>
      </c>
    </row>
    <row r="417">
      <c r="A417" t="inlineStr">
        <is>
          <t>GALEGON</t>
        </is>
      </c>
      <c r="B417" t="inlineStr">
        <is>
          <t>GALEKID</t>
        </is>
      </c>
    </row>
    <row r="418">
      <c r="A418" t="inlineStr">
        <is>
          <t>GALEKID</t>
        </is>
      </c>
      <c r="B418" t="inlineStr">
        <is>
          <t>GALEKID</t>
        </is>
      </c>
    </row>
    <row r="419">
      <c r="A419" t="inlineStr">
        <is>
          <t>GALEKING</t>
        </is>
      </c>
      <c r="B419" t="inlineStr">
        <is>
          <t>GALEKID</t>
        </is>
      </c>
    </row>
    <row r="420">
      <c r="A420" t="inlineStr">
        <is>
          <t>GALIFEU</t>
        </is>
      </c>
      <c r="B420" t="inlineStr">
        <is>
          <t>POUSSIFEU</t>
        </is>
      </c>
    </row>
    <row r="421">
      <c r="A421" t="inlineStr">
        <is>
          <t>GALLADE</t>
        </is>
      </c>
      <c r="B421" t="inlineStr">
        <is>
          <t>GALLADE</t>
        </is>
      </c>
    </row>
    <row r="422">
      <c r="A422" t="inlineStr">
        <is>
          <t>GALLAME</t>
        </is>
      </c>
      <c r="B422" t="inlineStr">
        <is>
          <t>TARSAL</t>
        </is>
      </c>
    </row>
    <row r="423">
      <c r="A423" t="inlineStr">
        <is>
          <t>GALOPA</t>
        </is>
      </c>
      <c r="B423" t="inlineStr">
        <is>
          <t>PONYTA</t>
        </is>
      </c>
    </row>
    <row r="424">
      <c r="A424" t="inlineStr">
        <is>
          <t>GALOPA-G</t>
        </is>
      </c>
      <c r="B424" t="inlineStr">
        <is>
          <t>PONYTA-G</t>
        </is>
      </c>
    </row>
    <row r="425">
      <c r="A425" t="inlineStr">
        <is>
          <t>GALVAGLA</t>
        </is>
      </c>
      <c r="B425" t="inlineStr">
        <is>
          <t>GALVAGLA</t>
        </is>
      </c>
    </row>
    <row r="426">
      <c r="A426" t="inlineStr">
        <is>
          <t>GALVAGON</t>
        </is>
      </c>
      <c r="B426" t="inlineStr">
        <is>
          <t>GALVAGON</t>
        </is>
      </c>
    </row>
    <row r="427">
      <c r="A427" t="inlineStr">
        <is>
          <t>GALVARAN</t>
        </is>
      </c>
      <c r="B427" t="inlineStr">
        <is>
          <t>GALVARAN</t>
        </is>
      </c>
    </row>
    <row r="428">
      <c r="A428" t="inlineStr">
        <is>
          <t>GAMBEX</t>
        </is>
      </c>
      <c r="B428" t="inlineStr">
        <is>
          <t>LILLITERELLE</t>
        </is>
      </c>
    </row>
    <row r="429">
      <c r="A429" t="inlineStr">
        <is>
          <t>GAMBLAST</t>
        </is>
      </c>
      <c r="B429" t="inlineStr">
        <is>
          <t>FLINGOUSTE</t>
        </is>
      </c>
    </row>
    <row r="430">
      <c r="A430" t="inlineStr">
        <is>
          <t>GARBODOR</t>
        </is>
      </c>
      <c r="B430" t="inlineStr">
        <is>
          <t>GARBODOR</t>
        </is>
      </c>
    </row>
    <row r="431">
      <c r="A431" t="inlineStr">
        <is>
          <t>GARCHOMP</t>
        </is>
      </c>
      <c r="B431" t="inlineStr">
        <is>
          <t>GARCHOMP</t>
        </is>
      </c>
    </row>
    <row r="432">
      <c r="A432" t="inlineStr">
        <is>
          <t>GARDE-DE-FER</t>
        </is>
      </c>
      <c r="B432" t="inlineStr">
        <is>
          <t>GARDE-DE-FER</t>
        </is>
      </c>
    </row>
    <row r="433">
      <c r="A433" t="inlineStr">
        <is>
          <t>GARDEVOIR</t>
        </is>
      </c>
      <c r="B433" t="inlineStr">
        <is>
          <t>TARSAL</t>
        </is>
      </c>
    </row>
    <row r="434">
      <c r="A434" t="inlineStr">
        <is>
          <t>GAULET</t>
        </is>
      </c>
      <c r="B434" t="inlineStr">
        <is>
          <t>TROMPIGNON</t>
        </is>
      </c>
    </row>
    <row r="435">
      <c r="A435" t="inlineStr">
        <is>
          <t>GENESECT</t>
        </is>
      </c>
      <c r="B435" t="inlineStr">
        <is>
          <t>GENESECT</t>
        </is>
      </c>
    </row>
    <row r="436">
      <c r="A436" t="inlineStr">
        <is>
          <t>GENGAR</t>
        </is>
      </c>
      <c r="B436" t="inlineStr">
        <is>
          <t>GENGAR</t>
        </is>
      </c>
    </row>
    <row r="437">
      <c r="A437" t="inlineStr">
        <is>
          <t>GEOLITHE</t>
        </is>
      </c>
      <c r="B437" t="inlineStr">
        <is>
          <t>NODULITHE</t>
        </is>
      </c>
    </row>
    <row r="438">
      <c r="A438" t="inlineStr">
        <is>
          <t>GERMECLAT</t>
        </is>
      </c>
      <c r="B438" t="inlineStr">
        <is>
          <t>GERMECLAT</t>
        </is>
      </c>
    </row>
    <row r="439">
      <c r="A439" t="inlineStr">
        <is>
          <t>GERMIGNON</t>
        </is>
      </c>
      <c r="B439" t="inlineStr">
        <is>
          <t>GERMIGNON</t>
        </is>
      </c>
    </row>
    <row r="440">
      <c r="A440" t="inlineStr">
        <is>
          <t>GIGALITHE</t>
        </is>
      </c>
      <c r="B440" t="inlineStr">
        <is>
          <t>NODULITHE</t>
        </is>
      </c>
    </row>
    <row r="441">
      <c r="A441" t="inlineStr">
        <is>
          <t>GIGANSEL</t>
        </is>
      </c>
      <c r="B441" t="inlineStr">
        <is>
          <t>SELUTIN</t>
        </is>
      </c>
    </row>
    <row r="442">
      <c r="A442" t="inlineStr">
        <is>
          <t>GIRAFARIG</t>
        </is>
      </c>
      <c r="B442" t="inlineStr">
        <is>
          <t>GIRAFARIG</t>
        </is>
      </c>
    </row>
    <row r="443">
      <c r="A443" t="inlineStr">
        <is>
          <t>GIRATINA</t>
        </is>
      </c>
      <c r="B443" t="inlineStr">
        <is>
          <t>GIRATINA</t>
        </is>
      </c>
    </row>
    <row r="444">
      <c r="A444" t="inlineStr">
        <is>
          <t>GIVRALI</t>
        </is>
      </c>
      <c r="B444" t="inlineStr">
        <is>
          <t>EVOLI</t>
        </is>
      </c>
    </row>
    <row r="445">
      <c r="A445" t="inlineStr">
        <is>
          <t>GLAIVODO</t>
        </is>
      </c>
      <c r="B445" t="inlineStr">
        <is>
          <t>FRIGODO</t>
        </is>
      </c>
    </row>
    <row r="446">
      <c r="A446" t="inlineStr">
        <is>
          <t>GLALIE</t>
        </is>
      </c>
      <c r="B446" t="inlineStr">
        <is>
          <t>GLALIE</t>
        </is>
      </c>
    </row>
    <row r="447">
      <c r="A447" t="inlineStr">
        <is>
          <t>GLIMMORA</t>
        </is>
      </c>
      <c r="B447" t="inlineStr">
        <is>
          <t>GLIMMORA</t>
        </is>
      </c>
    </row>
    <row r="448">
      <c r="A448" t="inlineStr">
        <is>
          <t>GLOUPTI</t>
        </is>
      </c>
      <c r="B448" t="inlineStr">
        <is>
          <t>GLOUPTI</t>
        </is>
      </c>
    </row>
    <row r="449">
      <c r="A449" t="inlineStr">
        <is>
          <t>GOBOU</t>
        </is>
      </c>
      <c r="B449" t="inlineStr">
        <is>
          <t>GOBOU</t>
        </is>
      </c>
    </row>
    <row r="450">
      <c r="A450" t="inlineStr">
        <is>
          <t>GOELISE</t>
        </is>
      </c>
      <c r="B450" t="inlineStr">
        <is>
          <t>GOELISE</t>
        </is>
      </c>
    </row>
    <row r="451">
      <c r="A451" t="inlineStr">
        <is>
          <t>GOINFREX</t>
        </is>
      </c>
      <c r="B451" t="inlineStr">
        <is>
          <t>GOINFREX</t>
        </is>
      </c>
    </row>
    <row r="452">
      <c r="A452" t="inlineStr">
        <is>
          <t>GOLEMASTOC</t>
        </is>
      </c>
      <c r="B452" t="inlineStr">
        <is>
          <t>GRINGOLEM</t>
        </is>
      </c>
    </row>
    <row r="453">
      <c r="A453" t="inlineStr">
        <is>
          <t>GOLGOPATHE</t>
        </is>
      </c>
      <c r="B453" t="inlineStr">
        <is>
          <t>OPERMINE</t>
        </is>
      </c>
    </row>
    <row r="454">
      <c r="A454" t="inlineStr">
        <is>
          <t>GOLISOPOD</t>
        </is>
      </c>
      <c r="B454" t="inlineStr">
        <is>
          <t>GOLISOPOD</t>
        </is>
      </c>
    </row>
    <row r="455">
      <c r="A455" t="inlineStr">
        <is>
          <t>GOLURK</t>
        </is>
      </c>
      <c r="B455" t="inlineStr">
        <is>
          <t>GOLURK</t>
        </is>
      </c>
    </row>
    <row r="456">
      <c r="A456" t="inlineStr">
        <is>
          <t>GORYTHMIC</t>
        </is>
      </c>
      <c r="B456" t="inlineStr">
        <is>
          <t>OUISTEMPO</t>
        </is>
      </c>
    </row>
    <row r="457">
      <c r="A457" t="inlineStr">
        <is>
          <t>GOUPELIN</t>
        </is>
      </c>
      <c r="B457" t="inlineStr">
        <is>
          <t>FEUNNEC</t>
        </is>
      </c>
    </row>
    <row r="458">
      <c r="A458" t="inlineStr">
        <is>
          <t>GOUPILOU</t>
        </is>
      </c>
      <c r="B458" t="inlineStr">
        <is>
          <t>GOUPILOU</t>
        </is>
      </c>
    </row>
    <row r="459">
      <c r="A459" t="inlineStr">
        <is>
          <t>GOUPIX</t>
        </is>
      </c>
      <c r="B459" t="inlineStr">
        <is>
          <t>GOUPIX</t>
        </is>
      </c>
    </row>
    <row r="460">
      <c r="A460" t="inlineStr">
        <is>
          <t>GOUPIX-A</t>
        </is>
      </c>
      <c r="B460" t="inlineStr">
        <is>
          <t>GOUPIX-A</t>
        </is>
      </c>
    </row>
    <row r="461">
      <c r="A461" t="inlineStr">
        <is>
          <t>GOURMELET</t>
        </is>
      </c>
      <c r="B461" t="inlineStr">
        <is>
          <t>GOURMELET</t>
        </is>
      </c>
    </row>
    <row r="462">
      <c r="A462" t="inlineStr">
        <is>
          <t>GOUROUTAN</t>
        </is>
      </c>
      <c r="B462" t="inlineStr">
        <is>
          <t>GOUROUTAN</t>
        </is>
      </c>
    </row>
    <row r="463">
      <c r="A463" t="inlineStr">
        <is>
          <t>GRAHYENA</t>
        </is>
      </c>
      <c r="B463" t="inlineStr">
        <is>
          <t>MEDHYENA</t>
        </is>
      </c>
    </row>
    <row r="464">
      <c r="A464" t="inlineStr">
        <is>
          <t>GRAINIPIOT</t>
        </is>
      </c>
      <c r="B464" t="inlineStr">
        <is>
          <t>GRAINIPIOT</t>
        </is>
      </c>
    </row>
    <row r="465">
      <c r="A465" t="inlineStr">
        <is>
          <t>GRANBULL</t>
        </is>
      </c>
      <c r="B465" t="inlineStr">
        <is>
          <t>SNUBBULL</t>
        </is>
      </c>
    </row>
    <row r="466">
      <c r="A466" t="inlineStr">
        <is>
          <t>GRANIVOL</t>
        </is>
      </c>
      <c r="B466" t="inlineStr">
        <is>
          <t>GRANIVOL</t>
        </is>
      </c>
    </row>
    <row r="467">
      <c r="A467" t="inlineStr">
        <is>
          <t>GRAVALANCH</t>
        </is>
      </c>
      <c r="B467" t="inlineStr">
        <is>
          <t>RACAILLOU</t>
        </is>
      </c>
    </row>
    <row r="468">
      <c r="A468" t="inlineStr">
        <is>
          <t>GRAVALANCH-A</t>
        </is>
      </c>
      <c r="B468" t="inlineStr">
        <is>
          <t>RACAILLOU-A</t>
        </is>
      </c>
    </row>
    <row r="469">
      <c r="A469" t="inlineStr">
        <is>
          <t>GRELACON</t>
        </is>
      </c>
      <c r="B469" t="inlineStr">
        <is>
          <t>GRELACON</t>
        </is>
      </c>
    </row>
    <row r="470">
      <c r="A470" t="inlineStr">
        <is>
          <t>GRENINJA</t>
        </is>
      </c>
      <c r="B470" t="inlineStr">
        <is>
          <t>GRENINJA</t>
        </is>
      </c>
    </row>
    <row r="471">
      <c r="A471" t="inlineStr">
        <is>
          <t>GRENOUSSE</t>
        </is>
      </c>
      <c r="B471" t="inlineStr">
        <is>
          <t>GRENOUSSE</t>
        </is>
      </c>
    </row>
    <row r="472">
      <c r="A472" t="inlineStr">
        <is>
          <t>GRIBOURAIGNE</t>
        </is>
      </c>
      <c r="B472" t="inlineStr">
        <is>
          <t>GRIBOURAIGNE</t>
        </is>
      </c>
    </row>
    <row r="473">
      <c r="A473" t="inlineStr">
        <is>
          <t>GRIKNOT</t>
        </is>
      </c>
      <c r="B473" t="inlineStr">
        <is>
          <t>GRIKNOT</t>
        </is>
      </c>
    </row>
    <row r="474">
      <c r="A474" t="inlineStr">
        <is>
          <t>GRILLEPATTES</t>
        </is>
      </c>
      <c r="B474" t="inlineStr">
        <is>
          <t>GRILLEPATTES</t>
        </is>
      </c>
    </row>
    <row r="475">
      <c r="A475" t="inlineStr">
        <is>
          <t>GRIMALIN</t>
        </is>
      </c>
      <c r="B475" t="inlineStr">
        <is>
          <t>GRIMALIN</t>
        </is>
      </c>
    </row>
    <row r="476">
      <c r="A476" t="inlineStr">
        <is>
          <t>GRIMMSNARL</t>
        </is>
      </c>
      <c r="B476" t="inlineStr">
        <is>
          <t>GRIMMSNARL</t>
        </is>
      </c>
    </row>
    <row r="477">
      <c r="A477" t="inlineStr">
        <is>
          <t>GRINDUR</t>
        </is>
      </c>
      <c r="B477" t="inlineStr">
        <is>
          <t>GRINDUR</t>
        </is>
      </c>
    </row>
    <row r="478">
      <c r="A478" t="inlineStr">
        <is>
          <t>GRINGOLEM</t>
        </is>
      </c>
      <c r="B478" t="inlineStr">
        <is>
          <t>GRINGOLEM</t>
        </is>
      </c>
    </row>
    <row r="479">
      <c r="A479" t="inlineStr">
        <is>
          <t>GRODOUDOU</t>
        </is>
      </c>
      <c r="B479" t="inlineStr">
        <is>
          <t>TOUDOUDOU</t>
        </is>
      </c>
    </row>
    <row r="480">
      <c r="A480" t="inlineStr">
        <is>
          <t>GRODRIVE</t>
        </is>
      </c>
      <c r="B480" t="inlineStr">
        <is>
          <t>BAUDRIVE</t>
        </is>
      </c>
    </row>
    <row r="481">
      <c r="A481" t="inlineStr">
        <is>
          <t>GROLEM</t>
        </is>
      </c>
      <c r="B481" t="inlineStr">
        <is>
          <t>RACAILLOU</t>
        </is>
      </c>
    </row>
    <row r="482">
      <c r="A482" t="inlineStr">
        <is>
          <t>GROLEM-A</t>
        </is>
      </c>
      <c r="B482" t="inlineStr">
        <is>
          <t>RACAILLOU-A</t>
        </is>
      </c>
    </row>
    <row r="483">
      <c r="A483" t="inlineStr">
        <is>
          <t>GROMAGO</t>
        </is>
      </c>
      <c r="B483" t="inlineStr">
        <is>
          <t>MORDUDOR</t>
        </is>
      </c>
    </row>
    <row r="484">
      <c r="A484" t="inlineStr">
        <is>
          <t>GRONDOGUE</t>
        </is>
      </c>
      <c r="B484" t="inlineStr">
        <is>
          <t>GRONDOGUE</t>
        </is>
      </c>
    </row>
    <row r="485">
      <c r="A485" t="inlineStr">
        <is>
          <t>GRORET</t>
        </is>
      </c>
      <c r="B485" t="inlineStr">
        <is>
          <t>SPOINK</t>
        </is>
      </c>
    </row>
    <row r="486">
      <c r="A486" t="inlineStr">
        <is>
          <t>GROTADMORV</t>
        </is>
      </c>
      <c r="B486" t="inlineStr">
        <is>
          <t>TADMORV</t>
        </is>
      </c>
    </row>
    <row r="487">
      <c r="A487" t="inlineStr">
        <is>
          <t>GROTADMORV-A</t>
        </is>
      </c>
      <c r="B487" t="inlineStr">
        <is>
          <t>TADMORV-A</t>
        </is>
      </c>
    </row>
    <row r="488">
      <c r="A488" t="inlineStr">
        <is>
          <t>GROTICHON</t>
        </is>
      </c>
      <c r="B488" t="inlineStr">
        <is>
          <t>GRUIKUI</t>
        </is>
      </c>
    </row>
    <row r="489">
      <c r="A489" t="inlineStr">
        <is>
          <t>GROUDON</t>
        </is>
      </c>
      <c r="B489" t="inlineStr">
        <is>
          <t>GROUDON</t>
        </is>
      </c>
    </row>
    <row r="490">
      <c r="A490" t="inlineStr">
        <is>
          <t>GRUIKUI</t>
        </is>
      </c>
      <c r="B490" t="inlineStr">
        <is>
          <t>GRUIKUI</t>
        </is>
      </c>
    </row>
    <row r="491">
      <c r="A491" t="inlineStr">
        <is>
          <t>GUERIAIGLE</t>
        </is>
      </c>
      <c r="B491" t="inlineStr">
        <is>
          <t>FURAIGLON</t>
        </is>
      </c>
    </row>
    <row r="492">
      <c r="A492" t="inlineStr">
        <is>
          <t>GUERIAIGLE-H</t>
        </is>
      </c>
      <c r="B492" t="inlineStr">
        <is>
          <t>FURAIGLON</t>
        </is>
      </c>
    </row>
    <row r="493">
      <c r="A493" t="inlineStr">
        <is>
          <t>GUERILANDE</t>
        </is>
      </c>
      <c r="B493" t="inlineStr">
        <is>
          <t>GUERILANDE</t>
        </is>
      </c>
    </row>
    <row r="494">
      <c r="A494" t="inlineStr">
        <is>
          <t>GYARADOS</t>
        </is>
      </c>
      <c r="B494" t="inlineStr">
        <is>
          <t>GYARADOS</t>
        </is>
      </c>
    </row>
    <row r="495">
      <c r="A495" t="inlineStr">
        <is>
          <t>HACHECATEUR</t>
        </is>
      </c>
      <c r="B495" t="inlineStr">
        <is>
          <t>INSECATEUR</t>
        </is>
      </c>
    </row>
    <row r="496">
      <c r="A496" t="inlineStr">
        <is>
          <t>HARIYAMA</t>
        </is>
      </c>
      <c r="B496" t="inlineStr">
        <is>
          <t>MAKUHITA</t>
        </is>
      </c>
    </row>
    <row r="497">
      <c r="A497" t="inlineStr">
        <is>
          <t>HASTACUDA</t>
        </is>
      </c>
      <c r="B497" t="inlineStr">
        <is>
          <t>EMBROCHET</t>
        </is>
      </c>
    </row>
    <row r="498">
      <c r="A498" t="inlineStr">
        <is>
          <t>HATTERENE</t>
        </is>
      </c>
      <c r="B498" t="inlineStr">
        <is>
          <t>HATTERENE</t>
        </is>
      </c>
    </row>
    <row r="499">
      <c r="A499" t="inlineStr">
        <is>
          <t>HAWLUCHA</t>
        </is>
      </c>
      <c r="B499" t="inlineStr">
        <is>
          <t>HAWLUCHA</t>
        </is>
      </c>
    </row>
    <row r="500">
      <c r="A500" t="inlineStr">
        <is>
          <t>HAYDAIM</t>
        </is>
      </c>
      <c r="B500" t="inlineStr">
        <is>
          <t>VIVALDAIM</t>
        </is>
      </c>
    </row>
    <row r="501">
      <c r="A501" t="inlineStr">
        <is>
          <t>HEATRAN</t>
        </is>
      </c>
      <c r="B501" t="inlineStr">
        <is>
          <t>HEATRAN</t>
        </is>
      </c>
    </row>
    <row r="502">
      <c r="A502" t="inlineStr">
        <is>
          <t>HELEDELLE</t>
        </is>
      </c>
      <c r="B502" t="inlineStr">
        <is>
          <t>NIRONDELLE</t>
        </is>
      </c>
    </row>
    <row r="503">
      <c r="A503" t="inlineStr">
        <is>
          <t>HELIATRONC</t>
        </is>
      </c>
      <c r="B503" t="inlineStr">
        <is>
          <t>TOURNEGRIN</t>
        </is>
      </c>
    </row>
    <row r="504">
      <c r="A504" t="inlineStr">
        <is>
          <t>HELIONCEAU</t>
        </is>
      </c>
      <c r="B504" t="inlineStr">
        <is>
          <t>HELIONCEAU</t>
        </is>
      </c>
    </row>
    <row r="505">
      <c r="A505" t="inlineStr">
        <is>
          <t>HERACROSS</t>
        </is>
      </c>
      <c r="B505" t="inlineStr">
        <is>
          <t>HERACROSS</t>
        </is>
      </c>
    </row>
    <row r="506">
      <c r="A506" t="inlineStr">
        <is>
          <t>HERBIZARRE</t>
        </is>
      </c>
      <c r="B506" t="inlineStr">
        <is>
          <t>BULBIZARRE</t>
        </is>
      </c>
    </row>
    <row r="507">
      <c r="A507" t="inlineStr">
        <is>
          <t>HERICENDRE</t>
        </is>
      </c>
      <c r="B507" t="inlineStr">
        <is>
          <t>HERICENDRE</t>
        </is>
      </c>
    </row>
    <row r="508">
      <c r="A508" t="inlineStr">
        <is>
          <t>HEXADRON</t>
        </is>
      </c>
      <c r="B508" t="inlineStr">
        <is>
          <t>HEXADRON</t>
        </is>
      </c>
    </row>
    <row r="509">
      <c r="A509" t="inlineStr">
        <is>
          <t>HEXAGEL</t>
        </is>
      </c>
      <c r="B509" t="inlineStr">
        <is>
          <t>HEXAGEL</t>
        </is>
      </c>
    </row>
    <row r="510">
      <c r="A510" t="inlineStr">
        <is>
          <t>HIPPODOCUS</t>
        </is>
      </c>
      <c r="B510" t="inlineStr">
        <is>
          <t>HIPPOPOTAS</t>
        </is>
      </c>
    </row>
    <row r="511">
      <c r="A511" t="inlineStr">
        <is>
          <t>HIPPOPOTAS</t>
        </is>
      </c>
      <c r="B511" t="inlineStr">
        <is>
          <t>HIPPOPOTAS</t>
        </is>
      </c>
    </row>
    <row r="512">
      <c r="A512" t="inlineStr">
        <is>
          <t>HO-OH</t>
        </is>
      </c>
      <c r="B512" t="inlineStr">
        <is>
          <t>HO-OH</t>
        </is>
      </c>
    </row>
    <row r="513">
      <c r="A513" t="inlineStr">
        <is>
          <t>HOOPA</t>
        </is>
      </c>
      <c r="B513" t="inlineStr">
        <is>
          <t>HOOPA</t>
        </is>
      </c>
    </row>
    <row r="514">
      <c r="A514" t="inlineStr">
        <is>
          <t>HOOTHOOT</t>
        </is>
      </c>
      <c r="B514" t="inlineStr">
        <is>
          <t>HOOTHOOT</t>
        </is>
      </c>
    </row>
    <row r="515">
      <c r="A515" t="inlineStr">
        <is>
          <t>HOTTE-DE-FER</t>
        </is>
      </c>
      <c r="B515" t="inlineStr">
        <is>
          <t>HOTTE-DE-FER</t>
        </is>
      </c>
    </row>
    <row r="516">
      <c r="A516" t="inlineStr">
        <is>
          <t>HOUNDOOM</t>
        </is>
      </c>
      <c r="B516" t="inlineStr">
        <is>
          <t>HOUNDOOM</t>
        </is>
      </c>
    </row>
    <row r="517">
      <c r="A517" t="inlineStr">
        <is>
          <t>HURLE-QUEUE</t>
        </is>
      </c>
      <c r="B517" t="inlineStr">
        <is>
          <t>HURLE-QUEUE</t>
        </is>
      </c>
    </row>
    <row r="518">
      <c r="A518" t="inlineStr">
        <is>
          <t>HYDRAGLA</t>
        </is>
      </c>
      <c r="B518" t="inlineStr">
        <is>
          <t>HYDRAGLA</t>
        </is>
      </c>
    </row>
    <row r="519">
      <c r="A519" t="inlineStr">
        <is>
          <t>HYDRAGON</t>
        </is>
      </c>
      <c r="B519" t="inlineStr">
        <is>
          <t>HYDRAGON</t>
        </is>
      </c>
    </row>
    <row r="520">
      <c r="A520" t="inlineStr">
        <is>
          <t>HYPNOMADE</t>
        </is>
      </c>
      <c r="B520" t="inlineStr">
        <is>
          <t>SOPORIFIK</t>
        </is>
      </c>
    </row>
    <row r="521">
      <c r="A521" t="inlineStr">
        <is>
          <t>HYPOCEAN</t>
        </is>
      </c>
      <c r="B521" t="inlineStr">
        <is>
          <t>HYPOTREMPE</t>
        </is>
      </c>
    </row>
    <row r="522">
      <c r="A522" t="inlineStr">
        <is>
          <t>HYPOROI</t>
        </is>
      </c>
      <c r="B522" t="inlineStr">
        <is>
          <t>HYPOTREMPE</t>
        </is>
      </c>
    </row>
    <row r="523">
      <c r="A523" t="inlineStr">
        <is>
          <t>HYPOTREMPE</t>
        </is>
      </c>
      <c r="B523" t="inlineStr">
        <is>
          <t>HYPOTREMPE</t>
        </is>
      </c>
    </row>
    <row r="524">
      <c r="A524" t="inlineStr">
        <is>
          <t>IGUOLTA</t>
        </is>
      </c>
      <c r="B524" t="inlineStr">
        <is>
          <t>GALVARAN</t>
        </is>
      </c>
    </row>
    <row r="525">
      <c r="A525" t="inlineStr">
        <is>
          <t>INCISACHE</t>
        </is>
      </c>
      <c r="B525" t="inlineStr">
        <is>
          <t>COUPENOTTE</t>
        </is>
      </c>
    </row>
    <row r="526">
      <c r="A526" t="inlineStr">
        <is>
          <t>INSECATEUR</t>
        </is>
      </c>
      <c r="B526" t="inlineStr">
        <is>
          <t>INSECATEUR</t>
        </is>
      </c>
    </row>
    <row r="527">
      <c r="A527" t="inlineStr">
        <is>
          <t>INSOLOURDO</t>
        </is>
      </c>
      <c r="B527" t="inlineStr">
        <is>
          <t>INSOLOURDO</t>
        </is>
      </c>
    </row>
    <row r="528">
      <c r="A528" t="inlineStr">
        <is>
          <t>INTELEON</t>
        </is>
      </c>
      <c r="B528" t="inlineStr">
        <is>
          <t>INTELEON</t>
        </is>
      </c>
    </row>
    <row r="529">
      <c r="A529" t="inlineStr">
        <is>
          <t>IRE-FOUDRE</t>
        </is>
      </c>
      <c r="B529" t="inlineStr">
        <is>
          <t>IRE-FOUDRE</t>
        </is>
      </c>
    </row>
    <row r="530">
      <c r="A530" t="inlineStr">
        <is>
          <t>IXON</t>
        </is>
      </c>
      <c r="B530" t="inlineStr">
        <is>
          <t>ZIGZATON-G</t>
        </is>
      </c>
    </row>
    <row r="531">
      <c r="A531" t="inlineStr">
        <is>
          <t>JIRACHI</t>
        </is>
      </c>
      <c r="B531" t="inlineStr">
        <is>
          <t>JIRACHI</t>
        </is>
      </c>
    </row>
    <row r="532">
      <c r="A532" t="inlineStr">
        <is>
          <t>JOLIFLOR</t>
        </is>
      </c>
      <c r="B532" t="inlineStr">
        <is>
          <t>MYSTHERBE</t>
        </is>
      </c>
    </row>
    <row r="533">
      <c r="A533" t="inlineStr">
        <is>
          <t>JUDOKRAK</t>
        </is>
      </c>
      <c r="B533" t="inlineStr">
        <is>
          <t>JUDOKRAK</t>
        </is>
      </c>
    </row>
    <row r="534">
      <c r="A534" t="inlineStr">
        <is>
          <t>JUNGKO</t>
        </is>
      </c>
      <c r="B534" t="inlineStr">
        <is>
          <t>ARCKO</t>
        </is>
      </c>
    </row>
    <row r="535">
      <c r="A535" t="inlineStr">
        <is>
          <t>KABUTO</t>
        </is>
      </c>
      <c r="B535" t="inlineStr">
        <is>
          <t>KABUTO</t>
        </is>
      </c>
    </row>
    <row r="536">
      <c r="A536" t="inlineStr">
        <is>
          <t>KABUTOPS</t>
        </is>
      </c>
      <c r="B536" t="inlineStr">
        <is>
          <t>KABUTO</t>
        </is>
      </c>
    </row>
    <row r="537">
      <c r="A537" t="inlineStr">
        <is>
          <t>KADABRA</t>
        </is>
      </c>
      <c r="B537" t="inlineStr">
        <is>
          <t>ABRA</t>
        </is>
      </c>
    </row>
    <row r="538">
      <c r="A538" t="inlineStr">
        <is>
          <t>KAIMINUS</t>
        </is>
      </c>
      <c r="B538" t="inlineStr">
        <is>
          <t>KAIMINUS</t>
        </is>
      </c>
    </row>
    <row r="539">
      <c r="A539" t="inlineStr">
        <is>
          <t>KAIMORSE</t>
        </is>
      </c>
      <c r="B539" t="inlineStr">
        <is>
          <t>OBALIE</t>
        </is>
      </c>
    </row>
    <row r="540">
      <c r="A540" t="inlineStr">
        <is>
          <t>KANGASKHAN</t>
        </is>
      </c>
      <c r="B540" t="inlineStr">
        <is>
          <t>KANGASKHAN</t>
        </is>
      </c>
    </row>
    <row r="541">
      <c r="A541" t="inlineStr">
        <is>
          <t>KANGOUREX</t>
        </is>
      </c>
      <c r="B541" t="inlineStr">
        <is>
          <t>KANGOUREX</t>
        </is>
      </c>
    </row>
    <row r="542">
      <c r="A542" t="inlineStr">
        <is>
          <t>KAORINE</t>
        </is>
      </c>
      <c r="B542" t="inlineStr">
        <is>
          <t>BALBUTO</t>
        </is>
      </c>
    </row>
    <row r="543">
      <c r="A543" t="inlineStr">
        <is>
          <t>KAPOERA</t>
        </is>
      </c>
      <c r="B543" t="inlineStr">
        <is>
          <t>DEBUGANT</t>
        </is>
      </c>
    </row>
    <row r="544">
      <c r="A544" t="inlineStr">
        <is>
          <t>KARACLEE</t>
        </is>
      </c>
      <c r="B544" t="inlineStr">
        <is>
          <t>KARACLEE</t>
        </is>
      </c>
    </row>
    <row r="545">
      <c r="A545" t="inlineStr">
        <is>
          <t>KATAGAMI</t>
        </is>
      </c>
      <c r="B545" t="inlineStr">
        <is>
          <t>KATAGAMI</t>
        </is>
      </c>
    </row>
    <row r="546">
      <c r="A546" t="inlineStr">
        <is>
          <t>KECLEON</t>
        </is>
      </c>
      <c r="B546" t="inlineStr">
        <is>
          <t>KECLEON</t>
        </is>
      </c>
    </row>
    <row r="547">
      <c r="A547" t="inlineStr">
        <is>
          <t>KELDEO</t>
        </is>
      </c>
      <c r="B547" t="inlineStr">
        <is>
          <t>KELDEO</t>
        </is>
      </c>
    </row>
    <row r="548">
      <c r="A548" t="inlineStr">
        <is>
          <t>KEUNOTOR</t>
        </is>
      </c>
      <c r="B548" t="inlineStr">
        <is>
          <t>KEUNOTOR</t>
        </is>
      </c>
    </row>
    <row r="549">
      <c r="A549" t="inlineStr">
        <is>
          <t>KHELOCROK</t>
        </is>
      </c>
      <c r="B549" t="inlineStr">
        <is>
          <t>KHELOCROK</t>
        </is>
      </c>
    </row>
    <row r="550">
      <c r="A550" t="inlineStr">
        <is>
          <t>KICKLEE</t>
        </is>
      </c>
      <c r="B550" t="inlineStr">
        <is>
          <t>DEBUGANT</t>
        </is>
      </c>
    </row>
    <row r="551">
      <c r="A551" t="inlineStr">
        <is>
          <t>KINGLER</t>
        </is>
      </c>
      <c r="B551" t="inlineStr">
        <is>
          <t>KINGLER</t>
        </is>
      </c>
    </row>
    <row r="552">
      <c r="A552" t="inlineStr">
        <is>
          <t>KIRLIA</t>
        </is>
      </c>
      <c r="B552" t="inlineStr">
        <is>
          <t>TARSAL</t>
        </is>
      </c>
    </row>
    <row r="553">
      <c r="A553" t="inlineStr">
        <is>
          <t>KOKIYAS</t>
        </is>
      </c>
      <c r="B553" t="inlineStr">
        <is>
          <t>KOKIYAS</t>
        </is>
      </c>
    </row>
    <row r="554">
      <c r="A554" t="inlineStr">
        <is>
          <t>KORAIDON</t>
        </is>
      </c>
      <c r="B554" t="inlineStr">
        <is>
          <t>KORAIDON</t>
        </is>
      </c>
    </row>
    <row r="555">
      <c r="A555" t="inlineStr">
        <is>
          <t>KORILLON</t>
        </is>
      </c>
      <c r="B555" t="inlineStr">
        <is>
          <t>KORILLON</t>
        </is>
      </c>
    </row>
    <row r="556">
      <c r="A556" t="inlineStr">
        <is>
          <t>KRABBOSS</t>
        </is>
      </c>
      <c r="B556" t="inlineStr">
        <is>
          <t>KRABBY</t>
        </is>
      </c>
    </row>
    <row r="557">
      <c r="A557" t="inlineStr">
        <is>
          <t>KRABBY</t>
        </is>
      </c>
      <c r="B557" t="inlineStr">
        <is>
          <t>KRABBY</t>
        </is>
      </c>
    </row>
    <row r="558">
      <c r="A558" t="inlineStr">
        <is>
          <t>KRAKNOIX</t>
        </is>
      </c>
      <c r="B558" t="inlineStr">
        <is>
          <t>KRAKNOIX</t>
        </is>
      </c>
    </row>
    <row r="559">
      <c r="A559" t="inlineStr">
        <is>
          <t>KRAKOS</t>
        </is>
      </c>
      <c r="B559" t="inlineStr">
        <is>
          <t>POULPAF</t>
        </is>
      </c>
    </row>
    <row r="560">
      <c r="A560" t="inlineStr">
        <is>
          <t>KRANIDOS</t>
        </is>
      </c>
      <c r="B560" t="inlineStr">
        <is>
          <t>KRANIDOS</t>
        </is>
      </c>
    </row>
    <row r="561">
      <c r="A561" t="inlineStr">
        <is>
          <t>KRAVARECH</t>
        </is>
      </c>
      <c r="B561" t="inlineStr">
        <is>
          <t>VENALGUE</t>
        </is>
      </c>
    </row>
    <row r="562">
      <c r="A562" t="inlineStr">
        <is>
          <t>KUNGFOUINE</t>
        </is>
      </c>
      <c r="B562" t="inlineStr">
        <is>
          <t>KUNGFOUINE</t>
        </is>
      </c>
    </row>
    <row r="563">
      <c r="A563" t="inlineStr">
        <is>
          <t>KYOGRE</t>
        </is>
      </c>
      <c r="B563" t="inlineStr">
        <is>
          <t>KYOGRE</t>
        </is>
      </c>
    </row>
    <row r="564">
      <c r="A564" t="inlineStr">
        <is>
          <t>KYUREM</t>
        </is>
      </c>
      <c r="B564" t="inlineStr">
        <is>
          <t>KYUREM</t>
        </is>
      </c>
    </row>
    <row r="565">
      <c r="A565" t="inlineStr">
        <is>
          <t>LAGGRON</t>
        </is>
      </c>
      <c r="B565" t="inlineStr">
        <is>
          <t>GOBOU</t>
        </is>
      </c>
    </row>
    <row r="566">
      <c r="A566" t="inlineStr">
        <is>
          <t>LAINERGIE</t>
        </is>
      </c>
      <c r="B566" t="inlineStr">
        <is>
          <t>WATTOUAT</t>
        </is>
      </c>
    </row>
    <row r="567">
      <c r="A567" t="inlineStr">
        <is>
          <t>LAKMECYGNE</t>
        </is>
      </c>
      <c r="B567" t="inlineStr">
        <is>
          <t>COUANETON</t>
        </is>
      </c>
    </row>
    <row r="568">
      <c r="A568" t="inlineStr">
        <is>
          <t>LAMANTINE</t>
        </is>
      </c>
      <c r="B568" t="inlineStr">
        <is>
          <t>OTARIA</t>
        </is>
      </c>
    </row>
    <row r="569">
      <c r="A569" t="inlineStr">
        <is>
          <t>LAMPEROIE</t>
        </is>
      </c>
      <c r="B569" t="inlineStr">
        <is>
          <t>ANCHWATT</t>
        </is>
      </c>
    </row>
    <row r="570">
      <c r="A570" t="inlineStr">
        <is>
          <t>LAMPIGNON</t>
        </is>
      </c>
      <c r="B570" t="inlineStr">
        <is>
          <t>SPODODO</t>
        </is>
      </c>
    </row>
    <row r="571">
      <c r="A571" t="inlineStr">
        <is>
          <t>LANCARGOT</t>
        </is>
      </c>
      <c r="B571" t="inlineStr">
        <is>
          <t>CARABING</t>
        </is>
      </c>
    </row>
    <row r="572">
      <c r="A572" t="inlineStr">
        <is>
          <t>LANSSORIEN</t>
        </is>
      </c>
      <c r="B572" t="inlineStr">
        <is>
          <t>FANTYRM</t>
        </is>
      </c>
    </row>
    <row r="573">
      <c r="A573" t="inlineStr">
        <is>
          <t>LANTURN</t>
        </is>
      </c>
      <c r="B573" t="inlineStr">
        <is>
          <t>LOUPIO</t>
        </is>
      </c>
    </row>
    <row r="574">
      <c r="A574" t="inlineStr">
        <is>
          <t>LAPOREILLE</t>
        </is>
      </c>
      <c r="B574" t="inlineStr">
        <is>
          <t>LAPOREILLE</t>
        </is>
      </c>
    </row>
    <row r="575">
      <c r="A575" t="inlineStr">
        <is>
          <t>LAPRAS</t>
        </is>
      </c>
      <c r="B575" t="inlineStr">
        <is>
          <t>LAPRAS</t>
        </is>
      </c>
    </row>
    <row r="576">
      <c r="A576" t="inlineStr">
        <is>
          <t>LAPYRO</t>
        </is>
      </c>
      <c r="B576" t="inlineStr">
        <is>
          <t>FLAMBINO</t>
        </is>
      </c>
    </row>
    <row r="577">
      <c r="A577" t="inlineStr">
        <is>
          <t>LARMELEON</t>
        </is>
      </c>
      <c r="B577" t="inlineStr">
        <is>
          <t>LARMELEON</t>
        </is>
      </c>
    </row>
    <row r="578">
      <c r="A578" t="inlineStr">
        <is>
          <t>LARVADAR</t>
        </is>
      </c>
      <c r="B578" t="inlineStr">
        <is>
          <t>LARVADAR</t>
        </is>
      </c>
    </row>
    <row r="579">
      <c r="A579" t="inlineStr">
        <is>
          <t>LARVEYETTE</t>
        </is>
      </c>
      <c r="B579" t="inlineStr">
        <is>
          <t>LARVEYETTE</t>
        </is>
      </c>
    </row>
    <row r="580">
      <c r="A580" t="inlineStr">
        <is>
          <t>LARVIBULE</t>
        </is>
      </c>
      <c r="B580" t="inlineStr">
        <is>
          <t>LARVIBULE</t>
        </is>
      </c>
    </row>
    <row r="581">
      <c r="A581" t="inlineStr">
        <is>
          <t>LATIAS</t>
        </is>
      </c>
      <c r="B581" t="inlineStr">
        <is>
          <t>LATIAS</t>
        </is>
      </c>
    </row>
    <row r="582">
      <c r="A582" t="inlineStr">
        <is>
          <t>LATIOS</t>
        </is>
      </c>
      <c r="B582" t="inlineStr">
        <is>
          <t>LATIOS</t>
        </is>
      </c>
    </row>
    <row r="583">
      <c r="A583" t="inlineStr">
        <is>
          <t>LEBOULEROU</t>
        </is>
      </c>
      <c r="B583" t="inlineStr">
        <is>
          <t>LEBOULEROU</t>
        </is>
      </c>
    </row>
    <row r="584">
      <c r="A584" t="inlineStr">
        <is>
          <t>LEOPARDUS</t>
        </is>
      </c>
      <c r="B584" t="inlineStr">
        <is>
          <t>CHACRIPAN</t>
        </is>
      </c>
    </row>
    <row r="585">
      <c r="A585" t="inlineStr">
        <is>
          <t>LEPIDONILLE</t>
        </is>
      </c>
      <c r="B585" t="inlineStr">
        <is>
          <t>PRISMILLON</t>
        </is>
      </c>
    </row>
    <row r="586">
      <c r="A586" t="inlineStr">
        <is>
          <t>LESTOMBAILE</t>
        </is>
      </c>
      <c r="B586" t="inlineStr">
        <is>
          <t>LESTOMBAILE</t>
        </is>
      </c>
    </row>
    <row r="587">
      <c r="A587" t="inlineStr">
        <is>
          <t>LEUPHORIE</t>
        </is>
      </c>
      <c r="B587" t="inlineStr">
        <is>
          <t>PTIRAVI</t>
        </is>
      </c>
    </row>
    <row r="588">
      <c r="A588" t="inlineStr">
        <is>
          <t>LEVEINARD</t>
        </is>
      </c>
      <c r="B588" t="inlineStr">
        <is>
          <t>PTIRAVI</t>
        </is>
      </c>
    </row>
    <row r="589">
      <c r="A589" t="inlineStr">
        <is>
          <t>LEVIATOR</t>
        </is>
      </c>
      <c r="B589" t="inlineStr">
        <is>
          <t>MAGICARPE</t>
        </is>
      </c>
    </row>
    <row r="590">
      <c r="A590" t="inlineStr">
        <is>
          <t>LEWSOR</t>
        </is>
      </c>
      <c r="B590" t="inlineStr">
        <is>
          <t>LEWSOR</t>
        </is>
      </c>
    </row>
    <row r="591">
      <c r="A591" t="inlineStr">
        <is>
          <t>LEZARGUS</t>
        </is>
      </c>
      <c r="B591" t="inlineStr">
        <is>
          <t>LARMELEON</t>
        </is>
      </c>
    </row>
    <row r="592">
      <c r="A592" t="inlineStr">
        <is>
          <t>LIANAJA</t>
        </is>
      </c>
      <c r="B592" t="inlineStr">
        <is>
          <t>VIPELIERRE</t>
        </is>
      </c>
    </row>
    <row r="593">
      <c r="A593" t="inlineStr">
        <is>
          <t>LIBEGON</t>
        </is>
      </c>
      <c r="B593" t="inlineStr">
        <is>
          <t>KRAKNOIX</t>
        </is>
      </c>
    </row>
    <row r="594">
      <c r="A594" t="inlineStr">
        <is>
          <t>LILIA</t>
        </is>
      </c>
      <c r="B594" t="inlineStr">
        <is>
          <t>LILIA</t>
        </is>
      </c>
    </row>
    <row r="595">
      <c r="A595" t="inlineStr">
        <is>
          <t>LILLITERELLE</t>
        </is>
      </c>
      <c r="B595" t="inlineStr">
        <is>
          <t>LILLITERELLE</t>
        </is>
      </c>
    </row>
    <row r="596">
      <c r="A596" t="inlineStr">
        <is>
          <t>LIMAGMA</t>
        </is>
      </c>
      <c r="B596" t="inlineStr">
        <is>
          <t>LIMAGMA</t>
        </is>
      </c>
    </row>
    <row r="597">
      <c r="A597" t="inlineStr">
        <is>
          <t>LIMASPEED</t>
        </is>
      </c>
      <c r="B597" t="inlineStr">
        <is>
          <t>ESCARGAUME</t>
        </is>
      </c>
    </row>
    <row r="598">
      <c r="A598" t="inlineStr">
        <is>
          <t>LIMONDE</t>
        </is>
      </c>
      <c r="B598" t="inlineStr">
        <is>
          <t>LIMONDE</t>
        </is>
      </c>
    </row>
    <row r="599">
      <c r="A599" t="inlineStr">
        <is>
          <t>LIMONDE-G</t>
        </is>
      </c>
      <c r="B599" t="inlineStr">
        <is>
          <t>LIMONDE-G</t>
        </is>
      </c>
    </row>
    <row r="600">
      <c r="A600" t="inlineStr">
        <is>
          <t>LINEON</t>
        </is>
      </c>
      <c r="B600" t="inlineStr">
        <is>
          <t>ZIGZATON</t>
        </is>
      </c>
    </row>
    <row r="601">
      <c r="A601" t="inlineStr">
        <is>
          <t>LINEON-G</t>
        </is>
      </c>
      <c r="B601" t="inlineStr">
        <is>
          <t>ZIGZATON-G</t>
        </is>
      </c>
    </row>
    <row r="602">
      <c r="A602" t="inlineStr">
        <is>
          <t>LIPPOUTI</t>
        </is>
      </c>
      <c r="B602" t="inlineStr">
        <is>
          <t>LIPPOUTI</t>
        </is>
      </c>
    </row>
    <row r="603">
      <c r="A603" t="inlineStr">
        <is>
          <t>LIPPOUTOU</t>
        </is>
      </c>
      <c r="B603" t="inlineStr">
        <is>
          <t>LIPPOUTI</t>
        </is>
      </c>
    </row>
    <row r="604">
      <c r="A604" t="inlineStr">
        <is>
          <t>LIXY</t>
        </is>
      </c>
      <c r="B604" t="inlineStr">
        <is>
          <t>LIXY</t>
        </is>
      </c>
    </row>
    <row r="605">
      <c r="A605" t="inlineStr">
        <is>
          <t>LOCKPIN</t>
        </is>
      </c>
      <c r="B605" t="inlineStr">
        <is>
          <t>LAPOREILLE</t>
        </is>
      </c>
    </row>
    <row r="606">
      <c r="A606" t="inlineStr">
        <is>
          <t>LOKHLASS</t>
        </is>
      </c>
      <c r="B606" t="inlineStr">
        <is>
          <t>LOKHLASS</t>
        </is>
      </c>
    </row>
    <row r="607">
      <c r="A607" t="inlineStr">
        <is>
          <t>LOMBRE</t>
        </is>
      </c>
      <c r="B607" t="inlineStr">
        <is>
          <t>NENUPIOT</t>
        </is>
      </c>
    </row>
    <row r="608">
      <c r="A608" t="inlineStr">
        <is>
          <t>LOPUNNY</t>
        </is>
      </c>
      <c r="B608" t="inlineStr">
        <is>
          <t>LOPUNNY</t>
        </is>
      </c>
    </row>
    <row r="609">
      <c r="A609" t="inlineStr">
        <is>
          <t>LOUGAROC</t>
        </is>
      </c>
      <c r="B609" t="inlineStr">
        <is>
          <t>ROCABOT</t>
        </is>
      </c>
    </row>
    <row r="610">
      <c r="A610" t="inlineStr">
        <is>
          <t>LOUPIO</t>
        </is>
      </c>
      <c r="B610" t="inlineStr">
        <is>
          <t>LOUPIO</t>
        </is>
      </c>
    </row>
    <row r="611">
      <c r="A611" t="inlineStr">
        <is>
          <t>LOVDISC</t>
        </is>
      </c>
      <c r="B611" t="inlineStr">
        <is>
          <t>LOVDISC</t>
        </is>
      </c>
    </row>
    <row r="612">
      <c r="A612" t="inlineStr">
        <is>
          <t>LUCANON</t>
        </is>
      </c>
      <c r="B612" t="inlineStr">
        <is>
          <t>LARVIBULE</t>
        </is>
      </c>
    </row>
    <row r="613">
      <c r="A613" t="inlineStr">
        <is>
          <t>LUCARIO</t>
        </is>
      </c>
      <c r="B613" t="inlineStr">
        <is>
          <t>RIOLU</t>
        </is>
      </c>
    </row>
    <row r="614">
      <c r="A614" t="inlineStr">
        <is>
          <t>LUDICOLO</t>
        </is>
      </c>
      <c r="B614" t="inlineStr">
        <is>
          <t>NENUPIOT</t>
        </is>
      </c>
    </row>
    <row r="615">
      <c r="A615" t="inlineStr">
        <is>
          <t>LUGIA</t>
        </is>
      </c>
      <c r="B615" t="inlineStr">
        <is>
          <t>LUGIA</t>
        </is>
      </c>
    </row>
    <row r="616">
      <c r="A616" t="inlineStr">
        <is>
          <t>LUGULABRE</t>
        </is>
      </c>
      <c r="B616" t="inlineStr">
        <is>
          <t>FUNECIRE</t>
        </is>
      </c>
    </row>
    <row r="617">
      <c r="A617" t="inlineStr">
        <is>
          <t>LUMINEON</t>
        </is>
      </c>
      <c r="B617" t="inlineStr">
        <is>
          <t>ECAYON</t>
        </is>
      </c>
    </row>
    <row r="618">
      <c r="A618" t="inlineStr">
        <is>
          <t>LUMIVOLE</t>
        </is>
      </c>
      <c r="B618" t="inlineStr">
        <is>
          <t>LUMIVOLE</t>
        </is>
      </c>
    </row>
    <row r="619">
      <c r="A619" t="inlineStr">
        <is>
          <t>LUNALA</t>
        </is>
      </c>
      <c r="B619" t="inlineStr">
        <is>
          <t>COSMOG</t>
        </is>
      </c>
    </row>
    <row r="620">
      <c r="A620" t="inlineStr">
        <is>
          <t>LUXIO</t>
        </is>
      </c>
      <c r="B620" t="inlineStr">
        <is>
          <t>LIXY</t>
        </is>
      </c>
    </row>
    <row r="621">
      <c r="A621" t="inlineStr">
        <is>
          <t>LUXRAY</t>
        </is>
      </c>
      <c r="B621" t="inlineStr">
        <is>
          <t>LIXY</t>
        </is>
      </c>
    </row>
    <row r="622">
      <c r="A622" t="inlineStr">
        <is>
          <t>M. GLAQUETTE</t>
        </is>
      </c>
      <c r="B622" t="inlineStr">
        <is>
          <t>MIME JR.</t>
        </is>
      </c>
    </row>
    <row r="623">
      <c r="A623" t="inlineStr">
        <is>
          <t>M. MIME</t>
        </is>
      </c>
      <c r="B623" t="inlineStr">
        <is>
          <t>MIME JR.</t>
        </is>
      </c>
    </row>
    <row r="624">
      <c r="A624" t="inlineStr">
        <is>
          <t>M. MIME-G</t>
        </is>
      </c>
      <c r="B624" t="inlineStr">
        <is>
          <t>MIME JR.</t>
        </is>
      </c>
    </row>
    <row r="625">
      <c r="A625" t="inlineStr">
        <is>
          <t>MACHAMP</t>
        </is>
      </c>
      <c r="B625" t="inlineStr">
        <is>
          <t>MACHAMP</t>
        </is>
      </c>
    </row>
    <row r="626">
      <c r="A626" t="inlineStr">
        <is>
          <t>MACHOC</t>
        </is>
      </c>
      <c r="B626" t="inlineStr">
        <is>
          <t>MACHOC</t>
        </is>
      </c>
    </row>
    <row r="627">
      <c r="A627" t="inlineStr">
        <is>
          <t>MACHOPEUR</t>
        </is>
      </c>
      <c r="B627" t="inlineStr">
        <is>
          <t>MACHOC</t>
        </is>
      </c>
    </row>
    <row r="628">
      <c r="A628" t="inlineStr">
        <is>
          <t>MACKOGNEUR</t>
        </is>
      </c>
      <c r="B628" t="inlineStr">
        <is>
          <t>MACHOC</t>
        </is>
      </c>
    </row>
    <row r="629">
      <c r="A629" t="inlineStr">
        <is>
          <t>MACRONIUM</t>
        </is>
      </c>
      <c r="B629" t="inlineStr">
        <is>
          <t>GERMIGNON</t>
        </is>
      </c>
    </row>
    <row r="630">
      <c r="A630" t="inlineStr">
        <is>
          <t>MAGANON</t>
        </is>
      </c>
      <c r="B630" t="inlineStr">
        <is>
          <t>MAGBY</t>
        </is>
      </c>
    </row>
    <row r="631">
      <c r="A631" t="inlineStr">
        <is>
          <t>MAGBY</t>
        </is>
      </c>
      <c r="B631" t="inlineStr">
        <is>
          <t>MAGBY</t>
        </is>
      </c>
    </row>
    <row r="632">
      <c r="A632" t="inlineStr">
        <is>
          <t>MAGEARNA</t>
        </is>
      </c>
      <c r="B632" t="inlineStr">
        <is>
          <t>MAGEARNA</t>
        </is>
      </c>
    </row>
    <row r="633">
      <c r="A633" t="inlineStr">
        <is>
          <t>MAGICARPE</t>
        </is>
      </c>
      <c r="B633" t="inlineStr">
        <is>
          <t>MAGICARPE</t>
        </is>
      </c>
    </row>
    <row r="634">
      <c r="A634" t="inlineStr">
        <is>
          <t>MAGIREVE</t>
        </is>
      </c>
      <c r="B634" t="inlineStr">
        <is>
          <t>FEUFOREVE</t>
        </is>
      </c>
    </row>
    <row r="635">
      <c r="A635" t="inlineStr">
        <is>
          <t>MAGMAR</t>
        </is>
      </c>
      <c r="B635" t="inlineStr">
        <is>
          <t>MAGBY</t>
        </is>
      </c>
    </row>
    <row r="636">
      <c r="A636" t="inlineStr">
        <is>
          <t>MAGNETI</t>
        </is>
      </c>
      <c r="B636" t="inlineStr">
        <is>
          <t>MAGNETI</t>
        </is>
      </c>
    </row>
    <row r="637">
      <c r="A637" t="inlineStr">
        <is>
          <t>MAGNETON</t>
        </is>
      </c>
      <c r="B637" t="inlineStr">
        <is>
          <t>MAGNETI</t>
        </is>
      </c>
    </row>
    <row r="638">
      <c r="A638" t="inlineStr">
        <is>
          <t>MAGNEZONE</t>
        </is>
      </c>
      <c r="B638" t="inlineStr">
        <is>
          <t>MAGNETI</t>
        </is>
      </c>
    </row>
    <row r="639">
      <c r="A639" t="inlineStr">
        <is>
          <t>MAJASPIC</t>
        </is>
      </c>
      <c r="B639" t="inlineStr">
        <is>
          <t>VIPELIERRE</t>
        </is>
      </c>
    </row>
    <row r="640">
      <c r="A640" t="inlineStr">
        <is>
          <t>MAKUHITA</t>
        </is>
      </c>
      <c r="B640" t="inlineStr">
        <is>
          <t>MAKUHITA</t>
        </is>
      </c>
    </row>
    <row r="641">
      <c r="A641" t="inlineStr">
        <is>
          <t>MALAMANDRE</t>
        </is>
      </c>
      <c r="B641" t="inlineStr">
        <is>
          <t>TRITOX</t>
        </is>
      </c>
    </row>
    <row r="642">
      <c r="A642" t="inlineStr">
        <is>
          <t>MALAMAR</t>
        </is>
      </c>
      <c r="B642" t="inlineStr">
        <is>
          <t>MALAMAR</t>
        </is>
      </c>
    </row>
    <row r="643">
      <c r="A643" t="inlineStr">
        <is>
          <t>MALOSSE</t>
        </is>
      </c>
      <c r="B643" t="inlineStr">
        <is>
          <t>MALOSSE</t>
        </is>
      </c>
    </row>
    <row r="644">
      <c r="A644" t="inlineStr">
        <is>
          <t>MALVALAME</t>
        </is>
      </c>
      <c r="B644" t="inlineStr">
        <is>
          <t>CHARBAMBIN</t>
        </is>
      </c>
    </row>
    <row r="645">
      <c r="A645" t="inlineStr">
        <is>
          <t>MAMANBO</t>
        </is>
      </c>
      <c r="B645" t="inlineStr">
        <is>
          <t>MAMANBO</t>
        </is>
      </c>
    </row>
    <row r="646">
      <c r="A646" t="inlineStr">
        <is>
          <t>MAMMOCHON</t>
        </is>
      </c>
      <c r="B646" t="inlineStr">
        <is>
          <t>MARCACRIN</t>
        </is>
      </c>
    </row>
    <row r="647">
      <c r="A647" t="inlineStr">
        <is>
          <t>MANAPHY</t>
        </is>
      </c>
      <c r="B647" t="inlineStr">
        <is>
          <t>MANAPHY</t>
        </is>
      </c>
    </row>
    <row r="648">
      <c r="A648" t="inlineStr">
        <is>
          <t>MANDRILLON</t>
        </is>
      </c>
      <c r="B648" t="inlineStr">
        <is>
          <t>VEMINI</t>
        </is>
      </c>
    </row>
    <row r="649">
      <c r="A649" t="inlineStr">
        <is>
          <t>MANECTRIC</t>
        </is>
      </c>
      <c r="B649" t="inlineStr">
        <is>
          <t>MANECTRIC</t>
        </is>
      </c>
    </row>
    <row r="650">
      <c r="A650" t="inlineStr">
        <is>
          <t>MANGLOUTON</t>
        </is>
      </c>
      <c r="B650" t="inlineStr">
        <is>
          <t>MANGLOUTON</t>
        </is>
      </c>
    </row>
    <row r="651">
      <c r="A651" t="inlineStr">
        <is>
          <t>MANGRIFF</t>
        </is>
      </c>
      <c r="B651" t="inlineStr">
        <is>
          <t>MANGRIFF</t>
        </is>
      </c>
    </row>
    <row r="652">
      <c r="A652" t="inlineStr">
        <is>
          <t>MANTERNEL</t>
        </is>
      </c>
      <c r="B652" t="inlineStr">
        <is>
          <t>LARVEYETTE</t>
        </is>
      </c>
    </row>
    <row r="653">
      <c r="A653" t="inlineStr">
        <is>
          <t>MANZAI</t>
        </is>
      </c>
      <c r="B653" t="inlineStr">
        <is>
          <t>MANZAI</t>
        </is>
      </c>
    </row>
    <row r="654">
      <c r="A654" t="inlineStr">
        <is>
          <t>MARACACHI</t>
        </is>
      </c>
      <c r="B654" t="inlineStr">
        <is>
          <t>MARACACHI</t>
        </is>
      </c>
    </row>
    <row r="655">
      <c r="A655" t="inlineStr">
        <is>
          <t>MARAISTE</t>
        </is>
      </c>
      <c r="B655" t="inlineStr">
        <is>
          <t>AXOLOTO</t>
        </is>
      </c>
    </row>
    <row r="656">
      <c r="A656" t="inlineStr">
        <is>
          <t>MARCACRIN</t>
        </is>
      </c>
      <c r="B656" t="inlineStr">
        <is>
          <t>MARCACRIN</t>
        </is>
      </c>
    </row>
    <row r="657">
      <c r="A657" t="inlineStr">
        <is>
          <t>MARILL</t>
        </is>
      </c>
      <c r="B657" t="inlineStr">
        <is>
          <t>AZURILL</t>
        </is>
      </c>
    </row>
    <row r="658">
      <c r="A658" t="inlineStr">
        <is>
          <t>MARISSON</t>
        </is>
      </c>
      <c r="B658" t="inlineStr">
        <is>
          <t>MARISSON</t>
        </is>
      </c>
    </row>
    <row r="659">
      <c r="A659" t="inlineStr">
        <is>
          <t>MARSHADOW</t>
        </is>
      </c>
      <c r="B659" t="inlineStr">
        <is>
          <t>MARSHADOW</t>
        </is>
      </c>
    </row>
    <row r="660">
      <c r="A660" t="inlineStr">
        <is>
          <t>MASCAIMAN</t>
        </is>
      </c>
      <c r="B660" t="inlineStr">
        <is>
          <t>MASCAIMAN</t>
        </is>
      </c>
    </row>
    <row r="661">
      <c r="A661" t="inlineStr">
        <is>
          <t>MASKADRA</t>
        </is>
      </c>
      <c r="B661" t="inlineStr">
        <is>
          <t>ARAKDO</t>
        </is>
      </c>
    </row>
    <row r="662">
      <c r="A662" t="inlineStr">
        <is>
          <t>MASSKO</t>
        </is>
      </c>
      <c r="B662" t="inlineStr">
        <is>
          <t>ARCKO</t>
        </is>
      </c>
    </row>
    <row r="663">
      <c r="A663" t="inlineStr">
        <is>
          <t>MASTOUFFE</t>
        </is>
      </c>
      <c r="B663" t="inlineStr">
        <is>
          <t>PONCHIOT</t>
        </is>
      </c>
    </row>
    <row r="664">
      <c r="A664" t="inlineStr">
        <is>
          <t>MATELOUTRE</t>
        </is>
      </c>
      <c r="B664" t="inlineStr">
        <is>
          <t>MOUSTILLON</t>
        </is>
      </c>
    </row>
    <row r="665">
      <c r="A665" t="inlineStr">
        <is>
          <t>MATOUFEU</t>
        </is>
      </c>
      <c r="B665" t="inlineStr">
        <is>
          <t>FLAMIAOU</t>
        </is>
      </c>
    </row>
    <row r="666">
      <c r="A666" t="inlineStr">
        <is>
          <t>MATOURGEON</t>
        </is>
      </c>
      <c r="B666" t="inlineStr">
        <is>
          <t>POUSSACHA</t>
        </is>
      </c>
    </row>
    <row r="667">
      <c r="A667" t="inlineStr">
        <is>
          <t>MAWILE</t>
        </is>
      </c>
      <c r="B667" t="inlineStr">
        <is>
          <t>MAWILE</t>
        </is>
      </c>
    </row>
    <row r="668">
      <c r="A668" t="inlineStr">
        <is>
          <t>MEDHYENA</t>
        </is>
      </c>
      <c r="B668" t="inlineStr">
        <is>
          <t>MEDHYENA</t>
        </is>
      </c>
    </row>
    <row r="669">
      <c r="A669" t="inlineStr">
        <is>
          <t>MEDICHAM</t>
        </is>
      </c>
      <c r="B669" t="inlineStr">
        <is>
          <t>MEDICHAM</t>
        </is>
      </c>
    </row>
    <row r="670">
      <c r="A670" t="inlineStr">
        <is>
          <t>MEDITIKKA</t>
        </is>
      </c>
      <c r="B670" t="inlineStr">
        <is>
          <t>MEDITIKKA</t>
        </is>
      </c>
    </row>
    <row r="671">
      <c r="A671" t="inlineStr">
        <is>
          <t>MEGANIUM</t>
        </is>
      </c>
      <c r="B671" t="inlineStr">
        <is>
          <t>GERMIGNON</t>
        </is>
      </c>
    </row>
    <row r="672">
      <c r="A672" t="inlineStr">
        <is>
          <t>MEGAPAGOS</t>
        </is>
      </c>
      <c r="B672" t="inlineStr">
        <is>
          <t>CARAPAGOS</t>
        </is>
      </c>
    </row>
    <row r="673">
      <c r="A673" t="inlineStr">
        <is>
          <t>MEIOS</t>
        </is>
      </c>
      <c r="B673" t="inlineStr">
        <is>
          <t>NUCLEOS</t>
        </is>
      </c>
    </row>
    <row r="674">
      <c r="A674" t="inlineStr">
        <is>
          <t>MELANCOLUX</t>
        </is>
      </c>
      <c r="B674" t="inlineStr">
        <is>
          <t>FUNECIRE</t>
        </is>
      </c>
    </row>
    <row r="675">
      <c r="A675" t="inlineStr">
        <is>
          <t>MELMETAL</t>
        </is>
      </c>
      <c r="B675" t="inlineStr">
        <is>
          <t>MELMETAL</t>
        </is>
      </c>
    </row>
    <row r="676">
      <c r="A676" t="inlineStr">
        <is>
          <t>MELO</t>
        </is>
      </c>
      <c r="B676" t="inlineStr">
        <is>
          <t>MELO</t>
        </is>
      </c>
    </row>
    <row r="677">
      <c r="A677" t="inlineStr">
        <is>
          <t>MELODELFE</t>
        </is>
      </c>
      <c r="B677" t="inlineStr">
        <is>
          <t>MELO</t>
        </is>
      </c>
    </row>
    <row r="678">
      <c r="A678" t="inlineStr">
        <is>
          <t>MELOETTA</t>
        </is>
      </c>
      <c r="B678" t="inlineStr">
        <is>
          <t>MELOETTA</t>
        </is>
      </c>
    </row>
    <row r="679">
      <c r="A679" t="inlineStr">
        <is>
          <t>MELOFEE</t>
        </is>
      </c>
      <c r="B679" t="inlineStr">
        <is>
          <t>MELO</t>
        </is>
      </c>
    </row>
    <row r="680">
      <c r="A680" t="inlineStr">
        <is>
          <t>MELOKRIK</t>
        </is>
      </c>
      <c r="B680" t="inlineStr">
        <is>
          <t>CRIKZIK</t>
        </is>
      </c>
    </row>
    <row r="681">
      <c r="A681" t="inlineStr">
        <is>
          <t>MELTAN</t>
        </is>
      </c>
      <c r="B681" t="inlineStr">
        <is>
          <t>MELTAN</t>
        </is>
      </c>
    </row>
    <row r="682">
      <c r="A682" t="inlineStr">
        <is>
          <t>MENTALI</t>
        </is>
      </c>
      <c r="B682" t="inlineStr">
        <is>
          <t>EVOLI</t>
        </is>
      </c>
    </row>
    <row r="683">
      <c r="A683" t="inlineStr">
        <is>
          <t>MEOWSTIC</t>
        </is>
      </c>
      <c r="B683" t="inlineStr">
        <is>
          <t>MEOWSTIC</t>
        </is>
      </c>
    </row>
    <row r="684">
      <c r="A684" t="inlineStr">
        <is>
          <t>MEOWTH</t>
        </is>
      </c>
      <c r="B684" t="inlineStr">
        <is>
          <t>MEOWTH</t>
        </is>
      </c>
    </row>
    <row r="685">
      <c r="A685" t="inlineStr">
        <is>
          <t>MESMERELLA</t>
        </is>
      </c>
      <c r="B685" t="inlineStr">
        <is>
          <t>SCRUTELLA</t>
        </is>
      </c>
    </row>
    <row r="686">
      <c r="A686" t="inlineStr">
        <is>
          <t>METAGROSS</t>
        </is>
      </c>
      <c r="B686" t="inlineStr">
        <is>
          <t>METAGROSS</t>
        </is>
      </c>
    </row>
    <row r="687">
      <c r="A687" t="inlineStr">
        <is>
          <t>METALOSSE</t>
        </is>
      </c>
      <c r="B687" t="inlineStr">
        <is>
          <t>TERHAL</t>
        </is>
      </c>
    </row>
    <row r="688">
      <c r="A688" t="inlineStr">
        <is>
          <t>METAMORPH</t>
        </is>
      </c>
      <c r="B688" t="inlineStr">
        <is>
          <t>METAMORPH</t>
        </is>
      </c>
    </row>
    <row r="689">
      <c r="A689" t="inlineStr">
        <is>
          <t>METANG</t>
        </is>
      </c>
      <c r="B689" t="inlineStr">
        <is>
          <t>TERHAL</t>
        </is>
      </c>
    </row>
    <row r="690">
      <c r="A690" t="inlineStr">
        <is>
          <t>METENO</t>
        </is>
      </c>
      <c r="B690" t="inlineStr">
        <is>
          <t>METENO</t>
        </is>
      </c>
    </row>
    <row r="691">
      <c r="A691" t="inlineStr">
        <is>
          <t>MEW</t>
        </is>
      </c>
      <c r="B691" t="inlineStr">
        <is>
          <t>MEW</t>
        </is>
      </c>
    </row>
    <row r="692">
      <c r="A692" t="inlineStr">
        <is>
          <t>MEWTWO</t>
        </is>
      </c>
      <c r="B692" t="inlineStr">
        <is>
          <t>MEWTWO</t>
        </is>
      </c>
    </row>
    <row r="693">
      <c r="A693" t="inlineStr">
        <is>
          <t>MIAMIASME</t>
        </is>
      </c>
      <c r="B693" t="inlineStr">
        <is>
          <t>MIAMIASME</t>
        </is>
      </c>
    </row>
    <row r="694">
      <c r="A694" t="inlineStr">
        <is>
          <t>MIAOUSS</t>
        </is>
      </c>
      <c r="B694" t="inlineStr">
        <is>
          <t>MIAOUSS</t>
        </is>
      </c>
    </row>
    <row r="695">
      <c r="A695" t="inlineStr">
        <is>
          <t>MIAOUSS-A</t>
        </is>
      </c>
      <c r="B695" t="inlineStr">
        <is>
          <t>MIAOUSS-A</t>
        </is>
      </c>
    </row>
    <row r="696">
      <c r="A696" t="inlineStr">
        <is>
          <t>MIAOUSS-G</t>
        </is>
      </c>
      <c r="B696" t="inlineStr">
        <is>
          <t>MIAOUSS-G</t>
        </is>
      </c>
    </row>
    <row r="697">
      <c r="A697" t="inlineStr">
        <is>
          <t>MIASCARADE</t>
        </is>
      </c>
      <c r="B697" t="inlineStr">
        <is>
          <t>POUSSACHA</t>
        </is>
      </c>
    </row>
    <row r="698">
      <c r="A698" t="inlineStr">
        <is>
          <t>MIASMAX</t>
        </is>
      </c>
      <c r="B698" t="inlineStr">
        <is>
          <t>MIAMIASME</t>
        </is>
      </c>
    </row>
    <row r="699">
      <c r="A699" t="inlineStr">
        <is>
          <t>MIGALOS</t>
        </is>
      </c>
      <c r="B699" t="inlineStr">
        <is>
          <t>MIMIGAL</t>
        </is>
      </c>
    </row>
    <row r="700">
      <c r="A700" t="inlineStr">
        <is>
          <t>MILOBELLUS</t>
        </is>
      </c>
      <c r="B700" t="inlineStr">
        <is>
          <t>BARPAU</t>
        </is>
      </c>
    </row>
    <row r="701">
      <c r="A701" t="inlineStr">
        <is>
          <t>MIMANTIS</t>
        </is>
      </c>
      <c r="B701" t="inlineStr">
        <is>
          <t>MIMANTIS</t>
        </is>
      </c>
    </row>
    <row r="702">
      <c r="A702" t="inlineStr">
        <is>
          <t>MIME JR.</t>
        </is>
      </c>
      <c r="B702" t="inlineStr">
        <is>
          <t>MIME JR.</t>
        </is>
      </c>
    </row>
    <row r="703">
      <c r="A703" t="inlineStr">
        <is>
          <t>MIMIGAL</t>
        </is>
      </c>
      <c r="B703" t="inlineStr">
        <is>
          <t>MIMIGAL</t>
        </is>
      </c>
    </row>
    <row r="704">
      <c r="A704" t="inlineStr">
        <is>
          <t>MIMIQUI</t>
        </is>
      </c>
      <c r="B704" t="inlineStr">
        <is>
          <t>MIMIQUI</t>
        </is>
      </c>
    </row>
    <row r="705">
      <c r="A705" t="inlineStr">
        <is>
          <t>MIMITOSS</t>
        </is>
      </c>
      <c r="B705" t="inlineStr">
        <is>
          <t>MIMITOSS</t>
        </is>
      </c>
    </row>
    <row r="706">
      <c r="A706" t="inlineStr">
        <is>
          <t>MINIDRACO</t>
        </is>
      </c>
      <c r="B706" t="inlineStr">
        <is>
          <t>MINIDRACO</t>
        </is>
      </c>
    </row>
    <row r="707">
      <c r="A707" t="inlineStr">
        <is>
          <t>MINISANGE</t>
        </is>
      </c>
      <c r="B707" t="inlineStr">
        <is>
          <t>MINISANGE</t>
        </is>
      </c>
    </row>
    <row r="708">
      <c r="A708" t="inlineStr">
        <is>
          <t>MINOTAUPE</t>
        </is>
      </c>
      <c r="B708" t="inlineStr">
        <is>
          <t>ROTOTAUPE</t>
        </is>
      </c>
    </row>
    <row r="709">
      <c r="A709" t="inlineStr">
        <is>
          <t>MIRADAR</t>
        </is>
      </c>
      <c r="B709" t="inlineStr">
        <is>
          <t>RATENTIF</t>
        </is>
      </c>
    </row>
    <row r="710">
      <c r="A710" t="inlineStr">
        <is>
          <t>MIRAIDON</t>
        </is>
      </c>
      <c r="B710" t="inlineStr">
        <is>
          <t>MIRAIDON</t>
        </is>
      </c>
    </row>
    <row r="711">
      <c r="A711" t="inlineStr">
        <is>
          <t>MISTIGRIX</t>
        </is>
      </c>
      <c r="B711" t="inlineStr">
        <is>
          <t>PSYSTIGRI</t>
        </is>
      </c>
    </row>
    <row r="712">
      <c r="A712" t="inlineStr">
        <is>
          <t>MITE-DE-FER</t>
        </is>
      </c>
      <c r="B712" t="inlineStr">
        <is>
          <t>MITE-DE-FER</t>
        </is>
      </c>
    </row>
    <row r="713">
      <c r="A713" t="inlineStr">
        <is>
          <t>MOMARTIK</t>
        </is>
      </c>
      <c r="B713" t="inlineStr">
        <is>
          <t>STALGAMIN</t>
        </is>
      </c>
    </row>
    <row r="714">
      <c r="A714" t="inlineStr">
        <is>
          <t>MONAFLEMIT</t>
        </is>
      </c>
      <c r="B714" t="inlineStr">
        <is>
          <t>PARECOOL</t>
        </is>
      </c>
    </row>
    <row r="715">
      <c r="A715" t="inlineStr">
        <is>
          <t>MONORPALE</t>
        </is>
      </c>
      <c r="B715" t="inlineStr">
        <is>
          <t>MONORPALE</t>
        </is>
      </c>
    </row>
    <row r="716">
      <c r="A716" t="inlineStr">
        <is>
          <t>MONTHRACITE</t>
        </is>
      </c>
      <c r="B716" t="inlineStr">
        <is>
          <t>CHARBI</t>
        </is>
      </c>
    </row>
    <row r="717">
      <c r="A717" t="inlineStr">
        <is>
          <t>MORDUDOR</t>
        </is>
      </c>
      <c r="B717" t="inlineStr">
        <is>
          <t>MORDUDOR</t>
        </is>
      </c>
    </row>
    <row r="718">
      <c r="A718" t="inlineStr">
        <is>
          <t>MORPEKO</t>
        </is>
      </c>
      <c r="B718" t="inlineStr">
        <is>
          <t>MORPEKO</t>
        </is>
      </c>
    </row>
    <row r="719">
      <c r="A719" t="inlineStr">
        <is>
          <t>MORPHEO</t>
        </is>
      </c>
      <c r="B719" t="inlineStr">
        <is>
          <t>MORPHEO</t>
        </is>
      </c>
    </row>
    <row r="720">
      <c r="A720" t="inlineStr">
        <is>
          <t>MOTISMA</t>
        </is>
      </c>
      <c r="B720" t="inlineStr">
        <is>
          <t>MOTISMA</t>
        </is>
      </c>
    </row>
    <row r="721">
      <c r="A721" t="inlineStr">
        <is>
          <t>MOTORIZARD</t>
        </is>
      </c>
      <c r="B721" t="inlineStr">
        <is>
          <t>MOTORIZARD</t>
        </is>
      </c>
    </row>
    <row r="722">
      <c r="A722" t="inlineStr">
        <is>
          <t>MOUFFLAIR</t>
        </is>
      </c>
      <c r="B722" t="inlineStr">
        <is>
          <t>MOUFOUETTE</t>
        </is>
      </c>
    </row>
    <row r="723">
      <c r="A723" t="inlineStr">
        <is>
          <t>MOUFOUETTE</t>
        </is>
      </c>
      <c r="B723" t="inlineStr">
        <is>
          <t>MOUFOUETTE</t>
        </is>
      </c>
    </row>
    <row r="724">
      <c r="A724" t="inlineStr">
        <is>
          <t>MOUMOUFLON</t>
        </is>
      </c>
      <c r="B724" t="inlineStr">
        <is>
          <t>MOUMOUTON</t>
        </is>
      </c>
    </row>
    <row r="725">
      <c r="A725" t="inlineStr">
        <is>
          <t>MOUMOUTON</t>
        </is>
      </c>
      <c r="B725" t="inlineStr">
        <is>
          <t>MOUMOUTON</t>
        </is>
      </c>
    </row>
    <row r="726">
      <c r="A726" t="inlineStr">
        <is>
          <t>MOUSCOTO</t>
        </is>
      </c>
      <c r="B726" t="inlineStr">
        <is>
          <t>MOUSCOTO</t>
        </is>
      </c>
    </row>
    <row r="727">
      <c r="A727" t="inlineStr">
        <is>
          <t>MOUSTILLON</t>
        </is>
      </c>
      <c r="B727" t="inlineStr">
        <is>
          <t>MOUSTILLON</t>
        </is>
      </c>
    </row>
    <row r="728">
      <c r="A728" t="inlineStr">
        <is>
          <t>MOYADE</t>
        </is>
      </c>
      <c r="B728" t="inlineStr">
        <is>
          <t>VISKUSE</t>
        </is>
      </c>
    </row>
    <row r="729">
      <c r="A729" t="inlineStr">
        <is>
          <t>MUCIOLE</t>
        </is>
      </c>
      <c r="B729" t="inlineStr">
        <is>
          <t>MUCIOLE</t>
        </is>
      </c>
    </row>
    <row r="730">
      <c r="A730" t="inlineStr">
        <is>
          <t>MUCUSCULE</t>
        </is>
      </c>
      <c r="B730" t="inlineStr">
        <is>
          <t>MUCUSCULE</t>
        </is>
      </c>
    </row>
    <row r="731">
      <c r="A731" t="inlineStr">
        <is>
          <t>MUNJA</t>
        </is>
      </c>
      <c r="B731" t="inlineStr">
        <is>
          <t>NINGALE</t>
        </is>
      </c>
    </row>
    <row r="732">
      <c r="A732" t="inlineStr">
        <is>
          <t>MUNNA</t>
        </is>
      </c>
      <c r="B732" t="inlineStr">
        <is>
          <t>MUNNA</t>
        </is>
      </c>
    </row>
    <row r="733">
      <c r="A733" t="inlineStr">
        <is>
          <t>MUPLODOCUS</t>
        </is>
      </c>
      <c r="B733" t="inlineStr">
        <is>
          <t>MUCUSCULE</t>
        </is>
      </c>
    </row>
    <row r="734">
      <c r="A734" t="inlineStr">
        <is>
          <t>MUPLODOCUS-H</t>
        </is>
      </c>
      <c r="B734" t="inlineStr">
        <is>
          <t>MUCUSCULE</t>
        </is>
      </c>
    </row>
    <row r="735">
      <c r="A735" t="inlineStr">
        <is>
          <t>MUSHANA</t>
        </is>
      </c>
      <c r="B735" t="inlineStr">
        <is>
          <t>MUNNA</t>
        </is>
      </c>
    </row>
    <row r="736">
      <c r="A736" t="inlineStr">
        <is>
          <t>MUSTEBOUEE</t>
        </is>
      </c>
      <c r="B736" t="inlineStr">
        <is>
          <t>MUSTEBOUEE</t>
        </is>
      </c>
    </row>
    <row r="737">
      <c r="A737" t="inlineStr">
        <is>
          <t>MUSTEFLOTT</t>
        </is>
      </c>
      <c r="B737" t="inlineStr">
        <is>
          <t>MUSTEBOUEE</t>
        </is>
      </c>
    </row>
    <row r="738">
      <c r="A738" t="inlineStr">
        <is>
          <t>MYGAVOLT</t>
        </is>
      </c>
      <c r="B738" t="inlineStr">
        <is>
          <t>STATITIK</t>
        </is>
      </c>
    </row>
    <row r="739">
      <c r="A739" t="inlineStr">
        <is>
          <t>MYSDIBULE</t>
        </is>
      </c>
      <c r="B739" t="inlineStr">
        <is>
          <t>MYSDIBULE</t>
        </is>
      </c>
    </row>
    <row r="740">
      <c r="A740" t="inlineStr">
        <is>
          <t>MYSTHERBE</t>
        </is>
      </c>
      <c r="B740" t="inlineStr">
        <is>
          <t>MYSTHERBE</t>
        </is>
      </c>
    </row>
    <row r="741">
      <c r="A741" t="inlineStr">
        <is>
          <t>NANMEOUIE</t>
        </is>
      </c>
      <c r="B741" t="inlineStr">
        <is>
          <t>NANMEOUIE</t>
        </is>
      </c>
    </row>
    <row r="742">
      <c r="A742" t="inlineStr">
        <is>
          <t>NATU</t>
        </is>
      </c>
      <c r="B742" t="inlineStr">
        <is>
          <t>NATU</t>
        </is>
      </c>
    </row>
    <row r="743">
      <c r="A743" t="inlineStr">
        <is>
          <t>NECROZMA</t>
        </is>
      </c>
      <c r="B743" t="inlineStr">
        <is>
          <t>NECROZMA</t>
        </is>
      </c>
    </row>
    <row r="744">
      <c r="A744" t="inlineStr">
        <is>
          <t>NEGAPI</t>
        </is>
      </c>
      <c r="B744" t="inlineStr">
        <is>
          <t>NEGAPI</t>
        </is>
      </c>
    </row>
    <row r="745">
      <c r="A745" t="inlineStr">
        <is>
          <t>NEITRAM</t>
        </is>
      </c>
      <c r="B745" t="inlineStr">
        <is>
          <t>LEWSOR</t>
        </is>
      </c>
    </row>
    <row r="746">
      <c r="A746" t="inlineStr">
        <is>
          <t>NEMELIOS</t>
        </is>
      </c>
      <c r="B746" t="inlineStr">
        <is>
          <t>HELIONCEAU</t>
        </is>
      </c>
    </row>
    <row r="747">
      <c r="A747" t="inlineStr">
        <is>
          <t>NENUPIOT</t>
        </is>
      </c>
      <c r="B747" t="inlineStr">
        <is>
          <t>NENUPIOT</t>
        </is>
      </c>
    </row>
    <row r="748">
      <c r="A748" t="inlineStr">
        <is>
          <t>NIDOKING</t>
        </is>
      </c>
      <c r="B748" t="inlineStr">
        <is>
          <t>NIDORAN♂</t>
        </is>
      </c>
    </row>
    <row r="749">
      <c r="A749" t="inlineStr">
        <is>
          <t>NIDOQUEEN</t>
        </is>
      </c>
      <c r="B749" t="inlineStr">
        <is>
          <t>NIDORAN♀</t>
        </is>
      </c>
    </row>
    <row r="750">
      <c r="A750" t="inlineStr">
        <is>
          <t>NIDORAN♀</t>
        </is>
      </c>
      <c r="B750" t="inlineStr">
        <is>
          <t>NIDORAN♀</t>
        </is>
      </c>
    </row>
    <row r="751">
      <c r="A751" t="inlineStr">
        <is>
          <t>NIDORAN♂</t>
        </is>
      </c>
      <c r="B751" t="inlineStr">
        <is>
          <t>NIDORAN♂</t>
        </is>
      </c>
    </row>
    <row r="752">
      <c r="A752" t="inlineStr">
        <is>
          <t>NIDORINA</t>
        </is>
      </c>
      <c r="B752" t="inlineStr">
        <is>
          <t>NIDORAN♀</t>
        </is>
      </c>
    </row>
    <row r="753">
      <c r="A753" t="inlineStr">
        <is>
          <t>NIDORINO</t>
        </is>
      </c>
      <c r="B753" t="inlineStr">
        <is>
          <t>NIDORAN♂</t>
        </is>
      </c>
    </row>
    <row r="754">
      <c r="A754" t="inlineStr">
        <is>
          <t>NIGIRIGON</t>
        </is>
      </c>
      <c r="B754" t="inlineStr">
        <is>
          <t>NIGIRIGON</t>
        </is>
      </c>
    </row>
    <row r="755">
      <c r="A755" t="inlineStr">
        <is>
          <t>NIGOSIER</t>
        </is>
      </c>
      <c r="B755" t="inlineStr">
        <is>
          <t>NIGOSIER</t>
        </is>
      </c>
    </row>
    <row r="756">
      <c r="A756" t="inlineStr">
        <is>
          <t>NINGALE</t>
        </is>
      </c>
      <c r="B756" t="inlineStr">
        <is>
          <t>NINGALE</t>
        </is>
      </c>
    </row>
    <row r="757">
      <c r="A757" t="inlineStr">
        <is>
          <t>NINJASK</t>
        </is>
      </c>
      <c r="B757" t="inlineStr">
        <is>
          <t>NINGALE</t>
        </is>
      </c>
    </row>
    <row r="758">
      <c r="A758" t="inlineStr">
        <is>
          <t>NIRONDELLE</t>
        </is>
      </c>
      <c r="B758" t="inlineStr">
        <is>
          <t>NIRONDELLE</t>
        </is>
      </c>
    </row>
    <row r="759">
      <c r="A759" t="inlineStr">
        <is>
          <t>NOACIER</t>
        </is>
      </c>
      <c r="B759" t="inlineStr">
        <is>
          <t>GRINDUR</t>
        </is>
      </c>
    </row>
    <row r="760">
      <c r="A760" t="inlineStr">
        <is>
          <t>NOADKOKO</t>
        </is>
      </c>
      <c r="B760" t="inlineStr">
        <is>
          <t>NOEUNOEUF</t>
        </is>
      </c>
    </row>
    <row r="761">
      <c r="A761" t="inlineStr">
        <is>
          <t>NOADKOKO-A</t>
        </is>
      </c>
      <c r="B761" t="inlineStr">
        <is>
          <t>NOEUNOEUF</t>
        </is>
      </c>
    </row>
    <row r="762">
      <c r="A762" t="inlineStr">
        <is>
          <t>NOARFANG</t>
        </is>
      </c>
      <c r="B762" t="inlineStr">
        <is>
          <t>HOOTHOOT</t>
        </is>
      </c>
    </row>
    <row r="763">
      <c r="A763" t="inlineStr">
        <is>
          <t>NOCTALI</t>
        </is>
      </c>
      <c r="B763" t="inlineStr">
        <is>
          <t>EVOLI</t>
        </is>
      </c>
    </row>
    <row r="764">
      <c r="A764" t="inlineStr">
        <is>
          <t>NOCTUNOIR</t>
        </is>
      </c>
      <c r="B764" t="inlineStr">
        <is>
          <t>SKELENOX</t>
        </is>
      </c>
    </row>
    <row r="765">
      <c r="A765" t="inlineStr">
        <is>
          <t>NODULITHE</t>
        </is>
      </c>
      <c r="B765" t="inlineStr">
        <is>
          <t>NODULITHE</t>
        </is>
      </c>
    </row>
    <row r="766">
      <c r="A766" t="inlineStr">
        <is>
          <t>NOEUNOEUF</t>
        </is>
      </c>
      <c r="B766" t="inlineStr">
        <is>
          <t>NOEUNOEUF</t>
        </is>
      </c>
    </row>
    <row r="767">
      <c r="A767" t="inlineStr">
        <is>
          <t>NOSFERALTO</t>
        </is>
      </c>
      <c r="B767" t="inlineStr">
        <is>
          <t>NOSFERAPTI</t>
        </is>
      </c>
    </row>
    <row r="768">
      <c r="A768" t="inlineStr">
        <is>
          <t>NOSFERAPTI</t>
        </is>
      </c>
      <c r="B768" t="inlineStr">
        <is>
          <t>NOSFERAPTI</t>
        </is>
      </c>
    </row>
    <row r="769">
      <c r="A769" t="inlineStr">
        <is>
          <t>NOSTENFER</t>
        </is>
      </c>
      <c r="B769" t="inlineStr">
        <is>
          <t>NOSFERAPTI</t>
        </is>
      </c>
    </row>
    <row r="770">
      <c r="A770" t="inlineStr">
        <is>
          <t>NOUNOURSON</t>
        </is>
      </c>
      <c r="B770" t="inlineStr">
        <is>
          <t>NOUNOURSON</t>
        </is>
      </c>
    </row>
    <row r="771">
      <c r="A771" t="inlineStr">
        <is>
          <t>NUCLEOS</t>
        </is>
      </c>
      <c r="B771" t="inlineStr">
        <is>
          <t>NUCLEOS</t>
        </is>
      </c>
    </row>
    <row r="772">
      <c r="A772" t="inlineStr">
        <is>
          <t>NYMPHALI</t>
        </is>
      </c>
      <c r="B772" t="inlineStr">
        <is>
          <t>EVOLI</t>
        </is>
      </c>
    </row>
    <row r="773">
      <c r="A773" t="inlineStr">
        <is>
          <t>OBALIE</t>
        </is>
      </c>
      <c r="B773" t="inlineStr">
        <is>
          <t>OBALIE</t>
        </is>
      </c>
    </row>
    <row r="774">
      <c r="A774" t="inlineStr">
        <is>
          <t>OCTILLERY</t>
        </is>
      </c>
      <c r="B774" t="inlineStr">
        <is>
          <t>REMORAID</t>
        </is>
      </c>
    </row>
    <row r="775">
      <c r="A775" t="inlineStr">
        <is>
          <t>OGERPON</t>
        </is>
      </c>
      <c r="B775" t="inlineStr">
        <is>
          <t>OGERPON</t>
        </is>
      </c>
    </row>
    <row r="776">
      <c r="A776" t="inlineStr">
        <is>
          <t>OHMASSACRE</t>
        </is>
      </c>
      <c r="B776" t="inlineStr">
        <is>
          <t>ANCHWATT</t>
        </is>
      </c>
    </row>
    <row r="777">
      <c r="A777" t="inlineStr">
        <is>
          <t>OKEOKE</t>
        </is>
      </c>
      <c r="B777" t="inlineStr">
        <is>
          <t>OKEOKE</t>
        </is>
      </c>
    </row>
    <row r="778">
      <c r="A778" t="inlineStr">
        <is>
          <t>OLIVADO</t>
        </is>
      </c>
      <c r="B778" t="inlineStr">
        <is>
          <t>OLIVINI</t>
        </is>
      </c>
    </row>
    <row r="779">
      <c r="A779" t="inlineStr">
        <is>
          <t>OLIVINI</t>
        </is>
      </c>
      <c r="B779" t="inlineStr">
        <is>
          <t>OLIVINI</t>
        </is>
      </c>
    </row>
    <row r="780">
      <c r="A780" t="inlineStr">
        <is>
          <t>ONIGLALI</t>
        </is>
      </c>
      <c r="B780" t="inlineStr">
        <is>
          <t>STALGAMIN</t>
        </is>
      </c>
    </row>
    <row r="781">
      <c r="A781" t="inlineStr">
        <is>
          <t>ONIX</t>
        </is>
      </c>
      <c r="B781" t="inlineStr">
        <is>
          <t>ONIX</t>
        </is>
      </c>
    </row>
    <row r="782">
      <c r="A782" t="inlineStr">
        <is>
          <t>OPERMINE</t>
        </is>
      </c>
      <c r="B782" t="inlineStr">
        <is>
          <t>OPERMINE</t>
        </is>
      </c>
    </row>
    <row r="783">
      <c r="A783" t="inlineStr">
        <is>
          <t>ORATORIA</t>
        </is>
      </c>
      <c r="B783" t="inlineStr">
        <is>
          <t>OTAQUIN</t>
        </is>
      </c>
    </row>
    <row r="784">
      <c r="A784" t="inlineStr">
        <is>
          <t>ORBEETLE</t>
        </is>
      </c>
      <c r="B784" t="inlineStr">
        <is>
          <t>ORBEETLE</t>
        </is>
      </c>
    </row>
    <row r="785">
      <c r="A785" t="inlineStr">
        <is>
          <t>ORTIDE</t>
        </is>
      </c>
      <c r="B785" t="inlineStr">
        <is>
          <t>MYSTHERBE</t>
        </is>
      </c>
    </row>
    <row r="786">
      <c r="A786" t="inlineStr">
        <is>
          <t>OSSATUEUR</t>
        </is>
      </c>
      <c r="B786" t="inlineStr">
        <is>
          <t>OSSELAIT</t>
        </is>
      </c>
    </row>
    <row r="787">
      <c r="A787" t="inlineStr">
        <is>
          <t>OSSATUEUR-A</t>
        </is>
      </c>
      <c r="B787" t="inlineStr">
        <is>
          <t>OSSELAIT</t>
        </is>
      </c>
    </row>
    <row r="788">
      <c r="A788" t="inlineStr">
        <is>
          <t>OSSELAIT</t>
        </is>
      </c>
      <c r="B788" t="inlineStr">
        <is>
          <t>OSSELAIT</t>
        </is>
      </c>
    </row>
    <row r="789">
      <c r="A789" t="inlineStr">
        <is>
          <t>OTAQUIN</t>
        </is>
      </c>
      <c r="B789" t="inlineStr">
        <is>
          <t>OTAQUIN</t>
        </is>
      </c>
    </row>
    <row r="790">
      <c r="A790" t="inlineStr">
        <is>
          <t>OTARIA</t>
        </is>
      </c>
      <c r="B790" t="inlineStr">
        <is>
          <t>OTARIA</t>
        </is>
      </c>
    </row>
    <row r="791">
      <c r="A791" t="inlineStr">
        <is>
          <t>OTARLETTE</t>
        </is>
      </c>
      <c r="B791" t="inlineStr">
        <is>
          <t>OTAQUIN</t>
        </is>
      </c>
    </row>
    <row r="792">
      <c r="A792" t="inlineStr">
        <is>
          <t>OUISTEMPO</t>
        </is>
      </c>
      <c r="B792" t="inlineStr">
        <is>
          <t>OUISTEMPO</t>
        </is>
      </c>
    </row>
    <row r="793">
      <c r="A793" t="inlineStr">
        <is>
          <t>OUISTICRAM</t>
        </is>
      </c>
      <c r="B793" t="inlineStr">
        <is>
          <t>OUISTICRAM</t>
        </is>
      </c>
    </row>
    <row r="794">
      <c r="A794" t="inlineStr">
        <is>
          <t>OUVRIFIER</t>
        </is>
      </c>
      <c r="B794" t="inlineStr">
        <is>
          <t>CHARPENTI</t>
        </is>
      </c>
    </row>
    <row r="795">
      <c r="A795" t="inlineStr">
        <is>
          <t>OYACATA</t>
        </is>
      </c>
      <c r="B795" t="inlineStr">
        <is>
          <t>OYACATA</t>
        </is>
      </c>
    </row>
    <row r="796">
      <c r="A796" t="inlineStr">
        <is>
          <t>PACHIRISU</t>
        </is>
      </c>
      <c r="B796" t="inlineStr">
        <is>
          <t>PACHIRISU</t>
        </is>
      </c>
    </row>
    <row r="797">
      <c r="A797" t="inlineStr">
        <is>
          <t>PACHYRADJAH</t>
        </is>
      </c>
      <c r="B797" t="inlineStr">
        <is>
          <t>CHARIBARI</t>
        </is>
      </c>
    </row>
    <row r="798">
      <c r="A798" t="inlineStr">
        <is>
          <t>PALARTICHO</t>
        </is>
      </c>
      <c r="B798" t="inlineStr">
        <is>
          <t>CANARTICHO-G</t>
        </is>
      </c>
    </row>
    <row r="799">
      <c r="A799" t="inlineStr">
        <is>
          <t>PALKIA</t>
        </is>
      </c>
      <c r="B799" t="inlineStr">
        <is>
          <t>PALKIA</t>
        </is>
      </c>
    </row>
    <row r="800">
      <c r="A800" t="inlineStr">
        <is>
          <t>PALMAVAL</t>
        </is>
      </c>
      <c r="B800" t="inlineStr">
        <is>
          <t>COIFFETON</t>
        </is>
      </c>
    </row>
    <row r="801">
      <c r="A801" t="inlineStr">
        <is>
          <t>PANDARBARE</t>
        </is>
      </c>
      <c r="B801" t="inlineStr">
        <is>
          <t>PANDESPIEGLE</t>
        </is>
      </c>
    </row>
    <row r="802">
      <c r="A802" t="inlineStr">
        <is>
          <t>PANDESPIEGLE</t>
        </is>
      </c>
      <c r="B802" t="inlineStr">
        <is>
          <t>PANDESPIEGLE</t>
        </is>
      </c>
    </row>
    <row r="803">
      <c r="A803" t="inlineStr">
        <is>
          <t>PAPILORD</t>
        </is>
      </c>
      <c r="B803" t="inlineStr">
        <is>
          <t>CHENITI</t>
        </is>
      </c>
    </row>
    <row r="804">
      <c r="A804" t="inlineStr">
        <is>
          <t>PAPILUSION</t>
        </is>
      </c>
      <c r="B804" t="inlineStr">
        <is>
          <t>CHENIPAN</t>
        </is>
      </c>
    </row>
    <row r="805">
      <c r="A805" t="inlineStr">
        <is>
          <t>PAPINOX</t>
        </is>
      </c>
      <c r="B805" t="inlineStr">
        <is>
          <t>CHENIPOTTE</t>
        </is>
      </c>
    </row>
    <row r="806">
      <c r="A806" t="inlineStr">
        <is>
          <t>PARAGRUEL</t>
        </is>
      </c>
      <c r="B806" t="inlineStr">
        <is>
          <t>BARGANTUA</t>
        </is>
      </c>
    </row>
    <row r="807">
      <c r="A807" t="inlineStr">
        <is>
          <t>PARAS</t>
        </is>
      </c>
      <c r="B807" t="inlineStr">
        <is>
          <t>PARAS</t>
        </is>
      </c>
    </row>
    <row r="808">
      <c r="A808" t="inlineStr">
        <is>
          <t>PARASECT</t>
        </is>
      </c>
      <c r="B808" t="inlineStr">
        <is>
          <t>PARAS</t>
        </is>
      </c>
    </row>
    <row r="809">
      <c r="A809" t="inlineStr">
        <is>
          <t>PARECOOL</t>
        </is>
      </c>
      <c r="B809" t="inlineStr">
        <is>
          <t>PARECOOL</t>
        </is>
      </c>
    </row>
    <row r="810">
      <c r="A810" t="inlineStr">
        <is>
          <t>PASHMILLA</t>
        </is>
      </c>
      <c r="B810" t="inlineStr">
        <is>
          <t>CHINCHIDOU</t>
        </is>
      </c>
    </row>
    <row r="811">
      <c r="A811" t="inlineStr">
        <is>
          <t>PASSEROUGE</t>
        </is>
      </c>
      <c r="B811" t="inlineStr">
        <is>
          <t>PASSEROUGE</t>
        </is>
      </c>
    </row>
    <row r="812">
      <c r="A812" t="inlineStr">
        <is>
          <t>PATACHIOT</t>
        </is>
      </c>
      <c r="B812" t="inlineStr">
        <is>
          <t>PATACHIOT</t>
        </is>
      </c>
    </row>
    <row r="813">
      <c r="A813" t="inlineStr">
        <is>
          <t>PAUME-DE-FER</t>
        </is>
      </c>
      <c r="B813" t="inlineStr">
        <is>
          <t>PAUME-DE-FER</t>
        </is>
      </c>
    </row>
    <row r="814">
      <c r="A814" t="inlineStr">
        <is>
          <t>PECHAMINUS</t>
        </is>
      </c>
      <c r="B814" t="inlineStr">
        <is>
          <t>PECHAMINUS</t>
        </is>
      </c>
    </row>
    <row r="815">
      <c r="A815" t="inlineStr">
        <is>
          <t>PELAGE-SABLE</t>
        </is>
      </c>
      <c r="B815" t="inlineStr">
        <is>
          <t>PELAGE-SABLE</t>
        </is>
      </c>
    </row>
    <row r="816">
      <c r="A816" t="inlineStr">
        <is>
          <t>PEREGRAIN</t>
        </is>
      </c>
      <c r="B816" t="inlineStr">
        <is>
          <t>PRISMILLON</t>
        </is>
      </c>
    </row>
    <row r="817">
      <c r="A817" t="inlineStr">
        <is>
          <t>PERSIAN</t>
        </is>
      </c>
      <c r="B817" t="inlineStr">
        <is>
          <t>MIAOUSS</t>
        </is>
      </c>
    </row>
    <row r="818">
      <c r="A818" t="inlineStr">
        <is>
          <t>PERSIAN-A</t>
        </is>
      </c>
      <c r="B818" t="inlineStr">
        <is>
          <t>MIAOUSS-A</t>
        </is>
      </c>
    </row>
    <row r="819">
      <c r="A819" t="inlineStr">
        <is>
          <t>PHANPY</t>
        </is>
      </c>
      <c r="B819" t="inlineStr">
        <is>
          <t>PHANPY</t>
        </is>
      </c>
    </row>
    <row r="820">
      <c r="A820" t="inlineStr">
        <is>
          <t>PHARAMP</t>
        </is>
      </c>
      <c r="B820" t="inlineStr">
        <is>
          <t>WATTOUAT</t>
        </is>
      </c>
    </row>
    <row r="821">
      <c r="A821" t="inlineStr">
        <is>
          <t>PHIONE</t>
        </is>
      </c>
      <c r="B821" t="inlineStr">
        <is>
          <t>PHIONE</t>
        </is>
      </c>
    </row>
    <row r="822">
      <c r="A822" t="inlineStr">
        <is>
          <t>PHOGLEUR</t>
        </is>
      </c>
      <c r="B822" t="inlineStr">
        <is>
          <t>OBALIE</t>
        </is>
      </c>
    </row>
    <row r="823">
      <c r="A823" t="inlineStr">
        <is>
          <t>PHYLLALI</t>
        </is>
      </c>
      <c r="B823" t="inlineStr">
        <is>
          <t>EVOLI</t>
        </is>
      </c>
    </row>
    <row r="824">
      <c r="A824" t="inlineStr">
        <is>
          <t>PIAFABEC</t>
        </is>
      </c>
      <c r="B824" t="inlineStr">
        <is>
          <t>PIAFABEC</t>
        </is>
      </c>
    </row>
    <row r="825">
      <c r="A825" t="inlineStr">
        <is>
          <t>PICASSAUT</t>
        </is>
      </c>
      <c r="B825" t="inlineStr">
        <is>
          <t>PICASSAUT</t>
        </is>
      </c>
    </row>
    <row r="826">
      <c r="A826" t="inlineStr">
        <is>
          <t>PICHU</t>
        </is>
      </c>
      <c r="B826" t="inlineStr">
        <is>
          <t>PICHU</t>
        </is>
      </c>
    </row>
    <row r="827">
      <c r="A827" t="inlineStr">
        <is>
          <t>PICLAIRON</t>
        </is>
      </c>
      <c r="B827" t="inlineStr">
        <is>
          <t>PICASSAUT</t>
        </is>
      </c>
    </row>
    <row r="828">
      <c r="A828" t="inlineStr">
        <is>
          <t>PIDGEOT</t>
        </is>
      </c>
      <c r="B828" t="inlineStr">
        <is>
          <t>PIDGEOT</t>
        </is>
      </c>
    </row>
    <row r="829">
      <c r="A829" t="inlineStr">
        <is>
          <t>PIERROTEKNIK</t>
        </is>
      </c>
      <c r="B829" t="inlineStr">
        <is>
          <t>PIERROTEKNIK</t>
        </is>
      </c>
    </row>
    <row r="830">
      <c r="A830" t="inlineStr">
        <is>
          <t>PIETACE</t>
        </is>
      </c>
      <c r="B830" t="inlineStr">
        <is>
          <t>PIETACE</t>
        </is>
      </c>
    </row>
    <row r="831">
      <c r="A831" t="inlineStr">
        <is>
          <t>PIFEUIL</t>
        </is>
      </c>
      <c r="B831" t="inlineStr">
        <is>
          <t>GRAINIPIOT</t>
        </is>
      </c>
    </row>
    <row r="832">
      <c r="A832" t="inlineStr">
        <is>
          <t>PIJAKO</t>
        </is>
      </c>
      <c r="B832" t="inlineStr">
        <is>
          <t>PIJAKO</t>
        </is>
      </c>
    </row>
    <row r="833">
      <c r="A833" t="inlineStr">
        <is>
          <t>PIKACHU</t>
        </is>
      </c>
      <c r="B833" t="inlineStr">
        <is>
          <t>PICHU</t>
        </is>
      </c>
    </row>
    <row r="834">
      <c r="A834" t="inlineStr">
        <is>
          <t>PIMITO</t>
        </is>
      </c>
      <c r="B834" t="inlineStr">
        <is>
          <t>PIMITO</t>
        </is>
      </c>
    </row>
    <row r="835">
      <c r="A835" t="inlineStr">
        <is>
          <t>PINGOLEON</t>
        </is>
      </c>
      <c r="B835" t="inlineStr">
        <is>
          <t>TIPLOUF</t>
        </is>
      </c>
    </row>
    <row r="836">
      <c r="A836" t="inlineStr">
        <is>
          <t>PINSIR</t>
        </is>
      </c>
      <c r="B836" t="inlineStr">
        <is>
          <t>PINSIR</t>
        </is>
      </c>
    </row>
    <row r="837">
      <c r="A837" t="inlineStr">
        <is>
          <t>PITROUILLE</t>
        </is>
      </c>
      <c r="B837" t="inlineStr">
        <is>
          <t>PITROUILLE</t>
        </is>
      </c>
    </row>
    <row r="838">
      <c r="A838" t="inlineStr">
        <is>
          <t>PLUMELINE</t>
        </is>
      </c>
      <c r="B838" t="inlineStr">
        <is>
          <t>PLUMELINE</t>
        </is>
      </c>
    </row>
    <row r="839">
      <c r="A839" t="inlineStr">
        <is>
          <t>POHM</t>
        </is>
      </c>
      <c r="B839" t="inlineStr">
        <is>
          <t>POHM</t>
        </is>
      </c>
    </row>
    <row r="840">
      <c r="A840" t="inlineStr">
        <is>
          <t>POHMARMOTTE</t>
        </is>
      </c>
      <c r="B840" t="inlineStr">
        <is>
          <t>POHM</t>
        </is>
      </c>
    </row>
    <row r="841">
      <c r="A841" t="inlineStr">
        <is>
          <t>POHMOTTE</t>
        </is>
      </c>
      <c r="B841" t="inlineStr">
        <is>
          <t>POHM</t>
        </is>
      </c>
    </row>
    <row r="842">
      <c r="A842" t="inlineStr">
        <is>
          <t>POICHIGEON</t>
        </is>
      </c>
      <c r="B842" t="inlineStr">
        <is>
          <t>POICHIGEON</t>
        </is>
      </c>
    </row>
    <row r="843">
      <c r="A843" t="inlineStr">
        <is>
          <t>POISSIRENE</t>
        </is>
      </c>
      <c r="B843" t="inlineStr">
        <is>
          <t>POISSIRENE</t>
        </is>
      </c>
    </row>
    <row r="844">
      <c r="A844" t="inlineStr">
        <is>
          <t>POISSOROY</t>
        </is>
      </c>
      <c r="B844" t="inlineStr">
        <is>
          <t>POISSIRENE</t>
        </is>
      </c>
    </row>
    <row r="845">
      <c r="A845" t="inlineStr">
        <is>
          <t>POLAGRIFFE</t>
        </is>
      </c>
      <c r="B845" t="inlineStr">
        <is>
          <t>POLARHUME</t>
        </is>
      </c>
    </row>
    <row r="846">
      <c r="A846" t="inlineStr">
        <is>
          <t>POLARHUME</t>
        </is>
      </c>
      <c r="B846" t="inlineStr">
        <is>
          <t>POLARHUME</t>
        </is>
      </c>
    </row>
    <row r="847">
      <c r="A847" t="inlineStr">
        <is>
          <t>POLICHOMBR</t>
        </is>
      </c>
      <c r="B847" t="inlineStr">
        <is>
          <t>POLICHOMBR</t>
        </is>
      </c>
    </row>
    <row r="848">
      <c r="A848" t="inlineStr">
        <is>
          <t>POLTCHAGEIST</t>
        </is>
      </c>
      <c r="B848" t="inlineStr">
        <is>
          <t>POLTCHAGEIST</t>
        </is>
      </c>
    </row>
    <row r="849">
      <c r="A849" t="inlineStr">
        <is>
          <t>POLTHEGEIST</t>
        </is>
      </c>
      <c r="B849" t="inlineStr">
        <is>
          <t>THEFFROI</t>
        </is>
      </c>
    </row>
    <row r="850">
      <c r="A850" t="inlineStr">
        <is>
          <t>POMDEPIK</t>
        </is>
      </c>
      <c r="B850" t="inlineStr">
        <is>
          <t>POMDEPIK</t>
        </is>
      </c>
    </row>
    <row r="851">
      <c r="A851" t="inlineStr">
        <is>
          <t>POMDOROCHI</t>
        </is>
      </c>
      <c r="B851" t="inlineStr">
        <is>
          <t>VERPOM</t>
        </is>
      </c>
    </row>
    <row r="852">
      <c r="A852" t="inlineStr">
        <is>
          <t>POMDRAMOUR</t>
        </is>
      </c>
      <c r="B852" t="inlineStr">
        <is>
          <t>VERPOM</t>
        </is>
      </c>
    </row>
    <row r="853">
      <c r="A853" t="inlineStr">
        <is>
          <t>POMDRAPI</t>
        </is>
      </c>
      <c r="B853" t="inlineStr">
        <is>
          <t>VERPOM</t>
        </is>
      </c>
    </row>
    <row r="854">
      <c r="A854" t="inlineStr">
        <is>
          <t>PONCHIEN</t>
        </is>
      </c>
      <c r="B854" t="inlineStr">
        <is>
          <t>PONCHIOT</t>
        </is>
      </c>
    </row>
    <row r="855">
      <c r="A855" t="inlineStr">
        <is>
          <t>PONCHIOT</t>
        </is>
      </c>
      <c r="B855" t="inlineStr">
        <is>
          <t>PONCHIOT</t>
        </is>
      </c>
    </row>
    <row r="856">
      <c r="A856" t="inlineStr">
        <is>
          <t>PONDRALUGON</t>
        </is>
      </c>
      <c r="B856" t="inlineStr">
        <is>
          <t>DURALUGON</t>
        </is>
      </c>
    </row>
    <row r="857">
      <c r="A857" t="inlineStr">
        <is>
          <t>PONYTA</t>
        </is>
      </c>
      <c r="B857" t="inlineStr">
        <is>
          <t>PONYTA</t>
        </is>
      </c>
    </row>
    <row r="858">
      <c r="A858" t="inlineStr">
        <is>
          <t>PONYTA-G</t>
        </is>
      </c>
      <c r="B858" t="inlineStr">
        <is>
          <t>PONYTA-G</t>
        </is>
      </c>
    </row>
    <row r="859">
      <c r="A859" t="inlineStr">
        <is>
          <t>PORYGON</t>
        </is>
      </c>
      <c r="B859" t="inlineStr">
        <is>
          <t>PORYGON</t>
        </is>
      </c>
    </row>
    <row r="860">
      <c r="A860" t="inlineStr">
        <is>
          <t>PORYGON-Z</t>
        </is>
      </c>
      <c r="B860" t="inlineStr">
        <is>
          <t>PORYGON</t>
        </is>
      </c>
    </row>
    <row r="861">
      <c r="A861" t="inlineStr">
        <is>
          <t>PORYGON2</t>
        </is>
      </c>
      <c r="B861" t="inlineStr">
        <is>
          <t>PORYGON</t>
        </is>
      </c>
    </row>
    <row r="862">
      <c r="A862" t="inlineStr">
        <is>
          <t>POSIPI</t>
        </is>
      </c>
      <c r="B862" t="inlineStr">
        <is>
          <t>POSIPI</t>
        </is>
      </c>
    </row>
    <row r="863">
      <c r="A863" t="inlineStr">
        <is>
          <t>POULPAF</t>
        </is>
      </c>
      <c r="B863" t="inlineStr">
        <is>
          <t>POULPAF</t>
        </is>
      </c>
    </row>
    <row r="864">
      <c r="A864" t="inlineStr">
        <is>
          <t>POUSSACHA</t>
        </is>
      </c>
      <c r="B864" t="inlineStr">
        <is>
          <t>POUSSACHA</t>
        </is>
      </c>
    </row>
    <row r="865">
      <c r="A865" t="inlineStr">
        <is>
          <t>POUSSIFEU</t>
        </is>
      </c>
      <c r="B865" t="inlineStr">
        <is>
          <t>POUSSIFEU</t>
        </is>
      </c>
    </row>
    <row r="866">
      <c r="A866" t="inlineStr">
        <is>
          <t>PREDASTERIE</t>
        </is>
      </c>
      <c r="B866" t="inlineStr">
        <is>
          <t>VORASTERIE</t>
        </is>
      </c>
    </row>
    <row r="867">
      <c r="A867" t="inlineStr">
        <is>
          <t>PRINPLOUF</t>
        </is>
      </c>
      <c r="B867" t="inlineStr">
        <is>
          <t>TIPLOUF</t>
        </is>
      </c>
    </row>
    <row r="868">
      <c r="A868" t="inlineStr">
        <is>
          <t>PRISMILLON</t>
        </is>
      </c>
      <c r="B868" t="inlineStr">
        <is>
          <t>PRISMILLON</t>
        </is>
      </c>
    </row>
    <row r="869">
      <c r="A869" t="inlineStr">
        <is>
          <t>PSYKOKWAK</t>
        </is>
      </c>
      <c r="B869" t="inlineStr">
        <is>
          <t>PSYKOKWAK</t>
        </is>
      </c>
    </row>
    <row r="870">
      <c r="A870" t="inlineStr">
        <is>
          <t>PSYSTIGRI</t>
        </is>
      </c>
      <c r="B870" t="inlineStr">
        <is>
          <t>PSYSTIGRI</t>
        </is>
      </c>
    </row>
    <row r="871">
      <c r="A871" t="inlineStr">
        <is>
          <t>PTERA</t>
        </is>
      </c>
      <c r="B871" t="inlineStr">
        <is>
          <t>PTERA</t>
        </is>
      </c>
    </row>
    <row r="872">
      <c r="A872" t="inlineStr">
        <is>
          <t>PTIRAVI</t>
        </is>
      </c>
      <c r="B872" t="inlineStr">
        <is>
          <t>PTIRAVI</t>
        </is>
      </c>
    </row>
    <row r="873">
      <c r="A873" t="inlineStr">
        <is>
          <t>PTITARD</t>
        </is>
      </c>
      <c r="B873" t="inlineStr">
        <is>
          <t>PTITARD</t>
        </is>
      </c>
    </row>
    <row r="874">
      <c r="A874" t="inlineStr">
        <is>
          <t>PTYRANIDUR</t>
        </is>
      </c>
      <c r="B874" t="inlineStr">
        <is>
          <t>PTYRANIDUR</t>
        </is>
      </c>
    </row>
    <row r="875">
      <c r="A875" t="inlineStr">
        <is>
          <t>PYRAX</t>
        </is>
      </c>
      <c r="B875" t="inlineStr">
        <is>
          <t>PYRONILLE</t>
        </is>
      </c>
    </row>
    <row r="876">
      <c r="A876" t="inlineStr">
        <is>
          <t>PYROAR</t>
        </is>
      </c>
      <c r="B876" t="inlineStr">
        <is>
          <t>PYROAR</t>
        </is>
      </c>
    </row>
    <row r="877">
      <c r="A877" t="inlineStr">
        <is>
          <t>PYROBUT</t>
        </is>
      </c>
      <c r="B877" t="inlineStr">
        <is>
          <t>FLAMBINO</t>
        </is>
      </c>
    </row>
    <row r="878">
      <c r="A878" t="inlineStr">
        <is>
          <t>PYROLI</t>
        </is>
      </c>
      <c r="B878" t="inlineStr">
        <is>
          <t>EVOLI</t>
        </is>
      </c>
    </row>
    <row r="879">
      <c r="A879" t="inlineStr">
        <is>
          <t>PYRONILLE</t>
        </is>
      </c>
      <c r="B879" t="inlineStr">
        <is>
          <t>PYRONILLE</t>
        </is>
      </c>
    </row>
    <row r="880">
      <c r="A880" t="inlineStr">
        <is>
          <t>QUARTERMAC</t>
        </is>
      </c>
      <c r="B880" t="inlineStr">
        <is>
          <t>QUARTERMAC</t>
        </is>
      </c>
    </row>
    <row r="881">
      <c r="A881" t="inlineStr">
        <is>
          <t>QUEULORIOR</t>
        </is>
      </c>
      <c r="B881" t="inlineStr">
        <is>
          <t>QUEULORIOR</t>
        </is>
      </c>
    </row>
    <row r="882">
      <c r="A882" t="inlineStr">
        <is>
          <t>QULBUTOKE</t>
        </is>
      </c>
      <c r="B882" t="inlineStr">
        <is>
          <t>OKEOKE</t>
        </is>
      </c>
    </row>
    <row r="883">
      <c r="A883" t="inlineStr">
        <is>
          <t>QWILFISH</t>
        </is>
      </c>
      <c r="B883" t="inlineStr">
        <is>
          <t>QWILFISH</t>
        </is>
      </c>
    </row>
    <row r="884">
      <c r="A884" t="inlineStr">
        <is>
          <t>QWILFISH-H</t>
        </is>
      </c>
      <c r="B884" t="inlineStr">
        <is>
          <t>QWILFISH-H</t>
        </is>
      </c>
    </row>
    <row r="885">
      <c r="A885" t="inlineStr">
        <is>
          <t>QWILPIK</t>
        </is>
      </c>
      <c r="B885" t="inlineStr">
        <is>
          <t>QWILFISH-H</t>
        </is>
      </c>
    </row>
    <row r="886">
      <c r="A886" t="inlineStr">
        <is>
          <t>RACAILLOU</t>
        </is>
      </c>
      <c r="B886" t="inlineStr">
        <is>
          <t>RACAILLOU</t>
        </is>
      </c>
    </row>
    <row r="887">
      <c r="A887" t="inlineStr">
        <is>
          <t>RACAILLOU-A</t>
        </is>
      </c>
      <c r="B887" t="inlineStr">
        <is>
          <t>RACAILLOU-A</t>
        </is>
      </c>
    </row>
    <row r="888">
      <c r="A888" t="inlineStr">
        <is>
          <t>RAFFLESIA</t>
        </is>
      </c>
      <c r="B888" t="inlineStr">
        <is>
          <t>MYSTHERBE</t>
        </is>
      </c>
    </row>
    <row r="889">
      <c r="A889" t="inlineStr">
        <is>
          <t>RAICHU</t>
        </is>
      </c>
      <c r="B889" t="inlineStr">
        <is>
          <t>PICHU</t>
        </is>
      </c>
    </row>
    <row r="890">
      <c r="A890" t="inlineStr">
        <is>
          <t>RAICHU-A</t>
        </is>
      </c>
      <c r="B890" t="inlineStr">
        <is>
          <t>PICHU</t>
        </is>
      </c>
    </row>
    <row r="891">
      <c r="A891" t="inlineStr">
        <is>
          <t>RAIKOU</t>
        </is>
      </c>
      <c r="B891" t="inlineStr">
        <is>
          <t>RAIKOU</t>
        </is>
      </c>
    </row>
    <row r="892">
      <c r="A892" t="inlineStr">
        <is>
          <t>RAMBOUM</t>
        </is>
      </c>
      <c r="B892" t="inlineStr">
        <is>
          <t>CHUCHMUR</t>
        </is>
      </c>
    </row>
    <row r="893">
      <c r="A893" t="inlineStr">
        <is>
          <t>RAMOLOSS</t>
        </is>
      </c>
      <c r="B893" t="inlineStr">
        <is>
          <t>RAMOLOSS</t>
        </is>
      </c>
    </row>
    <row r="894">
      <c r="A894" t="inlineStr">
        <is>
          <t>RAMOLOSS-G</t>
        </is>
      </c>
      <c r="B894" t="inlineStr">
        <is>
          <t>RAMOLOSS-G</t>
        </is>
      </c>
    </row>
    <row r="895">
      <c r="A895" t="inlineStr">
        <is>
          <t>RAMPE-AILES</t>
        </is>
      </c>
      <c r="B895" t="inlineStr">
        <is>
          <t>RAMPE-AILES</t>
        </is>
      </c>
    </row>
    <row r="896">
      <c r="A896" t="inlineStr">
        <is>
          <t>RAPASDEPIC</t>
        </is>
      </c>
      <c r="B896" t="inlineStr">
        <is>
          <t>PIAFABEC</t>
        </is>
      </c>
    </row>
    <row r="897">
      <c r="A897" t="inlineStr">
        <is>
          <t>RAPION</t>
        </is>
      </c>
      <c r="B897" t="inlineStr">
        <is>
          <t>RAPION</t>
        </is>
      </c>
    </row>
    <row r="898">
      <c r="A898" t="inlineStr">
        <is>
          <t>RATENTIF</t>
        </is>
      </c>
      <c r="B898" t="inlineStr">
        <is>
          <t>RATENTIF</t>
        </is>
      </c>
    </row>
    <row r="899">
      <c r="A899" t="inlineStr">
        <is>
          <t>RATTATA</t>
        </is>
      </c>
      <c r="B899" t="inlineStr">
        <is>
          <t>RATTATA</t>
        </is>
      </c>
    </row>
    <row r="900">
      <c r="A900" t="inlineStr">
        <is>
          <t>RATTATA-A</t>
        </is>
      </c>
      <c r="B900" t="inlineStr">
        <is>
          <t>RATTATA-A</t>
        </is>
      </c>
    </row>
    <row r="901">
      <c r="A901" t="inlineStr">
        <is>
          <t>RATTATAC</t>
        </is>
      </c>
      <c r="B901" t="inlineStr">
        <is>
          <t>RATTATA</t>
        </is>
      </c>
    </row>
    <row r="902">
      <c r="A902" t="inlineStr">
        <is>
          <t>RATTATAC-A</t>
        </is>
      </c>
      <c r="B902" t="inlineStr">
        <is>
          <t>RATTATA-A</t>
        </is>
      </c>
    </row>
    <row r="903">
      <c r="A903" t="inlineStr">
        <is>
          <t>RAYQUAZA</t>
        </is>
      </c>
      <c r="B903" t="inlineStr">
        <is>
          <t>RAYQUAZA</t>
        </is>
      </c>
    </row>
    <row r="904">
      <c r="A904" t="inlineStr">
        <is>
          <t>REGICE</t>
        </is>
      </c>
      <c r="B904" t="inlineStr">
        <is>
          <t>REGICE</t>
        </is>
      </c>
    </row>
    <row r="905">
      <c r="A905" t="inlineStr">
        <is>
          <t>REGIDRAGO</t>
        </is>
      </c>
      <c r="B905" t="inlineStr">
        <is>
          <t>REGIDRAGO</t>
        </is>
      </c>
    </row>
    <row r="906">
      <c r="A906" t="inlineStr">
        <is>
          <t>REGIELEKI</t>
        </is>
      </c>
      <c r="B906" t="inlineStr">
        <is>
          <t>REGIELEKI</t>
        </is>
      </c>
    </row>
    <row r="907">
      <c r="A907" t="inlineStr">
        <is>
          <t>REGIGIGAS</t>
        </is>
      </c>
      <c r="B907" t="inlineStr">
        <is>
          <t>REGIGIGAS</t>
        </is>
      </c>
    </row>
    <row r="908">
      <c r="A908" t="inlineStr">
        <is>
          <t>REGIROCK</t>
        </is>
      </c>
      <c r="B908" t="inlineStr">
        <is>
          <t>REGIROCK</t>
        </is>
      </c>
    </row>
    <row r="909">
      <c r="A909" t="inlineStr">
        <is>
          <t>REGISTEEL</t>
        </is>
      </c>
      <c r="B909" t="inlineStr">
        <is>
          <t>REGISTEEL</t>
        </is>
      </c>
    </row>
    <row r="910">
      <c r="A910" t="inlineStr">
        <is>
          <t>RELICANTH</t>
        </is>
      </c>
      <c r="B910" t="inlineStr">
        <is>
          <t>RELICANTH</t>
        </is>
      </c>
    </row>
    <row r="911">
      <c r="A911" t="inlineStr">
        <is>
          <t>REMORAID</t>
        </is>
      </c>
      <c r="B911" t="inlineStr">
        <is>
          <t>REMORAID</t>
        </is>
      </c>
    </row>
    <row r="912">
      <c r="A912" t="inlineStr">
        <is>
          <t>REPTINCEL</t>
        </is>
      </c>
      <c r="B912" t="inlineStr">
        <is>
          <t>SALAMECHE</t>
        </is>
      </c>
    </row>
    <row r="913">
      <c r="A913" t="inlineStr">
        <is>
          <t>RESHIRAM</t>
        </is>
      </c>
      <c r="B913" t="inlineStr">
        <is>
          <t>RESHIRAM</t>
        </is>
      </c>
    </row>
    <row r="914">
      <c r="A914" t="inlineStr">
        <is>
          <t>REXILLIUS</t>
        </is>
      </c>
      <c r="B914" t="inlineStr">
        <is>
          <t>PTYRANIDUR</t>
        </is>
      </c>
    </row>
    <row r="915">
      <c r="A915" t="inlineStr">
        <is>
          <t>RHINASTOC</t>
        </is>
      </c>
      <c r="B915" t="inlineStr">
        <is>
          <t>RHINOCORNE</t>
        </is>
      </c>
    </row>
    <row r="916">
      <c r="A916" t="inlineStr">
        <is>
          <t>RHINOCORNE</t>
        </is>
      </c>
      <c r="B916" t="inlineStr">
        <is>
          <t>RHINOCORNE</t>
        </is>
      </c>
    </row>
    <row r="917">
      <c r="A917" t="inlineStr">
        <is>
          <t>RHINOFEROS</t>
        </is>
      </c>
      <c r="B917" t="inlineStr">
        <is>
          <t>RHINOCORNE</t>
        </is>
      </c>
    </row>
    <row r="918">
      <c r="A918" t="inlineStr">
        <is>
          <t>RHINOLOVE</t>
        </is>
      </c>
      <c r="B918" t="inlineStr">
        <is>
          <t>CHOVSOURIR</t>
        </is>
      </c>
    </row>
    <row r="919">
      <c r="A919" t="inlineStr">
        <is>
          <t>RILLABOOM</t>
        </is>
      </c>
      <c r="B919" t="inlineStr">
        <is>
          <t>RILLABOOM</t>
        </is>
      </c>
    </row>
    <row r="920">
      <c r="A920" t="inlineStr">
        <is>
          <t>RIOLU</t>
        </is>
      </c>
      <c r="B920" t="inlineStr">
        <is>
          <t>RIOLU</t>
        </is>
      </c>
    </row>
    <row r="921">
      <c r="A921" t="inlineStr">
        <is>
          <t>ROC-DE-FER</t>
        </is>
      </c>
      <c r="B921" t="inlineStr">
        <is>
          <t>ROC-DE-FER</t>
        </is>
      </c>
    </row>
    <row r="922">
      <c r="A922" t="inlineStr">
        <is>
          <t>ROCABOT</t>
        </is>
      </c>
      <c r="B922" t="inlineStr">
        <is>
          <t>ROCABOT</t>
        </is>
      </c>
    </row>
    <row r="923">
      <c r="A923" t="inlineStr">
        <is>
          <t>ROIGADA</t>
        </is>
      </c>
      <c r="B923" t="inlineStr">
        <is>
          <t>RAMOLOSS</t>
        </is>
      </c>
    </row>
    <row r="924">
      <c r="A924" t="inlineStr">
        <is>
          <t>ROIGADA-G</t>
        </is>
      </c>
      <c r="B924" t="inlineStr">
        <is>
          <t>RAMOLOSS-G</t>
        </is>
      </c>
    </row>
    <row r="925">
      <c r="A925" t="inlineStr">
        <is>
          <t>ROITIFLAM</t>
        </is>
      </c>
      <c r="B925" t="inlineStr">
        <is>
          <t>GRUIKUI</t>
        </is>
      </c>
    </row>
    <row r="926">
      <c r="A926" t="inlineStr">
        <is>
          <t>RONDOUDOU</t>
        </is>
      </c>
      <c r="B926" t="inlineStr">
        <is>
          <t>TOUDOUDOU</t>
        </is>
      </c>
    </row>
    <row r="927">
      <c r="A927" t="inlineStr">
        <is>
          <t>RONFLEX</t>
        </is>
      </c>
      <c r="B927" t="inlineStr">
        <is>
          <t>GOINFREX</t>
        </is>
      </c>
    </row>
    <row r="928">
      <c r="A928" t="inlineStr">
        <is>
          <t>RONGOURMAND</t>
        </is>
      </c>
      <c r="B928" t="inlineStr">
        <is>
          <t>RONGOURMAND</t>
        </is>
      </c>
    </row>
    <row r="929">
      <c r="A929" t="inlineStr">
        <is>
          <t>RONGRIGOU</t>
        </is>
      </c>
      <c r="B929" t="inlineStr">
        <is>
          <t>RONGOURMAND</t>
        </is>
      </c>
    </row>
    <row r="930">
      <c r="A930" t="inlineStr">
        <is>
          <t>ROSABYSS</t>
        </is>
      </c>
      <c r="B930" t="inlineStr">
        <is>
          <t>COQUIPERL</t>
        </is>
      </c>
    </row>
    <row r="931">
      <c r="A931" t="inlineStr">
        <is>
          <t>ROSELIA</t>
        </is>
      </c>
      <c r="B931" t="inlineStr">
        <is>
          <t>ROZBOUTON</t>
        </is>
      </c>
    </row>
    <row r="932">
      <c r="A932" t="inlineStr">
        <is>
          <t>ROSERADE</t>
        </is>
      </c>
      <c r="B932" t="inlineStr">
        <is>
          <t>ROZBOUTON</t>
        </is>
      </c>
    </row>
    <row r="933">
      <c r="A933" t="inlineStr">
        <is>
          <t>ROTOTAUPE</t>
        </is>
      </c>
      <c r="B933" t="inlineStr">
        <is>
          <t>ROTOTAUPE</t>
        </is>
      </c>
    </row>
    <row r="934">
      <c r="A934" t="inlineStr">
        <is>
          <t>ROUBLENARD</t>
        </is>
      </c>
      <c r="B934" t="inlineStr">
        <is>
          <t>GOUPILOU</t>
        </is>
      </c>
    </row>
    <row r="935">
      <c r="A935" t="inlineStr">
        <is>
          <t>ROUCARNAGE</t>
        </is>
      </c>
      <c r="B935" t="inlineStr">
        <is>
          <t>ROUCOOL</t>
        </is>
      </c>
    </row>
    <row r="936">
      <c r="A936" t="inlineStr">
        <is>
          <t>ROUCOOL</t>
        </is>
      </c>
      <c r="B936" t="inlineStr">
        <is>
          <t>ROUCOOL</t>
        </is>
      </c>
    </row>
    <row r="937">
      <c r="A937" t="inlineStr">
        <is>
          <t>ROUCOUPS</t>
        </is>
      </c>
      <c r="B937" t="inlineStr">
        <is>
          <t>ROUCOOL</t>
        </is>
      </c>
    </row>
    <row r="938">
      <c r="A938" t="inlineStr">
        <is>
          <t>ROUE-DE-FER</t>
        </is>
      </c>
      <c r="B938" t="inlineStr">
        <is>
          <t>ROUE-DE-FER</t>
        </is>
      </c>
    </row>
    <row r="939">
      <c r="A939" t="inlineStr">
        <is>
          <t>ROUSSIL</t>
        </is>
      </c>
      <c r="B939" t="inlineStr">
        <is>
          <t>FEUNNEC</t>
        </is>
      </c>
    </row>
    <row r="940">
      <c r="A940" t="inlineStr">
        <is>
          <t>ROZBOUTON</t>
        </is>
      </c>
      <c r="B940" t="inlineStr">
        <is>
          <t>ROZBOUTON</t>
        </is>
      </c>
    </row>
    <row r="941">
      <c r="A941" t="inlineStr">
        <is>
          <t>RUBOMBELLE</t>
        </is>
      </c>
      <c r="B941" t="inlineStr">
        <is>
          <t>BOMBYDOU</t>
        </is>
      </c>
    </row>
    <row r="942">
      <c r="A942" t="inlineStr">
        <is>
          <t>RUGIT-LUNE</t>
        </is>
      </c>
      <c r="B942" t="inlineStr">
        <is>
          <t>RUGIT-LUNE</t>
        </is>
      </c>
    </row>
    <row r="943">
      <c r="A943" t="inlineStr">
        <is>
          <t>SABELETTE</t>
        </is>
      </c>
      <c r="B943" t="inlineStr">
        <is>
          <t>SABELETTE</t>
        </is>
      </c>
    </row>
    <row r="944">
      <c r="A944" t="inlineStr">
        <is>
          <t>SABELETTE-A</t>
        </is>
      </c>
      <c r="B944" t="inlineStr">
        <is>
          <t>SABELETTE-A</t>
        </is>
      </c>
    </row>
    <row r="945">
      <c r="A945" t="inlineStr">
        <is>
          <t>SABLAIREAU</t>
        </is>
      </c>
      <c r="B945" t="inlineStr">
        <is>
          <t>SABELETTE</t>
        </is>
      </c>
    </row>
    <row r="946">
      <c r="A946" t="inlineStr">
        <is>
          <t>SABLAIREAU-A</t>
        </is>
      </c>
      <c r="B946" t="inlineStr">
        <is>
          <t>SABELETTE-A</t>
        </is>
      </c>
    </row>
    <row r="947">
      <c r="A947" t="inlineStr">
        <is>
          <t>SABLEYE</t>
        </is>
      </c>
      <c r="B947" t="inlineStr">
        <is>
          <t>SABLEYE</t>
        </is>
      </c>
    </row>
    <row r="948">
      <c r="A948" t="inlineStr">
        <is>
          <t>SALAMECHE</t>
        </is>
      </c>
      <c r="B948" t="inlineStr">
        <is>
          <t>SALAMECHE</t>
        </is>
      </c>
    </row>
    <row r="949">
      <c r="A949" t="inlineStr">
        <is>
          <t>SALAMENCE</t>
        </is>
      </c>
      <c r="B949" t="inlineStr">
        <is>
          <t>SALAMENCE</t>
        </is>
      </c>
    </row>
    <row r="950">
      <c r="A950" t="inlineStr">
        <is>
          <t>SALARSEN</t>
        </is>
      </c>
      <c r="B950" t="inlineStr">
        <is>
          <t>TOXIZAP</t>
        </is>
      </c>
    </row>
    <row r="951">
      <c r="A951" t="inlineStr">
        <is>
          <t>SANCOKI</t>
        </is>
      </c>
      <c r="B951" t="inlineStr">
        <is>
          <t>SANCOKI</t>
        </is>
      </c>
    </row>
    <row r="952">
      <c r="A952" t="inlineStr">
        <is>
          <t>SANDACONDA</t>
        </is>
      </c>
      <c r="B952" t="inlineStr">
        <is>
          <t>SANDACONDA</t>
        </is>
      </c>
    </row>
    <row r="953">
      <c r="A953" t="inlineStr">
        <is>
          <t>SAPEREAU</t>
        </is>
      </c>
      <c r="B953" t="inlineStr">
        <is>
          <t>SAPEREAU</t>
        </is>
      </c>
    </row>
    <row r="954">
      <c r="A954" t="inlineStr">
        <is>
          <t>SAQUEDENEU</t>
        </is>
      </c>
      <c r="B954" t="inlineStr">
        <is>
          <t>SAQUEDENEU</t>
        </is>
      </c>
    </row>
    <row r="955">
      <c r="A955" t="inlineStr">
        <is>
          <t>SARMURAI</t>
        </is>
      </c>
      <c r="B955" t="inlineStr">
        <is>
          <t>SOVKIPOU</t>
        </is>
      </c>
    </row>
    <row r="956">
      <c r="A956" t="inlineStr">
        <is>
          <t>SCALPEREUR</t>
        </is>
      </c>
      <c r="B956" t="inlineStr">
        <is>
          <t>SCALPION</t>
        </is>
      </c>
    </row>
    <row r="957">
      <c r="A957" t="inlineStr">
        <is>
          <t>SCALPION</t>
        </is>
      </c>
      <c r="B957" t="inlineStr">
        <is>
          <t>SCALPION</t>
        </is>
      </c>
    </row>
    <row r="958">
      <c r="A958" t="inlineStr">
        <is>
          <t>SCALPROIE</t>
        </is>
      </c>
      <c r="B958" t="inlineStr">
        <is>
          <t>SCALPION</t>
        </is>
      </c>
    </row>
    <row r="959">
      <c r="A959" t="inlineStr">
        <is>
          <t>SCARABRUTE</t>
        </is>
      </c>
      <c r="B959" t="inlineStr">
        <is>
          <t>SCARABRUTE</t>
        </is>
      </c>
    </row>
    <row r="960">
      <c r="A960" t="inlineStr">
        <is>
          <t>SCARHINO</t>
        </is>
      </c>
      <c r="B960" t="inlineStr">
        <is>
          <t>SCARHINO</t>
        </is>
      </c>
    </row>
    <row r="961">
      <c r="A961" t="inlineStr">
        <is>
          <t>SCEPTILE</t>
        </is>
      </c>
      <c r="B961" t="inlineStr">
        <is>
          <t>SCEPTILE</t>
        </is>
      </c>
    </row>
    <row r="962">
      <c r="A962" t="inlineStr">
        <is>
          <t>SCIZOR</t>
        </is>
      </c>
      <c r="B962" t="inlineStr">
        <is>
          <t>SCIZOR</t>
        </is>
      </c>
    </row>
    <row r="963">
      <c r="A963" t="inlineStr">
        <is>
          <t>SCOBOLIDE</t>
        </is>
      </c>
      <c r="B963" t="inlineStr">
        <is>
          <t>VENIPATTE</t>
        </is>
      </c>
    </row>
    <row r="964">
      <c r="A964" t="inlineStr">
        <is>
          <t>SCOLIPEDE</t>
        </is>
      </c>
      <c r="B964" t="inlineStr">
        <is>
          <t>SCOLIPEDE</t>
        </is>
      </c>
    </row>
    <row r="965">
      <c r="A965" t="inlineStr">
        <is>
          <t>SCOLOCENDRE</t>
        </is>
      </c>
      <c r="B965" t="inlineStr">
        <is>
          <t>GRILLEPATTES</t>
        </is>
      </c>
    </row>
    <row r="966">
      <c r="A966" t="inlineStr">
        <is>
          <t>SCORPLANE</t>
        </is>
      </c>
      <c r="B966" t="inlineStr">
        <is>
          <t>SCORPLANE</t>
        </is>
      </c>
    </row>
    <row r="967">
      <c r="A967" t="inlineStr">
        <is>
          <t>SCORVOL</t>
        </is>
      </c>
      <c r="B967" t="inlineStr">
        <is>
          <t>SCORPLANE</t>
        </is>
      </c>
    </row>
    <row r="968">
      <c r="A968" t="inlineStr">
        <is>
          <t>SCOVILAIN</t>
        </is>
      </c>
      <c r="B968" t="inlineStr">
        <is>
          <t>PIMITO</t>
        </is>
      </c>
    </row>
    <row r="969">
      <c r="A969" t="inlineStr">
        <is>
          <t>SCOVILLAIN</t>
        </is>
      </c>
      <c r="B969" t="inlineStr">
        <is>
          <t>SCOVILLAIN</t>
        </is>
      </c>
    </row>
    <row r="970">
      <c r="A970" t="inlineStr">
        <is>
          <t>SCRAFTY</t>
        </is>
      </c>
      <c r="B970" t="inlineStr">
        <is>
          <t>SCRAFTY</t>
        </is>
      </c>
    </row>
    <row r="971">
      <c r="A971" t="inlineStr">
        <is>
          <t>SCRUTELLA</t>
        </is>
      </c>
      <c r="B971" t="inlineStr">
        <is>
          <t>SCRUTELLA</t>
        </is>
      </c>
    </row>
    <row r="972">
      <c r="A972" t="inlineStr">
        <is>
          <t>SELEROC</t>
        </is>
      </c>
      <c r="B972" t="inlineStr">
        <is>
          <t>SELEROC</t>
        </is>
      </c>
    </row>
    <row r="973">
      <c r="A973" t="inlineStr">
        <is>
          <t>SELUTIN</t>
        </is>
      </c>
      <c r="B973" t="inlineStr">
        <is>
          <t>SELUTIN</t>
        </is>
      </c>
    </row>
    <row r="974">
      <c r="A974" t="inlineStr">
        <is>
          <t>SEPIATOP</t>
        </is>
      </c>
      <c r="B974" t="inlineStr">
        <is>
          <t>SEPIATOP</t>
        </is>
      </c>
    </row>
    <row r="975">
      <c r="A975" t="inlineStr">
        <is>
          <t>SEPIATROCE</t>
        </is>
      </c>
      <c r="B975" t="inlineStr">
        <is>
          <t>SEPIATOP</t>
        </is>
      </c>
    </row>
    <row r="976">
      <c r="A976" t="inlineStr">
        <is>
          <t>SERACRAWL</t>
        </is>
      </c>
      <c r="B976" t="inlineStr">
        <is>
          <t>GRELACON</t>
        </is>
      </c>
    </row>
    <row r="977">
      <c r="A977" t="inlineStr">
        <is>
          <t>SERACRAWL-H</t>
        </is>
      </c>
      <c r="B977" t="inlineStr">
        <is>
          <t>GRELACON</t>
        </is>
      </c>
    </row>
    <row r="978">
      <c r="A978" t="inlineStr">
        <is>
          <t>SERPANG</t>
        </is>
      </c>
      <c r="B978" t="inlineStr">
        <is>
          <t>COQUIPERL</t>
        </is>
      </c>
    </row>
    <row r="979">
      <c r="A979" t="inlineStr">
        <is>
          <t>SERPENTE-EAU</t>
        </is>
      </c>
      <c r="B979" t="inlineStr">
        <is>
          <t>SERPENTE-EAU</t>
        </is>
      </c>
    </row>
    <row r="980">
      <c r="A980" t="inlineStr">
        <is>
          <t>SEVIPER</t>
        </is>
      </c>
      <c r="B980" t="inlineStr">
        <is>
          <t>SEVIPER</t>
        </is>
      </c>
    </row>
    <row r="981">
      <c r="A981" t="inlineStr">
        <is>
          <t>SHAOFOUINE</t>
        </is>
      </c>
      <c r="B981" t="inlineStr">
        <is>
          <t>KUNGFOUINE</t>
        </is>
      </c>
    </row>
    <row r="982">
      <c r="A982" t="inlineStr">
        <is>
          <t>SHARPEDO</t>
        </is>
      </c>
      <c r="B982" t="inlineStr">
        <is>
          <t>CARVANHA</t>
        </is>
      </c>
    </row>
    <row r="983">
      <c r="A983" t="inlineStr">
        <is>
          <t>SHAYMIN</t>
        </is>
      </c>
      <c r="B983" t="inlineStr">
        <is>
          <t>SHAYMIN</t>
        </is>
      </c>
    </row>
    <row r="984">
      <c r="A984" t="inlineStr">
        <is>
          <t>SHIFOURS</t>
        </is>
      </c>
      <c r="B984" t="inlineStr">
        <is>
          <t>WUSHOURS</t>
        </is>
      </c>
    </row>
    <row r="985">
      <c r="A985" t="inlineStr">
        <is>
          <t>SIDERELLA</t>
        </is>
      </c>
      <c r="B985" t="inlineStr">
        <is>
          <t>SCRUTELLA</t>
        </is>
      </c>
    </row>
    <row r="986">
      <c r="A986" t="inlineStr">
        <is>
          <t>SILVALLIE</t>
        </is>
      </c>
      <c r="B986" t="inlineStr">
        <is>
          <t>TYPE:0</t>
        </is>
      </c>
    </row>
    <row r="987">
      <c r="A987" t="inlineStr">
        <is>
          <t>SIMIABRAZ</t>
        </is>
      </c>
      <c r="B987" t="inlineStr">
        <is>
          <t>OUISTICRAM</t>
        </is>
      </c>
    </row>
    <row r="988">
      <c r="A988" t="inlineStr">
        <is>
          <t>SIMULARBRE</t>
        </is>
      </c>
      <c r="B988" t="inlineStr">
        <is>
          <t>MANZAI</t>
        </is>
      </c>
    </row>
    <row r="989">
      <c r="A989" t="inlineStr">
        <is>
          <t>SINISTRAIL</t>
        </is>
      </c>
      <c r="B989" t="inlineStr">
        <is>
          <t>SINISTRAIL</t>
        </is>
      </c>
    </row>
    <row r="990">
      <c r="A990" t="inlineStr">
        <is>
          <t>SKARMORY</t>
        </is>
      </c>
      <c r="B990" t="inlineStr">
        <is>
          <t>SKARMORY</t>
        </is>
      </c>
    </row>
    <row r="991">
      <c r="A991" t="inlineStr">
        <is>
          <t>SKELENOX</t>
        </is>
      </c>
      <c r="B991" t="inlineStr">
        <is>
          <t>SKELENOX</t>
        </is>
      </c>
    </row>
    <row r="992">
      <c r="A992" t="inlineStr">
        <is>
          <t>SKITTY</t>
        </is>
      </c>
      <c r="B992" t="inlineStr">
        <is>
          <t>SKITTY</t>
        </is>
      </c>
    </row>
    <row r="993">
      <c r="A993" t="inlineStr">
        <is>
          <t>SLOWBRO</t>
        </is>
      </c>
      <c r="B993" t="inlineStr">
        <is>
          <t>SLOWBRO</t>
        </is>
      </c>
    </row>
    <row r="994">
      <c r="A994" t="inlineStr">
        <is>
          <t>SMOGO</t>
        </is>
      </c>
      <c r="B994" t="inlineStr">
        <is>
          <t>SMOGO</t>
        </is>
      </c>
    </row>
    <row r="995">
      <c r="A995" t="inlineStr">
        <is>
          <t>SMOGOGO</t>
        </is>
      </c>
      <c r="B995" t="inlineStr">
        <is>
          <t>SMOGO</t>
        </is>
      </c>
    </row>
    <row r="996">
      <c r="A996" t="inlineStr">
        <is>
          <t>SMOGOGO-G</t>
        </is>
      </c>
      <c r="B996" t="inlineStr">
        <is>
          <t>SMOGO</t>
        </is>
      </c>
    </row>
    <row r="997">
      <c r="A997" t="inlineStr">
        <is>
          <t>SNORLAX</t>
        </is>
      </c>
      <c r="B997" t="inlineStr">
        <is>
          <t>SNORLAX</t>
        </is>
      </c>
    </row>
    <row r="998">
      <c r="A998" t="inlineStr">
        <is>
          <t>SNUBBULL</t>
        </is>
      </c>
      <c r="B998" t="inlineStr">
        <is>
          <t>SNUBBULL</t>
        </is>
      </c>
    </row>
    <row r="999">
      <c r="A999" t="inlineStr">
        <is>
          <t>SOLAROC</t>
        </is>
      </c>
      <c r="B999" t="inlineStr">
        <is>
          <t>SOLAROC</t>
        </is>
      </c>
    </row>
    <row r="1000">
      <c r="A1000" t="inlineStr">
        <is>
          <t>SOLGALEO</t>
        </is>
      </c>
      <c r="B1000" t="inlineStr">
        <is>
          <t>COSMOG</t>
        </is>
      </c>
    </row>
    <row r="1001">
      <c r="A1001" t="inlineStr">
        <is>
          <t>SOLOCHI</t>
        </is>
      </c>
      <c r="B1001" t="inlineStr">
        <is>
          <t>SOLOCHI</t>
        </is>
      </c>
    </row>
    <row r="1002">
      <c r="A1002" t="inlineStr">
        <is>
          <t>SONISTRELLE</t>
        </is>
      </c>
      <c r="B1002" t="inlineStr">
        <is>
          <t>SONISTRELLE</t>
        </is>
      </c>
    </row>
    <row r="1003">
      <c r="A1003" t="inlineStr">
        <is>
          <t>SOPORIFIK</t>
        </is>
      </c>
      <c r="B1003" t="inlineStr">
        <is>
          <t>SOPORIFIK</t>
        </is>
      </c>
    </row>
    <row r="1004">
      <c r="A1004" t="inlineStr">
        <is>
          <t>SORBEBE</t>
        </is>
      </c>
      <c r="B1004" t="inlineStr">
        <is>
          <t>SORBEBE</t>
        </is>
      </c>
    </row>
    <row r="1005">
      <c r="A1005" t="inlineStr">
        <is>
          <t>SORBOUBOUL</t>
        </is>
      </c>
      <c r="B1005" t="inlineStr">
        <is>
          <t>SORBEBE</t>
        </is>
      </c>
    </row>
    <row r="1006">
      <c r="A1006" t="inlineStr">
        <is>
          <t>SORBOUL</t>
        </is>
      </c>
      <c r="B1006" t="inlineStr">
        <is>
          <t>SORBEBE</t>
        </is>
      </c>
    </row>
    <row r="1007">
      <c r="A1007" t="inlineStr">
        <is>
          <t>SORCILENCE</t>
        </is>
      </c>
      <c r="B1007" t="inlineStr">
        <is>
          <t>BIBICHUT</t>
        </is>
      </c>
    </row>
    <row r="1008">
      <c r="A1008" t="inlineStr">
        <is>
          <t>SOVKIPOU</t>
        </is>
      </c>
      <c r="B1008" t="inlineStr">
        <is>
          <t>SOVKIPOU</t>
        </is>
      </c>
    </row>
    <row r="1009">
      <c r="A1009" t="inlineStr">
        <is>
          <t>SPECTREVAL</t>
        </is>
      </c>
      <c r="B1009" t="inlineStr">
        <is>
          <t>SPECTREVAL</t>
        </is>
      </c>
    </row>
    <row r="1010">
      <c r="A1010" t="inlineStr">
        <is>
          <t>SPECTRUM</t>
        </is>
      </c>
      <c r="B1010" t="inlineStr">
        <is>
          <t>FANTOMINUS</t>
        </is>
      </c>
    </row>
    <row r="1011">
      <c r="A1011" t="inlineStr">
        <is>
          <t>SPINDA</t>
        </is>
      </c>
      <c r="B1011" t="inlineStr">
        <is>
          <t>SPINDA</t>
        </is>
      </c>
    </row>
    <row r="1012">
      <c r="A1012" t="inlineStr">
        <is>
          <t>SPIRITOMB</t>
        </is>
      </c>
      <c r="B1012" t="inlineStr">
        <is>
          <t>SPIRITOMB</t>
        </is>
      </c>
    </row>
    <row r="1013">
      <c r="A1013" t="inlineStr">
        <is>
          <t>SPODODO</t>
        </is>
      </c>
      <c r="B1013" t="inlineStr">
        <is>
          <t>SPODODO</t>
        </is>
      </c>
    </row>
    <row r="1014">
      <c r="A1014" t="inlineStr">
        <is>
          <t>SPOINK</t>
        </is>
      </c>
      <c r="B1014" t="inlineStr">
        <is>
          <t>SPOINK</t>
        </is>
      </c>
    </row>
    <row r="1015">
      <c r="A1015" t="inlineStr">
        <is>
          <t>STALGAMIN</t>
        </is>
      </c>
      <c r="B1015" t="inlineStr">
        <is>
          <t>STALGAMIN</t>
        </is>
      </c>
    </row>
    <row r="1016">
      <c r="A1016" t="inlineStr">
        <is>
          <t>STARAPTOR</t>
        </is>
      </c>
      <c r="B1016" t="inlineStr">
        <is>
          <t>STARAPTOR</t>
        </is>
      </c>
    </row>
    <row r="1017">
      <c r="A1017" t="inlineStr">
        <is>
          <t>STARI</t>
        </is>
      </c>
      <c r="B1017" t="inlineStr">
        <is>
          <t>STARI</t>
        </is>
      </c>
    </row>
    <row r="1018">
      <c r="A1018" t="inlineStr">
        <is>
          <t>STARMIE</t>
        </is>
      </c>
      <c r="B1018" t="inlineStr">
        <is>
          <t>STARMIE</t>
        </is>
      </c>
    </row>
    <row r="1019">
      <c r="A1019" t="inlineStr">
        <is>
          <t>STAROSS</t>
        </is>
      </c>
      <c r="B1019" t="inlineStr">
        <is>
          <t>STARI</t>
        </is>
      </c>
    </row>
    <row r="1020">
      <c r="A1020" t="inlineStr">
        <is>
          <t>STATITIK</t>
        </is>
      </c>
      <c r="B1020" t="inlineStr">
        <is>
          <t>STATITIK</t>
        </is>
      </c>
    </row>
    <row r="1021">
      <c r="A1021" t="inlineStr">
        <is>
          <t>STEELIX</t>
        </is>
      </c>
      <c r="B1021" t="inlineStr">
        <is>
          <t>ONIX</t>
        </is>
      </c>
    </row>
    <row r="1022">
      <c r="A1022" t="inlineStr">
        <is>
          <t>STRASSIE</t>
        </is>
      </c>
      <c r="B1022" t="inlineStr">
        <is>
          <t>STRASSIE</t>
        </is>
      </c>
    </row>
    <row r="1023">
      <c r="A1023" t="inlineStr">
        <is>
          <t>SUCREINE</t>
        </is>
      </c>
      <c r="B1023" t="inlineStr">
        <is>
          <t>CROQUINE</t>
        </is>
      </c>
    </row>
    <row r="1024">
      <c r="A1024" t="inlineStr">
        <is>
          <t>SUCROQUIN</t>
        </is>
      </c>
      <c r="B1024" t="inlineStr">
        <is>
          <t>SUCROQUIN</t>
        </is>
      </c>
    </row>
    <row r="1025">
      <c r="A1025" t="inlineStr">
        <is>
          <t>SUICUNE</t>
        </is>
      </c>
      <c r="B1025" t="inlineStr">
        <is>
          <t>SUICUNE</t>
        </is>
      </c>
    </row>
    <row r="1026">
      <c r="A1026" t="inlineStr">
        <is>
          <t>SULFURA</t>
        </is>
      </c>
      <c r="B1026" t="inlineStr">
        <is>
          <t>SULFURA</t>
        </is>
      </c>
    </row>
    <row r="1027">
      <c r="A1027" t="inlineStr">
        <is>
          <t>SULFURA-G</t>
        </is>
      </c>
      <c r="B1027" t="inlineStr">
        <is>
          <t>SULFURA-G</t>
        </is>
      </c>
    </row>
    <row r="1028">
      <c r="A1028" t="inlineStr">
        <is>
          <t>SUPERDOFIN</t>
        </is>
      </c>
      <c r="B1028" t="inlineStr">
        <is>
          <t>DOFIN</t>
        </is>
      </c>
    </row>
    <row r="1029">
      <c r="A1029" t="inlineStr">
        <is>
          <t>SWAMPERT</t>
        </is>
      </c>
      <c r="B1029" t="inlineStr">
        <is>
          <t>SWAMPERT</t>
        </is>
      </c>
    </row>
    <row r="1030">
      <c r="A1030" t="inlineStr">
        <is>
          <t>SYLVEROY</t>
        </is>
      </c>
      <c r="B1030" t="inlineStr">
        <is>
          <t>SYLVEROY</t>
        </is>
      </c>
    </row>
    <row r="1031">
      <c r="A1031" t="inlineStr">
        <is>
          <t>SYMBIOS</t>
        </is>
      </c>
      <c r="B1031" t="inlineStr">
        <is>
          <t>NUCLEOS</t>
        </is>
      </c>
    </row>
    <row r="1032">
      <c r="A1032" t="inlineStr">
        <is>
          <t>TADMORV</t>
        </is>
      </c>
      <c r="B1032" t="inlineStr">
        <is>
          <t>TADMORV</t>
        </is>
      </c>
    </row>
    <row r="1033">
      <c r="A1033" t="inlineStr">
        <is>
          <t>TADMORV-A</t>
        </is>
      </c>
      <c r="B1033" t="inlineStr">
        <is>
          <t>TADMORV-A</t>
        </is>
      </c>
    </row>
    <row r="1034">
      <c r="A1034" t="inlineStr">
        <is>
          <t>TAG-TAG</t>
        </is>
      </c>
      <c r="B1034" t="inlineStr">
        <is>
          <t>GRIBOURAIGNE</t>
        </is>
      </c>
    </row>
    <row r="1035">
      <c r="A1035" t="inlineStr">
        <is>
          <t>TAPATOES</t>
        </is>
      </c>
      <c r="B1035" t="inlineStr">
        <is>
          <t>TAPATOES</t>
        </is>
      </c>
    </row>
    <row r="1036">
      <c r="A1036" t="inlineStr">
        <is>
          <t>TARENBULLE</t>
        </is>
      </c>
      <c r="B1036" t="inlineStr">
        <is>
          <t>ARAQUA</t>
        </is>
      </c>
    </row>
    <row r="1037">
      <c r="A1037" t="inlineStr">
        <is>
          <t>TARINOR</t>
        </is>
      </c>
      <c r="B1037" t="inlineStr">
        <is>
          <t>TARINOR</t>
        </is>
      </c>
    </row>
    <row r="1038">
      <c r="A1038" t="inlineStr">
        <is>
          <t>TARINORME</t>
        </is>
      </c>
      <c r="B1038" t="inlineStr">
        <is>
          <t>TARINOR</t>
        </is>
      </c>
    </row>
    <row r="1039">
      <c r="A1039" t="inlineStr">
        <is>
          <t>TARPAUD</t>
        </is>
      </c>
      <c r="B1039" t="inlineStr">
        <is>
          <t>PTITARD</t>
        </is>
      </c>
    </row>
    <row r="1040">
      <c r="A1040" t="inlineStr">
        <is>
          <t>TARSAL</t>
        </is>
      </c>
      <c r="B1040" t="inlineStr">
        <is>
          <t>TARSAL</t>
        </is>
      </c>
    </row>
    <row r="1041">
      <c r="A1041" t="inlineStr">
        <is>
          <t>TARTARD</t>
        </is>
      </c>
      <c r="B1041" t="inlineStr">
        <is>
          <t>PTITARD</t>
        </is>
      </c>
    </row>
    <row r="1042">
      <c r="A1042" t="inlineStr">
        <is>
          <t>TATSUGIRI</t>
        </is>
      </c>
      <c r="B1042" t="inlineStr">
        <is>
          <t>TATSUGIRI</t>
        </is>
      </c>
    </row>
    <row r="1043">
      <c r="A1043" t="inlineStr">
        <is>
          <t>TAUPIKEAU</t>
        </is>
      </c>
      <c r="B1043" t="inlineStr">
        <is>
          <t>TAUPIKEAU</t>
        </is>
      </c>
    </row>
    <row r="1044">
      <c r="A1044" t="inlineStr">
        <is>
          <t>TAUPIQUEUR</t>
        </is>
      </c>
      <c r="B1044" t="inlineStr">
        <is>
          <t>TAUPIQUEUR</t>
        </is>
      </c>
    </row>
    <row r="1045">
      <c r="A1045" t="inlineStr">
        <is>
          <t>TAUPIQUEUR-A</t>
        </is>
      </c>
      <c r="B1045" t="inlineStr">
        <is>
          <t>TAUPIQUEUR-A</t>
        </is>
      </c>
    </row>
    <row r="1046">
      <c r="A1046" t="inlineStr">
        <is>
          <t>TAUROS</t>
        </is>
      </c>
      <c r="B1046" t="inlineStr">
        <is>
          <t>TAUROS</t>
        </is>
      </c>
    </row>
    <row r="1047">
      <c r="A1047" t="inlineStr">
        <is>
          <t>TAUROS-P</t>
        </is>
      </c>
      <c r="B1047" t="inlineStr">
        <is>
          <t>TAUROS-P</t>
        </is>
      </c>
    </row>
    <row r="1048">
      <c r="A1048" t="inlineStr">
        <is>
          <t>TEDDIURSA</t>
        </is>
      </c>
      <c r="B1048" t="inlineStr">
        <is>
          <t>TEDDIURSA</t>
        </is>
      </c>
    </row>
    <row r="1049">
      <c r="A1049" t="inlineStr">
        <is>
          <t>TENEFIX</t>
        </is>
      </c>
      <c r="B1049" t="inlineStr">
        <is>
          <t>TENEFIX</t>
        </is>
      </c>
    </row>
    <row r="1050">
      <c r="A1050" t="inlineStr">
        <is>
          <t>TENGALICE</t>
        </is>
      </c>
      <c r="B1050" t="inlineStr">
        <is>
          <t>GRAINIPIOT</t>
        </is>
      </c>
    </row>
    <row r="1051">
      <c r="A1051" t="inlineStr">
        <is>
          <t>TENTACOOL</t>
        </is>
      </c>
      <c r="B1051" t="inlineStr">
        <is>
          <t>TENTACOOL</t>
        </is>
      </c>
    </row>
    <row r="1052">
      <c r="A1052" t="inlineStr">
        <is>
          <t>TENTACRUEL</t>
        </is>
      </c>
      <c r="B1052" t="inlineStr">
        <is>
          <t>TENTACOOL</t>
        </is>
      </c>
    </row>
    <row r="1053">
      <c r="A1053" t="inlineStr">
        <is>
          <t>TERACLOPE</t>
        </is>
      </c>
      <c r="B1053" t="inlineStr">
        <is>
          <t>SKELENOX</t>
        </is>
      </c>
    </row>
    <row r="1054">
      <c r="A1054" t="inlineStr">
        <is>
          <t>TERAPAGOS</t>
        </is>
      </c>
      <c r="B1054" t="inlineStr">
        <is>
          <t>TERAPAGOS</t>
        </is>
      </c>
    </row>
    <row r="1055">
      <c r="A1055" t="inlineStr">
        <is>
          <t>TERHAL</t>
        </is>
      </c>
      <c r="B1055" t="inlineStr">
        <is>
          <t>TERHAL</t>
        </is>
      </c>
    </row>
    <row r="1056">
      <c r="A1056" t="inlineStr">
        <is>
          <t>TERRACOOL</t>
        </is>
      </c>
      <c r="B1056" t="inlineStr">
        <is>
          <t>TERRACOOL</t>
        </is>
      </c>
    </row>
    <row r="1057">
      <c r="A1057" t="inlineStr">
        <is>
          <t>TERRACRUEL</t>
        </is>
      </c>
      <c r="B1057" t="inlineStr">
        <is>
          <t>TERRACOOL</t>
        </is>
      </c>
    </row>
    <row r="1058">
      <c r="A1058" t="inlineStr">
        <is>
          <t>TERRAISTE</t>
        </is>
      </c>
      <c r="B1058" t="inlineStr">
        <is>
          <t>AXOLOTO-P</t>
        </is>
      </c>
    </row>
    <row r="1059">
      <c r="A1059" t="inlineStr">
        <is>
          <t>TERRAKIUM</t>
        </is>
      </c>
      <c r="B1059" t="inlineStr">
        <is>
          <t>TERRAKIUM</t>
        </is>
      </c>
    </row>
    <row r="1060">
      <c r="A1060" t="inlineStr">
        <is>
          <t>TETAMPOULE</t>
        </is>
      </c>
      <c r="B1060" t="inlineStr">
        <is>
          <t>TETAMPOULE</t>
        </is>
      </c>
    </row>
    <row r="1061">
      <c r="A1061" t="inlineStr">
        <is>
          <t>TETARTE</t>
        </is>
      </c>
      <c r="B1061" t="inlineStr">
        <is>
          <t>PTITARD</t>
        </is>
      </c>
    </row>
    <row r="1062">
      <c r="A1062" t="inlineStr">
        <is>
          <t>TETES-DE-FER</t>
        </is>
      </c>
      <c r="B1062" t="inlineStr">
        <is>
          <t>TETES-DE-FER</t>
        </is>
      </c>
    </row>
    <row r="1063">
      <c r="A1063" t="inlineStr">
        <is>
          <t>THEFFROI</t>
        </is>
      </c>
      <c r="B1063" t="inlineStr">
        <is>
          <t>THEFFROI</t>
        </is>
      </c>
    </row>
    <row r="1064">
      <c r="A1064" t="inlineStr">
        <is>
          <t>THEFFROYABLE</t>
        </is>
      </c>
      <c r="B1064" t="inlineStr">
        <is>
          <t>POLTCHAGEIST</t>
        </is>
      </c>
    </row>
    <row r="1065">
      <c r="A1065" t="inlineStr">
        <is>
          <t>TIBOUDET</t>
        </is>
      </c>
      <c r="B1065" t="inlineStr">
        <is>
          <t>TIBOUDET</t>
        </is>
      </c>
    </row>
    <row r="1066">
      <c r="A1066" t="inlineStr">
        <is>
          <t>TIC</t>
        </is>
      </c>
      <c r="B1066" t="inlineStr">
        <is>
          <t>TIC</t>
        </is>
      </c>
    </row>
    <row r="1067">
      <c r="A1067" t="inlineStr">
        <is>
          <t>TIPLOUF</t>
        </is>
      </c>
      <c r="B1067" t="inlineStr">
        <is>
          <t>TIPLOUF</t>
        </is>
      </c>
    </row>
    <row r="1068">
      <c r="A1068" t="inlineStr">
        <is>
          <t>TISSENBOULE</t>
        </is>
      </c>
      <c r="B1068" t="inlineStr">
        <is>
          <t>TISSENBOULE</t>
        </is>
      </c>
    </row>
    <row r="1069">
      <c r="A1069" t="inlineStr">
        <is>
          <t>TOGEDEMARU</t>
        </is>
      </c>
      <c r="B1069" t="inlineStr">
        <is>
          <t>TOGEDEMARU</t>
        </is>
      </c>
    </row>
    <row r="1070">
      <c r="A1070" t="inlineStr">
        <is>
          <t>TOGEKISS</t>
        </is>
      </c>
      <c r="B1070" t="inlineStr">
        <is>
          <t>TOGEPI</t>
        </is>
      </c>
    </row>
    <row r="1071">
      <c r="A1071" t="inlineStr">
        <is>
          <t>TOGEPI</t>
        </is>
      </c>
      <c r="B1071" t="inlineStr">
        <is>
          <t>TOGEPI</t>
        </is>
      </c>
    </row>
    <row r="1072">
      <c r="A1072" t="inlineStr">
        <is>
          <t>TOGETIC</t>
        </is>
      </c>
      <c r="B1072" t="inlineStr">
        <is>
          <t>TOGEPI</t>
        </is>
      </c>
    </row>
    <row r="1073">
      <c r="A1073" t="inlineStr">
        <is>
          <t>TOKOPISCO</t>
        </is>
      </c>
      <c r="B1073" t="inlineStr">
        <is>
          <t>TOKOPISCO</t>
        </is>
      </c>
    </row>
    <row r="1074">
      <c r="A1074" t="inlineStr">
        <is>
          <t>TOKOPIYON</t>
        </is>
      </c>
      <c r="B1074" t="inlineStr">
        <is>
          <t>TOKOPIYON</t>
        </is>
      </c>
    </row>
    <row r="1075">
      <c r="A1075" t="inlineStr">
        <is>
          <t>TOKORICO</t>
        </is>
      </c>
      <c r="B1075" t="inlineStr">
        <is>
          <t>TOKORICO</t>
        </is>
      </c>
    </row>
    <row r="1076">
      <c r="A1076" t="inlineStr">
        <is>
          <t>TOKOTORO</t>
        </is>
      </c>
      <c r="B1076" t="inlineStr">
        <is>
          <t>TOKOTORO</t>
        </is>
      </c>
    </row>
    <row r="1077">
      <c r="A1077" t="inlineStr">
        <is>
          <t>TOMBERRO</t>
        </is>
      </c>
      <c r="B1077" t="inlineStr">
        <is>
          <t>TOUTOMBE</t>
        </is>
      </c>
    </row>
    <row r="1078">
      <c r="A1078" t="inlineStr">
        <is>
          <t>TORGAMORD</t>
        </is>
      </c>
      <c r="B1078" t="inlineStr">
        <is>
          <t>KHELOCROK</t>
        </is>
      </c>
    </row>
    <row r="1079">
      <c r="A1079" t="inlineStr">
        <is>
          <t>TORTANK</t>
        </is>
      </c>
      <c r="B1079" t="inlineStr">
        <is>
          <t>CARAPUCE</t>
        </is>
      </c>
    </row>
    <row r="1080">
      <c r="A1080" t="inlineStr">
        <is>
          <t>TORTERRA</t>
        </is>
      </c>
      <c r="B1080" t="inlineStr">
        <is>
          <t>TORTIPOUSS</t>
        </is>
      </c>
    </row>
    <row r="1081">
      <c r="A1081" t="inlineStr">
        <is>
          <t>TORTIPOUSS</t>
        </is>
      </c>
      <c r="B1081" t="inlineStr">
        <is>
          <t>TORTIPOUSS</t>
        </is>
      </c>
    </row>
    <row r="1082">
      <c r="A1082" t="inlineStr">
        <is>
          <t>TOUDOUDOU</t>
        </is>
      </c>
      <c r="B1082" t="inlineStr">
        <is>
          <t>TOUDOUDOU</t>
        </is>
      </c>
    </row>
    <row r="1083">
      <c r="A1083" t="inlineStr">
        <is>
          <t>TOURNEGRIN</t>
        </is>
      </c>
      <c r="B1083" t="inlineStr">
        <is>
          <t>TOURNEGRIN</t>
        </is>
      </c>
    </row>
    <row r="1084">
      <c r="A1084" t="inlineStr">
        <is>
          <t>TOURNICOTON</t>
        </is>
      </c>
      <c r="B1084" t="inlineStr">
        <is>
          <t>TOURNICOTON</t>
        </is>
      </c>
    </row>
    <row r="1085">
      <c r="A1085" t="inlineStr">
        <is>
          <t>TOUTOMBE</t>
        </is>
      </c>
      <c r="B1085" t="inlineStr">
        <is>
          <t>TOUTOMBE</t>
        </is>
      </c>
    </row>
    <row r="1086">
      <c r="A1086" t="inlineStr">
        <is>
          <t>TOXIZAP</t>
        </is>
      </c>
      <c r="B1086" t="inlineStr">
        <is>
          <t>TOXIZAP</t>
        </is>
      </c>
    </row>
    <row r="1087">
      <c r="A1087" t="inlineStr">
        <is>
          <t>TOXTRICITY</t>
        </is>
      </c>
      <c r="B1087" t="inlineStr">
        <is>
          <t>TOXTRICITY</t>
        </is>
      </c>
    </row>
    <row r="1088">
      <c r="A1088" t="inlineStr">
        <is>
          <t>TRANCHODON</t>
        </is>
      </c>
      <c r="B1088" t="inlineStr">
        <is>
          <t>COUPENOTTE</t>
        </is>
      </c>
    </row>
    <row r="1089">
      <c r="A1089" t="inlineStr">
        <is>
          <t>TREPASSABLE</t>
        </is>
      </c>
      <c r="B1089" t="inlineStr">
        <is>
          <t>BACABOUH</t>
        </is>
      </c>
    </row>
    <row r="1090">
      <c r="A1090" t="inlineStr">
        <is>
          <t>TRIOPIKEAU</t>
        </is>
      </c>
      <c r="B1090" t="inlineStr">
        <is>
          <t>TAUPIKEAU</t>
        </is>
      </c>
    </row>
    <row r="1091">
      <c r="A1091" t="inlineStr">
        <is>
          <t>TRIOPIKEUR</t>
        </is>
      </c>
      <c r="B1091" t="inlineStr">
        <is>
          <t>TAUPIQUEUR</t>
        </is>
      </c>
    </row>
    <row r="1092">
      <c r="A1092" t="inlineStr">
        <is>
          <t>TRIOPIKEUR-A</t>
        </is>
      </c>
      <c r="B1092" t="inlineStr">
        <is>
          <t>TAUPIQUEUR-A</t>
        </is>
      </c>
    </row>
    <row r="1093">
      <c r="A1093" t="inlineStr">
        <is>
          <t>TRIOXHYDRE</t>
        </is>
      </c>
      <c r="B1093" t="inlineStr">
        <is>
          <t>SOLOCHI</t>
        </is>
      </c>
    </row>
    <row r="1094">
      <c r="A1094" t="inlineStr">
        <is>
          <t>TRITONDE</t>
        </is>
      </c>
      <c r="B1094" t="inlineStr">
        <is>
          <t>TRITONDE</t>
        </is>
      </c>
    </row>
    <row r="1095">
      <c r="A1095" t="inlineStr">
        <is>
          <t>TRITOSOR</t>
        </is>
      </c>
      <c r="B1095" t="inlineStr">
        <is>
          <t>SANCOKI</t>
        </is>
      </c>
    </row>
    <row r="1096">
      <c r="A1096" t="inlineStr">
        <is>
          <t>TRITOX</t>
        </is>
      </c>
      <c r="B1096" t="inlineStr">
        <is>
          <t>TRITOX</t>
        </is>
      </c>
    </row>
    <row r="1097">
      <c r="A1097" t="inlineStr">
        <is>
          <t>TROMPIGNON</t>
        </is>
      </c>
      <c r="B1097" t="inlineStr">
        <is>
          <t>TROMPIGNON</t>
        </is>
      </c>
    </row>
    <row r="1098">
      <c r="A1098" t="inlineStr">
        <is>
          <t>TROPIUS</t>
        </is>
      </c>
      <c r="B1098" t="inlineStr">
        <is>
          <t>TROPIUS</t>
        </is>
      </c>
    </row>
    <row r="1099">
      <c r="A1099" t="inlineStr">
        <is>
          <t>TROUSSELIN</t>
        </is>
      </c>
      <c r="B1099" t="inlineStr">
        <is>
          <t>TROUSSELIN</t>
        </is>
      </c>
    </row>
    <row r="1100">
      <c r="A1100" t="inlineStr">
        <is>
          <t>TUTAFEH</t>
        </is>
      </c>
      <c r="B1100" t="inlineStr">
        <is>
          <t>TUTAFEH</t>
        </is>
      </c>
    </row>
    <row r="1101">
      <c r="A1101" t="inlineStr">
        <is>
          <t>TUTAFEH-G</t>
        </is>
      </c>
      <c r="B1101" t="inlineStr">
        <is>
          <t>TUTAFEH-G</t>
        </is>
      </c>
    </row>
    <row r="1102">
      <c r="A1102" t="inlineStr">
        <is>
          <t>TUTANKAFER</t>
        </is>
      </c>
      <c r="B1102" t="inlineStr">
        <is>
          <t>TUTAFEH</t>
        </is>
      </c>
    </row>
    <row r="1103">
      <c r="A1103" t="inlineStr">
        <is>
          <t>TUTETEKRI</t>
        </is>
      </c>
      <c r="B1103" t="inlineStr">
        <is>
          <t>TUTAFEH-G</t>
        </is>
      </c>
    </row>
    <row r="1104">
      <c r="A1104" t="inlineStr">
        <is>
          <t>TYGNON</t>
        </is>
      </c>
      <c r="B1104" t="inlineStr">
        <is>
          <t>DEBUGANT</t>
        </is>
      </c>
    </row>
    <row r="1105">
      <c r="A1105" t="inlineStr">
        <is>
          <t>TYLTON</t>
        </is>
      </c>
      <c r="B1105" t="inlineStr">
        <is>
          <t>TYLTON</t>
        </is>
      </c>
    </row>
    <row r="1106">
      <c r="A1106" t="inlineStr">
        <is>
          <t>TYPE:0</t>
        </is>
      </c>
      <c r="B1106" t="inlineStr">
        <is>
          <t>TYPE:0</t>
        </is>
      </c>
    </row>
    <row r="1107">
      <c r="A1107" t="inlineStr">
        <is>
          <t>TYPHLOSION</t>
        </is>
      </c>
      <c r="B1107" t="inlineStr">
        <is>
          <t>HERICENDRE</t>
        </is>
      </c>
    </row>
    <row r="1108">
      <c r="A1108" t="inlineStr">
        <is>
          <t>TYPHLOSION-H</t>
        </is>
      </c>
      <c r="B1108" t="inlineStr">
        <is>
          <t>HERICENDRE</t>
        </is>
      </c>
    </row>
    <row r="1109">
      <c r="A1109" t="inlineStr">
        <is>
          <t>TYRANITAR</t>
        </is>
      </c>
      <c r="B1109" t="inlineStr">
        <is>
          <t>TYRANITAR</t>
        </is>
      </c>
    </row>
    <row r="1110">
      <c r="A1110" t="inlineStr">
        <is>
          <t>TYRANOCIF</t>
        </is>
      </c>
      <c r="B1110" t="inlineStr">
        <is>
          <t>EMBRYLEX</t>
        </is>
      </c>
    </row>
    <row r="1111">
      <c r="A1111" t="inlineStr">
        <is>
          <t>URSAKING</t>
        </is>
      </c>
      <c r="B1111" t="inlineStr">
        <is>
          <t>TEDDIURSA</t>
        </is>
      </c>
    </row>
    <row r="1112">
      <c r="A1112" t="inlineStr">
        <is>
          <t>URSARING</t>
        </is>
      </c>
      <c r="B1112" t="inlineStr">
        <is>
          <t>TEDDIURSA</t>
        </is>
      </c>
    </row>
    <row r="1113">
      <c r="A1113" t="inlineStr">
        <is>
          <t>URSHIFU</t>
        </is>
      </c>
      <c r="B1113" t="inlineStr">
        <is>
          <t>URSHIFU</t>
        </is>
      </c>
    </row>
    <row r="1114">
      <c r="A1114" t="inlineStr">
        <is>
          <t>VACILYS</t>
        </is>
      </c>
      <c r="B1114" t="inlineStr">
        <is>
          <t>LILIA</t>
        </is>
      </c>
    </row>
    <row r="1115">
      <c r="A1115" t="inlineStr">
        <is>
          <t>VAUTUTRICE</t>
        </is>
      </c>
      <c r="B1115" t="inlineStr">
        <is>
          <t>VOSTOURNO</t>
        </is>
      </c>
    </row>
    <row r="1116">
      <c r="A1116" t="inlineStr">
        <is>
          <t>VEMINI</t>
        </is>
      </c>
      <c r="B1116" t="inlineStr">
        <is>
          <t>VEMINI</t>
        </is>
      </c>
    </row>
    <row r="1117">
      <c r="A1117" t="inlineStr">
        <is>
          <t>VENALGUE</t>
        </is>
      </c>
      <c r="B1117" t="inlineStr">
        <is>
          <t>VENALGUE</t>
        </is>
      </c>
    </row>
    <row r="1118">
      <c r="A1118" t="inlineStr">
        <is>
          <t>VENIPATTE</t>
        </is>
      </c>
      <c r="B1118" t="inlineStr">
        <is>
          <t>VENIPATTE</t>
        </is>
      </c>
    </row>
    <row r="1119">
      <c r="A1119" t="inlineStr">
        <is>
          <t>VENUSAUR</t>
        </is>
      </c>
      <c r="B1119" t="inlineStr">
        <is>
          <t>VENUSAUR</t>
        </is>
      </c>
    </row>
    <row r="1120">
      <c r="A1120" t="inlineStr">
        <is>
          <t>VERPOM</t>
        </is>
      </c>
      <c r="B1120" t="inlineStr">
        <is>
          <t>VERPOM</t>
        </is>
      </c>
    </row>
    <row r="1121">
      <c r="A1121" t="inlineStr">
        <is>
          <t>VERT-DE-FER</t>
        </is>
      </c>
      <c r="B1121" t="inlineStr">
        <is>
          <t>VERT-DE-FER</t>
        </is>
      </c>
    </row>
    <row r="1122">
      <c r="A1122" t="inlineStr">
        <is>
          <t>VIBRANINF</t>
        </is>
      </c>
      <c r="B1122" t="inlineStr">
        <is>
          <t>KRAKNOIX</t>
        </is>
      </c>
    </row>
    <row r="1123">
      <c r="A1123" t="inlineStr">
        <is>
          <t>VICTINI</t>
        </is>
      </c>
      <c r="B1123" t="inlineStr">
        <is>
          <t>VICTINI</t>
        </is>
      </c>
    </row>
    <row r="1124">
      <c r="A1124" t="inlineStr">
        <is>
          <t>VICTREEBEL</t>
        </is>
      </c>
      <c r="B1124" t="inlineStr">
        <is>
          <t>VICTREEBEL</t>
        </is>
      </c>
    </row>
    <row r="1125">
      <c r="A1125" t="inlineStr">
        <is>
          <t>VIGOROTH</t>
        </is>
      </c>
      <c r="B1125" t="inlineStr">
        <is>
          <t>PARECOOL</t>
        </is>
      </c>
    </row>
    <row r="1126">
      <c r="A1126" t="inlineStr">
        <is>
          <t>VIPELIERRE</t>
        </is>
      </c>
      <c r="B1126" t="inlineStr">
        <is>
          <t>VIPELIERRE</t>
        </is>
      </c>
    </row>
    <row r="1127">
      <c r="A1127" t="inlineStr">
        <is>
          <t>VIREVORREUR</t>
        </is>
      </c>
      <c r="B1127" t="inlineStr">
        <is>
          <t>VIROVENT</t>
        </is>
      </c>
    </row>
    <row r="1128">
      <c r="A1128" t="inlineStr">
        <is>
          <t>VIRIDIUM</t>
        </is>
      </c>
      <c r="B1128" t="inlineStr">
        <is>
          <t>VIRIDIUM</t>
        </is>
      </c>
    </row>
    <row r="1129">
      <c r="A1129" t="inlineStr">
        <is>
          <t>VIROVENT</t>
        </is>
      </c>
      <c r="B1129" t="inlineStr">
        <is>
          <t>VIROVENT</t>
        </is>
      </c>
    </row>
    <row r="1130">
      <c r="A1130" t="inlineStr">
        <is>
          <t>VISKUSE</t>
        </is>
      </c>
      <c r="B1130" t="inlineStr">
        <is>
          <t>VISKUSE</t>
        </is>
      </c>
    </row>
    <row r="1131">
      <c r="A1131" t="inlineStr">
        <is>
          <t>VIVALDAIM</t>
        </is>
      </c>
      <c r="B1131" t="inlineStr">
        <is>
          <t>VIVALDAIM</t>
        </is>
      </c>
    </row>
    <row r="1132">
      <c r="A1132" t="inlineStr">
        <is>
          <t>VOLCANION</t>
        </is>
      </c>
      <c r="B1132" t="inlineStr">
        <is>
          <t>VOLCANION</t>
        </is>
      </c>
    </row>
    <row r="1133">
      <c r="A1133" t="inlineStr">
        <is>
          <t>VOLCAROPOD</t>
        </is>
      </c>
      <c r="B1133" t="inlineStr">
        <is>
          <t>LIMAGMA</t>
        </is>
      </c>
    </row>
    <row r="1134">
      <c r="A1134" t="inlineStr">
        <is>
          <t>VOLTALI</t>
        </is>
      </c>
      <c r="B1134" t="inlineStr">
        <is>
          <t>EVOLI</t>
        </is>
      </c>
    </row>
    <row r="1135">
      <c r="A1135" t="inlineStr">
        <is>
          <t>VOLTORBE</t>
        </is>
      </c>
      <c r="B1135" t="inlineStr">
        <is>
          <t>VOLTORBE</t>
        </is>
      </c>
    </row>
    <row r="1136">
      <c r="A1136" t="inlineStr">
        <is>
          <t>VOLTORBE-H</t>
        </is>
      </c>
      <c r="B1136" t="inlineStr">
        <is>
          <t>VOLTORBE-H</t>
        </is>
      </c>
    </row>
    <row r="1137">
      <c r="A1137" t="inlineStr">
        <is>
          <t>VOLTOUTOU</t>
        </is>
      </c>
      <c r="B1137" t="inlineStr">
        <is>
          <t>VOLTOUTOU</t>
        </is>
      </c>
    </row>
    <row r="1138">
      <c r="A1138" t="inlineStr">
        <is>
          <t>VORASTERIE</t>
        </is>
      </c>
      <c r="B1138" t="inlineStr">
        <is>
          <t>VORASTERIE</t>
        </is>
      </c>
    </row>
    <row r="1139">
      <c r="A1139" t="inlineStr">
        <is>
          <t>VORTENTE</t>
        </is>
      </c>
      <c r="B1139" t="inlineStr">
        <is>
          <t>VORTENTE</t>
        </is>
      </c>
    </row>
    <row r="1140">
      <c r="A1140" t="inlineStr">
        <is>
          <t>VOSTOURNO</t>
        </is>
      </c>
      <c r="B1140" t="inlineStr">
        <is>
          <t>VOSTOURNO</t>
        </is>
      </c>
    </row>
    <row r="1141">
      <c r="A1141" t="inlineStr">
        <is>
          <t>VROMBI</t>
        </is>
      </c>
      <c r="B1141" t="inlineStr">
        <is>
          <t>VROMBI</t>
        </is>
      </c>
    </row>
    <row r="1142">
      <c r="A1142" t="inlineStr">
        <is>
          <t>VROMBOTOR</t>
        </is>
      </c>
      <c r="B1142" t="inlineStr">
        <is>
          <t>VROMBI</t>
        </is>
      </c>
    </row>
    <row r="1143">
      <c r="A1143" t="inlineStr">
        <is>
          <t>WAGOMINE</t>
        </is>
      </c>
      <c r="B1143" t="inlineStr">
        <is>
          <t>CHARBI</t>
        </is>
      </c>
    </row>
    <row r="1144">
      <c r="A1144" t="inlineStr">
        <is>
          <t>WAILMER</t>
        </is>
      </c>
      <c r="B1144" t="inlineStr">
        <is>
          <t>WAILMER</t>
        </is>
      </c>
    </row>
    <row r="1145">
      <c r="A1145" t="inlineStr">
        <is>
          <t>WAILORD</t>
        </is>
      </c>
      <c r="B1145" t="inlineStr">
        <is>
          <t>WAILMER</t>
        </is>
      </c>
    </row>
    <row r="1146">
      <c r="A1146" t="inlineStr">
        <is>
          <t>WATTAPIK</t>
        </is>
      </c>
      <c r="B1146" t="inlineStr">
        <is>
          <t>WATTAPIK</t>
        </is>
      </c>
    </row>
    <row r="1147">
      <c r="A1147" t="inlineStr">
        <is>
          <t>WATTOUAT</t>
        </is>
      </c>
      <c r="B1147" t="inlineStr">
        <is>
          <t>WATTOUAT</t>
        </is>
      </c>
    </row>
    <row r="1148">
      <c r="A1148" t="inlineStr">
        <is>
          <t>WIMESSIR</t>
        </is>
      </c>
      <c r="B1148" t="inlineStr">
        <is>
          <t>WIMESSIR</t>
        </is>
      </c>
    </row>
    <row r="1149">
      <c r="A1149" t="inlineStr">
        <is>
          <t>WUSHOURS</t>
        </is>
      </c>
      <c r="B1149" t="inlineStr">
        <is>
          <t>WUSHOURS</t>
        </is>
      </c>
    </row>
    <row r="1150">
      <c r="A1150" t="inlineStr">
        <is>
          <t>XATU</t>
        </is>
      </c>
      <c r="B1150" t="inlineStr">
        <is>
          <t>NATU</t>
        </is>
      </c>
    </row>
    <row r="1151">
      <c r="A1151" t="inlineStr">
        <is>
          <t>XERNEAS</t>
        </is>
      </c>
      <c r="B1151" t="inlineStr">
        <is>
          <t>XERNEAS</t>
        </is>
      </c>
    </row>
    <row r="1152">
      <c r="A1152" t="inlineStr">
        <is>
          <t>YANMA</t>
        </is>
      </c>
      <c r="B1152" t="inlineStr">
        <is>
          <t>YANMA</t>
        </is>
      </c>
    </row>
    <row r="1153">
      <c r="A1153" t="inlineStr">
        <is>
          <t>YANMEGA</t>
        </is>
      </c>
      <c r="B1153" t="inlineStr">
        <is>
          <t>YANMA</t>
        </is>
      </c>
    </row>
    <row r="1154">
      <c r="A1154" t="inlineStr">
        <is>
          <t>YMPHECT</t>
        </is>
      </c>
      <c r="B1154" t="inlineStr">
        <is>
          <t>EMBRYLEX</t>
        </is>
      </c>
    </row>
    <row r="1155">
      <c r="A1155" t="inlineStr">
        <is>
          <t>YUYU</t>
        </is>
      </c>
      <c r="B1155" t="inlineStr">
        <is>
          <t>YUYU</t>
        </is>
      </c>
    </row>
    <row r="1156">
      <c r="A1156" t="inlineStr">
        <is>
          <t>YVELTAL</t>
        </is>
      </c>
      <c r="B1156" t="inlineStr">
        <is>
          <t>YVELTAL</t>
        </is>
      </c>
    </row>
    <row r="1157">
      <c r="A1157" t="inlineStr">
        <is>
          <t>ZACIAN</t>
        </is>
      </c>
      <c r="B1157" t="inlineStr">
        <is>
          <t>ZACIAN</t>
        </is>
      </c>
    </row>
    <row r="1158">
      <c r="A1158" t="inlineStr">
        <is>
          <t>ZAMAZENTA</t>
        </is>
      </c>
      <c r="B1158" t="inlineStr">
        <is>
          <t>ZAMAZENTA</t>
        </is>
      </c>
    </row>
    <row r="1159">
      <c r="A1159" t="inlineStr">
        <is>
          <t>ZAPETREL</t>
        </is>
      </c>
      <c r="B1159" t="inlineStr">
        <is>
          <t>ZAPETREL</t>
        </is>
      </c>
    </row>
    <row r="1160">
      <c r="A1160" t="inlineStr">
        <is>
          <t>ZARBI</t>
        </is>
      </c>
      <c r="B1160" t="inlineStr">
        <is>
          <t>ZARBI</t>
        </is>
      </c>
    </row>
    <row r="1161">
      <c r="A1161" t="inlineStr">
        <is>
          <t>ZARUDE</t>
        </is>
      </c>
      <c r="B1161" t="inlineStr">
        <is>
          <t>ZARUDE</t>
        </is>
      </c>
    </row>
    <row r="1162">
      <c r="A1162" t="inlineStr">
        <is>
          <t>ZEBIBRON</t>
        </is>
      </c>
      <c r="B1162" t="inlineStr">
        <is>
          <t>ZEBIBRON</t>
        </is>
      </c>
    </row>
    <row r="1163">
      <c r="A1163" t="inlineStr">
        <is>
          <t>ZEBLITZ</t>
        </is>
      </c>
      <c r="B1163" t="inlineStr">
        <is>
          <t>ZEBIBRON</t>
        </is>
      </c>
    </row>
    <row r="1164">
      <c r="A1164" t="inlineStr">
        <is>
          <t>ZEKROM</t>
        </is>
      </c>
      <c r="B1164" t="inlineStr">
        <is>
          <t>ZEKROM</t>
        </is>
      </c>
    </row>
    <row r="1165">
      <c r="A1165" t="inlineStr">
        <is>
          <t>ZERAORA</t>
        </is>
      </c>
      <c r="B1165" t="inlineStr">
        <is>
          <t>ZERAORA</t>
        </is>
      </c>
    </row>
    <row r="1166">
      <c r="A1166" t="inlineStr">
        <is>
          <t>ZEROID</t>
        </is>
      </c>
      <c r="B1166" t="inlineStr">
        <is>
          <t>ZEROID</t>
        </is>
      </c>
    </row>
    <row r="1167">
      <c r="A1167" t="inlineStr">
        <is>
          <t>ZIGZATON</t>
        </is>
      </c>
      <c r="B1167" t="inlineStr">
        <is>
          <t>ZIGZATON</t>
        </is>
      </c>
    </row>
    <row r="1168">
      <c r="A1168" t="inlineStr">
        <is>
          <t>ZIGZATON-G</t>
        </is>
      </c>
      <c r="B1168" t="inlineStr">
        <is>
          <t>ZIGZATON-G</t>
        </is>
      </c>
    </row>
    <row r="1169">
      <c r="A1169" t="inlineStr">
        <is>
          <t>ZOROARK</t>
        </is>
      </c>
      <c r="B1169" t="inlineStr">
        <is>
          <t>ZORUA</t>
        </is>
      </c>
    </row>
    <row r="1170">
      <c r="A1170" t="inlineStr">
        <is>
          <t>ZOROARK-H</t>
        </is>
      </c>
      <c r="B1170" t="inlineStr">
        <is>
          <t>ZORUA-H</t>
        </is>
      </c>
    </row>
    <row r="1171">
      <c r="A1171" t="inlineStr">
        <is>
          <t>ZORUA</t>
        </is>
      </c>
      <c r="B1171" t="inlineStr">
        <is>
          <t>ZORUA</t>
        </is>
      </c>
    </row>
    <row r="1172">
      <c r="A1172" t="inlineStr">
        <is>
          <t>ZORUA-H</t>
        </is>
      </c>
      <c r="B1172" t="inlineStr">
        <is>
          <t>ZORUA-H</t>
        </is>
      </c>
    </row>
    <row r="1173">
      <c r="A1173" t="inlineStr">
        <is>
          <t>ZYGARDE</t>
        </is>
      </c>
      <c r="B1173" t="inlineStr">
        <is>
          <t>ZYGARDE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2026-10-14T13:59:52Z</dcterms:created>
  <dcterms:modified xmlns:dcterms="http://purl.org/dc/terms/" xmlns:xsi="http://www.w3.org/2001/XMLSchema-instance" xsi:type="dcterms:W3CDTF">2026-10-14T13:59:57Z</dcterms:modified>
</cp:coreProperties>
</file>